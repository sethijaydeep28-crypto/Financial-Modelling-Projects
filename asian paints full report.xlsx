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8c1ad8445358e1/Desktop/"/>
    </mc:Choice>
  </mc:AlternateContent>
  <xr:revisionPtr revIDLastSave="1076" documentId="13_ncr:1_{E29456CE-3B42-41BE-87BD-96E526A269F6}" xr6:coauthVersionLast="47" xr6:coauthVersionMax="47" xr10:uidLastSave="{7FCBC422-9330-47D6-80BB-34E6C6A517E5}"/>
  <bookViews>
    <workbookView minimized="1" xWindow="6108" yWindow="3708" windowWidth="17280" windowHeight="8880" firstSheet="2" activeTab="8" xr2:uid="{11C7D937-73DA-4E6E-8D95-2EA8A0C83C8C}"/>
  </bookViews>
  <sheets>
    <sheet name="HistoricalFS" sheetId="13" r:id="rId1"/>
    <sheet name="Ratio Analysis" sheetId="14" r:id="rId2"/>
    <sheet name="Common Size Statement" sheetId="16" r:id="rId3"/>
    <sheet name="FCF" sheetId="2" r:id="rId4"/>
    <sheet name="Forecasts" sheetId="9" r:id="rId5"/>
    <sheet name="Change in WC" sheetId="7" r:id="rId6"/>
    <sheet name="Fixed Assets" sheetId="6" r:id="rId7"/>
    <sheet name="WACC" sheetId="3" r:id="rId8"/>
    <sheet name="DCF" sheetId="5" r:id="rId9"/>
    <sheet name="Data Sources--&gt;" sheetId="15" r:id="rId10"/>
    <sheet name="Data Sheet" sheetId="10" r:id="rId11"/>
    <sheet name="Raw Bs" sheetId="12" r:id="rId12"/>
    <sheet name="Raw CF" sheetId="11" r:id="rId13"/>
  </sheets>
  <externalReferences>
    <externalReference r:id="rId14"/>
  </externalReferences>
  <definedNames>
    <definedName name="_xlnm.Print_Area" localSheetId="0">HistoricalFS!$A$1:$L$114</definedName>
    <definedName name="_xlnm.Print_Area" localSheetId="1">'Ratio Analysis'!$A$1:$O$42</definedName>
    <definedName name="_xlnm.Print_Titles" localSheetId="0">HistoricalFS!$2:$4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6" l="1"/>
  <c r="D38" i="16"/>
  <c r="E38" i="16"/>
  <c r="F38" i="16"/>
  <c r="G38" i="16"/>
  <c r="H38" i="16"/>
  <c r="I38" i="16"/>
  <c r="J38" i="16"/>
  <c r="K38" i="16"/>
  <c r="L38" i="16"/>
  <c r="C39" i="16"/>
  <c r="D39" i="16"/>
  <c r="E39" i="16"/>
  <c r="F39" i="16"/>
  <c r="G39" i="16"/>
  <c r="H39" i="16"/>
  <c r="I39" i="16"/>
  <c r="J39" i="16"/>
  <c r="K39" i="16"/>
  <c r="L39" i="16"/>
  <c r="D37" i="16"/>
  <c r="E37" i="16"/>
  <c r="F37" i="16"/>
  <c r="G37" i="16"/>
  <c r="H37" i="16"/>
  <c r="I37" i="16"/>
  <c r="J37" i="16"/>
  <c r="K37" i="16"/>
  <c r="L37" i="16"/>
  <c r="C37" i="16"/>
  <c r="D36" i="16"/>
  <c r="E36" i="16"/>
  <c r="F36" i="16"/>
  <c r="G36" i="16"/>
  <c r="H36" i="16"/>
  <c r="I36" i="16"/>
  <c r="J36" i="16"/>
  <c r="K36" i="16"/>
  <c r="L36" i="16"/>
  <c r="C36" i="16"/>
  <c r="C34" i="16"/>
  <c r="D34" i="16"/>
  <c r="E34" i="16"/>
  <c r="F34" i="16"/>
  <c r="G34" i="16"/>
  <c r="H34" i="16"/>
  <c r="I34" i="16"/>
  <c r="J34" i="16"/>
  <c r="K34" i="16"/>
  <c r="L34" i="16"/>
  <c r="C35" i="16"/>
  <c r="D35" i="16"/>
  <c r="E35" i="16"/>
  <c r="F35" i="16"/>
  <c r="G35" i="16"/>
  <c r="H35" i="16"/>
  <c r="I35" i="16"/>
  <c r="J35" i="16"/>
  <c r="K35" i="16"/>
  <c r="L35" i="16"/>
  <c r="D33" i="16"/>
  <c r="E33" i="16"/>
  <c r="F33" i="16"/>
  <c r="G33" i="16"/>
  <c r="H33" i="16"/>
  <c r="I33" i="16"/>
  <c r="J33" i="16"/>
  <c r="K33" i="16"/>
  <c r="L33" i="16"/>
  <c r="C33" i="16"/>
  <c r="D32" i="16"/>
  <c r="E32" i="16"/>
  <c r="F32" i="16"/>
  <c r="G32" i="16"/>
  <c r="H32" i="16"/>
  <c r="I32" i="16"/>
  <c r="J32" i="16"/>
  <c r="K32" i="16"/>
  <c r="L32" i="16"/>
  <c r="C32" i="16"/>
  <c r="C29" i="16"/>
  <c r="D29" i="16"/>
  <c r="E29" i="16"/>
  <c r="F29" i="16"/>
  <c r="G29" i="16"/>
  <c r="H29" i="16"/>
  <c r="I29" i="16"/>
  <c r="J29" i="16"/>
  <c r="K29" i="16"/>
  <c r="L29" i="16"/>
  <c r="C30" i="16"/>
  <c r="D30" i="16"/>
  <c r="E30" i="16"/>
  <c r="F30" i="16"/>
  <c r="G30" i="16"/>
  <c r="H30" i="16"/>
  <c r="I30" i="16"/>
  <c r="J30" i="16"/>
  <c r="K30" i="16"/>
  <c r="L30" i="16"/>
  <c r="C28" i="16"/>
  <c r="D28" i="16"/>
  <c r="E28" i="16"/>
  <c r="F28" i="16"/>
  <c r="G28" i="16"/>
  <c r="H28" i="16"/>
  <c r="I28" i="16"/>
  <c r="J28" i="16"/>
  <c r="K28" i="16"/>
  <c r="L28" i="16"/>
  <c r="D27" i="16"/>
  <c r="E27" i="16"/>
  <c r="F27" i="16"/>
  <c r="G27" i="16"/>
  <c r="H27" i="16"/>
  <c r="I27" i="16"/>
  <c r="J27" i="16"/>
  <c r="K27" i="16"/>
  <c r="L27" i="16"/>
  <c r="C27" i="16"/>
  <c r="D26" i="16"/>
  <c r="E26" i="16"/>
  <c r="F26" i="16"/>
  <c r="G26" i="16"/>
  <c r="H26" i="16"/>
  <c r="I26" i="16"/>
  <c r="J26" i="16"/>
  <c r="K26" i="16"/>
  <c r="L26" i="16"/>
  <c r="C26" i="16"/>
  <c r="D20" i="16"/>
  <c r="E20" i="16"/>
  <c r="F20" i="16"/>
  <c r="G20" i="16"/>
  <c r="H20" i="16"/>
  <c r="I20" i="16"/>
  <c r="J20" i="16"/>
  <c r="K20" i="16"/>
  <c r="L20" i="16"/>
  <c r="C20" i="16"/>
  <c r="C6" i="16"/>
  <c r="D6" i="16"/>
  <c r="E6" i="16"/>
  <c r="F6" i="16"/>
  <c r="G6" i="16"/>
  <c r="H6" i="16"/>
  <c r="I6" i="16"/>
  <c r="J6" i="16"/>
  <c r="K6" i="16"/>
  <c r="L6" i="16"/>
  <c r="C7" i="16"/>
  <c r="D7" i="16"/>
  <c r="E7" i="16"/>
  <c r="F7" i="16"/>
  <c r="G7" i="16"/>
  <c r="H7" i="16"/>
  <c r="I7" i="16"/>
  <c r="J7" i="16"/>
  <c r="K7" i="16"/>
  <c r="L7" i="16"/>
  <c r="C8" i="16"/>
  <c r="D8" i="16"/>
  <c r="E8" i="16"/>
  <c r="F8" i="16"/>
  <c r="G8" i="16"/>
  <c r="H8" i="16"/>
  <c r="I8" i="16"/>
  <c r="J8" i="16"/>
  <c r="K8" i="16"/>
  <c r="L8" i="16"/>
  <c r="C9" i="16"/>
  <c r="D9" i="16"/>
  <c r="E9" i="16"/>
  <c r="F9" i="16"/>
  <c r="G9" i="16"/>
  <c r="H9" i="16"/>
  <c r="I9" i="16"/>
  <c r="J9" i="16"/>
  <c r="K9" i="16"/>
  <c r="L9" i="16"/>
  <c r="C10" i="16"/>
  <c r="D10" i="16"/>
  <c r="E10" i="16"/>
  <c r="F10" i="16"/>
  <c r="G10" i="16"/>
  <c r="H10" i="16"/>
  <c r="I10" i="16"/>
  <c r="J10" i="16"/>
  <c r="K10" i="16"/>
  <c r="L10" i="16"/>
  <c r="C11" i="16"/>
  <c r="D11" i="16"/>
  <c r="E11" i="16"/>
  <c r="F11" i="16"/>
  <c r="G11" i="16"/>
  <c r="H11" i="16"/>
  <c r="I11" i="16"/>
  <c r="J11" i="16"/>
  <c r="K11" i="16"/>
  <c r="L11" i="16"/>
  <c r="C12" i="16"/>
  <c r="D12" i="16"/>
  <c r="E12" i="16"/>
  <c r="F12" i="16"/>
  <c r="G12" i="16"/>
  <c r="H12" i="16"/>
  <c r="I12" i="16"/>
  <c r="J12" i="16"/>
  <c r="K12" i="16"/>
  <c r="L12" i="16"/>
  <c r="C13" i="16"/>
  <c r="D13" i="16"/>
  <c r="E13" i="16"/>
  <c r="F13" i="16"/>
  <c r="G13" i="16"/>
  <c r="H13" i="16"/>
  <c r="I13" i="16"/>
  <c r="J13" i="16"/>
  <c r="K13" i="16"/>
  <c r="L13" i="16"/>
  <c r="C14" i="16"/>
  <c r="D14" i="16"/>
  <c r="E14" i="16"/>
  <c r="F14" i="16"/>
  <c r="G14" i="16"/>
  <c r="H14" i="16"/>
  <c r="I14" i="16"/>
  <c r="J14" i="16"/>
  <c r="K14" i="16"/>
  <c r="L14" i="16"/>
  <c r="C15" i="16"/>
  <c r="D15" i="16"/>
  <c r="E15" i="16"/>
  <c r="F15" i="16"/>
  <c r="G15" i="16"/>
  <c r="H15" i="16"/>
  <c r="I15" i="16"/>
  <c r="J15" i="16"/>
  <c r="K15" i="16"/>
  <c r="L15" i="16"/>
  <c r="C16" i="16"/>
  <c r="D16" i="16"/>
  <c r="E16" i="16"/>
  <c r="F16" i="16"/>
  <c r="G16" i="16"/>
  <c r="H16" i="16"/>
  <c r="I16" i="16"/>
  <c r="J16" i="16"/>
  <c r="K16" i="16"/>
  <c r="L16" i="16"/>
  <c r="C17" i="16"/>
  <c r="D17" i="16"/>
  <c r="E17" i="16"/>
  <c r="F17" i="16"/>
  <c r="G17" i="16"/>
  <c r="H17" i="16"/>
  <c r="I17" i="16"/>
  <c r="J17" i="16"/>
  <c r="K17" i="16"/>
  <c r="L17" i="16"/>
  <c r="C18" i="16"/>
  <c r="D18" i="16"/>
  <c r="E18" i="16"/>
  <c r="F18" i="16"/>
  <c r="G18" i="16"/>
  <c r="H18" i="16"/>
  <c r="I18" i="16"/>
  <c r="J18" i="16"/>
  <c r="K18" i="16"/>
  <c r="L18" i="16"/>
  <c r="C19" i="16"/>
  <c r="D19" i="16"/>
  <c r="E19" i="16"/>
  <c r="F19" i="16"/>
  <c r="G19" i="16"/>
  <c r="H19" i="16"/>
  <c r="I19" i="16"/>
  <c r="J19" i="16"/>
  <c r="K19" i="16"/>
  <c r="L19" i="16"/>
  <c r="D5" i="16"/>
  <c r="E5" i="16"/>
  <c r="F5" i="16"/>
  <c r="G5" i="16"/>
  <c r="H5" i="16"/>
  <c r="I5" i="16"/>
  <c r="J5" i="16"/>
  <c r="K5" i="16"/>
  <c r="L5" i="16"/>
  <c r="C5" i="16"/>
  <c r="B2" i="16"/>
  <c r="C3" i="16"/>
  <c r="D3" i="16"/>
  <c r="E3" i="16"/>
  <c r="F3" i="16"/>
  <c r="G3" i="16"/>
  <c r="H3" i="16"/>
  <c r="I3" i="16"/>
  <c r="J3" i="16"/>
  <c r="K3" i="16"/>
  <c r="L3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3" i="16"/>
  <c r="C24" i="16"/>
  <c r="D24" i="16"/>
  <c r="E24" i="16"/>
  <c r="F24" i="16"/>
  <c r="G24" i="16"/>
  <c r="H24" i="16"/>
  <c r="I24" i="16"/>
  <c r="J24" i="16"/>
  <c r="K24" i="16"/>
  <c r="L24" i="16"/>
  <c r="B27" i="16"/>
  <c r="B28" i="16"/>
  <c r="B29" i="16"/>
  <c r="B30" i="16"/>
  <c r="B33" i="16"/>
  <c r="B34" i="16"/>
  <c r="B35" i="16"/>
  <c r="B36" i="16"/>
  <c r="B37" i="16"/>
  <c r="B38" i="16"/>
  <c r="B39" i="16"/>
  <c r="C18" i="5" l="1"/>
  <c r="C17" i="5"/>
  <c r="C24" i="5"/>
  <c r="D28" i="2"/>
  <c r="C20" i="5"/>
  <c r="D3" i="5"/>
  <c r="E3" i="5"/>
  <c r="C3" i="5"/>
  <c r="F3" i="5"/>
  <c r="G3" i="5" s="1"/>
  <c r="H3" i="5" s="1"/>
  <c r="I3" i="5" s="1"/>
  <c r="J3" i="5" s="1"/>
  <c r="F6" i="5"/>
  <c r="G6" i="5" s="1"/>
  <c r="H6" i="5" s="1"/>
  <c r="I6" i="5" s="1"/>
  <c r="J6" i="5" s="1"/>
  <c r="C13" i="3"/>
  <c r="C12" i="3"/>
  <c r="C4" i="3"/>
  <c r="C15" i="3" s="1"/>
  <c r="D9" i="7"/>
  <c r="E9" i="7"/>
  <c r="C9" i="7"/>
  <c r="D29" i="14"/>
  <c r="E29" i="14"/>
  <c r="E35" i="14" s="1"/>
  <c r="F29" i="14"/>
  <c r="G29" i="14"/>
  <c r="G35" i="14" s="1"/>
  <c r="H29" i="14"/>
  <c r="H35" i="14" s="1"/>
  <c r="I29" i="14"/>
  <c r="I35" i="14" s="1"/>
  <c r="J29" i="14"/>
  <c r="K29" i="14"/>
  <c r="K35" i="14" s="1"/>
  <c r="L29" i="14"/>
  <c r="D30" i="14"/>
  <c r="E30" i="14"/>
  <c r="F30" i="14"/>
  <c r="O30" i="14" s="1"/>
  <c r="G30" i="14"/>
  <c r="G36" i="14" s="1"/>
  <c r="H30" i="14"/>
  <c r="H36" i="14" s="1"/>
  <c r="I30" i="14"/>
  <c r="I36" i="14" s="1"/>
  <c r="J30" i="14"/>
  <c r="J36" i="14" s="1"/>
  <c r="K30" i="14"/>
  <c r="K36" i="14" s="1"/>
  <c r="L30" i="14"/>
  <c r="C30" i="14"/>
  <c r="C29" i="14"/>
  <c r="D12" i="6"/>
  <c r="E12" i="6"/>
  <c r="F12" i="6"/>
  <c r="G12" i="6"/>
  <c r="H12" i="6"/>
  <c r="I12" i="6"/>
  <c r="J12" i="6"/>
  <c r="D4" i="6"/>
  <c r="E4" i="6"/>
  <c r="C4" i="6"/>
  <c r="C12" i="6" s="1"/>
  <c r="F4" i="6"/>
  <c r="G4" i="6" s="1"/>
  <c r="H4" i="6" s="1"/>
  <c r="I4" i="6" s="1"/>
  <c r="J4" i="6" s="1"/>
  <c r="D6" i="6"/>
  <c r="E6" i="6"/>
  <c r="C6" i="6"/>
  <c r="D5" i="6"/>
  <c r="E5" i="6"/>
  <c r="C5" i="6"/>
  <c r="D41" i="14"/>
  <c r="E41" i="14"/>
  <c r="F41" i="14"/>
  <c r="G41" i="14"/>
  <c r="H41" i="14"/>
  <c r="I41" i="14"/>
  <c r="J41" i="14"/>
  <c r="K41" i="14"/>
  <c r="L41" i="14"/>
  <c r="D40" i="14"/>
  <c r="E40" i="14"/>
  <c r="F40" i="14"/>
  <c r="G40" i="14"/>
  <c r="H40" i="14"/>
  <c r="I40" i="14"/>
  <c r="J40" i="14"/>
  <c r="K40" i="14"/>
  <c r="L40" i="14"/>
  <c r="D39" i="14"/>
  <c r="E39" i="14"/>
  <c r="F39" i="14"/>
  <c r="G39" i="14"/>
  <c r="H39" i="14"/>
  <c r="I39" i="14"/>
  <c r="J39" i="14"/>
  <c r="K39" i="14"/>
  <c r="L39" i="14"/>
  <c r="C41" i="14"/>
  <c r="C40" i="14"/>
  <c r="C39" i="14"/>
  <c r="L35" i="14"/>
  <c r="L36" i="14"/>
  <c r="D31" i="14"/>
  <c r="E31" i="14"/>
  <c r="F31" i="14"/>
  <c r="G31" i="14"/>
  <c r="H31" i="14"/>
  <c r="I31" i="14"/>
  <c r="N31" i="14" s="1"/>
  <c r="J31" i="14"/>
  <c r="K31" i="14"/>
  <c r="L31" i="14"/>
  <c r="D32" i="14"/>
  <c r="E32" i="14"/>
  <c r="F32" i="14"/>
  <c r="G32" i="14"/>
  <c r="H32" i="14"/>
  <c r="I32" i="14"/>
  <c r="J32" i="14"/>
  <c r="K32" i="14"/>
  <c r="L32" i="14"/>
  <c r="C32" i="14"/>
  <c r="C31" i="14"/>
  <c r="C35" i="14"/>
  <c r="D28" i="14"/>
  <c r="E28" i="14"/>
  <c r="E34" i="14" s="1"/>
  <c r="F28" i="14"/>
  <c r="G28" i="14"/>
  <c r="H28" i="14"/>
  <c r="I28" i="14"/>
  <c r="J28" i="14"/>
  <c r="K28" i="14"/>
  <c r="K34" i="14" s="1"/>
  <c r="L28" i="14"/>
  <c r="C28" i="14"/>
  <c r="D26" i="14"/>
  <c r="E26" i="14"/>
  <c r="F26" i="14"/>
  <c r="G26" i="14"/>
  <c r="H26" i="14"/>
  <c r="I26" i="14"/>
  <c r="O26" i="14" s="1"/>
  <c r="J26" i="14"/>
  <c r="K26" i="14"/>
  <c r="L26" i="14"/>
  <c r="C26" i="14"/>
  <c r="D24" i="14"/>
  <c r="E24" i="14"/>
  <c r="E25" i="14" s="1"/>
  <c r="F24" i="14"/>
  <c r="G24" i="14"/>
  <c r="H24" i="14"/>
  <c r="I24" i="14"/>
  <c r="J24" i="14"/>
  <c r="K24" i="14"/>
  <c r="L24" i="14"/>
  <c r="C24" i="14"/>
  <c r="D23" i="14"/>
  <c r="E23" i="14"/>
  <c r="F23" i="14"/>
  <c r="G23" i="14"/>
  <c r="H23" i="14"/>
  <c r="I23" i="14"/>
  <c r="I25" i="14" s="1"/>
  <c r="J23" i="14"/>
  <c r="K23" i="14"/>
  <c r="L23" i="14"/>
  <c r="L25" i="14" s="1"/>
  <c r="C23" i="14"/>
  <c r="D22" i="14"/>
  <c r="E22" i="14"/>
  <c r="F22" i="14"/>
  <c r="G22" i="14"/>
  <c r="H22" i="14"/>
  <c r="I22" i="14"/>
  <c r="J22" i="14"/>
  <c r="K22" i="14"/>
  <c r="O22" i="14" s="1"/>
  <c r="L22" i="14"/>
  <c r="C22" i="14"/>
  <c r="D18" i="14"/>
  <c r="E18" i="14"/>
  <c r="F18" i="14"/>
  <c r="G18" i="14"/>
  <c r="H18" i="14"/>
  <c r="I18" i="14"/>
  <c r="J18" i="14"/>
  <c r="K18" i="14"/>
  <c r="L18" i="14"/>
  <c r="D19" i="14"/>
  <c r="O19" i="14" s="1"/>
  <c r="E19" i="14"/>
  <c r="F19" i="14"/>
  <c r="G19" i="14"/>
  <c r="H19" i="14"/>
  <c r="I19" i="14"/>
  <c r="J19" i="14"/>
  <c r="K19" i="14"/>
  <c r="L19" i="14"/>
  <c r="C19" i="14"/>
  <c r="C18" i="14"/>
  <c r="D16" i="14"/>
  <c r="N16" i="14" s="1"/>
  <c r="E16" i="14"/>
  <c r="F16" i="14"/>
  <c r="G16" i="14"/>
  <c r="H16" i="14"/>
  <c r="I16" i="14"/>
  <c r="J16" i="14"/>
  <c r="K16" i="14"/>
  <c r="L16" i="14"/>
  <c r="D15" i="14"/>
  <c r="E15" i="14"/>
  <c r="F15" i="14"/>
  <c r="O15" i="14" s="1"/>
  <c r="G15" i="14"/>
  <c r="H15" i="14"/>
  <c r="I15" i="14"/>
  <c r="J15" i="14"/>
  <c r="K15" i="14"/>
  <c r="L15" i="14"/>
  <c r="D13" i="14"/>
  <c r="E13" i="14"/>
  <c r="F13" i="14"/>
  <c r="G13" i="14"/>
  <c r="H13" i="14"/>
  <c r="I13" i="14"/>
  <c r="J13" i="14"/>
  <c r="K13" i="14"/>
  <c r="L13" i="14"/>
  <c r="D12" i="14"/>
  <c r="E12" i="14"/>
  <c r="F12" i="14"/>
  <c r="G12" i="14"/>
  <c r="H12" i="14"/>
  <c r="I12" i="14"/>
  <c r="J12" i="14"/>
  <c r="K12" i="14"/>
  <c r="L12" i="14"/>
  <c r="C16" i="14"/>
  <c r="C15" i="14"/>
  <c r="C13" i="14"/>
  <c r="C12" i="14"/>
  <c r="O12" i="14" s="1"/>
  <c r="E10" i="14"/>
  <c r="F10" i="14"/>
  <c r="G10" i="14"/>
  <c r="H10" i="14"/>
  <c r="I10" i="14"/>
  <c r="J10" i="14"/>
  <c r="K10" i="14"/>
  <c r="L10" i="14"/>
  <c r="D10" i="14"/>
  <c r="E9" i="14"/>
  <c r="F9" i="14"/>
  <c r="G9" i="14"/>
  <c r="H9" i="14"/>
  <c r="I9" i="14"/>
  <c r="J9" i="14"/>
  <c r="K9" i="14"/>
  <c r="L9" i="14"/>
  <c r="D9" i="14"/>
  <c r="E8" i="14"/>
  <c r="F8" i="14"/>
  <c r="G8" i="14"/>
  <c r="H8" i="14"/>
  <c r="I8" i="14"/>
  <c r="J8" i="14"/>
  <c r="K8" i="14"/>
  <c r="L8" i="14"/>
  <c r="D8" i="14"/>
  <c r="O8" i="14" s="1"/>
  <c r="E7" i="14"/>
  <c r="F7" i="14"/>
  <c r="G7" i="14"/>
  <c r="H7" i="14"/>
  <c r="N7" i="14" s="1"/>
  <c r="I7" i="14"/>
  <c r="J7" i="14"/>
  <c r="K7" i="14"/>
  <c r="L7" i="14"/>
  <c r="D7" i="14"/>
  <c r="E6" i="14"/>
  <c r="F6" i="14"/>
  <c r="G6" i="14"/>
  <c r="H6" i="14"/>
  <c r="I6" i="14"/>
  <c r="J6" i="14"/>
  <c r="K6" i="14"/>
  <c r="L6" i="14"/>
  <c r="D6" i="14"/>
  <c r="E5" i="14"/>
  <c r="F5" i="14"/>
  <c r="G5" i="14"/>
  <c r="H5" i="14"/>
  <c r="I5" i="14"/>
  <c r="J5" i="14"/>
  <c r="K5" i="14"/>
  <c r="L5" i="14"/>
  <c r="D5" i="14"/>
  <c r="B2" i="14"/>
  <c r="L34" i="14"/>
  <c r="G34" i="14"/>
  <c r="D34" i="14"/>
  <c r="E36" i="14"/>
  <c r="C36" i="14"/>
  <c r="J35" i="14"/>
  <c r="F35" i="14"/>
  <c r="J34" i="14"/>
  <c r="I34" i="14"/>
  <c r="H34" i="14"/>
  <c r="O28" i="14"/>
  <c r="C34" i="14"/>
  <c r="K25" i="14"/>
  <c r="J25" i="14"/>
  <c r="H25" i="14"/>
  <c r="G25" i="14"/>
  <c r="O13" i="14"/>
  <c r="N8" i="14"/>
  <c r="O6" i="14"/>
  <c r="N6" i="14"/>
  <c r="O5" i="14"/>
  <c r="L3" i="14"/>
  <c r="K3" i="14"/>
  <c r="J3" i="14"/>
  <c r="I3" i="14"/>
  <c r="H3" i="14"/>
  <c r="G3" i="14"/>
  <c r="F3" i="14"/>
  <c r="E3" i="14"/>
  <c r="D3" i="14"/>
  <c r="C3" i="14"/>
  <c r="O7" i="14" l="1"/>
  <c r="N29" i="14"/>
  <c r="G37" i="14"/>
  <c r="O41" i="14"/>
  <c r="O40" i="14"/>
  <c r="O39" i="14"/>
  <c r="N41" i="14"/>
  <c r="N40" i="14"/>
  <c r="N39" i="14"/>
  <c r="L37" i="14"/>
  <c r="D36" i="14"/>
  <c r="O31" i="14"/>
  <c r="N32" i="14"/>
  <c r="O32" i="14"/>
  <c r="C37" i="14"/>
  <c r="N26" i="14"/>
  <c r="D25" i="14"/>
  <c r="F25" i="14"/>
  <c r="N24" i="14"/>
  <c r="O24" i="14"/>
  <c r="C25" i="14"/>
  <c r="N22" i="14"/>
  <c r="N19" i="14"/>
  <c r="O18" i="14"/>
  <c r="N18" i="14"/>
  <c r="O16" i="14"/>
  <c r="N15" i="14"/>
  <c r="N13" i="14"/>
  <c r="N12" i="14"/>
  <c r="O10" i="14"/>
  <c r="N10" i="14"/>
  <c r="O9" i="14"/>
  <c r="N9" i="14"/>
  <c r="N5" i="14"/>
  <c r="E37" i="14"/>
  <c r="H37" i="14"/>
  <c r="K37" i="14"/>
  <c r="I37" i="14"/>
  <c r="J37" i="14"/>
  <c r="O25" i="14"/>
  <c r="D35" i="14"/>
  <c r="O29" i="14"/>
  <c r="F34" i="14"/>
  <c r="F36" i="14"/>
  <c r="N36" i="14" s="1"/>
  <c r="N23" i="14"/>
  <c r="N28" i="14"/>
  <c r="N30" i="14"/>
  <c r="O23" i="14"/>
  <c r="O36" i="14" l="1"/>
  <c r="F37" i="14"/>
  <c r="N25" i="14"/>
  <c r="O34" i="14"/>
  <c r="N34" i="14"/>
  <c r="O35" i="14"/>
  <c r="N35" i="14"/>
  <c r="D37" i="14"/>
  <c r="O37" i="14" l="1"/>
  <c r="N37" i="14"/>
  <c r="C39" i="2" l="1"/>
  <c r="C38" i="2"/>
  <c r="C35" i="2"/>
  <c r="S22" i="9"/>
  <c r="S21" i="9"/>
  <c r="S16" i="9"/>
  <c r="S15" i="9"/>
  <c r="S5" i="9" a="1"/>
  <c r="S5" i="9" s="1"/>
  <c r="T5" i="9"/>
  <c r="O22" i="9"/>
  <c r="O21" i="9"/>
  <c r="O16" i="9"/>
  <c r="O18" i="9" s="1"/>
  <c r="O17" i="9"/>
  <c r="O15" i="9"/>
  <c r="O5" i="9" a="1"/>
  <c r="O5" i="9" s="1"/>
  <c r="P5" i="9"/>
  <c r="G15" i="9"/>
  <c r="G16" i="9" s="1"/>
  <c r="G17" i="9" s="1"/>
  <c r="G5" i="9" a="1"/>
  <c r="G5" i="9" s="1"/>
  <c r="G11" i="9"/>
  <c r="G12" i="9"/>
  <c r="K5" i="9" a="1"/>
  <c r="K5" i="9" s="1"/>
  <c r="C106" i="13"/>
  <c r="D106" i="13"/>
  <c r="E106" i="13"/>
  <c r="F106" i="13"/>
  <c r="G106" i="13"/>
  <c r="H106" i="13"/>
  <c r="I106" i="13"/>
  <c r="J106" i="13"/>
  <c r="K106" i="13"/>
  <c r="L106" i="13"/>
  <c r="C107" i="13"/>
  <c r="D107" i="13"/>
  <c r="E107" i="13"/>
  <c r="F107" i="13"/>
  <c r="G107" i="13"/>
  <c r="H107" i="13"/>
  <c r="I107" i="13"/>
  <c r="J107" i="13"/>
  <c r="K107" i="13"/>
  <c r="L107" i="13"/>
  <c r="C108" i="13"/>
  <c r="D108" i="13"/>
  <c r="E108" i="13"/>
  <c r="F108" i="13"/>
  <c r="G108" i="13"/>
  <c r="H108" i="13"/>
  <c r="I108" i="13"/>
  <c r="J108" i="13"/>
  <c r="K108" i="13"/>
  <c r="L108" i="13"/>
  <c r="C109" i="13"/>
  <c r="D109" i="13"/>
  <c r="E109" i="13"/>
  <c r="F109" i="13"/>
  <c r="G109" i="13"/>
  <c r="H109" i="13"/>
  <c r="I109" i="13"/>
  <c r="J109" i="13"/>
  <c r="K109" i="13"/>
  <c r="L109" i="13"/>
  <c r="C110" i="13"/>
  <c r="D110" i="13"/>
  <c r="E110" i="13"/>
  <c r="F110" i="13"/>
  <c r="G110" i="13"/>
  <c r="H110" i="13"/>
  <c r="I110" i="13"/>
  <c r="J110" i="13"/>
  <c r="K110" i="13"/>
  <c r="L110" i="13"/>
  <c r="C111" i="13"/>
  <c r="D111" i="13"/>
  <c r="E111" i="13"/>
  <c r="F111" i="13"/>
  <c r="G111" i="13"/>
  <c r="H111" i="13"/>
  <c r="I111" i="13"/>
  <c r="J111" i="13"/>
  <c r="K111" i="13"/>
  <c r="L111" i="13"/>
  <c r="D105" i="13"/>
  <c r="E105" i="13"/>
  <c r="F105" i="13"/>
  <c r="G105" i="13"/>
  <c r="H105" i="13"/>
  <c r="I105" i="13"/>
  <c r="J105" i="13"/>
  <c r="K105" i="13"/>
  <c r="L105" i="13"/>
  <c r="C105" i="13"/>
  <c r="C93" i="13"/>
  <c r="D93" i="13"/>
  <c r="E93" i="13"/>
  <c r="F93" i="13"/>
  <c r="G93" i="13"/>
  <c r="H93" i="13"/>
  <c r="I93" i="13"/>
  <c r="J93" i="13"/>
  <c r="K93" i="13"/>
  <c r="L93" i="13"/>
  <c r="C94" i="13"/>
  <c r="D94" i="13"/>
  <c r="E94" i="13"/>
  <c r="F94" i="13"/>
  <c r="G94" i="13"/>
  <c r="H94" i="13"/>
  <c r="I94" i="13"/>
  <c r="J94" i="13"/>
  <c r="K94" i="13"/>
  <c r="L94" i="13"/>
  <c r="C95" i="13"/>
  <c r="D95" i="13"/>
  <c r="E95" i="13"/>
  <c r="F95" i="13"/>
  <c r="G95" i="13"/>
  <c r="H95" i="13"/>
  <c r="I95" i="13"/>
  <c r="J95" i="13"/>
  <c r="K95" i="13"/>
  <c r="L95" i="13"/>
  <c r="C96" i="13"/>
  <c r="D96" i="13"/>
  <c r="E96" i="13"/>
  <c r="F96" i="13"/>
  <c r="G96" i="13"/>
  <c r="H96" i="13"/>
  <c r="I96" i="13"/>
  <c r="J96" i="13"/>
  <c r="K96" i="13"/>
  <c r="L96" i="13"/>
  <c r="C97" i="13"/>
  <c r="D97" i="13"/>
  <c r="E97" i="13"/>
  <c r="F97" i="13"/>
  <c r="G97" i="13"/>
  <c r="H97" i="13"/>
  <c r="I97" i="13"/>
  <c r="J97" i="13"/>
  <c r="K97" i="13"/>
  <c r="L97" i="13"/>
  <c r="C98" i="13"/>
  <c r="D98" i="13"/>
  <c r="E98" i="13"/>
  <c r="F98" i="13"/>
  <c r="G98" i="13"/>
  <c r="H98" i="13"/>
  <c r="I98" i="13"/>
  <c r="J98" i="13"/>
  <c r="K98" i="13"/>
  <c r="L98" i="13"/>
  <c r="C99" i="13"/>
  <c r="D99" i="13"/>
  <c r="E99" i="13"/>
  <c r="F99" i="13"/>
  <c r="G99" i="13"/>
  <c r="H99" i="13"/>
  <c r="I99" i="13"/>
  <c r="J99" i="13"/>
  <c r="K99" i="13"/>
  <c r="L99" i="13"/>
  <c r="C100" i="13"/>
  <c r="D100" i="13"/>
  <c r="E100" i="13"/>
  <c r="F100" i="13"/>
  <c r="G100" i="13"/>
  <c r="H100" i="13"/>
  <c r="I100" i="13"/>
  <c r="J100" i="13"/>
  <c r="K100" i="13"/>
  <c r="L100" i="13"/>
  <c r="C101" i="13"/>
  <c r="D101" i="13"/>
  <c r="E101" i="13"/>
  <c r="F101" i="13"/>
  <c r="G101" i="13"/>
  <c r="H101" i="13"/>
  <c r="I101" i="13"/>
  <c r="J101" i="13"/>
  <c r="K101" i="13"/>
  <c r="L101" i="13"/>
  <c r="D92" i="13"/>
  <c r="E92" i="13"/>
  <c r="F92" i="13"/>
  <c r="G92" i="13"/>
  <c r="H92" i="13"/>
  <c r="I92" i="13"/>
  <c r="J92" i="13"/>
  <c r="K92" i="13"/>
  <c r="L92" i="13"/>
  <c r="C92" i="13"/>
  <c r="C83" i="13"/>
  <c r="D83" i="13"/>
  <c r="E83" i="13"/>
  <c r="F83" i="13"/>
  <c r="G83" i="13"/>
  <c r="H83" i="13"/>
  <c r="I83" i="13"/>
  <c r="J83" i="13"/>
  <c r="K83" i="13"/>
  <c r="L83" i="13"/>
  <c r="C84" i="13"/>
  <c r="D84" i="13"/>
  <c r="E84" i="13"/>
  <c r="F84" i="13"/>
  <c r="G84" i="13"/>
  <c r="H84" i="13"/>
  <c r="I84" i="13"/>
  <c r="J84" i="13"/>
  <c r="K84" i="13"/>
  <c r="L84" i="13"/>
  <c r="C85" i="13"/>
  <c r="D85" i="13"/>
  <c r="E85" i="13"/>
  <c r="F85" i="13"/>
  <c r="G85" i="13"/>
  <c r="H85" i="13"/>
  <c r="I85" i="13"/>
  <c r="J85" i="13"/>
  <c r="K85" i="13"/>
  <c r="L85" i="13"/>
  <c r="C86" i="13"/>
  <c r="D86" i="13"/>
  <c r="E86" i="13"/>
  <c r="F86" i="13"/>
  <c r="G86" i="13"/>
  <c r="H86" i="13"/>
  <c r="I86" i="13"/>
  <c r="J86" i="13"/>
  <c r="K86" i="13"/>
  <c r="L86" i="13"/>
  <c r="C87" i="13"/>
  <c r="D87" i="13"/>
  <c r="E87" i="13"/>
  <c r="F87" i="13"/>
  <c r="G87" i="13"/>
  <c r="H87" i="13"/>
  <c r="I87" i="13"/>
  <c r="J87" i="13"/>
  <c r="K87" i="13"/>
  <c r="L87" i="13"/>
  <c r="C88" i="13"/>
  <c r="D88" i="13"/>
  <c r="E88" i="13"/>
  <c r="F88" i="13"/>
  <c r="G88" i="13"/>
  <c r="H88" i="13"/>
  <c r="I88" i="13"/>
  <c r="J88" i="13"/>
  <c r="K88" i="13"/>
  <c r="L88" i="13"/>
  <c r="D82" i="13"/>
  <c r="E82" i="13"/>
  <c r="F82" i="13"/>
  <c r="G82" i="13"/>
  <c r="H82" i="13"/>
  <c r="I82" i="13"/>
  <c r="J82" i="13"/>
  <c r="K82" i="13"/>
  <c r="L82" i="13"/>
  <c r="C82" i="13"/>
  <c r="C74" i="13"/>
  <c r="D74" i="13"/>
  <c r="E74" i="13"/>
  <c r="F74" i="13"/>
  <c r="G74" i="13"/>
  <c r="H74" i="13"/>
  <c r="I74" i="13"/>
  <c r="J74" i="13"/>
  <c r="K74" i="13"/>
  <c r="L74" i="13"/>
  <c r="C75" i="13"/>
  <c r="D75" i="13"/>
  <c r="E75" i="13"/>
  <c r="F75" i="13"/>
  <c r="G75" i="13"/>
  <c r="H75" i="13"/>
  <c r="I75" i="13"/>
  <c r="J75" i="13"/>
  <c r="K75" i="13"/>
  <c r="L75" i="13"/>
  <c r="D73" i="13"/>
  <c r="E73" i="13"/>
  <c r="E77" i="13" s="1"/>
  <c r="F73" i="13"/>
  <c r="G73" i="13"/>
  <c r="H73" i="13"/>
  <c r="I73" i="13"/>
  <c r="J73" i="13"/>
  <c r="K73" i="13"/>
  <c r="L73" i="13"/>
  <c r="C73" i="13"/>
  <c r="C63" i="13"/>
  <c r="D63" i="13"/>
  <c r="E63" i="13"/>
  <c r="F63" i="13"/>
  <c r="G63" i="13"/>
  <c r="H63" i="13"/>
  <c r="I63" i="13"/>
  <c r="J63" i="13"/>
  <c r="K63" i="13"/>
  <c r="L63" i="13"/>
  <c r="C64" i="13"/>
  <c r="D64" i="13"/>
  <c r="E64" i="13"/>
  <c r="F64" i="13"/>
  <c r="G64" i="13"/>
  <c r="H64" i="13"/>
  <c r="I64" i="13"/>
  <c r="J64" i="13"/>
  <c r="K64" i="13"/>
  <c r="L64" i="13"/>
  <c r="D62" i="13"/>
  <c r="E62" i="13"/>
  <c r="F62" i="13"/>
  <c r="G62" i="13"/>
  <c r="H62" i="13"/>
  <c r="I62" i="13"/>
  <c r="J62" i="13"/>
  <c r="K62" i="13"/>
  <c r="L62" i="13"/>
  <c r="C62" i="13"/>
  <c r="C65" i="13" s="1"/>
  <c r="D59" i="13"/>
  <c r="E59" i="13"/>
  <c r="F59" i="13"/>
  <c r="G59" i="13"/>
  <c r="H59" i="13"/>
  <c r="I59" i="13"/>
  <c r="J59" i="13"/>
  <c r="K59" i="13"/>
  <c r="L59" i="13"/>
  <c r="C59" i="13"/>
  <c r="C57" i="13"/>
  <c r="D57" i="13"/>
  <c r="E57" i="13"/>
  <c r="F57" i="13"/>
  <c r="G57" i="13"/>
  <c r="H57" i="13"/>
  <c r="I57" i="13"/>
  <c r="J57" i="13"/>
  <c r="K57" i="13"/>
  <c r="L57" i="13"/>
  <c r="C58" i="13"/>
  <c r="D58" i="13"/>
  <c r="E58" i="13"/>
  <c r="F58" i="13"/>
  <c r="G58" i="13"/>
  <c r="H58" i="13"/>
  <c r="I58" i="13"/>
  <c r="J58" i="13"/>
  <c r="K58" i="13"/>
  <c r="L58" i="13"/>
  <c r="D56" i="13"/>
  <c r="E56" i="13"/>
  <c r="F56" i="13"/>
  <c r="G56" i="13"/>
  <c r="H56" i="13"/>
  <c r="I56" i="13"/>
  <c r="J56" i="13"/>
  <c r="K56" i="13"/>
  <c r="L56" i="13"/>
  <c r="C56" i="13"/>
  <c r="C51" i="13"/>
  <c r="D51" i="13"/>
  <c r="E51" i="13"/>
  <c r="F51" i="13"/>
  <c r="G51" i="13"/>
  <c r="H51" i="13"/>
  <c r="I51" i="13"/>
  <c r="J51" i="13"/>
  <c r="K51" i="13"/>
  <c r="L51" i="13"/>
  <c r="C52" i="13"/>
  <c r="D52" i="13"/>
  <c r="E52" i="13"/>
  <c r="F52" i="13"/>
  <c r="G52" i="13"/>
  <c r="H52" i="13"/>
  <c r="I52" i="13"/>
  <c r="J52" i="13"/>
  <c r="K52" i="13"/>
  <c r="L52" i="13"/>
  <c r="C53" i="13"/>
  <c r="D53" i="13"/>
  <c r="E53" i="13"/>
  <c r="F53" i="13"/>
  <c r="G53" i="13"/>
  <c r="H53" i="13"/>
  <c r="I53" i="13"/>
  <c r="J53" i="13"/>
  <c r="K53" i="13"/>
  <c r="L53" i="13"/>
  <c r="D50" i="13"/>
  <c r="E50" i="13"/>
  <c r="F50" i="13"/>
  <c r="G50" i="13"/>
  <c r="H50" i="13"/>
  <c r="I50" i="13"/>
  <c r="J50" i="13"/>
  <c r="K50" i="13"/>
  <c r="L50" i="13"/>
  <c r="C50" i="13"/>
  <c r="D39" i="13"/>
  <c r="D44" i="13" s="1"/>
  <c r="E39" i="13"/>
  <c r="E44" i="13" s="1"/>
  <c r="F39" i="13"/>
  <c r="F44" i="13" s="1"/>
  <c r="G39" i="13"/>
  <c r="G44" i="13" s="1"/>
  <c r="H39" i="13"/>
  <c r="H44" i="13" s="1"/>
  <c r="I39" i="13"/>
  <c r="I44" i="13" s="1"/>
  <c r="J39" i="13"/>
  <c r="J44" i="13" s="1"/>
  <c r="K39" i="13"/>
  <c r="K44" i="13" s="1"/>
  <c r="L39" i="13"/>
  <c r="L44" i="13" s="1"/>
  <c r="C39" i="13"/>
  <c r="C44" i="13" s="1"/>
  <c r="D33" i="13"/>
  <c r="E33" i="13"/>
  <c r="F33" i="13"/>
  <c r="G33" i="13"/>
  <c r="H33" i="13"/>
  <c r="I33" i="13"/>
  <c r="J33" i="13"/>
  <c r="K33" i="13"/>
  <c r="L33" i="13"/>
  <c r="C33" i="13"/>
  <c r="D24" i="13"/>
  <c r="E24" i="13"/>
  <c r="F24" i="13"/>
  <c r="G24" i="13"/>
  <c r="H24" i="13"/>
  <c r="I24" i="13"/>
  <c r="J24" i="13"/>
  <c r="K24" i="13"/>
  <c r="L24" i="13"/>
  <c r="D21" i="13"/>
  <c r="E21" i="13"/>
  <c r="F21" i="13"/>
  <c r="F22" i="13" s="1"/>
  <c r="G21" i="13"/>
  <c r="H21" i="13"/>
  <c r="I21" i="13"/>
  <c r="J21" i="13"/>
  <c r="K21" i="13"/>
  <c r="L21" i="13"/>
  <c r="L22" i="13" s="1"/>
  <c r="C24" i="13"/>
  <c r="C21" i="13"/>
  <c r="D15" i="13"/>
  <c r="D16" i="13" s="1"/>
  <c r="E15" i="13"/>
  <c r="E16" i="13" s="1"/>
  <c r="F15" i="13"/>
  <c r="G15" i="13"/>
  <c r="H15" i="13"/>
  <c r="I15" i="13"/>
  <c r="J15" i="13"/>
  <c r="K15" i="13"/>
  <c r="L15" i="13"/>
  <c r="L16" i="13" s="1"/>
  <c r="C15" i="13"/>
  <c r="C16" i="13" s="1"/>
  <c r="D9" i="13"/>
  <c r="E9" i="13"/>
  <c r="F9" i="13"/>
  <c r="G9" i="13"/>
  <c r="H9" i="13"/>
  <c r="I9" i="13"/>
  <c r="J9" i="13"/>
  <c r="K9" i="13"/>
  <c r="L9" i="13"/>
  <c r="C9" i="13"/>
  <c r="D6" i="13"/>
  <c r="E6" i="13"/>
  <c r="F6" i="13"/>
  <c r="F12" i="13" s="1"/>
  <c r="G6" i="13"/>
  <c r="G12" i="13" s="1"/>
  <c r="H6" i="13"/>
  <c r="H12" i="13" s="1"/>
  <c r="H13" i="13" s="1"/>
  <c r="I6" i="13"/>
  <c r="I12" i="13" s="1"/>
  <c r="J6" i="13"/>
  <c r="K6" i="13"/>
  <c r="L6" i="13"/>
  <c r="C6" i="13"/>
  <c r="C12" i="13" s="1"/>
  <c r="C13" i="13" s="1"/>
  <c r="B2" i="13"/>
  <c r="L25" i="13"/>
  <c r="E25" i="13"/>
  <c r="D25" i="13"/>
  <c r="C22" i="13"/>
  <c r="E7" i="13"/>
  <c r="D7" i="13"/>
  <c r="L3" i="13"/>
  <c r="K3" i="13"/>
  <c r="J3" i="13"/>
  <c r="I3" i="13"/>
  <c r="H3" i="13"/>
  <c r="G3" i="13"/>
  <c r="F3" i="13"/>
  <c r="E3" i="13"/>
  <c r="D3" i="13"/>
  <c r="C3" i="13"/>
  <c r="S19" i="9" l="1"/>
  <c r="S17" i="9"/>
  <c r="S18" i="9" s="1"/>
  <c r="S10" i="9"/>
  <c r="S9" i="9"/>
  <c r="S8" i="9"/>
  <c r="S12" i="9"/>
  <c r="T13" i="9" s="1"/>
  <c r="S7" i="9"/>
  <c r="S11" i="9"/>
  <c r="T11" i="9" s="1"/>
  <c r="S14" i="9"/>
  <c r="S6" i="9"/>
  <c r="T7" i="9" s="1"/>
  <c r="S13" i="9"/>
  <c r="T8" i="9"/>
  <c r="O19" i="9"/>
  <c r="O11" i="9"/>
  <c r="O10" i="9"/>
  <c r="O8" i="9"/>
  <c r="O12" i="9"/>
  <c r="P13" i="9" s="1"/>
  <c r="O9" i="9"/>
  <c r="O7" i="9"/>
  <c r="O14" i="9"/>
  <c r="P14" i="9" s="1"/>
  <c r="O6" i="9"/>
  <c r="P6" i="9" s="1"/>
  <c r="O13" i="9"/>
  <c r="P11" i="9"/>
  <c r="P8" i="9"/>
  <c r="P10" i="9"/>
  <c r="G18" i="9"/>
  <c r="G19" i="9" s="1"/>
  <c r="G9" i="9"/>
  <c r="G8" i="9"/>
  <c r="G7" i="9"/>
  <c r="G14" i="9"/>
  <c r="G6" i="9"/>
  <c r="G10" i="9"/>
  <c r="G13" i="9"/>
  <c r="K11" i="9"/>
  <c r="K10" i="9"/>
  <c r="K9" i="9"/>
  <c r="K8" i="9"/>
  <c r="K7" i="9"/>
  <c r="K14" i="9"/>
  <c r="K6" i="9"/>
  <c r="K12" i="9"/>
  <c r="K13" i="9"/>
  <c r="E65" i="13"/>
  <c r="C10" i="13"/>
  <c r="H65" i="13"/>
  <c r="H67" i="13" s="1"/>
  <c r="I77" i="13"/>
  <c r="G25" i="13"/>
  <c r="C77" i="13"/>
  <c r="E102" i="13"/>
  <c r="K102" i="13"/>
  <c r="I102" i="13"/>
  <c r="H10" i="13"/>
  <c r="C25" i="13"/>
  <c r="E22" i="13"/>
  <c r="F25" i="13"/>
  <c r="L77" i="13"/>
  <c r="D77" i="13"/>
  <c r="J77" i="13"/>
  <c r="G102" i="13"/>
  <c r="C102" i="13"/>
  <c r="D22" i="13"/>
  <c r="K77" i="13"/>
  <c r="H112" i="13"/>
  <c r="J10" i="13"/>
  <c r="J7" i="13"/>
  <c r="H102" i="13"/>
  <c r="D102" i="13"/>
  <c r="J102" i="13"/>
  <c r="J112" i="13"/>
  <c r="J65" i="13"/>
  <c r="I65" i="13"/>
  <c r="E89" i="13"/>
  <c r="F7" i="13"/>
  <c r="L112" i="13"/>
  <c r="I16" i="13"/>
  <c r="F65" i="13"/>
  <c r="F89" i="13"/>
  <c r="F10" i="13"/>
  <c r="E112" i="13"/>
  <c r="G65" i="13"/>
  <c r="I7" i="13"/>
  <c r="F102" i="13"/>
  <c r="L102" i="13"/>
  <c r="G60" i="13"/>
  <c r="G89" i="13"/>
  <c r="G114" i="13" s="1"/>
  <c r="F16" i="13"/>
  <c r="D112" i="13"/>
  <c r="G10" i="13"/>
  <c r="F112" i="13"/>
  <c r="K12" i="13"/>
  <c r="K13" i="13" s="1"/>
  <c r="E10" i="13"/>
  <c r="G112" i="13"/>
  <c r="J12" i="13"/>
  <c r="J13" i="13" s="1"/>
  <c r="I22" i="13"/>
  <c r="J89" i="13"/>
  <c r="I89" i="13"/>
  <c r="H89" i="13"/>
  <c r="G77" i="13"/>
  <c r="H77" i="13"/>
  <c r="F77" i="13"/>
  <c r="K65" i="13"/>
  <c r="H60" i="13"/>
  <c r="J54" i="13"/>
  <c r="I54" i="13"/>
  <c r="I13" i="13"/>
  <c r="I18" i="13"/>
  <c r="I30" i="13" s="1"/>
  <c r="I34" i="13" s="1"/>
  <c r="F18" i="13"/>
  <c r="F19" i="13" s="1"/>
  <c r="F13" i="13"/>
  <c r="G18" i="13"/>
  <c r="G19" i="13" s="1"/>
  <c r="G13" i="13"/>
  <c r="K7" i="13"/>
  <c r="K10" i="13"/>
  <c r="L7" i="13"/>
  <c r="I10" i="13"/>
  <c r="H25" i="13"/>
  <c r="J16" i="13"/>
  <c r="J22" i="13"/>
  <c r="I25" i="13"/>
  <c r="K16" i="13"/>
  <c r="K22" i="13"/>
  <c r="J25" i="13"/>
  <c r="H22" i="13"/>
  <c r="K25" i="13"/>
  <c r="E54" i="13"/>
  <c r="K60" i="13"/>
  <c r="I112" i="13"/>
  <c r="F54" i="13"/>
  <c r="D60" i="13"/>
  <c r="L60" i="13"/>
  <c r="K54" i="13"/>
  <c r="I60" i="13"/>
  <c r="E12" i="13"/>
  <c r="L54" i="13"/>
  <c r="C60" i="13"/>
  <c r="C67" i="13" s="1"/>
  <c r="H7" i="13"/>
  <c r="G16" i="13"/>
  <c r="G54" i="13"/>
  <c r="E60" i="13"/>
  <c r="E67" i="13" s="1"/>
  <c r="C89" i="13"/>
  <c r="K89" i="13"/>
  <c r="C112" i="13"/>
  <c r="K112" i="13"/>
  <c r="C54" i="13"/>
  <c r="D54" i="13"/>
  <c r="J60" i="13"/>
  <c r="G7" i="13"/>
  <c r="D10" i="13"/>
  <c r="D12" i="13"/>
  <c r="L12" i="13"/>
  <c r="L10" i="13"/>
  <c r="H16" i="13"/>
  <c r="H18" i="13"/>
  <c r="G22" i="13"/>
  <c r="H54" i="13"/>
  <c r="F60" i="13"/>
  <c r="D65" i="13"/>
  <c r="L65" i="13"/>
  <c r="D89" i="13"/>
  <c r="L89" i="13"/>
  <c r="C18" i="13"/>
  <c r="T14" i="9" l="1"/>
  <c r="T12" i="9"/>
  <c r="T6" i="9"/>
  <c r="T15" i="9"/>
  <c r="T9" i="9"/>
  <c r="T10" i="9"/>
  <c r="P7" i="9"/>
  <c r="P12" i="9"/>
  <c r="P15" i="9"/>
  <c r="P9" i="9"/>
  <c r="I36" i="13"/>
  <c r="F114" i="13"/>
  <c r="K18" i="13"/>
  <c r="G67" i="13"/>
  <c r="G69" i="13" s="1"/>
  <c r="E114" i="13"/>
  <c r="H114" i="13"/>
  <c r="J114" i="13"/>
  <c r="L114" i="13"/>
  <c r="D114" i="13"/>
  <c r="F67" i="13"/>
  <c r="F69" i="13" s="1"/>
  <c r="I114" i="13"/>
  <c r="J18" i="13"/>
  <c r="J67" i="13"/>
  <c r="J69" i="13" s="1"/>
  <c r="F30" i="13"/>
  <c r="F36" i="13" s="1"/>
  <c r="I27" i="13"/>
  <c r="I28" i="13" s="1"/>
  <c r="I14" i="14" s="1"/>
  <c r="I20" i="14" s="1"/>
  <c r="I67" i="13"/>
  <c r="I69" i="13" s="1"/>
  <c r="K67" i="13"/>
  <c r="K69" i="13" s="1"/>
  <c r="L67" i="13"/>
  <c r="L69" i="13" s="1"/>
  <c r="D67" i="13"/>
  <c r="D69" i="13" s="1"/>
  <c r="C69" i="13"/>
  <c r="H69" i="13"/>
  <c r="I19" i="13"/>
  <c r="I31" i="13"/>
  <c r="F27" i="13"/>
  <c r="F28" i="13" s="1"/>
  <c r="F14" i="14" s="1"/>
  <c r="F20" i="14" s="1"/>
  <c r="G27" i="13"/>
  <c r="G28" i="13" s="1"/>
  <c r="G14" i="14" s="1"/>
  <c r="G20" i="14" s="1"/>
  <c r="G30" i="13"/>
  <c r="G34" i="13" s="1"/>
  <c r="E69" i="13"/>
  <c r="L18" i="13"/>
  <c r="L13" i="13"/>
  <c r="K114" i="13"/>
  <c r="I41" i="13"/>
  <c r="I37" i="13"/>
  <c r="C27" i="13"/>
  <c r="C28" i="13" s="1"/>
  <c r="C14" i="14" s="1"/>
  <c r="C30" i="13"/>
  <c r="C19" i="13"/>
  <c r="D13" i="13"/>
  <c r="D18" i="13"/>
  <c r="E13" i="13"/>
  <c r="E18" i="13"/>
  <c r="H27" i="13"/>
  <c r="H28" i="13" s="1"/>
  <c r="H14" i="14" s="1"/>
  <c r="H20" i="14" s="1"/>
  <c r="H19" i="13"/>
  <c r="H30" i="13"/>
  <c r="C114" i="13"/>
  <c r="C20" i="14" l="1"/>
  <c r="T16" i="9"/>
  <c r="P16" i="9"/>
  <c r="F31" i="13"/>
  <c r="F34" i="13"/>
  <c r="K27" i="13"/>
  <c r="K28" i="13" s="1"/>
  <c r="K14" i="14" s="1"/>
  <c r="K20" i="14" s="1"/>
  <c r="K30" i="13"/>
  <c r="K19" i="13"/>
  <c r="J30" i="13"/>
  <c r="J27" i="13"/>
  <c r="J28" i="13" s="1"/>
  <c r="J14" i="14" s="1"/>
  <c r="J20" i="14" s="1"/>
  <c r="J19" i="13"/>
  <c r="G31" i="13"/>
  <c r="G36" i="13"/>
  <c r="G41" i="13" s="1"/>
  <c r="H31" i="13"/>
  <c r="H36" i="13"/>
  <c r="H34" i="13"/>
  <c r="I45" i="13"/>
  <c r="I47" i="13" s="1"/>
  <c r="D19" i="13"/>
  <c r="D30" i="13"/>
  <c r="D27" i="13"/>
  <c r="D28" i="13" s="1"/>
  <c r="D14" i="14" s="1"/>
  <c r="D20" i="14" s="1"/>
  <c r="F41" i="13"/>
  <c r="F37" i="13"/>
  <c r="C31" i="13"/>
  <c r="C36" i="13"/>
  <c r="C34" i="13"/>
  <c r="E19" i="13"/>
  <c r="E30" i="13"/>
  <c r="E27" i="13"/>
  <c r="E28" i="13" s="1"/>
  <c r="E14" i="14" s="1"/>
  <c r="L30" i="13"/>
  <c r="L19" i="13"/>
  <c r="L27" i="13"/>
  <c r="L28" i="13" s="1"/>
  <c r="L14" i="14" s="1"/>
  <c r="L20" i="14" s="1"/>
  <c r="O20" i="14" l="1"/>
  <c r="N14" i="14"/>
  <c r="E20" i="14"/>
  <c r="N20" i="14" s="1"/>
  <c r="O14" i="14"/>
  <c r="T17" i="9"/>
  <c r="P17" i="9"/>
  <c r="K36" i="13"/>
  <c r="K31" i="13"/>
  <c r="K34" i="13"/>
  <c r="J36" i="13"/>
  <c r="J31" i="13"/>
  <c r="J34" i="13"/>
  <c r="G37" i="13"/>
  <c r="C37" i="13"/>
  <c r="C41" i="13"/>
  <c r="G42" i="13"/>
  <c r="G45" i="13"/>
  <c r="G47" i="13" s="1"/>
  <c r="L31" i="13"/>
  <c r="L36" i="13"/>
  <c r="L34" i="13"/>
  <c r="E31" i="13"/>
  <c r="E36" i="13"/>
  <c r="E34" i="13"/>
  <c r="F45" i="13"/>
  <c r="F47" i="13" s="1"/>
  <c r="D36" i="13"/>
  <c r="D31" i="13"/>
  <c r="D34" i="13"/>
  <c r="H41" i="13"/>
  <c r="H37" i="13"/>
  <c r="T18" i="9" l="1"/>
  <c r="T19" i="9"/>
  <c r="P18" i="9"/>
  <c r="K37" i="13"/>
  <c r="K41" i="13"/>
  <c r="K45" i="13" s="1"/>
  <c r="K47" i="13" s="1"/>
  <c r="J37" i="13"/>
  <c r="J41" i="13"/>
  <c r="H42" i="13"/>
  <c r="H45" i="13"/>
  <c r="H47" i="13" s="1"/>
  <c r="I42" i="13"/>
  <c r="L37" i="13"/>
  <c r="L41" i="13"/>
  <c r="E37" i="13"/>
  <c r="E41" i="13"/>
  <c r="D37" i="13"/>
  <c r="D41" i="13"/>
  <c r="C45" i="13"/>
  <c r="C47" i="13" s="1"/>
  <c r="P19" i="9" l="1"/>
  <c r="J45" i="13"/>
  <c r="J47" i="13" s="1"/>
  <c r="K42" i="13"/>
  <c r="J42" i="13"/>
  <c r="E42" i="13"/>
  <c r="E45" i="13"/>
  <c r="E47" i="13" s="1"/>
  <c r="F42" i="13"/>
  <c r="L42" i="13"/>
  <c r="L45" i="13"/>
  <c r="L47" i="13" s="1"/>
  <c r="D42" i="13"/>
  <c r="D45" i="13"/>
  <c r="D47" i="13" s="1"/>
  <c r="H5" i="9" l="1"/>
  <c r="C22" i="9"/>
  <c r="C21" i="9"/>
  <c r="C17" i="9"/>
  <c r="C18" i="9"/>
  <c r="C19" i="9"/>
  <c r="C16" i="9"/>
  <c r="C15" i="9"/>
  <c r="H6" i="9" l="1"/>
  <c r="H14" i="9"/>
  <c r="H7" i="9"/>
  <c r="H11" i="9"/>
  <c r="H12" i="9"/>
  <c r="H9" i="9"/>
  <c r="K15" i="9"/>
  <c r="L5" i="9"/>
  <c r="D5" i="9"/>
  <c r="C5" i="9" a="1"/>
  <c r="C5" i="9" s="1"/>
  <c r="L15" i="9" l="1"/>
  <c r="K17" i="9"/>
  <c r="K16" i="9"/>
  <c r="H13" i="9"/>
  <c r="H8" i="9"/>
  <c r="H10" i="9"/>
  <c r="L11" i="9"/>
  <c r="L7" i="9"/>
  <c r="L12" i="9"/>
  <c r="L6" i="9"/>
  <c r="L13" i="9"/>
  <c r="D6" i="9"/>
  <c r="D14" i="9"/>
  <c r="D7" i="9"/>
  <c r="L17" i="9" l="1"/>
  <c r="L16" i="9"/>
  <c r="K18" i="9"/>
  <c r="L10" i="9"/>
  <c r="L14" i="9"/>
  <c r="L9" i="9"/>
  <c r="L8" i="9"/>
  <c r="H15" i="9" s="1"/>
  <c r="D8" i="9"/>
  <c r="D9" i="9"/>
  <c r="D10" i="9"/>
  <c r="D11" i="9"/>
  <c r="D12" i="9"/>
  <c r="D13" i="9"/>
  <c r="D15" i="9"/>
  <c r="H16" i="9" l="1"/>
  <c r="K19" i="9"/>
  <c r="L19" i="9" s="1"/>
  <c r="L18" i="9"/>
  <c r="D16" i="9"/>
  <c r="D17" i="9"/>
  <c r="D18" i="9"/>
  <c r="D19" i="9"/>
  <c r="K22" i="9" l="1"/>
  <c r="K21" i="9"/>
  <c r="C37" i="2" s="1"/>
  <c r="H17" i="9"/>
  <c r="H19" i="9"/>
  <c r="H18" i="9" l="1"/>
  <c r="G21" i="9" s="1"/>
  <c r="C36" i="2" s="1"/>
  <c r="D12" i="7"/>
  <c r="E12" i="7"/>
  <c r="D11" i="7"/>
  <c r="E11" i="7"/>
  <c r="C12" i="7"/>
  <c r="C11" i="7"/>
  <c r="D8" i="7"/>
  <c r="E8" i="7"/>
  <c r="D7" i="7"/>
  <c r="E7" i="7"/>
  <c r="C7" i="7"/>
  <c r="C8" i="7"/>
  <c r="B8" i="7"/>
  <c r="B7" i="7"/>
  <c r="B5" i="7"/>
  <c r="B6" i="7"/>
  <c r="C5" i="7"/>
  <c r="D5" i="7"/>
  <c r="E5" i="7"/>
  <c r="D6" i="7"/>
  <c r="E6" i="7"/>
  <c r="C6" i="7"/>
  <c r="D29" i="12"/>
  <c r="E29" i="12"/>
  <c r="F29" i="12"/>
  <c r="G29" i="12"/>
  <c r="H29" i="12"/>
  <c r="I29" i="12"/>
  <c r="J29" i="12"/>
  <c r="K29" i="12"/>
  <c r="L29" i="12"/>
  <c r="M29" i="12"/>
  <c r="N29" i="12"/>
  <c r="C29" i="12"/>
  <c r="C3" i="7"/>
  <c r="C20" i="7" s="1"/>
  <c r="C27" i="2"/>
  <c r="D27" i="2"/>
  <c r="E27" i="2"/>
  <c r="B1" i="11"/>
  <c r="D2" i="1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F26" i="2"/>
  <c r="G26" i="2"/>
  <c r="D18" i="2"/>
  <c r="D26" i="2" s="1"/>
  <c r="E18" i="2"/>
  <c r="F18" i="2" s="1"/>
  <c r="G18" i="2" s="1"/>
  <c r="H18" i="2" s="1"/>
  <c r="I18" i="2" s="1"/>
  <c r="J18" i="2" s="1"/>
  <c r="J26" i="2" s="1"/>
  <c r="C18" i="2"/>
  <c r="C26" i="2" s="1"/>
  <c r="D17" i="2"/>
  <c r="E17" i="2"/>
  <c r="F17" i="2" s="1"/>
  <c r="G17" i="2" s="1"/>
  <c r="H17" i="2" s="1"/>
  <c r="I17" i="2" s="1"/>
  <c r="J17" i="2" s="1"/>
  <c r="C17" i="2"/>
  <c r="B18" i="2"/>
  <c r="B17" i="2"/>
  <c r="D14" i="2"/>
  <c r="E14" i="2"/>
  <c r="F14" i="2" s="1"/>
  <c r="G14" i="2" s="1"/>
  <c r="H14" i="2" s="1"/>
  <c r="I14" i="2" s="1"/>
  <c r="J14" i="2" s="1"/>
  <c r="C14" i="2"/>
  <c r="B10" i="2"/>
  <c r="D11" i="2"/>
  <c r="E11" i="2"/>
  <c r="F11" i="2" s="1"/>
  <c r="G11" i="2" s="1"/>
  <c r="H11" i="2" s="1"/>
  <c r="I11" i="2" s="1"/>
  <c r="J11" i="2" s="1"/>
  <c r="C11" i="2"/>
  <c r="D10" i="2"/>
  <c r="E10" i="2"/>
  <c r="F10" i="2" s="1"/>
  <c r="G10" i="2" s="1"/>
  <c r="H10" i="2" s="1"/>
  <c r="I10" i="2" s="1"/>
  <c r="J10" i="2" s="1"/>
  <c r="C10" i="2"/>
  <c r="D8" i="2"/>
  <c r="D3" i="7" s="1"/>
  <c r="E8" i="2"/>
  <c r="F8" i="2" s="1"/>
  <c r="G8" i="2" s="1"/>
  <c r="C8" i="2"/>
  <c r="B6" i="10"/>
  <c r="E1" i="10"/>
  <c r="F3" i="7" l="1"/>
  <c r="H8" i="2"/>
  <c r="G3" i="7"/>
  <c r="G20" i="7" s="1"/>
  <c r="E26" i="2"/>
  <c r="I26" i="2"/>
  <c r="E3" i="7"/>
  <c r="H26" i="2"/>
  <c r="G22" i="9"/>
  <c r="E13" i="2"/>
  <c r="E16" i="2" s="1"/>
  <c r="D13" i="2"/>
  <c r="D16" i="2" s="1"/>
  <c r="C13" i="2"/>
  <c r="C16" i="2" s="1"/>
  <c r="I8" i="2" l="1"/>
  <c r="H3" i="7"/>
  <c r="H20" i="7" s="1"/>
  <c r="C20" i="2"/>
  <c r="C25" i="2" s="1"/>
  <c r="C22" i="2"/>
  <c r="D20" i="2"/>
  <c r="D25" i="2" s="1"/>
  <c r="D22" i="2"/>
  <c r="E20" i="2"/>
  <c r="E25" i="2" s="1"/>
  <c r="E22" i="2"/>
  <c r="J8" i="2" l="1"/>
  <c r="J3" i="7" s="1"/>
  <c r="J20" i="7" s="1"/>
  <c r="I3" i="7"/>
  <c r="I20" i="7" s="1"/>
  <c r="B12" i="6"/>
  <c r="D20" i="7"/>
  <c r="E20" i="7"/>
  <c r="F20" i="7"/>
  <c r="B20" i="7"/>
  <c r="C8" i="3"/>
  <c r="C18" i="3" s="1"/>
  <c r="C14" i="3"/>
  <c r="C19" i="3" l="1"/>
  <c r="C17" i="3"/>
  <c r="C21" i="3" l="1"/>
  <c r="C13" i="5" s="1"/>
  <c r="D13" i="7"/>
  <c r="D15" i="7" s="1"/>
  <c r="E13" i="7"/>
  <c r="E15" i="7" s="1"/>
  <c r="C13" i="7"/>
  <c r="C15" i="7" s="1"/>
  <c r="D22" i="7"/>
  <c r="E22" i="7"/>
  <c r="C22" i="7"/>
  <c r="D7" i="6"/>
  <c r="E7" i="6"/>
  <c r="C7" i="6"/>
  <c r="D21" i="7"/>
  <c r="D23" i="7" s="1"/>
  <c r="E21" i="7"/>
  <c r="E23" i="7" s="1"/>
  <c r="C21" i="7"/>
  <c r="C23" i="7" s="1"/>
  <c r="E24" i="7" l="1"/>
  <c r="E25" i="7"/>
  <c r="D24" i="7"/>
  <c r="D25" i="7"/>
  <c r="C24" i="7"/>
  <c r="C25" i="7"/>
  <c r="C27" i="7"/>
  <c r="C26" i="7"/>
  <c r="E27" i="7"/>
  <c r="E26" i="7"/>
  <c r="D27" i="7"/>
  <c r="D26" i="7"/>
  <c r="E17" i="7"/>
  <c r="D17" i="7"/>
  <c r="D30" i="2" s="1"/>
  <c r="C28" i="7"/>
  <c r="E28" i="7"/>
  <c r="D28" i="7"/>
  <c r="F28" i="7" l="1"/>
  <c r="G28" i="7" s="1"/>
  <c r="H28" i="7" s="1"/>
  <c r="I28" i="7" s="1"/>
  <c r="F27" i="7"/>
  <c r="F26" i="7"/>
  <c r="G26" i="7" s="1"/>
  <c r="E28" i="2"/>
  <c r="E30" i="2" s="1"/>
  <c r="F22" i="7"/>
  <c r="G27" i="7" l="1"/>
  <c r="H27" i="7" s="1"/>
  <c r="I27" i="7" s="1"/>
  <c r="J28" i="7"/>
  <c r="H26" i="7"/>
  <c r="F24" i="7"/>
  <c r="F6" i="7" s="1"/>
  <c r="F25" i="7"/>
  <c r="F23" i="7"/>
  <c r="C14" i="6"/>
  <c r="C13" i="6"/>
  <c r="C8" i="6"/>
  <c r="I26" i="7" l="1"/>
  <c r="J26" i="7" s="1"/>
  <c r="J27" i="7"/>
  <c r="D4" i="5"/>
  <c r="G22" i="7"/>
  <c r="G25" i="7"/>
  <c r="F11" i="7"/>
  <c r="G24" i="7"/>
  <c r="D8" i="6"/>
  <c r="E8" i="6" s="1"/>
  <c r="F5" i="6" s="1"/>
  <c r="D13" i="6"/>
  <c r="D14" i="6"/>
  <c r="G23" i="7"/>
  <c r="F13" i="2"/>
  <c r="F16" i="2" s="1"/>
  <c r="E4" i="5"/>
  <c r="G6" i="7" l="1"/>
  <c r="H22" i="7"/>
  <c r="H25" i="7"/>
  <c r="G11" i="7"/>
  <c r="H24" i="7"/>
  <c r="H6" i="7" s="1"/>
  <c r="H23" i="7"/>
  <c r="E13" i="6"/>
  <c r="F13" i="6" s="1"/>
  <c r="E14" i="6"/>
  <c r="F14" i="6" s="1"/>
  <c r="F21" i="7"/>
  <c r="G13" i="2"/>
  <c r="G16" i="2" s="1"/>
  <c r="F7" i="7" l="1"/>
  <c r="F5" i="7"/>
  <c r="F8" i="7"/>
  <c r="F12" i="7"/>
  <c r="F20" i="2"/>
  <c r="F25" i="2" s="1"/>
  <c r="F22" i="2"/>
  <c r="J22" i="7"/>
  <c r="I22" i="7"/>
  <c r="I25" i="7"/>
  <c r="H11" i="7"/>
  <c r="I24" i="7"/>
  <c r="I6" i="7" s="1"/>
  <c r="I23" i="7"/>
  <c r="G13" i="6"/>
  <c r="H13" i="6" s="1"/>
  <c r="I13" i="6" s="1"/>
  <c r="F6" i="6"/>
  <c r="F7" i="6"/>
  <c r="G14" i="6"/>
  <c r="H14" i="6" s="1"/>
  <c r="G21" i="7"/>
  <c r="F9" i="7" l="1"/>
  <c r="G7" i="7"/>
  <c r="G5" i="7"/>
  <c r="G8" i="7"/>
  <c r="G22" i="2"/>
  <c r="G20" i="2"/>
  <c r="G25" i="2" s="1"/>
  <c r="F13" i="7"/>
  <c r="G12" i="7"/>
  <c r="J25" i="7"/>
  <c r="J11" i="7" s="1"/>
  <c r="I11" i="7"/>
  <c r="J23" i="7"/>
  <c r="J24" i="7"/>
  <c r="J6" i="7" s="1"/>
  <c r="J13" i="6"/>
  <c r="I14" i="6"/>
  <c r="J14" i="6" s="1"/>
  <c r="F27" i="2"/>
  <c r="F8" i="6"/>
  <c r="G5" i="6" s="1"/>
  <c r="H13" i="2"/>
  <c r="H16" i="2" s="1"/>
  <c r="G9" i="7" l="1"/>
  <c r="F15" i="7"/>
  <c r="F17" i="7" s="1"/>
  <c r="F28" i="2" s="1"/>
  <c r="F30" i="2" s="1"/>
  <c r="G13" i="7"/>
  <c r="G6" i="6"/>
  <c r="G7" i="6"/>
  <c r="I13" i="2"/>
  <c r="I16" i="2" s="1"/>
  <c r="H21" i="7"/>
  <c r="H7" i="7" l="1"/>
  <c r="H5" i="7"/>
  <c r="H8" i="7"/>
  <c r="H22" i="2"/>
  <c r="H20" i="2"/>
  <c r="H25" i="2" s="1"/>
  <c r="F4" i="5"/>
  <c r="F7" i="5" s="1"/>
  <c r="G15" i="7"/>
  <c r="G17" i="7" s="1"/>
  <c r="G28" i="2" s="1"/>
  <c r="H12" i="7"/>
  <c r="H13" i="7" s="1"/>
  <c r="G27" i="2"/>
  <c r="G8" i="6"/>
  <c r="H5" i="6" s="1"/>
  <c r="J13" i="2"/>
  <c r="J16" i="2" s="1"/>
  <c r="I21" i="7"/>
  <c r="I7" i="7" l="1"/>
  <c r="I5" i="7"/>
  <c r="H9" i="7"/>
  <c r="I8" i="7"/>
  <c r="G30" i="2"/>
  <c r="G4" i="5" s="1"/>
  <c r="G7" i="5" s="1"/>
  <c r="I22" i="2"/>
  <c r="I20" i="2"/>
  <c r="I25" i="2" s="1"/>
  <c r="I12" i="7"/>
  <c r="H6" i="6"/>
  <c r="H7" i="6"/>
  <c r="J21" i="7"/>
  <c r="J7" i="7" l="1"/>
  <c r="J5" i="7"/>
  <c r="I9" i="7"/>
  <c r="J8" i="7"/>
  <c r="J20" i="2"/>
  <c r="J25" i="2" s="1"/>
  <c r="J22" i="2"/>
  <c r="H15" i="7"/>
  <c r="H17" i="7" s="1"/>
  <c r="H28" i="2" s="1"/>
  <c r="I13" i="7"/>
  <c r="J12" i="7"/>
  <c r="H27" i="2"/>
  <c r="H8" i="6"/>
  <c r="I5" i="6" s="1"/>
  <c r="J9" i="7" l="1"/>
  <c r="H30" i="2"/>
  <c r="H4" i="5" s="1"/>
  <c r="H7" i="5" s="1"/>
  <c r="I15" i="7"/>
  <c r="I17" i="7" s="1"/>
  <c r="I28" i="2" s="1"/>
  <c r="J13" i="7"/>
  <c r="I6" i="6"/>
  <c r="I7" i="6"/>
  <c r="J15" i="7" l="1"/>
  <c r="J17" i="7" s="1"/>
  <c r="J28" i="2" s="1"/>
  <c r="I27" i="2"/>
  <c r="I30" i="2" s="1"/>
  <c r="I8" i="6"/>
  <c r="J5" i="6" s="1"/>
  <c r="I4" i="5" l="1"/>
  <c r="I7" i="5" s="1"/>
  <c r="J6" i="6"/>
  <c r="J7" i="6"/>
  <c r="J27" i="2" s="1"/>
  <c r="J30" i="2" s="1"/>
  <c r="J4" i="5" s="1"/>
  <c r="C14" i="5" s="1"/>
  <c r="C15" i="5" s="1"/>
  <c r="J8" i="6" l="1"/>
  <c r="J7" i="5" l="1"/>
  <c r="C11" i="5" s="1"/>
  <c r="C16" i="5" l="1"/>
  <c r="C19" i="5" s="1"/>
  <c r="C22" i="5" s="1"/>
  <c r="C25" i="5" l="1"/>
  <c r="B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jaydeep sethi</author>
  </authors>
  <commentList>
    <comment ref="C12" authorId="0" shapeId="0" xr:uid="{A9B4D13E-91A8-43F9-BA29-54AE76BA36F8}">
      <text>
        <r>
          <rPr>
            <b/>
            <sz val="9"/>
            <color indexed="81"/>
            <rFont val="Tahoma"/>
            <family val="2"/>
          </rPr>
          <t>jaydeep sethi:</t>
        </r>
        <r>
          <rPr>
            <sz val="9"/>
            <color indexed="81"/>
            <rFont val="Tahoma"/>
            <family val="2"/>
          </rPr>
          <t xml:space="preserve">
Global = 5%
Niche = 6%
Indian = 10%
India-Decorative = 11.4%
India-Industrial = 7.9%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<sst xmlns="http://schemas.openxmlformats.org/spreadsheetml/2006/main" count="373" uniqueCount="270">
  <si>
    <t>Revenue</t>
  </si>
  <si>
    <t>FY2025</t>
  </si>
  <si>
    <t>ΔWC</t>
  </si>
  <si>
    <t>Trade Payables</t>
  </si>
  <si>
    <t>Working Capital</t>
  </si>
  <si>
    <t>Equity</t>
  </si>
  <si>
    <t>Debt</t>
  </si>
  <si>
    <t>WACC</t>
  </si>
  <si>
    <t>COGS</t>
  </si>
  <si>
    <t>EBITDA</t>
  </si>
  <si>
    <t xml:space="preserve">EBIT </t>
  </si>
  <si>
    <t>NOPAT</t>
  </si>
  <si>
    <t>Add: Depriciation and amortisation</t>
  </si>
  <si>
    <t xml:space="preserve">Less: Capital Expenditure </t>
  </si>
  <si>
    <t>Unlevered Free Cash Flow</t>
  </si>
  <si>
    <t>Beginning PP&amp;E</t>
  </si>
  <si>
    <t>D&amp;A</t>
  </si>
  <si>
    <t>Cap. Exp.</t>
  </si>
  <si>
    <t xml:space="preserve">Ending PP&amp;E </t>
  </si>
  <si>
    <t>Assumptions</t>
  </si>
  <si>
    <t>D&amp;A as a % of Beginning PP&amp;E</t>
  </si>
  <si>
    <t>Cap. Exp. as a % of Beginning PP&amp;E</t>
  </si>
  <si>
    <t>Working capital Assumptions</t>
  </si>
  <si>
    <t>Inventory Days</t>
  </si>
  <si>
    <t>Debtors Days</t>
  </si>
  <si>
    <t xml:space="preserve">Days Payable </t>
  </si>
  <si>
    <t>Current Assets</t>
  </si>
  <si>
    <t>Current Liabilities</t>
  </si>
  <si>
    <t>Other Current Liabilities</t>
  </si>
  <si>
    <t>Less: Change in Working Capital</t>
  </si>
  <si>
    <t>Fiscal Years</t>
  </si>
  <si>
    <t>Weighted Average Cost of Capital (WACC)</t>
  </si>
  <si>
    <t>Company's Valuation (V)</t>
  </si>
  <si>
    <t xml:space="preserve">Cost of Debt </t>
  </si>
  <si>
    <t xml:space="preserve">Tax Rate </t>
  </si>
  <si>
    <t>D/V</t>
  </si>
  <si>
    <t>Equity Share Capital</t>
  </si>
  <si>
    <t>Reserves</t>
  </si>
  <si>
    <t xml:space="preserve">Particulars </t>
  </si>
  <si>
    <t xml:space="preserve">Interest Expense </t>
  </si>
  <si>
    <t>10-year government bonds Rate</t>
  </si>
  <si>
    <t>Beta of Asian Paints LTD.</t>
  </si>
  <si>
    <t>Market Return</t>
  </si>
  <si>
    <t>Market Premium</t>
  </si>
  <si>
    <t>Cost of Equity</t>
  </si>
  <si>
    <t>E/V</t>
  </si>
  <si>
    <t>PV of Free Cash Flow</t>
  </si>
  <si>
    <t xml:space="preserve">Implied Share Price Calculations </t>
  </si>
  <si>
    <t>Sum of PV of FCF</t>
  </si>
  <si>
    <t xml:space="preserve">Growth Rate </t>
  </si>
  <si>
    <t xml:space="preserve">Terminal Value </t>
  </si>
  <si>
    <t xml:space="preserve">PV of Terminal value </t>
  </si>
  <si>
    <t xml:space="preserve">Enterprise Value </t>
  </si>
  <si>
    <t xml:space="preserve">Add: Cash &amp; Cash Equivalents </t>
  </si>
  <si>
    <t xml:space="preserve">Less: Debt </t>
  </si>
  <si>
    <t xml:space="preserve">Equity Value </t>
  </si>
  <si>
    <t>Total shares</t>
  </si>
  <si>
    <t xml:space="preserve">Implied Share Value </t>
  </si>
  <si>
    <t>Growth %</t>
  </si>
  <si>
    <t>Unlevered Free Cash Flow Statement (Cr.)</t>
  </si>
  <si>
    <t>Change in Working capital (Cr.)</t>
  </si>
  <si>
    <t>Fixed Assests(Cr.)</t>
  </si>
  <si>
    <t>Unlevered Free Cash Flow (Cr.)</t>
  </si>
  <si>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</si>
  <si>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</si>
  <si>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</si>
  <si>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</si>
  <si>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</si>
  <si>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</si>
  <si>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</si>
  <si>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</si>
  <si>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</si>
  <si>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</si>
  <si>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</si>
  <si>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</si>
  <si>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</si>
  <si>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</si>
  <si>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</si>
  <si>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</si>
  <si>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</si>
  <si>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</si>
  <si>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</si>
  <si>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</si>
  <si>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</si>
  <si>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</si>
  <si>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</si>
  <si>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</si>
  <si>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</si>
  <si>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</si>
  <si>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</si>
  <si>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</si>
  <si>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</si>
  <si>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</si>
  <si>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</si>
  <si>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</si>
  <si>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</si>
  <si>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</si>
  <si>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</si>
  <si>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</si>
  <si>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</si>
  <si>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</si>
  <si>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</si>
  <si>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</si>
  <si>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</si>
  <si>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</si>
  <si>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</si>
  <si>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</si>
  <si>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</si>
  <si>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</si>
  <si>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</si>
  <si>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</si>
  <si>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</si>
  <si>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</si>
  <si>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</si>
  <si>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</si>
  <si>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</si>
  <si>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Gross Profit</t>
  </si>
  <si>
    <t>Selling &amp; General Expenses</t>
  </si>
  <si>
    <t>EBT</t>
  </si>
  <si>
    <t>Cash from Operating Activity -</t>
  </si>
  <si>
    <t>Profit from operations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</si>
  <si>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</si>
  <si>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</si>
  <si>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</si>
  <si>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</si>
  <si>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</si>
  <si>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</si>
  <si>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</si>
  <si>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</si>
  <si>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</si>
  <si>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</si>
  <si>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</si>
  <si>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</si>
  <si>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</si>
  <si>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</si>
  <si>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</si>
  <si>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</si>
  <si>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</si>
  <si>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</si>
  <si>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</si>
  <si>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</si>
  <si>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</si>
  <si>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</si>
  <si>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</si>
  <si>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</si>
  <si>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</si>
  <si>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</si>
  <si>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</si>
  <si>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</si>
  <si>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</si>
  <si>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</si>
  <si>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</si>
  <si>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</si>
  <si>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</si>
  <si>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</si>
  <si>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</si>
  <si>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</si>
  <si>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</si>
  <si>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</si>
  <si>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</si>
  <si>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</si>
  <si>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</si>
  <si>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</si>
  <si>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</si>
  <si>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</si>
  <si>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</si>
  <si>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</si>
  <si>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</si>
  <si>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</si>
  <si>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</si>
  <si>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Cash Equivalents</t>
  </si>
  <si>
    <t>Loans n Advances</t>
  </si>
  <si>
    <t>Other asset items</t>
  </si>
  <si>
    <t>Total Assets</t>
  </si>
  <si>
    <t>Trade receivables</t>
  </si>
  <si>
    <t>Sales Forecasting</t>
  </si>
  <si>
    <t>S&amp;G Expenses Forecasting</t>
  </si>
  <si>
    <t>Average</t>
  </si>
  <si>
    <t>Median</t>
  </si>
  <si>
    <t>Sales Growth %</t>
  </si>
  <si>
    <t>COGS Forecasting</t>
  </si>
  <si>
    <t xml:space="preserve">Years </t>
  </si>
  <si>
    <t>#</t>
  </si>
  <si>
    <t xml:space="preserve">Income Statement </t>
  </si>
  <si>
    <t>-</t>
  </si>
  <si>
    <t>COGS % of Sales</t>
  </si>
  <si>
    <t xml:space="preserve">Gross Profit </t>
  </si>
  <si>
    <t xml:space="preserve">Gross Margins </t>
  </si>
  <si>
    <t xml:space="preserve">Selling &amp; General Expenses </t>
  </si>
  <si>
    <t xml:space="preserve">S&amp;G  Exp % of Sales  </t>
  </si>
  <si>
    <t>EBITDA % of Sales</t>
  </si>
  <si>
    <t xml:space="preserve">Interest % of Sales </t>
  </si>
  <si>
    <t xml:space="preserve">Depriciation </t>
  </si>
  <si>
    <t>Depriciation % of Sales</t>
  </si>
  <si>
    <t>EBIT</t>
  </si>
  <si>
    <t>EBIT % of Sales</t>
  </si>
  <si>
    <t xml:space="preserve">EBT </t>
  </si>
  <si>
    <t>EBT % of Sales</t>
  </si>
  <si>
    <t xml:space="preserve">Tax </t>
  </si>
  <si>
    <t xml:space="preserve">Effective Tax Rate </t>
  </si>
  <si>
    <t>Net Profit</t>
  </si>
  <si>
    <t>Net Margins</t>
  </si>
  <si>
    <t xml:space="preserve">No. of Equity Shares  </t>
  </si>
  <si>
    <t>EPS</t>
  </si>
  <si>
    <t>EPS Growth %</t>
  </si>
  <si>
    <t>Divided per Share</t>
  </si>
  <si>
    <t>Dividend Payout Ratio</t>
  </si>
  <si>
    <t>Retained Earnings</t>
  </si>
  <si>
    <t>Balance Sheet</t>
  </si>
  <si>
    <t>Total Non-Current Assets</t>
  </si>
  <si>
    <t>Total Current Assets</t>
  </si>
  <si>
    <t xml:space="preserve"> Check</t>
  </si>
  <si>
    <t xml:space="preserve">Cash Flows Statement </t>
  </si>
  <si>
    <t xml:space="preserve">Cash Flow from Operating Activity </t>
  </si>
  <si>
    <t xml:space="preserve">Cash Flow from Investing Activity </t>
  </si>
  <si>
    <t xml:space="preserve">Cash Flow from Financing Activity </t>
  </si>
  <si>
    <t>Net Cash Flows</t>
  </si>
  <si>
    <r>
      <t xml:space="preserve">Cash Flows Statement </t>
    </r>
    <r>
      <rPr>
        <i/>
        <sz val="11"/>
        <color theme="1"/>
        <rFont val="Calibri"/>
        <family val="2"/>
        <scheme val="minor"/>
      </rPr>
      <t>(Expanded)</t>
    </r>
  </si>
  <si>
    <t>Cash Generated from Operations</t>
  </si>
  <si>
    <t>Cash from Investments</t>
  </si>
  <si>
    <t>Cash from Financing</t>
  </si>
  <si>
    <t>Fixed Assets Net Block</t>
  </si>
  <si>
    <t>Forecasts %</t>
  </si>
  <si>
    <t>Interest Forecasting</t>
  </si>
  <si>
    <t>Interests</t>
  </si>
  <si>
    <t>Depriciation Forecasting</t>
  </si>
  <si>
    <t>COGS Growth %</t>
  </si>
  <si>
    <t>Selling &amp; General Exp. Growth %</t>
  </si>
  <si>
    <t>Interest Growth %</t>
  </si>
  <si>
    <t>Depriciation Growth %</t>
  </si>
  <si>
    <t>Trend</t>
  </si>
  <si>
    <t>Mean</t>
  </si>
  <si>
    <t xml:space="preserve">Sales Growth </t>
  </si>
  <si>
    <t>EBITDA Growth</t>
  </si>
  <si>
    <t xml:space="preserve">EBIT Growth </t>
  </si>
  <si>
    <t>EBT Growth</t>
  </si>
  <si>
    <t>Net Profit Growth</t>
  </si>
  <si>
    <t>Dividend Growth</t>
  </si>
  <si>
    <t>Gross Margin</t>
  </si>
  <si>
    <t>EBITA Margin</t>
  </si>
  <si>
    <t>EBIT Margin</t>
  </si>
  <si>
    <t>EBT Margin</t>
  </si>
  <si>
    <t>Net Profit Margin</t>
  </si>
  <si>
    <t>Sales Expenses % of sales</t>
  </si>
  <si>
    <t>Depriciation % of sales</t>
  </si>
  <si>
    <t xml:space="preserve">Operating Income % of sales </t>
  </si>
  <si>
    <t>Return on Capital Employed</t>
  </si>
  <si>
    <t>Retained Earnings %</t>
  </si>
  <si>
    <t>Return on Equity %</t>
  </si>
  <si>
    <t xml:space="preserve">Self Sustained Growth Rate </t>
  </si>
  <si>
    <t xml:space="preserve">Interest Coverage Ratio 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</si>
  <si>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</si>
  <si>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</si>
  <si>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</si>
  <si>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</si>
  <si>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</si>
  <si>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</si>
  <si>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</si>
  <si>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r>
      <t>Cash Conversion Cycle</t>
    </r>
    <r>
      <rPr>
        <b/>
        <i/>
        <sz val="11"/>
        <color theme="1"/>
        <rFont val="Calibri"/>
        <family val="2"/>
        <scheme val="minor"/>
      </rPr>
      <t xml:space="preserve"> (in days)</t>
    </r>
  </si>
  <si>
    <t>CFO/Sales</t>
  </si>
  <si>
    <t>CFO/Total Assets</t>
  </si>
  <si>
    <t>CFO/Total Debt</t>
  </si>
  <si>
    <t xml:space="preserve">OCA % of Revenue </t>
  </si>
  <si>
    <t xml:space="preserve">OCL % of Revenue </t>
  </si>
  <si>
    <t>Loans n Advances % of Revenue</t>
  </si>
  <si>
    <t xml:space="preserve"> </t>
  </si>
  <si>
    <t xml:space="preserve">Share Price </t>
  </si>
  <si>
    <t>Year- End Convention</t>
  </si>
  <si>
    <t xml:space="preserve">Total Assets </t>
  </si>
  <si>
    <t xml:space="preserve">Total Liabilities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</si>
</sst>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&quot;₹&quot;\ #,##0.00"/>
    <numFmt numFmtId="166" formatCode="0.0%"/>
    <numFmt numFmtId="167" formatCode="&quot;₹&quot;\ #,##0.00;&quot;₹&quot;\ \(#,##0.0\);\-"/>
    <numFmt numFmtId="168" formatCode="[$-409]mmm\-yy;@"/>
    <numFmt numFmtId="169" formatCode="&quot;₹&quot;\ #,##0.0;&quot;₹&quot;\ \(#,##0.0\);\-"/>
    <numFmt numFmtId="170" formatCode="0.00&quot;x&quot;"/>
    <numFmt numFmtId="171" formatCode="0.00\x"/>
    <numFmt numFmtId="172" formatCode="mmm\-yy\A"/>
    <numFmt numFmtId="173" formatCode="mmm\-yy\E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Arial"/>
      <family val="2"/>
    </font>
    <font>
      <i/>
      <sz val="11"/>
      <color theme="0" tint="-0.499984740745262"/>
      <name val="Calibri"/>
      <family val="2"/>
      <scheme val="minor"/>
    </font>
    <font>
      <sz val="11"/>
      <color rgb="FF3333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8" tint="-0.499984740745262"/>
      </top>
      <bottom style="medium">
        <color theme="8" tint="-0.499984740745262"/>
      </bottom>
      <diagonal/>
    </border>
    <border>
      <left/>
      <right/>
      <top style="hair">
        <color theme="8" tint="-0.499984740745262"/>
      </top>
      <bottom style="hair">
        <color theme="8" tint="-0.499984740745262"/>
      </bottom>
      <diagonal/>
    </border>
    <border>
      <left/>
      <right/>
      <top style="hair">
        <color theme="7" tint="-0.24994659260841701"/>
      </top>
      <bottom style="hair">
        <color theme="7" tint="-0.24994659260841701"/>
      </bottom>
      <diagonal/>
    </border>
    <border>
      <left/>
      <right/>
      <top style="thin">
        <color theme="8" tint="-0.499984740745262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2" borderId="0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165" fontId="0" fillId="0" borderId="1" xfId="0" applyNumberFormat="1" applyBorder="1"/>
    <xf numFmtId="44" fontId="0" fillId="0" borderId="0" xfId="0" applyNumberFormat="1"/>
    <xf numFmtId="4" fontId="0" fillId="0" borderId="0" xfId="0" applyNumberFormat="1"/>
    <xf numFmtId="43" fontId="0" fillId="0" borderId="0" xfId="0" applyNumberFormat="1"/>
    <xf numFmtId="8" fontId="0" fillId="0" borderId="0" xfId="0" applyNumberFormat="1"/>
    <xf numFmtId="167" fontId="0" fillId="0" borderId="0" xfId="0" applyNumberFormat="1"/>
    <xf numFmtId="167" fontId="0" fillId="0" borderId="1" xfId="0" applyNumberFormat="1" applyBorder="1"/>
    <xf numFmtId="165" fontId="3" fillId="0" borderId="2" xfId="0" applyNumberFormat="1" applyFont="1" applyBorder="1"/>
    <xf numFmtId="165" fontId="3" fillId="4" borderId="0" xfId="0" applyNumberFormat="1" applyFont="1" applyFill="1"/>
    <xf numFmtId="43" fontId="3" fillId="0" borderId="0" xfId="3" applyFont="1" applyBorder="1"/>
    <xf numFmtId="43" fontId="0" fillId="0" borderId="0" xfId="3" applyFont="1" applyBorder="1"/>
    <xf numFmtId="168" fontId="8" fillId="5" borderId="0" xfId="3" applyNumberFormat="1" applyFont="1" applyFill="1" applyBorder="1"/>
    <xf numFmtId="168" fontId="8" fillId="5" borderId="0" xfId="0" applyNumberFormat="1" applyFont="1" applyFill="1" applyAlignment="1">
      <alignment horizontal="center"/>
    </xf>
    <xf numFmtId="168" fontId="11" fillId="0" borderId="0" xfId="3" applyNumberFormat="1" applyFont="1" applyFill="1" applyBorder="1"/>
    <xf numFmtId="43" fontId="2" fillId="0" borderId="0" xfId="3" applyFont="1" applyBorder="1"/>
    <xf numFmtId="164" fontId="0" fillId="0" borderId="0" xfId="3" applyNumberFormat="1" applyFont="1" applyBorder="1"/>
    <xf numFmtId="167" fontId="0" fillId="6" borderId="0" xfId="2" applyNumberFormat="1" applyFont="1" applyFill="1" applyAlignment="1">
      <alignment vertical="center" wrapText="1"/>
    </xf>
    <xf numFmtId="167" fontId="0" fillId="6" borderId="0" xfId="2" applyNumberFormat="1" applyFont="1" applyFill="1"/>
    <xf numFmtId="167" fontId="0" fillId="6" borderId="0" xfId="0" applyNumberFormat="1" applyFill="1"/>
    <xf numFmtId="167" fontId="0" fillId="6" borderId="1" xfId="0" applyNumberFormat="1" applyFill="1" applyBorder="1"/>
    <xf numFmtId="167" fontId="3" fillId="6" borderId="2" xfId="0" applyNumberFormat="1" applyFont="1" applyFill="1" applyBorder="1"/>
    <xf numFmtId="167" fontId="3" fillId="0" borderId="3" xfId="0" applyNumberFormat="1" applyFont="1" applyBorder="1"/>
    <xf numFmtId="167" fontId="3" fillId="6" borderId="3" xfId="2" applyNumberFormat="1" applyFont="1" applyFill="1" applyBorder="1"/>
    <xf numFmtId="167" fontId="3" fillId="6" borderId="3" xfId="0" applyNumberFormat="1" applyFont="1" applyFill="1" applyBorder="1"/>
    <xf numFmtId="167" fontId="3" fillId="0" borderId="0" xfId="0" applyNumberFormat="1" applyFont="1"/>
    <xf numFmtId="167" fontId="3" fillId="6" borderId="0" xfId="0" applyNumberFormat="1" applyFont="1" applyFill="1"/>
    <xf numFmtId="165" fontId="3" fillId="0" borderId="3" xfId="0" applyNumberFormat="1" applyFont="1" applyBorder="1"/>
    <xf numFmtId="3" fontId="0" fillId="0" borderId="0" xfId="0" applyNumberFormat="1"/>
    <xf numFmtId="0" fontId="3" fillId="0" borderId="0" xfId="0" applyFont="1"/>
    <xf numFmtId="169" fontId="3" fillId="0" borderId="0" xfId="0" applyNumberFormat="1" applyFont="1"/>
    <xf numFmtId="169" fontId="0" fillId="0" borderId="4" xfId="0" applyNumberFormat="1" applyBorder="1"/>
    <xf numFmtId="169" fontId="0" fillId="0" borderId="0" xfId="0" applyNumberFormat="1"/>
    <xf numFmtId="169" fontId="3" fillId="0" borderId="4" xfId="0" applyNumberFormat="1" applyFont="1" applyBorder="1"/>
    <xf numFmtId="0" fontId="8" fillId="3" borderId="0" xfId="0" applyFont="1" applyFill="1"/>
    <xf numFmtId="17" fontId="8" fillId="3" borderId="0" xfId="0" applyNumberFormat="1" applyFont="1" applyFill="1"/>
    <xf numFmtId="43" fontId="12" fillId="0" borderId="0" xfId="0" applyNumberFormat="1" applyFont="1"/>
    <xf numFmtId="3" fontId="3" fillId="0" borderId="0" xfId="0" applyNumberFormat="1" applyFont="1"/>
    <xf numFmtId="0" fontId="3" fillId="0" borderId="2" xfId="0" applyFont="1" applyBorder="1"/>
    <xf numFmtId="3" fontId="3" fillId="0" borderId="2" xfId="0" applyNumberFormat="1" applyFont="1" applyBorder="1"/>
    <xf numFmtId="4" fontId="3" fillId="0" borderId="5" xfId="0" applyNumberFormat="1" applyFont="1" applyBorder="1"/>
    <xf numFmtId="4" fontId="0" fillId="0" borderId="5" xfId="0" applyNumberFormat="1" applyBorder="1"/>
    <xf numFmtId="4" fontId="3" fillId="0" borderId="0" xfId="0" applyNumberFormat="1" applyFont="1"/>
    <xf numFmtId="0" fontId="3" fillId="0" borderId="3" xfId="0" applyFont="1" applyBorder="1"/>
    <xf numFmtId="3" fontId="3" fillId="0" borderId="3" xfId="0" applyNumberFormat="1" applyFont="1" applyBorder="1"/>
    <xf numFmtId="0" fontId="0" fillId="0" borderId="3" xfId="0" applyBorder="1"/>
    <xf numFmtId="3" fontId="0" fillId="0" borderId="3" xfId="0" applyNumberFormat="1" applyBorder="1"/>
    <xf numFmtId="0" fontId="8" fillId="0" borderId="0" xfId="0" applyFont="1"/>
    <xf numFmtId="17" fontId="8" fillId="0" borderId="0" xfId="0" applyNumberFormat="1" applyFont="1"/>
    <xf numFmtId="44" fontId="3" fillId="0" borderId="5" xfId="0" applyNumberFormat="1" applyFont="1" applyBorder="1"/>
    <xf numFmtId="44" fontId="3" fillId="0" borderId="3" xfId="0" applyNumberFormat="1" applyFont="1" applyBorder="1"/>
    <xf numFmtId="44" fontId="0" fillId="0" borderId="0" xfId="2" applyFont="1" applyFill="1" applyAlignment="1">
      <alignment vertical="center" wrapText="1"/>
    </xf>
    <xf numFmtId="10" fontId="0" fillId="0" borderId="0" xfId="1" applyNumberFormat="1" applyFont="1" applyFill="1"/>
    <xf numFmtId="0" fontId="0" fillId="6" borderId="0" xfId="0" applyFill="1" applyAlignment="1">
      <alignment horizontal="left"/>
    </xf>
    <xf numFmtId="10" fontId="0" fillId="6" borderId="0" xfId="1" applyNumberFormat="1" applyFont="1" applyFill="1"/>
    <xf numFmtId="0" fontId="3" fillId="0" borderId="0" xfId="0" applyFont="1" applyAlignment="1">
      <alignment horizontal="left"/>
    </xf>
    <xf numFmtId="10" fontId="3" fillId="0" borderId="0" xfId="1" applyNumberFormat="1" applyFont="1" applyFill="1"/>
    <xf numFmtId="0" fontId="7" fillId="0" borderId="0" xfId="0" applyFont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10" fontId="3" fillId="0" borderId="0" xfId="0" applyNumberFormat="1" applyFont="1"/>
    <xf numFmtId="17" fontId="0" fillId="0" borderId="0" xfId="0" applyNumberFormat="1"/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1" applyNumberFormat="1" applyFont="1"/>
    <xf numFmtId="0" fontId="3" fillId="0" borderId="6" xfId="0" applyFont="1" applyBorder="1"/>
    <xf numFmtId="169" fontId="3" fillId="0" borderId="6" xfId="0" applyNumberFormat="1" applyFont="1" applyBorder="1"/>
    <xf numFmtId="10" fontId="14" fillId="0" borderId="0" xfId="1" applyNumberFormat="1" applyFont="1" applyAlignment="1">
      <alignment horizontal="right"/>
    </xf>
    <xf numFmtId="43" fontId="3" fillId="0" borderId="6" xfId="3" applyFont="1" applyBorder="1"/>
    <xf numFmtId="43" fontId="3" fillId="0" borderId="6" xfId="3" applyFont="1" applyFill="1" applyBorder="1"/>
    <xf numFmtId="0" fontId="6" fillId="0" borderId="0" xfId="0" applyFont="1"/>
    <xf numFmtId="0" fontId="3" fillId="4" borderId="0" xfId="0" applyFont="1" applyFill="1"/>
    <xf numFmtId="0" fontId="0" fillId="4" borderId="0" xfId="0" applyFill="1"/>
    <xf numFmtId="0" fontId="3" fillId="7" borderId="0" xfId="0" applyFont="1" applyFill="1"/>
    <xf numFmtId="10" fontId="3" fillId="7" borderId="0" xfId="0" applyNumberFormat="1" applyFont="1" applyFill="1"/>
    <xf numFmtId="10" fontId="15" fillId="6" borderId="0" xfId="1" applyNumberFormat="1" applyFont="1" applyFill="1"/>
    <xf numFmtId="167" fontId="3" fillId="0" borderId="3" xfId="2" applyNumberFormat="1" applyFont="1" applyFill="1" applyBorder="1"/>
    <xf numFmtId="10" fontId="15" fillId="0" borderId="0" xfId="1" applyNumberFormat="1" applyFont="1" applyFill="1"/>
    <xf numFmtId="10" fontId="0" fillId="0" borderId="0" xfId="1" applyNumberFormat="1" applyFont="1" applyBorder="1"/>
    <xf numFmtId="170" fontId="0" fillId="0" borderId="0" xfId="0" applyNumberFormat="1"/>
    <xf numFmtId="1" fontId="0" fillId="0" borderId="0" xfId="0" applyNumberFormat="1"/>
    <xf numFmtId="17" fontId="8" fillId="3" borderId="0" xfId="0" applyNumberFormat="1" applyFont="1" applyFill="1" applyAlignment="1">
      <alignment horizontal="center"/>
    </xf>
    <xf numFmtId="169" fontId="0" fillId="0" borderId="0" xfId="2" applyNumberFormat="1" applyFont="1"/>
    <xf numFmtId="10" fontId="15" fillId="0" borderId="0" xfId="1" applyNumberFormat="1" applyFont="1"/>
    <xf numFmtId="166" fontId="15" fillId="0" borderId="0" xfId="0" applyNumberFormat="1" applyFont="1"/>
    <xf numFmtId="169" fontId="0" fillId="0" borderId="0" xfId="0" quotePrefix="1" applyNumberFormat="1" applyAlignment="1">
      <alignment horizontal="center"/>
    </xf>
    <xf numFmtId="169" fontId="3" fillId="0" borderId="2" xfId="0" applyNumberFormat="1" applyFont="1" applyBorder="1"/>
    <xf numFmtId="10" fontId="15" fillId="0" borderId="0" xfId="0" applyNumberFormat="1" applyFont="1"/>
    <xf numFmtId="0" fontId="15" fillId="0" borderId="0" xfId="0" applyFont="1"/>
    <xf numFmtId="10" fontId="3" fillId="0" borderId="2" xfId="1" applyNumberFormat="1" applyFont="1" applyBorder="1"/>
    <xf numFmtId="10" fontId="3" fillId="0" borderId="0" xfId="1" applyNumberFormat="1" applyFont="1"/>
    <xf numFmtId="0" fontId="0" fillId="7" borderId="0" xfId="0" applyFill="1"/>
    <xf numFmtId="1" fontId="0" fillId="7" borderId="0" xfId="0" applyNumberFormat="1" applyFill="1"/>
    <xf numFmtId="2" fontId="0" fillId="7" borderId="0" xfId="0" applyNumberFormat="1" applyFill="1"/>
    <xf numFmtId="10" fontId="0" fillId="7" borderId="0" xfId="1" applyNumberFormat="1" applyFont="1" applyFill="1"/>
    <xf numFmtId="169" fontId="0" fillId="6" borderId="0" xfId="2" applyNumberFormat="1" applyFont="1" applyFill="1"/>
    <xf numFmtId="169" fontId="3" fillId="6" borderId="3" xfId="2" applyNumberFormat="1" applyFont="1" applyFill="1" applyBorder="1"/>
    <xf numFmtId="169" fontId="0" fillId="6" borderId="0" xfId="0" applyNumberFormat="1" applyFill="1"/>
    <xf numFmtId="169" fontId="3" fillId="6" borderId="3" xfId="0" applyNumberFormat="1" applyFont="1" applyFill="1" applyBorder="1"/>
    <xf numFmtId="169" fontId="3" fillId="0" borderId="3" xfId="0" applyNumberFormat="1" applyFont="1" applyBorder="1"/>
    <xf numFmtId="169" fontId="3" fillId="6" borderId="5" xfId="0" applyNumberFormat="1" applyFont="1" applyFill="1" applyBorder="1"/>
    <xf numFmtId="169" fontId="3" fillId="0" borderId="5" xfId="0" applyNumberFormat="1" applyFont="1" applyBorder="1"/>
    <xf numFmtId="169" fontId="3" fillId="0" borderId="2" xfId="0" quotePrefix="1" applyNumberFormat="1" applyFont="1" applyBorder="1" applyAlignment="1">
      <alignment horizontal="center"/>
    </xf>
    <xf numFmtId="169" fontId="0" fillId="7" borderId="0" xfId="0" applyNumberFormat="1" applyFill="1"/>
    <xf numFmtId="171" fontId="3" fillId="0" borderId="0" xfId="0" applyNumberFormat="1" applyFont="1"/>
    <xf numFmtId="169" fontId="3" fillId="0" borderId="3" xfId="2" applyNumberFormat="1" applyFont="1" applyFill="1" applyBorder="1"/>
    <xf numFmtId="172" fontId="3" fillId="4" borderId="0" xfId="0" applyNumberFormat="1" applyFont="1" applyFill="1"/>
    <xf numFmtId="173" fontId="3" fillId="4" borderId="0" xfId="0" applyNumberFormat="1" applyFont="1" applyFill="1"/>
    <xf numFmtId="0" fontId="8" fillId="0" borderId="0" xfId="0" applyFont="1" applyAlignment="1">
      <alignment horizontal="right"/>
    </xf>
    <xf numFmtId="0" fontId="17" fillId="3" borderId="0" xfId="0" applyFont="1" applyFill="1"/>
    <xf numFmtId="0" fontId="17" fillId="3" borderId="0" xfId="0" applyFont="1" applyFill="1" applyAlignment="1">
      <alignment horizontal="right"/>
    </xf>
    <xf numFmtId="43" fontId="3" fillId="0" borderId="0" xfId="0" applyNumberFormat="1" applyFont="1"/>
    <xf numFmtId="0" fontId="0" fillId="0" borderId="7" xfId="0" applyBorder="1"/>
    <xf numFmtId="10" fontId="0" fillId="0" borderId="7" xfId="1" applyNumberFormat="1" applyFont="1" applyBorder="1"/>
    <xf numFmtId="0" fontId="0" fillId="0" borderId="6" xfId="0" applyBorder="1"/>
    <xf numFmtId="10" fontId="0" fillId="0" borderId="6" xfId="1" applyNumberFormat="1" applyFont="1" applyBorder="1"/>
    <xf numFmtId="170" fontId="0" fillId="0" borderId="6" xfId="0" applyNumberFormat="1" applyBorder="1"/>
    <xf numFmtId="0" fontId="0" fillId="0" borderId="8" xfId="0" applyBorder="1"/>
    <xf numFmtId="0" fontId="8" fillId="3" borderId="0" xfId="0" applyFont="1" applyFill="1" applyAlignment="1">
      <alignment horizontal="center"/>
    </xf>
    <xf numFmtId="165" fontId="18" fillId="3" borderId="0" xfId="0" applyNumberFormat="1" applyFont="1" applyFill="1" applyAlignment="1">
      <alignment horizontal="center"/>
    </xf>
    <xf numFmtId="165" fontId="13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43" fontId="10" fillId="0" borderId="0" xfId="5" applyNumberFormat="1" applyBorder="1" applyAlignment="1" applyProtection="1">
      <alignment horizontal="center"/>
    </xf>
    <xf numFmtId="43" fontId="8" fillId="2" borderId="0" xfId="4" applyNumberFormat="1" applyFont="1" applyBorder="1" applyAlignment="1">
      <alignment horizontal="center"/>
    </xf>
  </cellXfs>
  <cellStyles count="6">
    <cellStyle name="Accent6" xfId="4" builtinId="49"/>
    <cellStyle name="Comma" xfId="3" builtinId="3"/>
    <cellStyle name="Currency" xfId="2" builtinId="4"/>
    <cellStyle name="Hyperlink 2" xfId="5" xr:uid="{D974D195-B58D-4E77-B7E4-568D1EA029EE}"/>
    <cellStyle name="Normal" xfId="0" builtinId="0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  <color rgb="FF7F3F98"/>
      <color rgb="FFFDE2DE"/>
      <color rgb="FFF26522"/>
      <color rgb="FFC63F52"/>
      <color rgb="FFF47D42"/>
      <color rgb="FF004C93"/>
      <color rgb="FFC29E94"/>
      <color rgb="FFF8F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Unlevered</a:t>
            </a:r>
            <a:r>
              <a:rPr lang="en-IN" sz="1600" b="1" baseline="0"/>
              <a:t> Free Cash Flow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FCF!$F$8:$J$8</c:f>
              <c:numCache>
                <c:formatCode>mmm\-yy\E</c:formatCode>
                <c:ptCount val="5"/>
                <c:pt idx="0">
                  <c:v>46112</c:v>
                </c:pt>
                <c:pt idx="1">
                  <c:v>46477</c:v>
                </c:pt>
                <c:pt idx="2">
                  <c:v>46842</c:v>
                </c:pt>
                <c:pt idx="3">
                  <c:v>47207</c:v>
                </c:pt>
                <c:pt idx="4">
                  <c:v>47572</c:v>
                </c:pt>
              </c:numCache>
            </c:numRef>
          </c:cat>
          <c:val>
            <c:numRef>
              <c:f>FCF!$F$30:$J$30</c:f>
              <c:numCache>
                <c:formatCode>"₹"\ #,##0.00;"₹"\ \(#,##0.0\);\-</c:formatCode>
                <c:ptCount val="5"/>
                <c:pt idx="0">
                  <c:v>2331.2477270214358</c:v>
                </c:pt>
                <c:pt idx="1">
                  <c:v>2436.0796264926857</c:v>
                </c:pt>
                <c:pt idx="2">
                  <c:v>2678.7249631383297</c:v>
                </c:pt>
                <c:pt idx="3">
                  <c:v>2941.8463280135402</c:v>
                </c:pt>
                <c:pt idx="4">
                  <c:v>3227.0176776984681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0-4C96-A5E0-EF9BC72F5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6738895"/>
        <c:axId val="1946729295"/>
        <c:axId val="0"/>
      </c:bar3DChart>
      <c:dateAx>
        <c:axId val="194673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Projected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\E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6729295"/>
        <c:crosses val="autoZero"/>
        <c:auto val="1"/>
        <c:lblOffset val="100"/>
        <c:baseTimeUnit val="years"/>
      </c:dateAx>
      <c:valAx>
        <c:axId val="1946729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UFCF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;&quot;₹&quot;\ \(#,##0.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673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828886</xdr:colOff>
      <xdr:row>0</xdr:row>
      <xdr:rowOff>37530</xdr:rowOff>
    </xdr:from>
    <xdr:to>
      <xdr:col>10</xdr:col>
      <xdr:colOff>228599</xdr:colOff>
      <xdr:row>5</xdr:row>
      <xdr:rowOff>114333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5B0DC-C4AF-5308-5E73-7DFF4D948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117" y="37530"/>
          <a:ext cx="5349174" cy="100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270933</xdr:colOff>
      <xdr:row>6</xdr:row>
      <xdr:rowOff>0</xdr:rowOff>
    </xdr:from>
    <xdr:to>
      <xdr:col>16</xdr:col>
      <xdr:colOff>592665</xdr:colOff>
      <xdr:row>30</xdr:row>
      <xdr:rowOff>8468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4A1551-62BD-D6D1-0366-CE6CA63F9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121920</xdr:rowOff>
    </xdr:to>
    <xdr:sp macro="" textlink="">
      <xdr:nvSpPr>
        <xdr:cNvPr id="9218" name="AutoShape 2" descr="PV=FV \frac{1}{(1+r)^{n}}">
          <a:extLst>
            <a:ext uri="{FF2B5EF4-FFF2-40B4-BE49-F238E27FC236}">
              <a16:creationId xmlns:a16="http://schemas.microsoft.com/office/drawing/2014/main" id="{E5CEFDEC-81EF-D086-AB86-D128957B10AF}"/>
            </a:ext>
          </a:extLst>
        </xdr:cNvPr>
        <xdr:cNvSpPr>
          <a:spLocks noChangeAspect="1" noChangeArrowheads="1"/>
        </xdr:cNvSpPr>
      </xdr:nvSpPr>
      <xdr:spPr bwMode="auto">
        <a:xfrm>
          <a:off x="7719060" y="150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yd0\Downloads\Asian%20Paints%20(1).xlsx" TargetMode="External"/><Relationship Id="rId1" Type="http://schemas.openxmlformats.org/officeDocument/2006/relationships/externalLinkPath" Target="file:///C:\Users\jayd0\Downloads\Asian%20Pain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&gt;"/>
      <sheetName val="HistoricalFS"/>
      <sheetName val="Ratio Analysis"/>
      <sheetName val="Peer Analysis"/>
      <sheetName val="Data&gt;"/>
      <sheetName val="Data Sheet"/>
      <sheetName val="Cash Flow Data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ASIAN PAINTS LTD</v>
          </cell>
        </row>
        <row r="16">
          <cell r="B16">
            <v>42460</v>
          </cell>
          <cell r="C16">
            <v>42825</v>
          </cell>
          <cell r="D16">
            <v>43190</v>
          </cell>
          <cell r="E16">
            <v>43555</v>
          </cell>
          <cell r="F16">
            <v>43921</v>
          </cell>
          <cell r="G16">
            <v>44286</v>
          </cell>
          <cell r="H16">
            <v>44651</v>
          </cell>
          <cell r="I16">
            <v>45016</v>
          </cell>
          <cell r="J16">
            <v>45382</v>
          </cell>
          <cell r="K16">
            <v>45747</v>
          </cell>
        </row>
        <row r="17">
          <cell r="A17" t="str">
            <v>Sales</v>
          </cell>
        </row>
        <row r="18">
          <cell r="A18" t="str">
            <v>Raw Material Cost</v>
          </cell>
        </row>
        <row r="19">
          <cell r="A19" t="str">
            <v>Change in Inventory</v>
          </cell>
        </row>
        <row r="20">
          <cell r="A20" t="str">
            <v>Power and Fuel</v>
          </cell>
        </row>
        <row r="21">
          <cell r="A21" t="str">
            <v>Other Mfr. Exp</v>
          </cell>
        </row>
        <row r="22">
          <cell r="A22" t="str">
            <v>Employee Cost</v>
          </cell>
        </row>
        <row r="23">
          <cell r="A23" t="str">
            <v>Selling and admin</v>
          </cell>
        </row>
        <row r="24">
          <cell r="A24" t="str">
            <v>Other Expenses</v>
          </cell>
        </row>
        <row r="25">
          <cell r="A25" t="str">
            <v>Other Income</v>
          </cell>
        </row>
        <row r="26">
          <cell r="A26" t="str">
            <v>Depreciation</v>
          </cell>
        </row>
        <row r="27">
          <cell r="A27" t="str">
            <v>Interest</v>
          </cell>
        </row>
        <row r="28">
          <cell r="A28" t="str">
            <v>Profit before tax</v>
          </cell>
        </row>
        <row r="29">
          <cell r="A29" t="str">
            <v>Tax</v>
          </cell>
        </row>
        <row r="30">
          <cell r="A30" t="str">
            <v>Net profit</v>
          </cell>
        </row>
        <row r="31">
          <cell r="A31" t="str">
            <v>Dividend Amount</v>
          </cell>
        </row>
        <row r="57">
          <cell r="A57" t="str">
            <v>Equity Share Capital</v>
          </cell>
        </row>
        <row r="58">
          <cell r="A58" t="str">
            <v>Reserves</v>
          </cell>
        </row>
        <row r="59">
          <cell r="A59" t="str">
            <v>Borrowings</v>
          </cell>
        </row>
        <row r="60">
          <cell r="A60" t="str">
            <v>Other Liabilities</v>
          </cell>
        </row>
        <row r="62">
          <cell r="A62" t="str">
            <v>Net Block</v>
          </cell>
        </row>
        <row r="63">
          <cell r="A63" t="str">
            <v>Capital Work in Progress</v>
          </cell>
        </row>
        <row r="64">
          <cell r="A64" t="str">
            <v>Investments</v>
          </cell>
        </row>
        <row r="65">
          <cell r="A65" t="str">
            <v>Other Assets</v>
          </cell>
        </row>
        <row r="67">
          <cell r="A67" t="str">
            <v>Receivables</v>
          </cell>
        </row>
        <row r="68">
          <cell r="A68" t="str">
            <v>Inventory</v>
          </cell>
        </row>
        <row r="69">
          <cell r="A69" t="str">
            <v>Cash &amp; Bank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EB6E-39C9-405F-BC1F-171854DD9852}">
  <dimension ref="A2:M114"/>
  <sheetViews>
    <sheetView showGridLines="0" zoomScaleNormal="100" workbookViewId="0">
      <pane ySplit="3" topLeftCell="A4" activePane="bottomLeft" state="frozen"/>
      <selection pane="bottomLeft" activeCell="B12" sqref="B12"/>
    </sheetView>
  </sheetViews>
  <sheetFormatPr defaultRowHeight="14.4" x14ac:dyDescent="0.3"/>
  <cols>
    <col min="1" max="1" width="1.88671875" customWidth="1"/>
    <col min="2" max="2" width="35.77734375" customWidth="1"/>
    <col min="3" max="12" width="12" bestFit="1" customWidth="1"/>
    <col min="13" max="13" width="11" bestFit="1" customWidth="1"/>
  </cols>
  <sheetData>
    <row r="2" spans="1:13" x14ac:dyDescent="0.3">
      <c r="B2" s="125" t="str">
        <f>"Historical Financials Statements - "&amp;'Data Sheet'!B1</f>
        <v>Historical Financials Statements - ASIAN PAINTS LTD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3" x14ac:dyDescent="0.3">
      <c r="B3" s="41" t="s">
        <v>181</v>
      </c>
      <c r="C3" s="42">
        <f>'[1]Data Sheet'!B16</f>
        <v>42460</v>
      </c>
      <c r="D3" s="42">
        <f>'[1]Data Sheet'!C16</f>
        <v>42825</v>
      </c>
      <c r="E3" s="42">
        <f>'[1]Data Sheet'!D16</f>
        <v>43190</v>
      </c>
      <c r="F3" s="42">
        <f>'[1]Data Sheet'!E16</f>
        <v>43555</v>
      </c>
      <c r="G3" s="42">
        <f>'[1]Data Sheet'!F16</f>
        <v>43921</v>
      </c>
      <c r="H3" s="42">
        <f>'[1]Data Sheet'!G16</f>
        <v>44286</v>
      </c>
      <c r="I3" s="42">
        <f>'[1]Data Sheet'!H16</f>
        <v>44651</v>
      </c>
      <c r="J3" s="42">
        <f>'[1]Data Sheet'!I16</f>
        <v>45016</v>
      </c>
      <c r="K3" s="42">
        <f>'[1]Data Sheet'!J16</f>
        <v>45382</v>
      </c>
      <c r="L3" s="42">
        <f>'[1]Data Sheet'!K16</f>
        <v>45747</v>
      </c>
      <c r="M3" s="68"/>
    </row>
    <row r="5" spans="1:13" x14ac:dyDescent="0.3">
      <c r="A5" s="36" t="s">
        <v>182</v>
      </c>
      <c r="B5" s="78" t="s">
        <v>183</v>
      </c>
      <c r="C5" s="78"/>
      <c r="D5" s="79"/>
      <c r="E5" s="79"/>
      <c r="F5" s="79"/>
      <c r="G5" s="79"/>
      <c r="H5" s="79"/>
      <c r="I5" s="79"/>
      <c r="J5" s="79"/>
      <c r="K5" s="79"/>
      <c r="L5" s="79"/>
    </row>
    <row r="6" spans="1:13" x14ac:dyDescent="0.3">
      <c r="B6" t="s">
        <v>75</v>
      </c>
      <c r="C6" s="39">
        <f>IFERROR('Data Sheet'!B17,0)</f>
        <v>14271.49</v>
      </c>
      <c r="D6" s="39">
        <f>IFERROR('Data Sheet'!C17,0)</f>
        <v>15061.99</v>
      </c>
      <c r="E6" s="39">
        <f>IFERROR('Data Sheet'!D17,0)</f>
        <v>16824.55</v>
      </c>
      <c r="F6" s="39">
        <f>IFERROR('Data Sheet'!E17,0)</f>
        <v>19240.13</v>
      </c>
      <c r="G6" s="39">
        <f>IFERROR('Data Sheet'!F17,0)</f>
        <v>20211.25</v>
      </c>
      <c r="H6" s="39">
        <f>IFERROR('Data Sheet'!G17,0)</f>
        <v>21712.79</v>
      </c>
      <c r="I6" s="39">
        <f>IFERROR('Data Sheet'!H17,0)</f>
        <v>29101.279999999999</v>
      </c>
      <c r="J6" s="39">
        <f>IFERROR('Data Sheet'!I17,0)</f>
        <v>34488.589999999997</v>
      </c>
      <c r="K6" s="39">
        <f>IFERROR('Data Sheet'!J17,0)</f>
        <v>35494.730000000003</v>
      </c>
      <c r="L6" s="39">
        <f>IFERROR('Data Sheet'!K17,0)</f>
        <v>33905.620000000003</v>
      </c>
    </row>
    <row r="7" spans="1:13" x14ac:dyDescent="0.3">
      <c r="B7" s="69" t="s">
        <v>179</v>
      </c>
      <c r="C7" s="70" t="s">
        <v>184</v>
      </c>
      <c r="D7" s="71">
        <f>D6/C6-1</f>
        <v>5.5390151974320734E-2</v>
      </c>
      <c r="E7" s="71">
        <f t="shared" ref="E7:L7" si="0">E6/D6-1</f>
        <v>0.11702039371955486</v>
      </c>
      <c r="F7" s="71">
        <f t="shared" si="0"/>
        <v>0.14357471670861943</v>
      </c>
      <c r="G7" s="71">
        <f t="shared" si="0"/>
        <v>5.0473671435691925E-2</v>
      </c>
      <c r="H7" s="71">
        <f t="shared" si="0"/>
        <v>7.4292287711052118E-2</v>
      </c>
      <c r="I7" s="71">
        <f t="shared" si="0"/>
        <v>0.34028284711453471</v>
      </c>
      <c r="J7" s="71">
        <f t="shared" si="0"/>
        <v>0.18512278497715551</v>
      </c>
      <c r="K7" s="71">
        <f t="shared" si="0"/>
        <v>2.9173126532572313E-2</v>
      </c>
      <c r="L7" s="71">
        <f t="shared" si="0"/>
        <v>-4.4770308155605121E-2</v>
      </c>
    </row>
    <row r="9" spans="1:13" x14ac:dyDescent="0.3">
      <c r="B9" t="s">
        <v>8</v>
      </c>
      <c r="C9" s="39">
        <f>IFERROR(SUM('Data Sheet'!B18,'Data Sheet'!B20:B22)-1*'Data Sheet'!B19,0)</f>
        <v>9413.8399999999983</v>
      </c>
      <c r="D9" s="39">
        <f>IFERROR(SUM('Data Sheet'!C18,'Data Sheet'!C20:C22)-1*'Data Sheet'!C19,0)</f>
        <v>9732.66</v>
      </c>
      <c r="E9" s="39">
        <f>IFERROR(SUM('Data Sheet'!D18,'Data Sheet'!D20:D22)-1*'Data Sheet'!D19,0)</f>
        <v>11194.169999999998</v>
      </c>
      <c r="F9" s="39">
        <f>IFERROR(SUM('Data Sheet'!E18,'Data Sheet'!E20:E22)-1*'Data Sheet'!E19,0)</f>
        <v>12905.81</v>
      </c>
      <c r="G9" s="39">
        <f>IFERROR(SUM('Data Sheet'!F18,'Data Sheet'!F20:F22)-1*'Data Sheet'!F19,0)</f>
        <v>13158.020000000002</v>
      </c>
      <c r="H9" s="39">
        <f>IFERROR(SUM('Data Sheet'!G18,'Data Sheet'!G20:G22)-1*'Data Sheet'!G19,0)</f>
        <v>14035.069999999998</v>
      </c>
      <c r="I9" s="39">
        <f>IFERROR(SUM('Data Sheet'!H18,'Data Sheet'!H20:H22)-1*'Data Sheet'!H19,0)</f>
        <v>20590.57</v>
      </c>
      <c r="J9" s="39">
        <f>IFERROR(SUM('Data Sheet'!I18,'Data Sheet'!I20:I22)-1*'Data Sheet'!I19,0)</f>
        <v>23766.7</v>
      </c>
      <c r="K9" s="39">
        <f>IFERROR(SUM('Data Sheet'!J18,'Data Sheet'!J20:J22)-1*'Data Sheet'!J19,0)</f>
        <v>23009.99</v>
      </c>
      <c r="L9" s="39">
        <f>IFERROR(SUM('Data Sheet'!K18,'Data Sheet'!K20:K22)-1*'Data Sheet'!K19,0)</f>
        <v>22741.27</v>
      </c>
    </row>
    <row r="10" spans="1:13" x14ac:dyDescent="0.3">
      <c r="B10" s="69" t="s">
        <v>185</v>
      </c>
      <c r="C10" s="71">
        <f>C9/C6</f>
        <v>0.65962558919916547</v>
      </c>
      <c r="D10" s="71">
        <f t="shared" ref="D10:L10" si="1">D9/D6</f>
        <v>0.64617357998511482</v>
      </c>
      <c r="E10" s="71">
        <f t="shared" si="1"/>
        <v>0.66534736441687881</v>
      </c>
      <c r="F10" s="71">
        <f t="shared" si="1"/>
        <v>0.67077561326248825</v>
      </c>
      <c r="G10" s="71">
        <f t="shared" si="1"/>
        <v>0.65102455315727636</v>
      </c>
      <c r="H10" s="71">
        <f t="shared" si="1"/>
        <v>0.64639643270164715</v>
      </c>
      <c r="I10" s="71">
        <f t="shared" si="1"/>
        <v>0.70754860267314701</v>
      </c>
      <c r="J10" s="71">
        <f t="shared" si="1"/>
        <v>0.68911776329504926</v>
      </c>
      <c r="K10" s="71">
        <f t="shared" si="1"/>
        <v>0.64826496778535858</v>
      </c>
      <c r="L10" s="71">
        <f t="shared" si="1"/>
        <v>0.67072272974214886</v>
      </c>
    </row>
    <row r="12" spans="1:13" x14ac:dyDescent="0.3">
      <c r="B12" s="72" t="s">
        <v>186</v>
      </c>
      <c r="C12" s="73">
        <f>C6-C9</f>
        <v>4857.6500000000015</v>
      </c>
      <c r="D12" s="73">
        <f t="shared" ref="D12:L12" si="2">D6-D9</f>
        <v>5329.33</v>
      </c>
      <c r="E12" s="73">
        <f t="shared" si="2"/>
        <v>5630.380000000001</v>
      </c>
      <c r="F12" s="73">
        <f t="shared" si="2"/>
        <v>6334.3200000000015</v>
      </c>
      <c r="G12" s="73">
        <f t="shared" si="2"/>
        <v>7053.2299999999977</v>
      </c>
      <c r="H12" s="73">
        <f t="shared" si="2"/>
        <v>7677.720000000003</v>
      </c>
      <c r="I12" s="73">
        <f t="shared" si="2"/>
        <v>8510.7099999999991</v>
      </c>
      <c r="J12" s="73">
        <f t="shared" si="2"/>
        <v>10721.889999999996</v>
      </c>
      <c r="K12" s="73">
        <f t="shared" si="2"/>
        <v>12484.740000000002</v>
      </c>
      <c r="L12" s="73">
        <f t="shared" si="2"/>
        <v>11164.350000000002</v>
      </c>
    </row>
    <row r="13" spans="1:13" x14ac:dyDescent="0.3">
      <c r="B13" s="69" t="s">
        <v>187</v>
      </c>
      <c r="C13" s="71">
        <f>C12/C6</f>
        <v>0.34037441080083447</v>
      </c>
      <c r="D13" s="71">
        <f t="shared" ref="D13:L13" si="3">D12/D6</f>
        <v>0.35382642001488518</v>
      </c>
      <c r="E13" s="71">
        <f t="shared" si="3"/>
        <v>0.33465263558312119</v>
      </c>
      <c r="F13" s="71">
        <f t="shared" si="3"/>
        <v>0.3292243867375117</v>
      </c>
      <c r="G13" s="71">
        <f t="shared" si="3"/>
        <v>0.34897544684272364</v>
      </c>
      <c r="H13" s="71">
        <f t="shared" si="3"/>
        <v>0.35360356729835285</v>
      </c>
      <c r="I13" s="71">
        <f t="shared" si="3"/>
        <v>0.29245139732685294</v>
      </c>
      <c r="J13" s="71">
        <f t="shared" si="3"/>
        <v>0.31088223670495074</v>
      </c>
      <c r="K13" s="71">
        <f t="shared" si="3"/>
        <v>0.35173503221464147</v>
      </c>
      <c r="L13" s="71">
        <f t="shared" si="3"/>
        <v>0.32927727025785108</v>
      </c>
    </row>
    <row r="15" spans="1:13" x14ac:dyDescent="0.3">
      <c r="B15" t="s">
        <v>188</v>
      </c>
      <c r="C15" s="39">
        <f>IFERROR(SUM('Data Sheet'!B23:B24),0)</f>
        <v>2132.61</v>
      </c>
      <c r="D15" s="39">
        <f>IFERROR(SUM('Data Sheet'!C23:C24),0)</f>
        <v>2335.5699999999997</v>
      </c>
      <c r="E15" s="39">
        <f>IFERROR(SUM('Data Sheet'!D23:D24),0)</f>
        <v>2426.37</v>
      </c>
      <c r="F15" s="39">
        <f>IFERROR(SUM('Data Sheet'!E23:E24),0)</f>
        <v>2569.38</v>
      </c>
      <c r="G15" s="39">
        <f>IFERROR(SUM('Data Sheet'!F23:F24),0)</f>
        <v>2896.4100000000003</v>
      </c>
      <c r="H15" s="39">
        <f>IFERROR(SUM('Data Sheet'!G23:G24),0)</f>
        <v>2822.12</v>
      </c>
      <c r="I15" s="39">
        <f>IFERROR(SUM('Data Sheet'!H23:H24),0)</f>
        <v>3707.1</v>
      </c>
      <c r="J15" s="39">
        <f>IFERROR(SUM('Data Sheet'!I23:I24),0)</f>
        <v>4462.05</v>
      </c>
      <c r="K15" s="39">
        <f>IFERROR(SUM('Data Sheet'!J23:J24),0)</f>
        <v>4899.76</v>
      </c>
      <c r="L15" s="39">
        <f>IFERROR(SUM('Data Sheet'!K23:K24),0)</f>
        <v>5158.1400000000003</v>
      </c>
    </row>
    <row r="16" spans="1:13" x14ac:dyDescent="0.3">
      <c r="B16" s="69" t="s">
        <v>189</v>
      </c>
      <c r="C16" s="71">
        <f>C15/C6</f>
        <v>0.14943148893353111</v>
      </c>
      <c r="D16" s="71">
        <f t="shared" ref="D16:L16" si="4">D15/D6</f>
        <v>0.15506383950593511</v>
      </c>
      <c r="E16" s="71">
        <f t="shared" si="4"/>
        <v>0.14421604143944414</v>
      </c>
      <c r="F16" s="71">
        <f t="shared" si="4"/>
        <v>0.13354275672773522</v>
      </c>
      <c r="G16" s="71">
        <f t="shared" si="4"/>
        <v>0.14330682169583772</v>
      </c>
      <c r="H16" s="71">
        <f t="shared" si="4"/>
        <v>0.12997500551518251</v>
      </c>
      <c r="I16" s="71">
        <f t="shared" si="4"/>
        <v>0.1273861493377611</v>
      </c>
      <c r="J16" s="71">
        <f t="shared" si="4"/>
        <v>0.12937757095897515</v>
      </c>
      <c r="K16" s="71">
        <f t="shared" si="4"/>
        <v>0.1380419008681007</v>
      </c>
      <c r="L16" s="71">
        <f t="shared" si="4"/>
        <v>0.15213230137068723</v>
      </c>
    </row>
    <row r="18" spans="2:12" x14ac:dyDescent="0.3">
      <c r="B18" s="72" t="s">
        <v>9</v>
      </c>
      <c r="C18" s="73">
        <f>C12-C15</f>
        <v>2725.0400000000013</v>
      </c>
      <c r="D18" s="73">
        <f t="shared" ref="D18:L18" si="5">D12-D15</f>
        <v>2993.76</v>
      </c>
      <c r="E18" s="73">
        <f t="shared" si="5"/>
        <v>3204.0100000000011</v>
      </c>
      <c r="F18" s="73">
        <f t="shared" si="5"/>
        <v>3764.9400000000014</v>
      </c>
      <c r="G18" s="73">
        <f t="shared" si="5"/>
        <v>4156.8199999999979</v>
      </c>
      <c r="H18" s="73">
        <f t="shared" si="5"/>
        <v>4855.6000000000031</v>
      </c>
      <c r="I18" s="73">
        <f t="shared" si="5"/>
        <v>4803.6099999999988</v>
      </c>
      <c r="J18" s="73">
        <f t="shared" si="5"/>
        <v>6259.8399999999956</v>
      </c>
      <c r="K18" s="73">
        <f t="shared" si="5"/>
        <v>7584.9800000000014</v>
      </c>
      <c r="L18" s="73">
        <f t="shared" si="5"/>
        <v>6006.2100000000019</v>
      </c>
    </row>
    <row r="19" spans="2:12" x14ac:dyDescent="0.3">
      <c r="B19" s="69" t="s">
        <v>190</v>
      </c>
      <c r="C19" s="71">
        <f>C18/C6</f>
        <v>0.19094292186730338</v>
      </c>
      <c r="D19" s="71">
        <f t="shared" ref="D19:L19" si="6">D18/D6</f>
        <v>0.19876258050895004</v>
      </c>
      <c r="E19" s="71">
        <f t="shared" si="6"/>
        <v>0.19043659414367703</v>
      </c>
      <c r="F19" s="71">
        <f t="shared" si="6"/>
        <v>0.19568163000977651</v>
      </c>
      <c r="G19" s="71">
        <f t="shared" si="6"/>
        <v>0.20566862514688591</v>
      </c>
      <c r="H19" s="71">
        <f t="shared" si="6"/>
        <v>0.22362856178317034</v>
      </c>
      <c r="I19" s="71">
        <f t="shared" si="6"/>
        <v>0.16506524798909186</v>
      </c>
      <c r="J19" s="71">
        <f t="shared" si="6"/>
        <v>0.1815046657459756</v>
      </c>
      <c r="K19" s="71">
        <f t="shared" si="6"/>
        <v>0.21369313134654075</v>
      </c>
      <c r="L19" s="71">
        <f t="shared" si="6"/>
        <v>0.17714496888716388</v>
      </c>
    </row>
    <row r="21" spans="2:12" x14ac:dyDescent="0.3">
      <c r="B21" t="s">
        <v>85</v>
      </c>
      <c r="C21" s="39">
        <f>IFERROR('Data Sheet'!B27,0)</f>
        <v>49</v>
      </c>
      <c r="D21" s="39">
        <f>IFERROR('Data Sheet'!C27,0)</f>
        <v>37.33</v>
      </c>
      <c r="E21" s="39">
        <f>IFERROR('Data Sheet'!D27,0)</f>
        <v>41.47</v>
      </c>
      <c r="F21" s="39">
        <f>IFERROR('Data Sheet'!E27,0)</f>
        <v>110.47</v>
      </c>
      <c r="G21" s="39">
        <f>IFERROR('Data Sheet'!F27,0)</f>
        <v>102.33</v>
      </c>
      <c r="H21" s="39">
        <f>IFERROR('Data Sheet'!G27,0)</f>
        <v>91.63</v>
      </c>
      <c r="I21" s="39">
        <f>IFERROR('Data Sheet'!H27,0)</f>
        <v>95.41</v>
      </c>
      <c r="J21" s="39">
        <f>IFERROR('Data Sheet'!I27,0)</f>
        <v>144.44999999999999</v>
      </c>
      <c r="K21" s="39">
        <f>IFERROR('Data Sheet'!J27,0)</f>
        <v>205.17</v>
      </c>
      <c r="L21" s="39">
        <f>IFERROR('Data Sheet'!K27,0)</f>
        <v>227.02</v>
      </c>
    </row>
    <row r="22" spans="2:12" x14ac:dyDescent="0.3">
      <c r="B22" s="69" t="s">
        <v>191</v>
      </c>
      <c r="C22" s="71">
        <f>C21/C6</f>
        <v>3.4334186549547386E-3</v>
      </c>
      <c r="D22" s="71">
        <f t="shared" ref="D22:L22" si="7">D21/D6</f>
        <v>2.4784241657310885E-3</v>
      </c>
      <c r="E22" s="71">
        <f t="shared" si="7"/>
        <v>2.4648504714836358E-3</v>
      </c>
      <c r="F22" s="71">
        <f t="shared" si="7"/>
        <v>5.7416451967840128E-3</v>
      </c>
      <c r="G22" s="71">
        <f t="shared" si="7"/>
        <v>5.0630218319005502E-3</v>
      </c>
      <c r="H22" s="71">
        <f t="shared" si="7"/>
        <v>4.2200933182700148E-3</v>
      </c>
      <c r="I22" s="71">
        <f t="shared" si="7"/>
        <v>3.2785499469439143E-3</v>
      </c>
      <c r="J22" s="71">
        <f t="shared" si="7"/>
        <v>4.1883417095335005E-3</v>
      </c>
      <c r="K22" s="71">
        <f t="shared" si="7"/>
        <v>5.7802947085384216E-3</v>
      </c>
      <c r="L22" s="71">
        <f t="shared" si="7"/>
        <v>6.6956451467337858E-3</v>
      </c>
    </row>
    <row r="24" spans="2:12" x14ac:dyDescent="0.3">
      <c r="B24" t="s">
        <v>192</v>
      </c>
      <c r="C24" s="39">
        <f>IFERROR('Data Sheet'!B26,0)</f>
        <v>275.58</v>
      </c>
      <c r="D24" s="39">
        <f>IFERROR('Data Sheet'!C26,0)</f>
        <v>334.79</v>
      </c>
      <c r="E24" s="39">
        <f>IFERROR('Data Sheet'!D26,0)</f>
        <v>360.47</v>
      </c>
      <c r="F24" s="39">
        <f>IFERROR('Data Sheet'!E26,0)</f>
        <v>622.14</v>
      </c>
      <c r="G24" s="39">
        <f>IFERROR('Data Sheet'!F26,0)</f>
        <v>780.5</v>
      </c>
      <c r="H24" s="39">
        <f>IFERROR('Data Sheet'!G26,0)</f>
        <v>791.27</v>
      </c>
      <c r="I24" s="39">
        <f>IFERROR('Data Sheet'!H26,0)</f>
        <v>816.36</v>
      </c>
      <c r="J24" s="39">
        <f>IFERROR('Data Sheet'!I26,0)</f>
        <v>858.02</v>
      </c>
      <c r="K24" s="39">
        <f>IFERROR('Data Sheet'!J26,0)</f>
        <v>853</v>
      </c>
      <c r="L24" s="39">
        <f>IFERROR('Data Sheet'!K26,0)</f>
        <v>1026.3399999999999</v>
      </c>
    </row>
    <row r="25" spans="2:12" x14ac:dyDescent="0.3">
      <c r="B25" s="69" t="s">
        <v>193</v>
      </c>
      <c r="C25" s="71">
        <f t="shared" ref="C25:L25" si="8">C24/C6</f>
        <v>1.9309826794539322E-2</v>
      </c>
      <c r="D25" s="71">
        <f t="shared" si="8"/>
        <v>2.2227474590011016E-2</v>
      </c>
      <c r="E25" s="71">
        <f t="shared" si="8"/>
        <v>2.1425238713665449E-2</v>
      </c>
      <c r="F25" s="71">
        <f t="shared" si="8"/>
        <v>3.2335540352378074E-2</v>
      </c>
      <c r="G25" s="71">
        <f t="shared" si="8"/>
        <v>3.8617106809326486E-2</v>
      </c>
      <c r="H25" s="71">
        <f t="shared" si="8"/>
        <v>3.6442576011650275E-2</v>
      </c>
      <c r="I25" s="71">
        <f t="shared" si="8"/>
        <v>2.8052374328551871E-2</v>
      </c>
      <c r="J25" s="71">
        <f t="shared" si="8"/>
        <v>2.4878372818372688E-2</v>
      </c>
      <c r="K25" s="71">
        <f t="shared" si="8"/>
        <v>2.4031736542297968E-2</v>
      </c>
      <c r="L25" s="71">
        <f t="shared" si="8"/>
        <v>3.0270497929251843E-2</v>
      </c>
    </row>
    <row r="27" spans="2:12" x14ac:dyDescent="0.3">
      <c r="B27" s="72" t="s">
        <v>194</v>
      </c>
      <c r="C27" s="73">
        <f t="shared" ref="C27:L27" si="9">C18-C24</f>
        <v>2449.4600000000014</v>
      </c>
      <c r="D27" s="73">
        <f t="shared" si="9"/>
        <v>2658.9700000000003</v>
      </c>
      <c r="E27" s="73">
        <f t="shared" si="9"/>
        <v>2843.5400000000009</v>
      </c>
      <c r="F27" s="73">
        <f t="shared" si="9"/>
        <v>3142.8000000000015</v>
      </c>
      <c r="G27" s="73">
        <f t="shared" si="9"/>
        <v>3376.3199999999979</v>
      </c>
      <c r="H27" s="73">
        <f t="shared" si="9"/>
        <v>4064.3300000000031</v>
      </c>
      <c r="I27" s="73">
        <f t="shared" si="9"/>
        <v>3987.2499999999986</v>
      </c>
      <c r="J27" s="73">
        <f t="shared" si="9"/>
        <v>5401.8199999999961</v>
      </c>
      <c r="K27" s="73">
        <f t="shared" si="9"/>
        <v>6731.9800000000014</v>
      </c>
      <c r="L27" s="73">
        <f t="shared" si="9"/>
        <v>4979.8700000000017</v>
      </c>
    </row>
    <row r="28" spans="2:12" x14ac:dyDescent="0.3">
      <c r="B28" s="69" t="s">
        <v>195</v>
      </c>
      <c r="C28" s="71">
        <f t="shared" ref="C28:L28" si="10">IFERROR(C27/C6,0)</f>
        <v>0.17163309507276406</v>
      </c>
      <c r="D28" s="71">
        <f t="shared" si="10"/>
        <v>0.17653510591893901</v>
      </c>
      <c r="E28" s="71">
        <f t="shared" si="10"/>
        <v>0.16901135543001156</v>
      </c>
      <c r="F28" s="71">
        <f t="shared" si="10"/>
        <v>0.16334608965739844</v>
      </c>
      <c r="G28" s="71">
        <f t="shared" si="10"/>
        <v>0.16705151833755943</v>
      </c>
      <c r="H28" s="71">
        <f t="shared" si="10"/>
        <v>0.18718598577152007</v>
      </c>
      <c r="I28" s="71">
        <f t="shared" si="10"/>
        <v>0.13701287366053996</v>
      </c>
      <c r="J28" s="71">
        <f t="shared" si="10"/>
        <v>0.15662629292760291</v>
      </c>
      <c r="K28" s="71">
        <f t="shared" si="10"/>
        <v>0.18966139480424279</v>
      </c>
      <c r="L28" s="71">
        <f t="shared" si="10"/>
        <v>0.14687447095791203</v>
      </c>
    </row>
    <row r="30" spans="2:12" x14ac:dyDescent="0.3">
      <c r="B30" s="72" t="s">
        <v>196</v>
      </c>
      <c r="C30" s="73">
        <f t="shared" ref="C30:L30" si="11">IFERROR(C18-SUM(C21,C24),0)</f>
        <v>2400.4600000000014</v>
      </c>
      <c r="D30" s="73">
        <f t="shared" si="11"/>
        <v>2621.6400000000003</v>
      </c>
      <c r="E30" s="73">
        <f t="shared" si="11"/>
        <v>2802.0700000000011</v>
      </c>
      <c r="F30" s="73">
        <f t="shared" si="11"/>
        <v>3032.3300000000013</v>
      </c>
      <c r="G30" s="73">
        <f t="shared" si="11"/>
        <v>3273.989999999998</v>
      </c>
      <c r="H30" s="73">
        <f t="shared" si="11"/>
        <v>3972.700000000003</v>
      </c>
      <c r="I30" s="73">
        <f t="shared" si="11"/>
        <v>3891.8399999999988</v>
      </c>
      <c r="J30" s="73">
        <f t="shared" si="11"/>
        <v>5257.3699999999953</v>
      </c>
      <c r="K30" s="73">
        <f t="shared" si="11"/>
        <v>6526.8100000000013</v>
      </c>
      <c r="L30" s="73">
        <f t="shared" si="11"/>
        <v>4752.8500000000022</v>
      </c>
    </row>
    <row r="31" spans="2:12" x14ac:dyDescent="0.3">
      <c r="B31" s="69" t="s">
        <v>197</v>
      </c>
      <c r="C31" s="71">
        <f>C30/C6</f>
        <v>0.16819967641780931</v>
      </c>
      <c r="D31" s="71">
        <f t="shared" ref="D31:L31" si="12">D30/D6</f>
        <v>0.17405668175320793</v>
      </c>
      <c r="E31" s="71">
        <f t="shared" si="12"/>
        <v>0.16654650495852794</v>
      </c>
      <c r="F31" s="71">
        <f t="shared" si="12"/>
        <v>0.15760444446061442</v>
      </c>
      <c r="G31" s="71">
        <f t="shared" si="12"/>
        <v>0.16198849650565889</v>
      </c>
      <c r="H31" s="71">
        <f t="shared" si="12"/>
        <v>0.18296589245325004</v>
      </c>
      <c r="I31" s="71">
        <f t="shared" si="12"/>
        <v>0.13373432371359606</v>
      </c>
      <c r="J31" s="71">
        <f t="shared" si="12"/>
        <v>0.15243795121806938</v>
      </c>
      <c r="K31" s="71">
        <f t="shared" si="12"/>
        <v>0.18388110009570438</v>
      </c>
      <c r="L31" s="71">
        <f t="shared" si="12"/>
        <v>0.14017882581117827</v>
      </c>
    </row>
    <row r="33" spans="2:12" x14ac:dyDescent="0.3">
      <c r="B33" t="s">
        <v>198</v>
      </c>
      <c r="C33" s="39">
        <f>IFERROR('Data Sheet'!B29,0)</f>
        <v>844.49</v>
      </c>
      <c r="D33" s="39">
        <f>IFERROR('Data Sheet'!C29,0)</f>
        <v>943.29</v>
      </c>
      <c r="E33" s="39">
        <f>IFERROR('Data Sheet'!D29,0)</f>
        <v>1040.96</v>
      </c>
      <c r="F33" s="39">
        <f>IFERROR('Data Sheet'!E29,0)</f>
        <v>1098.06</v>
      </c>
      <c r="G33" s="39">
        <f>IFERROR('Data Sheet'!F29,0)</f>
        <v>854.85</v>
      </c>
      <c r="H33" s="39">
        <f>IFERROR('Data Sheet'!G29,0)</f>
        <v>1097.5999999999999</v>
      </c>
      <c r="I33" s="39">
        <f>IFERROR('Data Sheet'!H29,0)</f>
        <v>1102.9100000000001</v>
      </c>
      <c r="J33" s="39">
        <f>IFERROR('Data Sheet'!I29,0)</f>
        <v>1493.5</v>
      </c>
      <c r="K33" s="39">
        <f>IFERROR('Data Sheet'!J29,0)</f>
        <v>1790.08</v>
      </c>
      <c r="L33" s="39">
        <f>IFERROR('Data Sheet'!K29,0)</f>
        <v>1393.36</v>
      </c>
    </row>
    <row r="34" spans="2:12" x14ac:dyDescent="0.3">
      <c r="B34" s="69" t="s">
        <v>199</v>
      </c>
      <c r="C34" s="71">
        <f>C33/C30</f>
        <v>0.35180340434749985</v>
      </c>
      <c r="D34" s="71">
        <f t="shared" ref="D34:L34" si="13">D33/D30</f>
        <v>0.35980912711127377</v>
      </c>
      <c r="E34" s="71">
        <f t="shared" si="13"/>
        <v>0.37149678630441052</v>
      </c>
      <c r="F34" s="71">
        <f t="shared" si="13"/>
        <v>0.36211757955103813</v>
      </c>
      <c r="G34" s="71">
        <f t="shared" si="13"/>
        <v>0.26110342426213901</v>
      </c>
      <c r="H34" s="71">
        <f t="shared" si="13"/>
        <v>0.2762856495582347</v>
      </c>
      <c r="I34" s="71">
        <f t="shared" si="13"/>
        <v>0.2833903757605658</v>
      </c>
      <c r="J34" s="71">
        <f t="shared" si="13"/>
        <v>0.28407739991668862</v>
      </c>
      <c r="K34" s="71">
        <f t="shared" si="13"/>
        <v>0.27426568262290452</v>
      </c>
      <c r="L34" s="71">
        <f t="shared" si="13"/>
        <v>0.29316304953869765</v>
      </c>
    </row>
    <row r="36" spans="2:12" x14ac:dyDescent="0.3">
      <c r="B36" s="72" t="s">
        <v>200</v>
      </c>
      <c r="C36" s="73">
        <f>C30-C33</f>
        <v>1555.9700000000014</v>
      </c>
      <c r="D36" s="73">
        <f t="shared" ref="D36:L36" si="14">D30-D33</f>
        <v>1678.3500000000004</v>
      </c>
      <c r="E36" s="73">
        <f t="shared" si="14"/>
        <v>1761.110000000001</v>
      </c>
      <c r="F36" s="73">
        <f t="shared" si="14"/>
        <v>1934.2700000000013</v>
      </c>
      <c r="G36" s="73">
        <f t="shared" si="14"/>
        <v>2419.1399999999981</v>
      </c>
      <c r="H36" s="73">
        <f t="shared" si="14"/>
        <v>2875.1000000000031</v>
      </c>
      <c r="I36" s="73">
        <f t="shared" si="14"/>
        <v>2788.9299999999985</v>
      </c>
      <c r="J36" s="73">
        <f t="shared" si="14"/>
        <v>3763.8699999999953</v>
      </c>
      <c r="K36" s="73">
        <f t="shared" si="14"/>
        <v>4736.7300000000014</v>
      </c>
      <c r="L36" s="73">
        <f t="shared" si="14"/>
        <v>3359.4900000000025</v>
      </c>
    </row>
    <row r="37" spans="2:12" x14ac:dyDescent="0.3">
      <c r="B37" s="69" t="s">
        <v>201</v>
      </c>
      <c r="C37" s="71">
        <f>C36/C6</f>
        <v>0.10902645764387611</v>
      </c>
      <c r="D37" s="71">
        <f t="shared" ref="D37:L37" si="15">D36/D6</f>
        <v>0.1114294990237014</v>
      </c>
      <c r="E37" s="71">
        <f t="shared" si="15"/>
        <v>0.10467501359620324</v>
      </c>
      <c r="F37" s="71">
        <f t="shared" si="15"/>
        <v>0.1005331045060507</v>
      </c>
      <c r="G37" s="71">
        <f t="shared" si="15"/>
        <v>0.1196927453769558</v>
      </c>
      <c r="H37" s="71">
        <f t="shared" si="15"/>
        <v>0.13241504200980173</v>
      </c>
      <c r="I37" s="71">
        <f t="shared" si="15"/>
        <v>9.5835303464314917E-2</v>
      </c>
      <c r="J37" s="71">
        <f t="shared" si="15"/>
        <v>0.10913377438741322</v>
      </c>
      <c r="K37" s="71">
        <f t="shared" si="15"/>
        <v>0.13344882465650537</v>
      </c>
      <c r="L37" s="71">
        <f t="shared" si="15"/>
        <v>9.9083573755619339E-2</v>
      </c>
    </row>
    <row r="39" spans="2:12" x14ac:dyDescent="0.3">
      <c r="B39" t="s">
        <v>202</v>
      </c>
      <c r="C39">
        <f>IFERROR('Data Sheet'!B93,0)</f>
        <v>95.92</v>
      </c>
      <c r="D39">
        <f>IFERROR('Data Sheet'!C93,0)</f>
        <v>95.92</v>
      </c>
      <c r="E39">
        <f>IFERROR('Data Sheet'!D93,0)</f>
        <v>95.92</v>
      </c>
      <c r="F39">
        <f>IFERROR('Data Sheet'!E93,0)</f>
        <v>95.92</v>
      </c>
      <c r="G39">
        <f>IFERROR('Data Sheet'!F93,0)</f>
        <v>95.92</v>
      </c>
      <c r="H39">
        <f>IFERROR('Data Sheet'!G93,0)</f>
        <v>95.92</v>
      </c>
      <c r="I39">
        <f>IFERROR('Data Sheet'!H93,0)</f>
        <v>95.92</v>
      </c>
      <c r="J39">
        <f>IFERROR('Data Sheet'!I93,0)</f>
        <v>95.92</v>
      </c>
      <c r="K39">
        <f>IFERROR('Data Sheet'!J93,0)</f>
        <v>95.92</v>
      </c>
      <c r="L39">
        <f>IFERROR('Data Sheet'!K93,0)</f>
        <v>95.92</v>
      </c>
    </row>
    <row r="41" spans="2:12" x14ac:dyDescent="0.3">
      <c r="B41" t="s">
        <v>203</v>
      </c>
      <c r="C41" s="39">
        <f>IFERROR(C36/C39,0)</f>
        <v>16.221538782318614</v>
      </c>
      <c r="D41" s="39">
        <f t="shared" ref="D41:L41" si="16">IFERROR(D36/D39,0)</f>
        <v>17.497393661384489</v>
      </c>
      <c r="E41" s="39">
        <f t="shared" si="16"/>
        <v>18.360195996663897</v>
      </c>
      <c r="F41" s="39">
        <f t="shared" si="16"/>
        <v>20.165450375312773</v>
      </c>
      <c r="G41" s="39">
        <f t="shared" si="16"/>
        <v>25.220391993327752</v>
      </c>
      <c r="H41" s="39">
        <f t="shared" si="16"/>
        <v>29.973936613844902</v>
      </c>
      <c r="I41" s="39">
        <f t="shared" si="16"/>
        <v>29.075583819849857</v>
      </c>
      <c r="J41" s="39">
        <f t="shared" si="16"/>
        <v>39.23967889908252</v>
      </c>
      <c r="K41" s="39">
        <f t="shared" si="16"/>
        <v>49.382089241034208</v>
      </c>
      <c r="L41" s="39">
        <f t="shared" si="16"/>
        <v>35.023874061718125</v>
      </c>
    </row>
    <row r="42" spans="2:12" x14ac:dyDescent="0.3">
      <c r="B42" s="69" t="s">
        <v>204</v>
      </c>
      <c r="C42" s="74" t="s">
        <v>184</v>
      </c>
      <c r="D42" s="71">
        <f>IFERROR(D41/C41,0)</f>
        <v>1.0786519020289584</v>
      </c>
      <c r="E42" s="71">
        <f>IFERROR(E41/D41,0)</f>
        <v>1.0493103345547716</v>
      </c>
      <c r="F42" s="71">
        <f t="shared" ref="F42:L42" si="17">IFERROR(F41/E41,0)</f>
        <v>1.0983243522551118</v>
      </c>
      <c r="G42" s="71">
        <f t="shared" si="17"/>
        <v>1.2506733806552324</v>
      </c>
      <c r="H42" s="71">
        <f t="shared" si="17"/>
        <v>1.1884802037087583</v>
      </c>
      <c r="I42" s="71">
        <f t="shared" si="17"/>
        <v>0.97002886856109194</v>
      </c>
      <c r="J42" s="71">
        <f t="shared" si="17"/>
        <v>1.3495749265847468</v>
      </c>
      <c r="K42" s="71">
        <f t="shared" si="17"/>
        <v>1.258473326655811</v>
      </c>
      <c r="L42" s="71">
        <f t="shared" si="17"/>
        <v>0.70924245207136605</v>
      </c>
    </row>
    <row r="44" spans="2:12" x14ac:dyDescent="0.3">
      <c r="B44" t="s">
        <v>205</v>
      </c>
      <c r="C44" s="39">
        <f>IFERROR('Data Sheet'!B31/HistoricalFS!C39,0)</f>
        <v>7.5</v>
      </c>
      <c r="D44" s="39">
        <f>IFERROR('Data Sheet'!C31/HistoricalFS!D39,0)</f>
        <v>10.300041701417848</v>
      </c>
      <c r="E44" s="39">
        <f>IFERROR('Data Sheet'!D31/HistoricalFS!E39,0)</f>
        <v>8.6999582985821515</v>
      </c>
      <c r="F44" s="39">
        <f>IFERROR('Data Sheet'!E31/HistoricalFS!F39,0)</f>
        <v>10.5</v>
      </c>
      <c r="G44" s="39">
        <f>IFERROR('Data Sheet'!F31/HistoricalFS!G39,0)</f>
        <v>12</v>
      </c>
      <c r="H44" s="39">
        <f>IFERROR('Data Sheet'!G31/HistoricalFS!H39,0)</f>
        <v>17.849979149291077</v>
      </c>
      <c r="I44" s="39">
        <f>IFERROR('Data Sheet'!H31/HistoricalFS!I39,0)</f>
        <v>19.150020850708923</v>
      </c>
      <c r="J44" s="39">
        <f>IFERROR('Data Sheet'!I31/HistoricalFS!J39,0)</f>
        <v>25.650020850708923</v>
      </c>
      <c r="K44" s="39">
        <f>IFERROR('Data Sheet'!J31/HistoricalFS!K39,0)</f>
        <v>33.300041701417847</v>
      </c>
      <c r="L44" s="39">
        <f>IFERROR('Data Sheet'!K31/HistoricalFS!L39,0)</f>
        <v>24.80004170141785</v>
      </c>
    </row>
    <row r="45" spans="2:12" x14ac:dyDescent="0.3">
      <c r="B45" s="69" t="s">
        <v>206</v>
      </c>
      <c r="C45" s="71">
        <f>IFERROR(C44/C41,0)</f>
        <v>0.46234824578880013</v>
      </c>
      <c r="D45" s="71">
        <f t="shared" ref="D45:L45" si="18">IFERROR(D44/D41,0)</f>
        <v>0.5886614830041409</v>
      </c>
      <c r="E45" s="71">
        <f t="shared" si="18"/>
        <v>0.47384887939992359</v>
      </c>
      <c r="F45" s="71">
        <f t="shared" si="18"/>
        <v>0.52069256101785133</v>
      </c>
      <c r="G45" s="71">
        <f t="shared" si="18"/>
        <v>0.47580545152409576</v>
      </c>
      <c r="H45" s="71">
        <f t="shared" si="18"/>
        <v>0.59551667768077576</v>
      </c>
      <c r="I45" s="71">
        <f t="shared" si="18"/>
        <v>0.65862893654555732</v>
      </c>
      <c r="J45" s="71">
        <f t="shared" si="18"/>
        <v>0.65367560516170931</v>
      </c>
      <c r="K45" s="71">
        <f t="shared" si="18"/>
        <v>0.67433440369199826</v>
      </c>
      <c r="L45" s="71">
        <f t="shared" si="18"/>
        <v>0.70808962074600557</v>
      </c>
    </row>
    <row r="47" spans="2:12" x14ac:dyDescent="0.3">
      <c r="B47" t="s">
        <v>207</v>
      </c>
      <c r="C47" s="7">
        <f>IFERROR(IF(C41&gt;C44,1-C45,0),0)</f>
        <v>0.53765175421119982</v>
      </c>
      <c r="D47" s="7">
        <f t="shared" ref="D47:L47" si="19">IFERROR(IF(D41&gt;D44,1-D45,0),0)</f>
        <v>0.4113385169958591</v>
      </c>
      <c r="E47" s="7">
        <f t="shared" si="19"/>
        <v>0.52615112060007641</v>
      </c>
      <c r="F47" s="7">
        <f t="shared" si="19"/>
        <v>0.47930743898214867</v>
      </c>
      <c r="G47" s="7">
        <f t="shared" si="19"/>
        <v>0.5241945484759043</v>
      </c>
      <c r="H47" s="7">
        <f t="shared" si="19"/>
        <v>0.40448332231922424</v>
      </c>
      <c r="I47" s="7">
        <f t="shared" si="19"/>
        <v>0.34137106345444268</v>
      </c>
      <c r="J47" s="7">
        <f t="shared" si="19"/>
        <v>0.34632439483829069</v>
      </c>
      <c r="K47" s="7">
        <f t="shared" si="19"/>
        <v>0.32566559630800174</v>
      </c>
      <c r="L47" s="7">
        <f t="shared" si="19"/>
        <v>0.29191037925399443</v>
      </c>
    </row>
    <row r="49" spans="1:13" x14ac:dyDescent="0.3">
      <c r="A49" s="36" t="s">
        <v>182</v>
      </c>
      <c r="B49" s="78" t="s">
        <v>208</v>
      </c>
      <c r="C49" s="78"/>
      <c r="D49" s="79"/>
      <c r="E49" s="79"/>
      <c r="F49" s="79"/>
      <c r="G49" s="79"/>
      <c r="H49" s="79"/>
      <c r="I49" s="79"/>
      <c r="J49" s="79"/>
      <c r="K49" s="79"/>
      <c r="L49" s="79"/>
    </row>
    <row r="50" spans="1:13" x14ac:dyDescent="0.3">
      <c r="B50" s="22" t="s">
        <v>36</v>
      </c>
      <c r="C50" s="39">
        <f>IFERROR('Data Sheet'!B57,0)</f>
        <v>95.92</v>
      </c>
      <c r="D50" s="39">
        <f>IFERROR('Data Sheet'!C57,0)</f>
        <v>95.92</v>
      </c>
      <c r="E50" s="39">
        <f>IFERROR('Data Sheet'!D57,0)</f>
        <v>95.92</v>
      </c>
      <c r="F50" s="39">
        <f>IFERROR('Data Sheet'!E57,0)</f>
        <v>95.92</v>
      </c>
      <c r="G50" s="39">
        <f>IFERROR('Data Sheet'!F57,0)</f>
        <v>95.92</v>
      </c>
      <c r="H50" s="39">
        <f>IFERROR('Data Sheet'!G57,0)</f>
        <v>95.92</v>
      </c>
      <c r="I50" s="39">
        <f>IFERROR('Data Sheet'!H57,0)</f>
        <v>95.92</v>
      </c>
      <c r="J50" s="39">
        <f>IFERROR('Data Sheet'!I57,0)</f>
        <v>95.92</v>
      </c>
      <c r="K50" s="39">
        <f>IFERROR('Data Sheet'!J57,0)</f>
        <v>95.92</v>
      </c>
      <c r="L50" s="39">
        <f>IFERROR('Data Sheet'!K57,0)</f>
        <v>95.92</v>
      </c>
    </row>
    <row r="51" spans="1:13" x14ac:dyDescent="0.3">
      <c r="B51" s="22" t="s">
        <v>37</v>
      </c>
      <c r="C51" s="39">
        <f>IFERROR('Data Sheet'!B58,0)</f>
        <v>6428.9</v>
      </c>
      <c r="D51" s="39">
        <f>IFERROR('Data Sheet'!C58,0)</f>
        <v>7507.97</v>
      </c>
      <c r="E51" s="39">
        <f>IFERROR('Data Sheet'!D58,0)</f>
        <v>8314.31</v>
      </c>
      <c r="F51" s="39">
        <f>IFERROR('Data Sheet'!E58,0)</f>
        <v>9374.6299999999992</v>
      </c>
      <c r="G51" s="39">
        <f>IFERROR('Data Sheet'!F58,0)</f>
        <v>10034.24</v>
      </c>
      <c r="H51" s="39">
        <f>IFERROR('Data Sheet'!G58,0)</f>
        <v>12710.37</v>
      </c>
      <c r="I51" s="39">
        <f>IFERROR('Data Sheet'!H58,0)</f>
        <v>13715.64</v>
      </c>
      <c r="J51" s="39">
        <f>IFERROR('Data Sheet'!I58,0)</f>
        <v>15896.31</v>
      </c>
      <c r="K51" s="39">
        <f>IFERROR('Data Sheet'!J58,0)</f>
        <v>18632.38</v>
      </c>
      <c r="L51" s="39">
        <f>IFERROR('Data Sheet'!K58,0)</f>
        <v>19303.89</v>
      </c>
    </row>
    <row r="52" spans="1:13" x14ac:dyDescent="0.3">
      <c r="B52" s="22" t="s">
        <v>94</v>
      </c>
      <c r="C52" s="39">
        <f>IFERROR('Data Sheet'!B59,0)</f>
        <v>323.29000000000002</v>
      </c>
      <c r="D52" s="39">
        <f>IFERROR('Data Sheet'!C59,0)</f>
        <v>560.34</v>
      </c>
      <c r="E52" s="39">
        <f>IFERROR('Data Sheet'!D59,0)</f>
        <v>533.42999999999995</v>
      </c>
      <c r="F52" s="39">
        <f>IFERROR('Data Sheet'!E59,0)</f>
        <v>1319.6</v>
      </c>
      <c r="G52" s="39">
        <f>IFERROR('Data Sheet'!F59,0)</f>
        <v>1118.5</v>
      </c>
      <c r="H52" s="39">
        <f>IFERROR('Data Sheet'!G59,0)</f>
        <v>1093.1199999999999</v>
      </c>
      <c r="I52" s="39">
        <f>IFERROR('Data Sheet'!H59,0)</f>
        <v>1586.88</v>
      </c>
      <c r="J52" s="39">
        <f>IFERROR('Data Sheet'!I59,0)</f>
        <v>1932.62</v>
      </c>
      <c r="K52" s="39">
        <f>IFERROR('Data Sheet'!J59,0)</f>
        <v>2474.38</v>
      </c>
      <c r="L52" s="39">
        <f>IFERROR('Data Sheet'!K59,0)</f>
        <v>2290.29</v>
      </c>
    </row>
    <row r="53" spans="1:13" x14ac:dyDescent="0.3">
      <c r="B53" s="22" t="s">
        <v>95</v>
      </c>
      <c r="C53" s="39">
        <f>IFERROR('Data Sheet'!B60,0)</f>
        <v>3710.92</v>
      </c>
      <c r="D53" s="39">
        <f>IFERROR('Data Sheet'!C60,0)</f>
        <v>4240.96</v>
      </c>
      <c r="E53" s="39">
        <f>IFERROR('Data Sheet'!D60,0)</f>
        <v>4819.82</v>
      </c>
      <c r="F53" s="39">
        <f>IFERROR('Data Sheet'!E60,0)</f>
        <v>5458.69</v>
      </c>
      <c r="G53" s="39">
        <f>IFERROR('Data Sheet'!F60,0)</f>
        <v>4889.3100000000004</v>
      </c>
      <c r="H53" s="39">
        <f>IFERROR('Data Sheet'!G60,0)</f>
        <v>6455.93</v>
      </c>
      <c r="I53" s="39">
        <f>IFERROR('Data Sheet'!H60,0)</f>
        <v>7559.99</v>
      </c>
      <c r="J53" s="39">
        <f>IFERROR('Data Sheet'!I60,0)</f>
        <v>7854.48</v>
      </c>
      <c r="K53" s="39">
        <f>IFERROR('Data Sheet'!J60,0)</f>
        <v>8698.09</v>
      </c>
      <c r="L53" s="39">
        <f>IFERROR('Data Sheet'!K60,0)</f>
        <v>8665.15</v>
      </c>
      <c r="M53" s="39"/>
    </row>
    <row r="54" spans="1:13" x14ac:dyDescent="0.3">
      <c r="B54" s="75" t="s">
        <v>155</v>
      </c>
      <c r="C54" s="73">
        <f>SUM(C50:C53)</f>
        <v>10559.029999999999</v>
      </c>
      <c r="D54" s="73">
        <f t="shared" ref="D54:L54" si="20">SUM(D50:D53)</f>
        <v>12405.19</v>
      </c>
      <c r="E54" s="73">
        <f t="shared" si="20"/>
        <v>13763.48</v>
      </c>
      <c r="F54" s="73">
        <f t="shared" si="20"/>
        <v>16248.84</v>
      </c>
      <c r="G54" s="73">
        <f t="shared" si="20"/>
        <v>16137.970000000001</v>
      </c>
      <c r="H54" s="73">
        <f t="shared" si="20"/>
        <v>20355.34</v>
      </c>
      <c r="I54" s="73">
        <f t="shared" si="20"/>
        <v>22958.43</v>
      </c>
      <c r="J54" s="73">
        <f t="shared" si="20"/>
        <v>25779.329999999998</v>
      </c>
      <c r="K54" s="73">
        <f t="shared" si="20"/>
        <v>29900.77</v>
      </c>
      <c r="L54" s="73">
        <f t="shared" si="20"/>
        <v>30355.25</v>
      </c>
    </row>
    <row r="55" spans="1:13" x14ac:dyDescent="0.3">
      <c r="B55" s="17"/>
    </row>
    <row r="56" spans="1:13" x14ac:dyDescent="0.3">
      <c r="B56" s="22" t="s">
        <v>221</v>
      </c>
      <c r="C56" s="39">
        <f>IFERROR('Data Sheet'!B62,0)</f>
        <v>3416.35</v>
      </c>
      <c r="D56" s="39">
        <f>IFERROR('Data Sheet'!C62,0)</f>
        <v>3303.74</v>
      </c>
      <c r="E56" s="39">
        <f>IFERROR('Data Sheet'!D62,0)</f>
        <v>3732.24</v>
      </c>
      <c r="F56" s="39">
        <f>IFERROR('Data Sheet'!E62,0)</f>
        <v>6496.56</v>
      </c>
      <c r="G56" s="39">
        <f>IFERROR('Data Sheet'!F62,0)</f>
        <v>6272.31</v>
      </c>
      <c r="H56" s="39">
        <f>IFERROR('Data Sheet'!G62,0)</f>
        <v>5858.52</v>
      </c>
      <c r="I56" s="39">
        <f>IFERROR('Data Sheet'!H62,0)</f>
        <v>5519.06</v>
      </c>
      <c r="J56" s="39">
        <f>IFERROR('Data Sheet'!I62,0)</f>
        <v>5770.46</v>
      </c>
      <c r="K56" s="39">
        <f>IFERROR('Data Sheet'!J62,0)</f>
        <v>7146.62</v>
      </c>
      <c r="L56" s="39">
        <f>IFERROR('Data Sheet'!K62,0)</f>
        <v>9220.1</v>
      </c>
    </row>
    <row r="57" spans="1:13" x14ac:dyDescent="0.3">
      <c r="B57" s="22" t="s">
        <v>98</v>
      </c>
      <c r="C57" s="39">
        <f>IFERROR('Data Sheet'!B63,0)</f>
        <v>106.59</v>
      </c>
      <c r="D57" s="39">
        <f>IFERROR('Data Sheet'!C63,0)</f>
        <v>257.54000000000002</v>
      </c>
      <c r="E57" s="39">
        <f>IFERROR('Data Sheet'!D63,0)</f>
        <v>1405.11</v>
      </c>
      <c r="F57" s="39">
        <f>IFERROR('Data Sheet'!E63,0)</f>
        <v>209.67</v>
      </c>
      <c r="G57" s="39">
        <f>IFERROR('Data Sheet'!F63,0)</f>
        <v>140.24</v>
      </c>
      <c r="H57" s="39">
        <f>IFERROR('Data Sheet'!G63,0)</f>
        <v>182.98</v>
      </c>
      <c r="I57" s="39">
        <f>IFERROR('Data Sheet'!H63,0)</f>
        <v>426.43</v>
      </c>
      <c r="J57" s="39">
        <f>IFERROR('Data Sheet'!I63,0)</f>
        <v>1019.59</v>
      </c>
      <c r="K57" s="39">
        <f>IFERROR('Data Sheet'!J63,0)</f>
        <v>2698.37</v>
      </c>
      <c r="L57" s="39">
        <f>IFERROR('Data Sheet'!K63,0)</f>
        <v>1254.49</v>
      </c>
    </row>
    <row r="58" spans="1:13" x14ac:dyDescent="0.3">
      <c r="B58" s="22" t="s">
        <v>99</v>
      </c>
      <c r="C58" s="39">
        <f>IFERROR('Data Sheet'!B64,0)</f>
        <v>2712.13</v>
      </c>
      <c r="D58" s="39">
        <f>IFERROR('Data Sheet'!C64,0)</f>
        <v>2651.99</v>
      </c>
      <c r="E58" s="39">
        <f>IFERROR('Data Sheet'!D64,0)</f>
        <v>2140.6999999999998</v>
      </c>
      <c r="F58" s="39">
        <f>IFERROR('Data Sheet'!E64,0)</f>
        <v>2568.58</v>
      </c>
      <c r="G58" s="39">
        <f>IFERROR('Data Sheet'!F64,0)</f>
        <v>2018.85</v>
      </c>
      <c r="H58" s="39">
        <f>IFERROR('Data Sheet'!G64,0)</f>
        <v>4736.8</v>
      </c>
      <c r="I58" s="39">
        <f>IFERROR('Data Sheet'!H64,0)</f>
        <v>3247.53</v>
      </c>
      <c r="J58" s="39">
        <f>IFERROR('Data Sheet'!I64,0)</f>
        <v>4261.71</v>
      </c>
      <c r="K58" s="39">
        <f>IFERROR('Data Sheet'!J64,0)</f>
        <v>4587.92</v>
      </c>
      <c r="L58" s="39">
        <f>IFERROR('Data Sheet'!K64,0)</f>
        <v>4724.75</v>
      </c>
    </row>
    <row r="59" spans="1:13" x14ac:dyDescent="0.3">
      <c r="B59" s="22" t="s">
        <v>100</v>
      </c>
      <c r="C59" s="39">
        <f>IFERROR('Data Sheet'!B65-SUM('Data Sheet'!B67:B69),0)</f>
        <v>714.68000000000029</v>
      </c>
      <c r="D59" s="39">
        <f>IFERROR('Data Sheet'!C65-SUM('Data Sheet'!C67:C69),0)</f>
        <v>1317.17</v>
      </c>
      <c r="E59" s="39">
        <f>IFERROR('Data Sheet'!D65-SUM('Data Sheet'!D67:D69),0)</f>
        <v>1691.8400000000001</v>
      </c>
      <c r="F59" s="39">
        <f>IFERROR('Data Sheet'!E65-SUM('Data Sheet'!E67:E69),0)</f>
        <v>1471.9599999999991</v>
      </c>
      <c r="G59" s="39">
        <f>IFERROR('Data Sheet'!F65-SUM('Data Sheet'!F67:F69),0)</f>
        <v>1738.71</v>
      </c>
      <c r="H59" s="39">
        <f>IFERROR('Data Sheet'!G65-SUM('Data Sheet'!G67:G69),0)</f>
        <v>2565.5200000000004</v>
      </c>
      <c r="I59" s="39">
        <f>IFERROR('Data Sheet'!H65-SUM('Data Sheet'!H67:H69),0)</f>
        <v>2876.66</v>
      </c>
      <c r="J59" s="39">
        <f>IFERROR('Data Sheet'!I65-SUM('Data Sheet'!I67:I69),0)</f>
        <v>3036.17</v>
      </c>
      <c r="K59" s="39">
        <f>IFERROR('Data Sheet'!J65-SUM('Data Sheet'!J67:J69),0)</f>
        <v>3571.3900000000012</v>
      </c>
      <c r="L59" s="39">
        <f>IFERROR('Data Sheet'!K65-SUM('Data Sheet'!K67:K69),0)</f>
        <v>3341.01</v>
      </c>
    </row>
    <row r="60" spans="1:13" x14ac:dyDescent="0.3">
      <c r="B60" s="75" t="s">
        <v>209</v>
      </c>
      <c r="C60" s="73">
        <f>SUM(C56:C59)</f>
        <v>6949.75</v>
      </c>
      <c r="D60" s="73">
        <f t="shared" ref="D60:L60" si="21">SUM(D56:D59)</f>
        <v>7530.44</v>
      </c>
      <c r="E60" s="73">
        <f t="shared" si="21"/>
        <v>8969.89</v>
      </c>
      <c r="F60" s="73">
        <f t="shared" si="21"/>
        <v>10746.77</v>
      </c>
      <c r="G60" s="73">
        <f t="shared" si="21"/>
        <v>10170.11</v>
      </c>
      <c r="H60" s="73">
        <f t="shared" si="21"/>
        <v>13343.82</v>
      </c>
      <c r="I60" s="73">
        <f t="shared" si="21"/>
        <v>12069.68</v>
      </c>
      <c r="J60" s="73">
        <f t="shared" si="21"/>
        <v>14087.93</v>
      </c>
      <c r="K60" s="73">
        <f t="shared" si="21"/>
        <v>18004.300000000003</v>
      </c>
      <c r="L60" s="73">
        <f t="shared" si="21"/>
        <v>18540.349999999999</v>
      </c>
    </row>
    <row r="61" spans="1:13" x14ac:dyDescent="0.3">
      <c r="B61" s="17"/>
    </row>
    <row r="62" spans="1:13" x14ac:dyDescent="0.3">
      <c r="B62" s="22" t="s">
        <v>101</v>
      </c>
      <c r="C62" s="39">
        <f>IFERROR('Data Sheet'!B67,0)</f>
        <v>1186.8399999999999</v>
      </c>
      <c r="D62" s="39">
        <f>IFERROR('Data Sheet'!C67,0)</f>
        <v>1446.6</v>
      </c>
      <c r="E62" s="39">
        <f>IFERROR('Data Sheet'!D67,0)</f>
        <v>1730.63</v>
      </c>
      <c r="F62" s="39">
        <f>IFERROR('Data Sheet'!E67,0)</f>
        <v>1907.33</v>
      </c>
      <c r="G62" s="39">
        <f>IFERROR('Data Sheet'!F67,0)</f>
        <v>1795.22</v>
      </c>
      <c r="H62" s="39">
        <f>IFERROR('Data Sheet'!G67,0)</f>
        <v>2602.17</v>
      </c>
      <c r="I62" s="39">
        <f>IFERROR('Data Sheet'!H67,0)</f>
        <v>3871.44</v>
      </c>
      <c r="J62" s="39">
        <f>IFERROR('Data Sheet'!I67,0)</f>
        <v>4636.9399999999996</v>
      </c>
      <c r="K62" s="39">
        <f>IFERROR('Data Sheet'!J67,0)</f>
        <v>4889.05</v>
      </c>
      <c r="L62" s="39">
        <f>IFERROR('Data Sheet'!K67,0)</f>
        <v>4313.6499999999996</v>
      </c>
    </row>
    <row r="63" spans="1:13" x14ac:dyDescent="0.3">
      <c r="B63" s="22" t="s">
        <v>102</v>
      </c>
      <c r="C63" s="39">
        <f>IFERROR('Data Sheet'!B68,0)</f>
        <v>1998.24</v>
      </c>
      <c r="D63" s="39">
        <f>IFERROR('Data Sheet'!C68,0)</f>
        <v>2626.94</v>
      </c>
      <c r="E63" s="39">
        <f>IFERROR('Data Sheet'!D68,0)</f>
        <v>2658.31</v>
      </c>
      <c r="F63" s="39">
        <f>IFERROR('Data Sheet'!E68,0)</f>
        <v>3149.86</v>
      </c>
      <c r="G63" s="39">
        <f>IFERROR('Data Sheet'!F68,0)</f>
        <v>3389.81</v>
      </c>
      <c r="H63" s="39">
        <f>IFERROR('Data Sheet'!G68,0)</f>
        <v>3798.6</v>
      </c>
      <c r="I63" s="39">
        <f>IFERROR('Data Sheet'!H68,0)</f>
        <v>6152.98</v>
      </c>
      <c r="J63" s="39">
        <f>IFERROR('Data Sheet'!I68,0)</f>
        <v>6210.64</v>
      </c>
      <c r="K63" s="39">
        <f>IFERROR('Data Sheet'!J68,0)</f>
        <v>5923.41</v>
      </c>
      <c r="L63" s="39">
        <f>IFERROR('Data Sheet'!K68,0)</f>
        <v>6719.27</v>
      </c>
    </row>
    <row r="64" spans="1:13" x14ac:dyDescent="0.3">
      <c r="B64" s="18" t="s">
        <v>103</v>
      </c>
      <c r="C64" s="39">
        <f>IFERROR('Data Sheet'!B69,0)</f>
        <v>424.2</v>
      </c>
      <c r="D64" s="39">
        <f>IFERROR('Data Sheet'!C69,0)</f>
        <v>801.21</v>
      </c>
      <c r="E64" s="39">
        <f>IFERROR('Data Sheet'!D69,0)</f>
        <v>404.65</v>
      </c>
      <c r="F64" s="39">
        <f>IFERROR('Data Sheet'!E69,0)</f>
        <v>444.88</v>
      </c>
      <c r="G64" s="39">
        <f>IFERROR('Data Sheet'!F69,0)</f>
        <v>782.83</v>
      </c>
      <c r="H64" s="39">
        <f>IFERROR('Data Sheet'!G69,0)</f>
        <v>610.75</v>
      </c>
      <c r="I64" s="39">
        <f>IFERROR('Data Sheet'!H69,0)</f>
        <v>864.33</v>
      </c>
      <c r="J64" s="39">
        <f>IFERROR('Data Sheet'!I69,0)</f>
        <v>843.82</v>
      </c>
      <c r="K64" s="39">
        <f>IFERROR('Data Sheet'!J69,0)</f>
        <v>1084.01</v>
      </c>
      <c r="L64" s="39">
        <f>IFERROR('Data Sheet'!K69,0)</f>
        <v>781.98</v>
      </c>
    </row>
    <row r="65" spans="1:12" x14ac:dyDescent="0.3">
      <c r="B65" s="76" t="s">
        <v>210</v>
      </c>
      <c r="C65" s="73">
        <f>SUM(C62:C64)</f>
        <v>3609.2799999999997</v>
      </c>
      <c r="D65" s="73">
        <f t="shared" ref="D65:L65" si="22">SUM(D62:D64)</f>
        <v>4874.75</v>
      </c>
      <c r="E65" s="73">
        <f t="shared" si="22"/>
        <v>4793.59</v>
      </c>
      <c r="F65" s="73">
        <f t="shared" si="22"/>
        <v>5502.0700000000006</v>
      </c>
      <c r="G65" s="73">
        <f t="shared" si="22"/>
        <v>5967.86</v>
      </c>
      <c r="H65" s="73">
        <f t="shared" si="22"/>
        <v>7011.52</v>
      </c>
      <c r="I65" s="73">
        <f t="shared" si="22"/>
        <v>10888.75</v>
      </c>
      <c r="J65" s="73">
        <f t="shared" si="22"/>
        <v>11691.4</v>
      </c>
      <c r="K65" s="73">
        <f t="shared" si="22"/>
        <v>11896.47</v>
      </c>
      <c r="L65" s="73">
        <f t="shared" si="22"/>
        <v>11814.9</v>
      </c>
    </row>
    <row r="67" spans="1:12" x14ac:dyDescent="0.3">
      <c r="B67" s="76" t="s">
        <v>173</v>
      </c>
      <c r="C67" s="73">
        <f>SUM(C65,C60)</f>
        <v>10559.029999999999</v>
      </c>
      <c r="D67" s="73">
        <f t="shared" ref="D67:L67" si="23">SUM(D65,D60)</f>
        <v>12405.189999999999</v>
      </c>
      <c r="E67" s="73">
        <f t="shared" si="23"/>
        <v>13763.48</v>
      </c>
      <c r="F67" s="73">
        <f t="shared" si="23"/>
        <v>16248.84</v>
      </c>
      <c r="G67" s="73">
        <f t="shared" si="23"/>
        <v>16137.970000000001</v>
      </c>
      <c r="H67" s="73">
        <f t="shared" si="23"/>
        <v>20355.34</v>
      </c>
      <c r="I67" s="73">
        <f t="shared" si="23"/>
        <v>22958.43</v>
      </c>
      <c r="J67" s="73">
        <f t="shared" si="23"/>
        <v>25779.33</v>
      </c>
      <c r="K67" s="73">
        <f t="shared" si="23"/>
        <v>29900.770000000004</v>
      </c>
      <c r="L67" s="73">
        <f t="shared" si="23"/>
        <v>30355.25</v>
      </c>
    </row>
    <row r="69" spans="1:12" x14ac:dyDescent="0.3">
      <c r="B69" s="77" t="s">
        <v>211</v>
      </c>
      <c r="C69" s="77" t="b">
        <f>C67=C54</f>
        <v>1</v>
      </c>
      <c r="D69" s="77" t="b">
        <f t="shared" ref="D69:L69" si="24">D67=D54</f>
        <v>1</v>
      </c>
      <c r="E69" s="77" t="b">
        <f t="shared" si="24"/>
        <v>1</v>
      </c>
      <c r="F69" s="77" t="b">
        <f t="shared" si="24"/>
        <v>1</v>
      </c>
      <c r="G69" s="77" t="b">
        <f t="shared" si="24"/>
        <v>1</v>
      </c>
      <c r="H69" s="77" t="b">
        <f t="shared" si="24"/>
        <v>1</v>
      </c>
      <c r="I69" s="77" t="b">
        <f t="shared" si="24"/>
        <v>1</v>
      </c>
      <c r="J69" s="77" t="b">
        <f t="shared" si="24"/>
        <v>1</v>
      </c>
      <c r="K69" s="77" t="b">
        <f t="shared" si="24"/>
        <v>1</v>
      </c>
      <c r="L69" s="77" t="b">
        <f t="shared" si="24"/>
        <v>1</v>
      </c>
    </row>
    <row r="70" spans="1:12" x14ac:dyDescent="0.3"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</row>
    <row r="71" spans="1:12" x14ac:dyDescent="0.3">
      <c r="A71" s="36" t="s">
        <v>182</v>
      </c>
      <c r="B71" s="78" t="s">
        <v>212</v>
      </c>
      <c r="C71" s="78"/>
      <c r="D71" s="79"/>
      <c r="E71" s="79"/>
      <c r="F71" s="79"/>
      <c r="G71" s="79"/>
      <c r="H71" s="79"/>
      <c r="I71" s="79"/>
      <c r="J71" s="79"/>
      <c r="K71" s="79"/>
      <c r="L71" s="79"/>
    </row>
    <row r="72" spans="1:12" x14ac:dyDescent="0.3"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</row>
    <row r="73" spans="1:12" x14ac:dyDescent="0.3">
      <c r="B73" s="36" t="s">
        <v>213</v>
      </c>
      <c r="C73" s="39">
        <f>IFERROR('Data Sheet'!B82,0)</f>
        <v>2242.9499999999998</v>
      </c>
      <c r="D73" s="39">
        <f>IFERROR('Data Sheet'!C82,0)</f>
        <v>1527.33</v>
      </c>
      <c r="E73" s="39">
        <f>IFERROR('Data Sheet'!D82,0)</f>
        <v>2113.44</v>
      </c>
      <c r="F73" s="39">
        <f>IFERROR('Data Sheet'!E82,0)</f>
        <v>2469.54</v>
      </c>
      <c r="G73" s="39">
        <f>IFERROR('Data Sheet'!F82,0)</f>
        <v>3038.15</v>
      </c>
      <c r="H73" s="39">
        <f>IFERROR('Data Sheet'!G82,0)</f>
        <v>3683.35</v>
      </c>
      <c r="I73" s="39">
        <f>IFERROR('Data Sheet'!H82,0)</f>
        <v>986.49</v>
      </c>
      <c r="J73" s="39">
        <f>IFERROR('Data Sheet'!I82,0)</f>
        <v>4193.43</v>
      </c>
      <c r="K73" s="39">
        <f>IFERROR('Data Sheet'!J82,0)</f>
        <v>6103.6</v>
      </c>
      <c r="L73" s="39">
        <f>IFERROR('Data Sheet'!K82,0)</f>
        <v>4423.96</v>
      </c>
    </row>
    <row r="74" spans="1:12" x14ac:dyDescent="0.3">
      <c r="B74" s="36" t="s">
        <v>214</v>
      </c>
      <c r="C74" s="39">
        <f>IFERROR('Data Sheet'!B83,0)</f>
        <v>-866.21</v>
      </c>
      <c r="D74" s="39">
        <f>IFERROR('Data Sheet'!C83,0)</f>
        <v>-681.11</v>
      </c>
      <c r="E74" s="39">
        <f>IFERROR('Data Sheet'!D83,0)</f>
        <v>-1556.14</v>
      </c>
      <c r="F74" s="39">
        <f>IFERROR('Data Sheet'!E83,0)</f>
        <v>-917.79</v>
      </c>
      <c r="G74" s="39">
        <f>IFERROR('Data Sheet'!F83,0)</f>
        <v>-517.91</v>
      </c>
      <c r="H74" s="39">
        <f>IFERROR('Data Sheet'!G83,0)</f>
        <v>-540.54</v>
      </c>
      <c r="I74" s="39">
        <f>IFERROR('Data Sheet'!H83,0)</f>
        <v>-316.75</v>
      </c>
      <c r="J74" s="39">
        <f>IFERROR('Data Sheet'!I83,0)</f>
        <v>-1282.3399999999999</v>
      </c>
      <c r="K74" s="39">
        <f>IFERROR('Data Sheet'!J83,0)</f>
        <v>-2548.48</v>
      </c>
      <c r="L74" s="39">
        <f>IFERROR('Data Sheet'!K83,0)</f>
        <v>-940.91</v>
      </c>
    </row>
    <row r="75" spans="1:12" x14ac:dyDescent="0.3">
      <c r="B75" s="36" t="s">
        <v>215</v>
      </c>
      <c r="C75" s="39">
        <f>IFERROR('Data Sheet'!B84,0)</f>
        <v>-848.98</v>
      </c>
      <c r="D75" s="39">
        <f>IFERROR('Data Sheet'!C84,0)</f>
        <v>-756.43</v>
      </c>
      <c r="E75" s="39">
        <f>IFERROR('Data Sheet'!D84,0)</f>
        <v>-1379.14</v>
      </c>
      <c r="F75" s="39">
        <f>IFERROR('Data Sheet'!E84,0)</f>
        <v>-1117.46</v>
      </c>
      <c r="G75" s="39">
        <f>IFERROR('Data Sheet'!F84,0)</f>
        <v>-2871.46</v>
      </c>
      <c r="H75" s="39">
        <f>IFERROR('Data Sheet'!G84,0)</f>
        <v>-650.4</v>
      </c>
      <c r="I75" s="39">
        <f>IFERROR('Data Sheet'!H84,0)</f>
        <v>-1807.61</v>
      </c>
      <c r="J75" s="39">
        <f>IFERROR('Data Sheet'!I84,0)</f>
        <v>-2140.0500000000002</v>
      </c>
      <c r="K75" s="39">
        <f>IFERROR('Data Sheet'!J84,0)</f>
        <v>-2982.5</v>
      </c>
      <c r="L75" s="39">
        <f>IFERROR('Data Sheet'!K84,0)</f>
        <v>-3752.58</v>
      </c>
    </row>
    <row r="76" spans="1:12" x14ac:dyDescent="0.3"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</row>
    <row r="77" spans="1:12" x14ac:dyDescent="0.3">
      <c r="B77" s="36" t="s">
        <v>216</v>
      </c>
      <c r="C77" s="37">
        <f>SUM(C73:C75)</f>
        <v>527.75999999999976</v>
      </c>
      <c r="D77" s="37">
        <f t="shared" ref="D77:L77" si="25">SUM(D73:D75)</f>
        <v>89.789999999999964</v>
      </c>
      <c r="E77" s="37">
        <f t="shared" si="25"/>
        <v>-821.84000000000015</v>
      </c>
      <c r="F77" s="37">
        <f t="shared" si="25"/>
        <v>434.28999999999996</v>
      </c>
      <c r="G77" s="37">
        <f t="shared" si="25"/>
        <v>-351.2199999999998</v>
      </c>
      <c r="H77" s="37">
        <f t="shared" si="25"/>
        <v>2492.41</v>
      </c>
      <c r="I77" s="37">
        <f t="shared" si="25"/>
        <v>-1137.8699999999999</v>
      </c>
      <c r="J77" s="37">
        <f t="shared" si="25"/>
        <v>771.04</v>
      </c>
      <c r="K77" s="37">
        <f t="shared" si="25"/>
        <v>572.62000000000035</v>
      </c>
      <c r="L77" s="37">
        <f t="shared" si="25"/>
        <v>-269.52999999999975</v>
      </c>
    </row>
    <row r="78" spans="1:12" s="77" customFormat="1" x14ac:dyDescent="0.3"/>
    <row r="79" spans="1:12" x14ac:dyDescent="0.3">
      <c r="A79" s="36" t="s">
        <v>182</v>
      </c>
      <c r="B79" s="78" t="s">
        <v>217</v>
      </c>
      <c r="C79" s="78"/>
      <c r="D79" s="79"/>
      <c r="E79" s="79"/>
      <c r="F79" s="79"/>
      <c r="G79" s="79"/>
      <c r="H79" s="79"/>
      <c r="I79" s="79"/>
      <c r="J79" s="79"/>
      <c r="K79" s="79"/>
      <c r="L79" s="79"/>
    </row>
    <row r="81" spans="2:12" x14ac:dyDescent="0.3">
      <c r="B81" s="36" t="s">
        <v>213</v>
      </c>
    </row>
    <row r="82" spans="2:12" x14ac:dyDescent="0.3">
      <c r="B82" t="s">
        <v>120</v>
      </c>
      <c r="C82" s="39">
        <f>IFERROR('Raw CF'!E4,0)</f>
        <v>2848</v>
      </c>
      <c r="D82" s="39">
        <f>IFERROR('Raw CF'!F4,0)</f>
        <v>3056</v>
      </c>
      <c r="E82" s="39">
        <f>IFERROR('Raw CF'!G4,0)</f>
        <v>3274</v>
      </c>
      <c r="F82" s="39">
        <f>IFERROR('Raw CF'!H4,0)</f>
        <v>3861</v>
      </c>
      <c r="G82" s="39">
        <f>IFERROR('Raw CF'!I4,0)</f>
        <v>4380</v>
      </c>
      <c r="H82" s="39">
        <f>IFERROR('Raw CF'!J4,0)</f>
        <v>4970</v>
      </c>
      <c r="I82" s="39">
        <f>IFERROR('Raw CF'!K4,0)</f>
        <v>4957</v>
      </c>
      <c r="J82" s="39">
        <f>IFERROR('Raw CF'!L4,0)</f>
        <v>6460</v>
      </c>
      <c r="K82" s="39">
        <f>IFERROR('Raw CF'!M4,0)</f>
        <v>7929</v>
      </c>
      <c r="L82" s="39">
        <f>IFERROR('Raw CF'!N4,0)</f>
        <v>6390</v>
      </c>
    </row>
    <row r="83" spans="2:12" x14ac:dyDescent="0.3">
      <c r="B83" t="s">
        <v>101</v>
      </c>
      <c r="C83" s="39">
        <f>IFERROR('Raw CF'!E5,0)</f>
        <v>-146</v>
      </c>
      <c r="D83" s="39">
        <f>IFERROR('Raw CF'!F5,0)</f>
        <v>-475</v>
      </c>
      <c r="E83" s="39">
        <f>IFERROR('Raw CF'!G5,0)</f>
        <v>-483</v>
      </c>
      <c r="F83" s="39">
        <f>IFERROR('Raw CF'!H5,0)</f>
        <v>-205</v>
      </c>
      <c r="G83" s="39">
        <f>IFERROR('Raw CF'!I5,0)</f>
        <v>160</v>
      </c>
      <c r="H83" s="39">
        <f>IFERROR('Raw CF'!J5,0)</f>
        <v>-849</v>
      </c>
      <c r="I83" s="39">
        <f>IFERROR('Raw CF'!K5,0)</f>
        <v>-1326</v>
      </c>
      <c r="J83" s="39">
        <f>IFERROR('Raw CF'!L5,0)</f>
        <v>-834</v>
      </c>
      <c r="K83" s="39">
        <f>IFERROR('Raw CF'!M5,0)</f>
        <v>-362</v>
      </c>
      <c r="L83" s="39">
        <f>IFERROR('Raw CF'!N5,0)</f>
        <v>282</v>
      </c>
    </row>
    <row r="84" spans="2:12" x14ac:dyDescent="0.3">
      <c r="B84" t="s">
        <v>102</v>
      </c>
      <c r="C84" s="39">
        <f>IFERROR('Raw CF'!E6,0)</f>
        <v>202</v>
      </c>
      <c r="D84" s="39">
        <f>IFERROR('Raw CF'!F6,0)</f>
        <v>-629</v>
      </c>
      <c r="E84" s="39">
        <f>IFERROR('Raw CF'!G6,0)</f>
        <v>-39</v>
      </c>
      <c r="F84" s="39">
        <f>IFERROR('Raw CF'!H6,0)</f>
        <v>-492</v>
      </c>
      <c r="G84" s="39">
        <f>IFERROR('Raw CF'!I6,0)</f>
        <v>-251</v>
      </c>
      <c r="H84" s="39">
        <f>IFERROR('Raw CF'!J6,0)</f>
        <v>-409</v>
      </c>
      <c r="I84" s="39">
        <f>IFERROR('Raw CF'!K6,0)</f>
        <v>-2354</v>
      </c>
      <c r="J84" s="39">
        <f>IFERROR('Raw CF'!L6,0)</f>
        <v>-56</v>
      </c>
      <c r="K84" s="39">
        <f>IFERROR('Raw CF'!M6,0)</f>
        <v>315</v>
      </c>
      <c r="L84" s="39">
        <f>IFERROR('Raw CF'!N6,0)</f>
        <v>-805</v>
      </c>
    </row>
    <row r="85" spans="2:12" x14ac:dyDescent="0.3">
      <c r="B85" t="s">
        <v>121</v>
      </c>
      <c r="C85" s="39">
        <f>IFERROR('Raw CF'!E7,0)</f>
        <v>142</v>
      </c>
      <c r="D85" s="39">
        <f>IFERROR('Raw CF'!F7,0)</f>
        <v>501</v>
      </c>
      <c r="E85" s="39">
        <f>IFERROR('Raw CF'!G7,0)</f>
        <v>442</v>
      </c>
      <c r="F85" s="39">
        <f>IFERROR('Raw CF'!H7,0)</f>
        <v>287</v>
      </c>
      <c r="G85" s="39">
        <f>IFERROR('Raw CF'!I7,0)</f>
        <v>-241</v>
      </c>
      <c r="H85" s="39">
        <f>IFERROR('Raw CF'!J7,0)</f>
        <v>1143</v>
      </c>
      <c r="I85" s="39">
        <f>IFERROR('Raw CF'!K7,0)</f>
        <v>644</v>
      </c>
      <c r="J85" s="39">
        <f>IFERROR('Raw CF'!L7,0)</f>
        <v>-539</v>
      </c>
      <c r="K85" s="39">
        <f>IFERROR('Raw CF'!M7,0)</f>
        <v>269</v>
      </c>
      <c r="L85" s="39">
        <f>IFERROR('Raw CF'!N7,0)</f>
        <v>-160</v>
      </c>
    </row>
    <row r="86" spans="2:12" x14ac:dyDescent="0.3">
      <c r="B86" t="s">
        <v>122</v>
      </c>
      <c r="C86" s="39">
        <f>IFERROR('Raw CF'!E8,0)</f>
        <v>0</v>
      </c>
      <c r="D86" s="39">
        <f>IFERROR('Raw CF'!F8,0)</f>
        <v>0</v>
      </c>
      <c r="E86" s="39">
        <f>IFERROR('Raw CF'!G8,0)</f>
        <v>0</v>
      </c>
      <c r="F86" s="39">
        <f>IFERROR('Raw CF'!H8,0)</f>
        <v>0</v>
      </c>
      <c r="G86" s="39">
        <f>IFERROR('Raw CF'!I8,0)</f>
        <v>0</v>
      </c>
      <c r="H86" s="39">
        <f>IFERROR('Raw CF'!J8,0)</f>
        <v>-92</v>
      </c>
      <c r="I86" s="39">
        <f>IFERROR('Raw CF'!K8,0)</f>
        <v>242</v>
      </c>
      <c r="J86" s="39">
        <f>IFERROR('Raw CF'!L8,0)</f>
        <v>657</v>
      </c>
      <c r="K86" s="39">
        <f>IFERROR('Raw CF'!M8,0)</f>
        <v>-212</v>
      </c>
      <c r="L86" s="39">
        <f>IFERROR('Raw CF'!N8,0)</f>
        <v>114</v>
      </c>
    </row>
    <row r="87" spans="2:12" x14ac:dyDescent="0.3">
      <c r="B87" t="s">
        <v>123</v>
      </c>
      <c r="C87" s="39">
        <f>IFERROR('Raw CF'!E9,0)</f>
        <v>198</v>
      </c>
      <c r="D87" s="39">
        <f>IFERROR('Raw CF'!F9,0)</f>
        <v>-603</v>
      </c>
      <c r="E87" s="39">
        <f>IFERROR('Raw CF'!G9,0)</f>
        <v>-80</v>
      </c>
      <c r="F87" s="39">
        <f>IFERROR('Raw CF'!H9,0)</f>
        <v>-410</v>
      </c>
      <c r="G87" s="39">
        <f>IFERROR('Raw CF'!I9,0)</f>
        <v>-331</v>
      </c>
      <c r="H87" s="39">
        <f>IFERROR('Raw CF'!J9,0)</f>
        <v>-206</v>
      </c>
      <c r="I87" s="39">
        <f>IFERROR('Raw CF'!K9,0)</f>
        <v>-2795</v>
      </c>
      <c r="J87" s="39">
        <f>IFERROR('Raw CF'!L9,0)</f>
        <v>-772</v>
      </c>
      <c r="K87" s="39">
        <f>IFERROR('Raw CF'!M9,0)</f>
        <v>10</v>
      </c>
      <c r="L87" s="39">
        <f>IFERROR('Raw CF'!N9,0)</f>
        <v>-570</v>
      </c>
    </row>
    <row r="88" spans="2:12" x14ac:dyDescent="0.3">
      <c r="B88" t="s">
        <v>124</v>
      </c>
      <c r="C88" s="39">
        <f>IFERROR('Raw CF'!E10,0)</f>
        <v>-802</v>
      </c>
      <c r="D88" s="39">
        <f>IFERROR('Raw CF'!F10,0)</f>
        <v>-925</v>
      </c>
      <c r="E88" s="39">
        <f>IFERROR('Raw CF'!G10,0)</f>
        <v>-1081</v>
      </c>
      <c r="F88" s="39">
        <f>IFERROR('Raw CF'!H10,0)</f>
        <v>-982</v>
      </c>
      <c r="G88" s="39">
        <f>IFERROR('Raw CF'!I10,0)</f>
        <v>-1011</v>
      </c>
      <c r="H88" s="39">
        <f>IFERROR('Raw CF'!J10,0)</f>
        <v>-1080</v>
      </c>
      <c r="I88" s="39">
        <f>IFERROR('Raw CF'!K10,0)</f>
        <v>-1176</v>
      </c>
      <c r="J88" s="39">
        <f>IFERROR('Raw CF'!L10,0)</f>
        <v>-1494</v>
      </c>
      <c r="K88" s="39">
        <f>IFERROR('Raw CF'!M10,0)</f>
        <v>-1835</v>
      </c>
      <c r="L88" s="39">
        <f>IFERROR('Raw CF'!N10,0)</f>
        <v>-1396</v>
      </c>
    </row>
    <row r="89" spans="2:12" x14ac:dyDescent="0.3">
      <c r="B89" s="36" t="s">
        <v>218</v>
      </c>
      <c r="C89" s="37">
        <f t="shared" ref="C89:L89" si="26">IFERROR(SUM(C82:C88),0)</f>
        <v>2442</v>
      </c>
      <c r="D89" s="37">
        <f t="shared" si="26"/>
        <v>925</v>
      </c>
      <c r="E89" s="37">
        <f t="shared" si="26"/>
        <v>2033</v>
      </c>
      <c r="F89" s="37">
        <f t="shared" si="26"/>
        <v>2059</v>
      </c>
      <c r="G89" s="37">
        <f t="shared" si="26"/>
        <v>2706</v>
      </c>
      <c r="H89" s="37">
        <f t="shared" si="26"/>
        <v>3477</v>
      </c>
      <c r="I89" s="37">
        <f t="shared" si="26"/>
        <v>-1808</v>
      </c>
      <c r="J89" s="37">
        <f t="shared" si="26"/>
        <v>3422</v>
      </c>
      <c r="K89" s="37">
        <f t="shared" si="26"/>
        <v>6114</v>
      </c>
      <c r="L89" s="37">
        <f t="shared" si="26"/>
        <v>3855</v>
      </c>
    </row>
    <row r="91" spans="2:12" x14ac:dyDescent="0.3">
      <c r="B91" s="36" t="s">
        <v>214</v>
      </c>
    </row>
    <row r="92" spans="2:12" x14ac:dyDescent="0.3">
      <c r="B92" t="s">
        <v>126</v>
      </c>
      <c r="C92" s="39">
        <f>IFERROR('Raw CF'!E13,0)</f>
        <v>-817</v>
      </c>
      <c r="D92" s="39">
        <f>IFERROR('Raw CF'!F13,0)</f>
        <v>-684</v>
      </c>
      <c r="E92" s="39">
        <f>IFERROR('Raw CF'!G13,0)</f>
        <v>-1426</v>
      </c>
      <c r="F92" s="39">
        <f>IFERROR('Raw CF'!H13,0)</f>
        <v>-1151</v>
      </c>
      <c r="G92" s="39">
        <f>IFERROR('Raw CF'!I13,0)</f>
        <v>-404</v>
      </c>
      <c r="H92" s="39">
        <f>IFERROR('Raw CF'!J13,0)</f>
        <v>-282</v>
      </c>
      <c r="I92" s="39">
        <f>IFERROR('Raw CF'!K13,0)</f>
        <v>-551</v>
      </c>
      <c r="J92" s="39">
        <f>IFERROR('Raw CF'!L13,0)</f>
        <v>-1446</v>
      </c>
      <c r="K92" s="39">
        <f>IFERROR('Raw CF'!M13,0)</f>
        <v>-2496</v>
      </c>
      <c r="L92" s="39">
        <f>IFERROR('Raw CF'!N13,0)</f>
        <v>-1830</v>
      </c>
    </row>
    <row r="93" spans="2:12" x14ac:dyDescent="0.3">
      <c r="B93" t="s">
        <v>127</v>
      </c>
      <c r="C93" s="39">
        <f>IFERROR('Raw CF'!E14,0)</f>
        <v>15</v>
      </c>
      <c r="D93" s="39">
        <f>IFERROR('Raw CF'!F14,0)</f>
        <v>17</v>
      </c>
      <c r="E93" s="39">
        <f>IFERROR('Raw CF'!G14,0)</f>
        <v>17</v>
      </c>
      <c r="F93" s="39">
        <f>IFERROR('Raw CF'!H14,0)</f>
        <v>17</v>
      </c>
      <c r="G93" s="39">
        <f>IFERROR('Raw CF'!I14,0)</f>
        <v>37</v>
      </c>
      <c r="H93" s="39">
        <f>IFERROR('Raw CF'!J14,0)</f>
        <v>28</v>
      </c>
      <c r="I93" s="39">
        <f>IFERROR('Raw CF'!K14,0)</f>
        <v>40</v>
      </c>
      <c r="J93" s="39">
        <f>IFERROR('Raw CF'!L14,0)</f>
        <v>26</v>
      </c>
      <c r="K93" s="39">
        <f>IFERROR('Raw CF'!M14,0)</f>
        <v>5</v>
      </c>
      <c r="L93" s="39">
        <f>IFERROR('Raw CF'!N14,0)</f>
        <v>10</v>
      </c>
    </row>
    <row r="94" spans="2:12" x14ac:dyDescent="0.3">
      <c r="B94" t="s">
        <v>128</v>
      </c>
      <c r="C94" s="39">
        <f>IFERROR('Raw CF'!E15,0)</f>
        <v>-282</v>
      </c>
      <c r="D94" s="39">
        <f>IFERROR('Raw CF'!F15,0)</f>
        <v>-153</v>
      </c>
      <c r="E94" s="39">
        <f>IFERROR('Raw CF'!G15,0)</f>
        <v>-320</v>
      </c>
      <c r="F94" s="39">
        <f>IFERROR('Raw CF'!H15,0)</f>
        <v>-573</v>
      </c>
      <c r="G94" s="39">
        <f>IFERROR('Raw CF'!I15,0)</f>
        <v>-25</v>
      </c>
      <c r="H94" s="39">
        <f>IFERROR('Raw CF'!J15,0)</f>
        <v>-140</v>
      </c>
      <c r="I94" s="39">
        <f>IFERROR('Raw CF'!K15,0)</f>
        <v>0</v>
      </c>
      <c r="J94" s="39">
        <f>IFERROR('Raw CF'!L15,0)</f>
        <v>-146</v>
      </c>
      <c r="K94" s="39">
        <f>IFERROR('Raw CF'!M15,0)</f>
        <v>-212</v>
      </c>
      <c r="L94" s="39">
        <f>IFERROR('Raw CF'!N15,0)</f>
        <v>-1</v>
      </c>
    </row>
    <row r="95" spans="2:12" x14ac:dyDescent="0.3">
      <c r="B95" t="s">
        <v>129</v>
      </c>
      <c r="C95" s="39">
        <f>IFERROR('Raw CF'!E16,0)</f>
        <v>205</v>
      </c>
      <c r="D95" s="39">
        <f>IFERROR('Raw CF'!F16,0)</f>
        <v>357</v>
      </c>
      <c r="E95" s="39">
        <f>IFERROR('Raw CF'!G16,0)</f>
        <v>362</v>
      </c>
      <c r="F95" s="39">
        <f>IFERROR('Raw CF'!H16,0)</f>
        <v>733</v>
      </c>
      <c r="G95" s="39">
        <f>IFERROR('Raw CF'!I16,0)</f>
        <v>134</v>
      </c>
      <c r="H95" s="39">
        <f>IFERROR('Raw CF'!J16,0)</f>
        <v>272</v>
      </c>
      <c r="I95" s="39">
        <f>IFERROR('Raw CF'!K16,0)</f>
        <v>207</v>
      </c>
      <c r="J95" s="39">
        <f>IFERROR('Raw CF'!L16,0)</f>
        <v>446</v>
      </c>
      <c r="K95" s="39">
        <f>IFERROR('Raw CF'!M16,0)</f>
        <v>240</v>
      </c>
      <c r="L95" s="39">
        <f>IFERROR('Raw CF'!N16,0)</f>
        <v>421</v>
      </c>
    </row>
    <row r="96" spans="2:12" x14ac:dyDescent="0.3">
      <c r="B96" t="s">
        <v>130</v>
      </c>
      <c r="C96" s="39">
        <f>IFERROR('Raw CF'!E17,0)</f>
        <v>15</v>
      </c>
      <c r="D96" s="39">
        <f>IFERROR('Raw CF'!F17,0)</f>
        <v>32</v>
      </c>
      <c r="E96" s="39">
        <f>IFERROR('Raw CF'!G17,0)</f>
        <v>39</v>
      </c>
      <c r="F96" s="39">
        <f>IFERROR('Raw CF'!H17,0)</f>
        <v>40</v>
      </c>
      <c r="G96" s="39">
        <f>IFERROR('Raw CF'!I17,0)</f>
        <v>65</v>
      </c>
      <c r="H96" s="39">
        <f>IFERROR('Raw CF'!J17,0)</f>
        <v>73</v>
      </c>
      <c r="I96" s="39">
        <f>IFERROR('Raw CF'!K17,0)</f>
        <v>77</v>
      </c>
      <c r="J96" s="39">
        <f>IFERROR('Raw CF'!L17,0)</f>
        <v>87</v>
      </c>
      <c r="K96" s="39">
        <f>IFERROR('Raw CF'!M17,0)</f>
        <v>135</v>
      </c>
      <c r="L96" s="39">
        <f>IFERROR('Raw CF'!N17,0)</f>
        <v>155</v>
      </c>
    </row>
    <row r="97" spans="2:12" x14ac:dyDescent="0.3">
      <c r="B97" t="s">
        <v>131</v>
      </c>
      <c r="C97" s="39">
        <f>IFERROR('Raw CF'!E18,0)</f>
        <v>69</v>
      </c>
      <c r="D97" s="39">
        <f>IFERROR('Raw CF'!F18,0)</f>
        <v>74</v>
      </c>
      <c r="E97" s="39">
        <f>IFERROR('Raw CF'!G18,0)</f>
        <v>38</v>
      </c>
      <c r="F97" s="39">
        <f>IFERROR('Raw CF'!H18,0)</f>
        <v>40</v>
      </c>
      <c r="G97" s="39">
        <f>IFERROR('Raw CF'!I18,0)</f>
        <v>27</v>
      </c>
      <c r="H97" s="39">
        <f>IFERROR('Raw CF'!J18,0)</f>
        <v>8</v>
      </c>
      <c r="I97" s="39">
        <f>IFERROR('Raw CF'!K18,0)</f>
        <v>15</v>
      </c>
      <c r="J97" s="39">
        <f>IFERROR('Raw CF'!L18,0)</f>
        <v>56</v>
      </c>
      <c r="K97" s="39">
        <f>IFERROR('Raw CF'!M18,0)</f>
        <v>129</v>
      </c>
      <c r="L97" s="39">
        <f>IFERROR('Raw CF'!N18,0)</f>
        <v>136</v>
      </c>
    </row>
    <row r="98" spans="2:12" x14ac:dyDescent="0.3">
      <c r="B98" t="s">
        <v>132</v>
      </c>
      <c r="C98" s="39">
        <f>IFERROR('Raw CF'!E19,0)</f>
        <v>0</v>
      </c>
      <c r="D98" s="39">
        <f>IFERROR('Raw CF'!F19,0)</f>
        <v>0</v>
      </c>
      <c r="E98" s="39">
        <f>IFERROR('Raw CF'!G19,0)</f>
        <v>0</v>
      </c>
      <c r="F98" s="39">
        <f>IFERROR('Raw CF'!H19,0)</f>
        <v>0</v>
      </c>
      <c r="G98" s="39">
        <f>IFERROR('Raw CF'!I19,0)</f>
        <v>0</v>
      </c>
      <c r="H98" s="39">
        <f>IFERROR('Raw CF'!J19,0)</f>
        <v>0</v>
      </c>
      <c r="I98" s="39">
        <f>IFERROR('Raw CF'!K19,0)</f>
        <v>0</v>
      </c>
      <c r="J98" s="39">
        <f>IFERROR('Raw CF'!L19,0)</f>
        <v>-180</v>
      </c>
      <c r="K98" s="39">
        <f>IFERROR('Raw CF'!M19,0)</f>
        <v>0</v>
      </c>
      <c r="L98" s="39">
        <f>IFERROR('Raw CF'!N19,0)</f>
        <v>0</v>
      </c>
    </row>
    <row r="99" spans="2:12" x14ac:dyDescent="0.3">
      <c r="B99" t="s">
        <v>133</v>
      </c>
      <c r="C99" s="39">
        <f>IFERROR('Raw CF'!E20,0)</f>
        <v>0</v>
      </c>
      <c r="D99" s="39">
        <f>IFERROR('Raw CF'!F20,0)</f>
        <v>0</v>
      </c>
      <c r="E99" s="39">
        <f>IFERROR('Raw CF'!G20,0)</f>
        <v>141</v>
      </c>
      <c r="F99" s="39">
        <f>IFERROR('Raw CF'!H20,0)</f>
        <v>0</v>
      </c>
      <c r="G99" s="39">
        <f>IFERROR('Raw CF'!I20,0)</f>
        <v>0</v>
      </c>
      <c r="H99" s="39">
        <f>IFERROR('Raw CF'!J20,0)</f>
        <v>0</v>
      </c>
      <c r="I99" s="39">
        <f>IFERROR('Raw CF'!K20,0)</f>
        <v>0</v>
      </c>
      <c r="J99" s="39">
        <f>IFERROR('Raw CF'!L20,0)</f>
        <v>0</v>
      </c>
      <c r="K99" s="39">
        <f>IFERROR('Raw CF'!M20,0)</f>
        <v>0</v>
      </c>
      <c r="L99" s="39">
        <f>IFERROR('Raw CF'!N20,0)</f>
        <v>38</v>
      </c>
    </row>
    <row r="100" spans="2:12" x14ac:dyDescent="0.3">
      <c r="B100" t="s">
        <v>134</v>
      </c>
      <c r="C100" s="39">
        <f>IFERROR('Raw CF'!E21,0)</f>
        <v>0</v>
      </c>
      <c r="D100" s="39">
        <f>IFERROR('Raw CF'!F21,0)</f>
        <v>0</v>
      </c>
      <c r="E100" s="39">
        <f>IFERROR('Raw CF'!G21,0)</f>
        <v>-525</v>
      </c>
      <c r="F100" s="39">
        <f>IFERROR('Raw CF'!H21,0)</f>
        <v>0</v>
      </c>
      <c r="G100" s="39">
        <f>IFERROR('Raw CF'!I21,0)</f>
        <v>0</v>
      </c>
      <c r="H100" s="39">
        <f>IFERROR('Raw CF'!J21,0)</f>
        <v>0</v>
      </c>
      <c r="I100" s="39">
        <f>IFERROR('Raw CF'!K21,0)</f>
        <v>0</v>
      </c>
      <c r="J100" s="39">
        <f>IFERROR('Raw CF'!L21,0)</f>
        <v>0</v>
      </c>
      <c r="K100" s="39">
        <f>IFERROR('Raw CF'!M21,0)</f>
        <v>0</v>
      </c>
      <c r="L100" s="39">
        <f>IFERROR('Raw CF'!N21,0)</f>
        <v>0</v>
      </c>
    </row>
    <row r="101" spans="2:12" x14ac:dyDescent="0.3">
      <c r="B101" t="s">
        <v>135</v>
      </c>
      <c r="C101" s="39">
        <f>IFERROR('Raw CF'!E22,0)</f>
        <v>-70</v>
      </c>
      <c r="D101" s="39">
        <f>IFERROR('Raw CF'!F22,0)</f>
        <v>-324</v>
      </c>
      <c r="E101" s="39">
        <f>IFERROR('Raw CF'!G22,0)</f>
        <v>118</v>
      </c>
      <c r="F101" s="39">
        <f>IFERROR('Raw CF'!H22,0)</f>
        <v>-24</v>
      </c>
      <c r="G101" s="39">
        <f>IFERROR('Raw CF'!I22,0)</f>
        <v>-353</v>
      </c>
      <c r="H101" s="39">
        <f>IFERROR('Raw CF'!J22,0)</f>
        <v>-500</v>
      </c>
      <c r="I101" s="39">
        <f>IFERROR('Raw CF'!K22,0)</f>
        <v>-105</v>
      </c>
      <c r="J101" s="39">
        <f>IFERROR('Raw CF'!L22,0)</f>
        <v>-126</v>
      </c>
      <c r="K101" s="39">
        <f>IFERROR('Raw CF'!M22,0)</f>
        <v>-350</v>
      </c>
      <c r="L101" s="39">
        <f>IFERROR('Raw CF'!N22,0)</f>
        <v>130</v>
      </c>
    </row>
    <row r="102" spans="2:12" x14ac:dyDescent="0.3">
      <c r="B102" s="36" t="s">
        <v>219</v>
      </c>
      <c r="C102" s="37">
        <f t="shared" ref="C102:L102" si="27">SUM(C92:C101)</f>
        <v>-865</v>
      </c>
      <c r="D102" s="37">
        <f t="shared" si="27"/>
        <v>-681</v>
      </c>
      <c r="E102" s="37">
        <f t="shared" si="27"/>
        <v>-1556</v>
      </c>
      <c r="F102" s="37">
        <f t="shared" si="27"/>
        <v>-918</v>
      </c>
      <c r="G102" s="37">
        <f t="shared" si="27"/>
        <v>-519</v>
      </c>
      <c r="H102" s="37">
        <f t="shared" si="27"/>
        <v>-541</v>
      </c>
      <c r="I102" s="37">
        <f t="shared" si="27"/>
        <v>-317</v>
      </c>
      <c r="J102" s="37">
        <f t="shared" si="27"/>
        <v>-1283</v>
      </c>
      <c r="K102" s="37">
        <f t="shared" si="27"/>
        <v>-2549</v>
      </c>
      <c r="L102" s="37">
        <f t="shared" si="27"/>
        <v>-941</v>
      </c>
    </row>
    <row r="103" spans="2:12" x14ac:dyDescent="0.3">
      <c r="B103" s="37"/>
    </row>
    <row r="104" spans="2:12" x14ac:dyDescent="0.3">
      <c r="B104" s="36" t="s">
        <v>215</v>
      </c>
    </row>
    <row r="105" spans="2:12" x14ac:dyDescent="0.3">
      <c r="B105" t="s">
        <v>137</v>
      </c>
      <c r="C105" s="39">
        <f>IFERROR('Raw CF'!E25,0)</f>
        <v>0</v>
      </c>
      <c r="D105" s="39">
        <f>IFERROR('Raw CF'!F25,0)</f>
        <v>0</v>
      </c>
      <c r="E105" s="39">
        <f>IFERROR('Raw CF'!G25,0)</f>
        <v>0</v>
      </c>
      <c r="F105" s="39">
        <f>IFERROR('Raw CF'!H25,0)</f>
        <v>0</v>
      </c>
      <c r="G105" s="39">
        <f>IFERROR('Raw CF'!I25,0)</f>
        <v>0</v>
      </c>
      <c r="H105" s="39">
        <f>IFERROR('Raw CF'!J25,0)</f>
        <v>0</v>
      </c>
      <c r="I105" s="39">
        <f>IFERROR('Raw CF'!K25,0)</f>
        <v>0</v>
      </c>
      <c r="J105" s="39">
        <f>IFERROR('Raw CF'!L25,0)</f>
        <v>0</v>
      </c>
      <c r="K105" s="39">
        <f>IFERROR('Raw CF'!M25,0)</f>
        <v>1</v>
      </c>
      <c r="L105" s="39">
        <f>IFERROR('Raw CF'!N25,0)</f>
        <v>0</v>
      </c>
    </row>
    <row r="106" spans="2:12" x14ac:dyDescent="0.3">
      <c r="B106" t="s">
        <v>138</v>
      </c>
      <c r="C106" s="39">
        <f>IFERROR('Raw CF'!E26,0)</f>
        <v>8</v>
      </c>
      <c r="D106" s="39">
        <f>IFERROR('Raw CF'!F26,0)</f>
        <v>271</v>
      </c>
      <c r="E106" s="39">
        <f>IFERROR('Raw CF'!G26,0)</f>
        <v>10</v>
      </c>
      <c r="F106" s="39">
        <f>IFERROR('Raw CF'!H26,0)</f>
        <v>243</v>
      </c>
      <c r="G106" s="39">
        <f>IFERROR('Raw CF'!I26,0)</f>
        <v>18</v>
      </c>
      <c r="H106" s="39">
        <f>IFERROR('Raw CF'!J26,0)</f>
        <v>155</v>
      </c>
      <c r="I106" s="39">
        <f>IFERROR('Raw CF'!K26,0)</f>
        <v>418</v>
      </c>
      <c r="J106" s="39">
        <f>IFERROR('Raw CF'!L26,0)</f>
        <v>254</v>
      </c>
      <c r="K106" s="39">
        <f>IFERROR('Raw CF'!M26,0)</f>
        <v>101</v>
      </c>
      <c r="L106" s="39">
        <f>IFERROR('Raw CF'!N26,0)</f>
        <v>415</v>
      </c>
    </row>
    <row r="107" spans="2:12" x14ac:dyDescent="0.3">
      <c r="B107" t="s">
        <v>139</v>
      </c>
      <c r="C107" s="39">
        <f>IFERROR('Raw CF'!E27,0)</f>
        <v>-119</v>
      </c>
      <c r="D107" s="39">
        <f>IFERROR('Raw CF'!F27,0)</f>
        <v>-58</v>
      </c>
      <c r="E107" s="39">
        <f>IFERROR('Raw CF'!G27,0)</f>
        <v>-54</v>
      </c>
      <c r="F107" s="39">
        <f>IFERROR('Raw CF'!H27,0)</f>
        <v>-26</v>
      </c>
      <c r="G107" s="39">
        <f>IFERROR('Raw CF'!I27,0)</f>
        <v>-279</v>
      </c>
      <c r="H107" s="39">
        <f>IFERROR('Raw CF'!J27,0)</f>
        <v>-14</v>
      </c>
      <c r="I107" s="39">
        <f>IFERROR('Raw CF'!K27,0)</f>
        <v>-8</v>
      </c>
      <c r="J107" s="39">
        <f>IFERROR('Raw CF'!L27,0)</f>
        <v>-25</v>
      </c>
      <c r="K107" s="39">
        <f>IFERROR('Raw CF'!M27,0)</f>
        <v>-98</v>
      </c>
      <c r="L107" s="39">
        <f>IFERROR('Raw CF'!N27,0)</f>
        <v>-428</v>
      </c>
    </row>
    <row r="108" spans="2:12" x14ac:dyDescent="0.3">
      <c r="B108" t="s">
        <v>140</v>
      </c>
      <c r="C108" s="39">
        <f>IFERROR('Raw CF'!E28,0)</f>
        <v>-40</v>
      </c>
      <c r="D108" s="39">
        <f>IFERROR('Raw CF'!F28,0)</f>
        <v>-36</v>
      </c>
      <c r="E108" s="39">
        <f>IFERROR('Raw CF'!G28,0)</f>
        <v>-35</v>
      </c>
      <c r="F108" s="39">
        <f>IFERROR('Raw CF'!H28,0)</f>
        <v>-106</v>
      </c>
      <c r="G108" s="39">
        <f>IFERROR('Raw CF'!I28,0)</f>
        <v>-101</v>
      </c>
      <c r="H108" s="39">
        <f>IFERROR('Raw CF'!J28,0)</f>
        <v>-89</v>
      </c>
      <c r="I108" s="39">
        <f>IFERROR('Raw CF'!K28,0)</f>
        <v>-94</v>
      </c>
      <c r="J108" s="39">
        <f>IFERROR('Raw CF'!L28,0)</f>
        <v>-142</v>
      </c>
      <c r="K108" s="39">
        <f>IFERROR('Raw CF'!M28,0)</f>
        <v>-191</v>
      </c>
      <c r="L108" s="39">
        <f>IFERROR('Raw CF'!N28,0)</f>
        <v>-203</v>
      </c>
    </row>
    <row r="109" spans="2:12" x14ac:dyDescent="0.3">
      <c r="B109" t="s">
        <v>141</v>
      </c>
      <c r="C109" s="39">
        <f>IFERROR('Raw CF'!E29,0)</f>
        <v>-764</v>
      </c>
      <c r="D109" s="39">
        <f>IFERROR('Raw CF'!F29,0)</f>
        <v>-947</v>
      </c>
      <c r="E109" s="39">
        <f>IFERROR('Raw CF'!G29,0)</f>
        <v>-1218</v>
      </c>
      <c r="F109" s="39">
        <f>IFERROR('Raw CF'!H29,0)</f>
        <v>-1049</v>
      </c>
      <c r="G109" s="39">
        <f>IFERROR('Raw CF'!I29,0)</f>
        <v>-2121</v>
      </c>
      <c r="H109" s="39">
        <f>IFERROR('Raw CF'!J29,0)</f>
        <v>-499</v>
      </c>
      <c r="I109" s="39">
        <f>IFERROR('Raw CF'!K29,0)</f>
        <v>-1763</v>
      </c>
      <c r="J109" s="39">
        <f>IFERROR('Raw CF'!L29,0)</f>
        <v>-1936</v>
      </c>
      <c r="K109" s="39">
        <f>IFERROR('Raw CF'!M29,0)</f>
        <v>-2551</v>
      </c>
      <c r="L109" s="39">
        <f>IFERROR('Raw CF'!N29,0)</f>
        <v>-3140</v>
      </c>
    </row>
    <row r="110" spans="2:12" x14ac:dyDescent="0.3">
      <c r="B110" t="s">
        <v>142</v>
      </c>
      <c r="C110" s="39">
        <f>IFERROR('Raw CF'!E30,0)</f>
        <v>0</v>
      </c>
      <c r="D110" s="39">
        <f>IFERROR('Raw CF'!F30,0)</f>
        <v>0</v>
      </c>
      <c r="E110" s="39">
        <f>IFERROR('Raw CF'!G30,0)</f>
        <v>0</v>
      </c>
      <c r="F110" s="39">
        <f>IFERROR('Raw CF'!H30,0)</f>
        <v>-180</v>
      </c>
      <c r="G110" s="39">
        <f>IFERROR('Raw CF'!I30,0)</f>
        <v>-179</v>
      </c>
      <c r="H110" s="39">
        <f>IFERROR('Raw CF'!J30,0)</f>
        <v>-203</v>
      </c>
      <c r="I110" s="39">
        <f>IFERROR('Raw CF'!K30,0)</f>
        <v>-221</v>
      </c>
      <c r="J110" s="39">
        <f>IFERROR('Raw CF'!L30,0)</f>
        <v>-256</v>
      </c>
      <c r="K110" s="39">
        <f>IFERROR('Raw CF'!M30,0)</f>
        <v>-286</v>
      </c>
      <c r="L110" s="39">
        <f>IFERROR('Raw CF'!N30,0)</f>
        <v>-325</v>
      </c>
    </row>
    <row r="111" spans="2:12" x14ac:dyDescent="0.3">
      <c r="B111" t="s">
        <v>143</v>
      </c>
      <c r="C111" s="39">
        <f>IFERROR('Raw CF'!E31,0)</f>
        <v>66</v>
      </c>
      <c r="D111" s="39">
        <f>IFERROR('Raw CF'!F31,0)</f>
        <v>13</v>
      </c>
      <c r="E111" s="39">
        <f>IFERROR('Raw CF'!G31,0)</f>
        <v>-82</v>
      </c>
      <c r="F111" s="39">
        <f>IFERROR('Raw CF'!H31,0)</f>
        <v>0</v>
      </c>
      <c r="G111" s="39">
        <f>IFERROR('Raw CF'!I31,0)</f>
        <v>-209</v>
      </c>
      <c r="H111" s="39">
        <f>IFERROR('Raw CF'!J31,0)</f>
        <v>0</v>
      </c>
      <c r="I111" s="39">
        <f>IFERROR('Raw CF'!K31,0)</f>
        <v>-140</v>
      </c>
      <c r="J111" s="39">
        <f>IFERROR('Raw CF'!L31,0)</f>
        <v>-36</v>
      </c>
      <c r="K111" s="39">
        <f>IFERROR('Raw CF'!M31,0)</f>
        <v>41</v>
      </c>
      <c r="L111" s="39">
        <f>IFERROR('Raw CF'!N31,0)</f>
        <v>-72</v>
      </c>
    </row>
    <row r="112" spans="2:12" x14ac:dyDescent="0.3">
      <c r="B112" s="36" t="s">
        <v>220</v>
      </c>
      <c r="C112" s="37">
        <f>SUM(C105:C111)</f>
        <v>-849</v>
      </c>
      <c r="D112" s="37">
        <f t="shared" ref="D112:L112" si="28">SUM(D105:D111)</f>
        <v>-757</v>
      </c>
      <c r="E112" s="37">
        <f t="shared" si="28"/>
        <v>-1379</v>
      </c>
      <c r="F112" s="37">
        <f t="shared" si="28"/>
        <v>-1118</v>
      </c>
      <c r="G112" s="37">
        <f t="shared" si="28"/>
        <v>-2871</v>
      </c>
      <c r="H112" s="37">
        <f t="shared" si="28"/>
        <v>-650</v>
      </c>
      <c r="I112" s="37">
        <f t="shared" si="28"/>
        <v>-1808</v>
      </c>
      <c r="J112" s="37">
        <f t="shared" si="28"/>
        <v>-2141</v>
      </c>
      <c r="K112" s="37">
        <f t="shared" si="28"/>
        <v>-2983</v>
      </c>
      <c r="L112" s="37">
        <f t="shared" si="28"/>
        <v>-3753</v>
      </c>
    </row>
    <row r="114" spans="2:12" x14ac:dyDescent="0.3">
      <c r="B114" s="36" t="s">
        <v>216</v>
      </c>
      <c r="C114" s="37">
        <f t="shared" ref="C114:L114" si="29">IFERROR(SUM(C89,C102,C112),0)</f>
        <v>728</v>
      </c>
      <c r="D114" s="37">
        <f t="shared" si="29"/>
        <v>-513</v>
      </c>
      <c r="E114" s="37">
        <f t="shared" si="29"/>
        <v>-902</v>
      </c>
      <c r="F114" s="37">
        <f t="shared" si="29"/>
        <v>23</v>
      </c>
      <c r="G114" s="37">
        <f t="shared" si="29"/>
        <v>-684</v>
      </c>
      <c r="H114" s="37">
        <f t="shared" si="29"/>
        <v>2286</v>
      </c>
      <c r="I114" s="37">
        <f t="shared" si="29"/>
        <v>-3933</v>
      </c>
      <c r="J114" s="37">
        <f t="shared" si="29"/>
        <v>-2</v>
      </c>
      <c r="K114" s="37">
        <f t="shared" si="29"/>
        <v>582</v>
      </c>
      <c r="L114" s="37">
        <f t="shared" si="29"/>
        <v>-839</v>
      </c>
    </row>
  </sheetData>
  <mergeCells count="1">
    <mergeCell ref="B2:L2"/>
  </mergeCells>
  <pageMargins left="0.70866141732283472" right="0.70866141732283472" top="0.74803149606299213" bottom="0.74803149606299213" header="0.31496062992125984" footer="0.31496062992125984"/>
  <pageSetup scale="72" fitToWidth="0" fitToHeight="0" orientation="landscape" r:id="rId1"/>
  <rowBreaks count="2" manualBreakCount="2">
    <brk id="48" max="16383" man="1"/>
    <brk id="70" max="11" man="1"/>
  </rowBreaks>
  <ignoredErrors>
    <ignoredError sqref="C15:L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D908-E279-4431-9CDD-96F1C1982DB4}">
  <sheetPr>
    <pageSetUpPr fitToPage="1"/>
  </sheetPr>
  <dimension ref="B2:O42"/>
  <sheetViews>
    <sheetView showGridLines="0" zoomScale="66" zoomScaleNormal="6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23" sqref="S23"/>
    </sheetView>
  </sheetViews>
  <sheetFormatPr defaultRowHeight="14.4" x14ac:dyDescent="0.3"/>
  <cols>
    <col min="1" max="1" width="1.88671875" customWidth="1"/>
    <col min="2" max="2" width="35.77734375" customWidth="1"/>
    <col min="3" max="12" width="9.77734375" customWidth="1"/>
    <col min="13" max="13" width="10.77734375" customWidth="1"/>
    <col min="14" max="15" width="9.77734375" customWidth="1"/>
  </cols>
  <sheetData>
    <row r="2" spans="2:15" x14ac:dyDescent="0.3">
      <c r="B2" s="125" t="str">
        <f>"Ratio Analysis - "&amp;'Data Sheet'!B1</f>
        <v>Ratio Analysis - ASIAN PAINTS LTD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2:15" x14ac:dyDescent="0.3">
      <c r="B3" s="41" t="s">
        <v>181</v>
      </c>
      <c r="C3" s="42">
        <f>'[1]Data Sheet'!B16</f>
        <v>42460</v>
      </c>
      <c r="D3" s="42">
        <f>'[1]Data Sheet'!C16</f>
        <v>42825</v>
      </c>
      <c r="E3" s="42">
        <f>'[1]Data Sheet'!D16</f>
        <v>43190</v>
      </c>
      <c r="F3" s="42">
        <f>'[1]Data Sheet'!E16</f>
        <v>43555</v>
      </c>
      <c r="G3" s="42">
        <f>'[1]Data Sheet'!F16</f>
        <v>43921</v>
      </c>
      <c r="H3" s="42">
        <f>'[1]Data Sheet'!G16</f>
        <v>44286</v>
      </c>
      <c r="I3" s="42">
        <f>'[1]Data Sheet'!H16</f>
        <v>44651</v>
      </c>
      <c r="J3" s="42">
        <f>'[1]Data Sheet'!I16</f>
        <v>45016</v>
      </c>
      <c r="K3" s="42">
        <f>'[1]Data Sheet'!J16</f>
        <v>45382</v>
      </c>
      <c r="L3" s="42">
        <f>'[1]Data Sheet'!K16</f>
        <v>45747</v>
      </c>
      <c r="M3" s="88" t="s">
        <v>230</v>
      </c>
      <c r="N3" s="88" t="s">
        <v>231</v>
      </c>
      <c r="O3" s="88" t="s">
        <v>178</v>
      </c>
    </row>
    <row r="4" spans="2:15" x14ac:dyDescent="0.3"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20"/>
      <c r="O4" s="119"/>
    </row>
    <row r="5" spans="2:15" x14ac:dyDescent="0.3">
      <c r="B5" t="s">
        <v>232</v>
      </c>
      <c r="C5" s="85"/>
      <c r="D5" s="85">
        <f>IFERROR(HistoricalFS!D7,0)</f>
        <v>5.5390151974320734E-2</v>
      </c>
      <c r="E5" s="85">
        <f>IFERROR(HistoricalFS!E7,0)</f>
        <v>0.11702039371955486</v>
      </c>
      <c r="F5" s="85">
        <f>IFERROR(HistoricalFS!F7,0)</f>
        <v>0.14357471670861943</v>
      </c>
      <c r="G5" s="85">
        <f>IFERROR(HistoricalFS!G7,0)</f>
        <v>5.0473671435691925E-2</v>
      </c>
      <c r="H5" s="85">
        <f>IFERROR(HistoricalFS!H7,0)</f>
        <v>7.4292287711052118E-2</v>
      </c>
      <c r="I5" s="85">
        <f>IFERROR(HistoricalFS!I7,0)</f>
        <v>0.34028284711453471</v>
      </c>
      <c r="J5" s="85">
        <f>IFERROR(HistoricalFS!J7,0)</f>
        <v>0.18512278497715551</v>
      </c>
      <c r="K5" s="85">
        <f>IFERROR(HistoricalFS!K7,0)</f>
        <v>2.9173126532572313E-2</v>
      </c>
      <c r="L5" s="85">
        <f>IFERROR(HistoricalFS!L7,0)</f>
        <v>-4.4770308155605121E-2</v>
      </c>
      <c r="N5" s="7">
        <f>IFERROR(AVERAGE(D5:L5),0)</f>
        <v>0.10561774133532183</v>
      </c>
      <c r="O5" s="7">
        <f>IFERROR(MEDIAN(D5:L5),0)</f>
        <v>7.4292287711052118E-2</v>
      </c>
    </row>
    <row r="6" spans="2:15" x14ac:dyDescent="0.3">
      <c r="B6" t="s">
        <v>233</v>
      </c>
      <c r="C6" s="85"/>
      <c r="D6" s="85">
        <f>IFERROR(HistoricalFS!D18/HistoricalFS!C18-1,0)</f>
        <v>9.861139652995865E-2</v>
      </c>
      <c r="E6" s="85">
        <f>IFERROR(HistoricalFS!E18/HistoricalFS!D18-1,0)</f>
        <v>7.0229410507188561E-2</v>
      </c>
      <c r="F6" s="85">
        <f>IFERROR(HistoricalFS!F18/HistoricalFS!E18-1,0)</f>
        <v>0.17507123885381137</v>
      </c>
      <c r="G6" s="85">
        <f>IFERROR(HistoricalFS!G18/HistoricalFS!F18-1,0)</f>
        <v>0.10408665211132084</v>
      </c>
      <c r="H6" s="85">
        <f>IFERROR(HistoricalFS!H18/HistoricalFS!G18-1,0)</f>
        <v>0.16810446447043792</v>
      </c>
      <c r="I6" s="85">
        <f>IFERROR(HistoricalFS!I18/HistoricalFS!H18-1,0)</f>
        <v>-1.0707224647830249E-2</v>
      </c>
      <c r="J6" s="85">
        <f>IFERROR(HistoricalFS!J18/HistoricalFS!I18-1,0)</f>
        <v>0.3031532534906034</v>
      </c>
      <c r="K6" s="85">
        <f>IFERROR(HistoricalFS!K18/HistoricalFS!J18-1,0)</f>
        <v>0.21168911665473988</v>
      </c>
      <c r="L6" s="85">
        <f>IFERROR(HistoricalFS!L18/HistoricalFS!K18-1,0)</f>
        <v>-0.20814425351154509</v>
      </c>
      <c r="N6" s="7">
        <f t="shared" ref="N6:N10" si="0">IFERROR(AVERAGE(D6:L6),0)</f>
        <v>0.1013437838287428</v>
      </c>
      <c r="O6" s="7">
        <f t="shared" ref="O6:O10" si="1">IFERROR(MEDIAN(D6:L6),0)</f>
        <v>0.10408665211132084</v>
      </c>
    </row>
    <row r="7" spans="2:15" x14ac:dyDescent="0.3">
      <c r="B7" t="s">
        <v>234</v>
      </c>
      <c r="C7" s="85"/>
      <c r="D7" s="85">
        <f>IFERROR(HistoricalFS!D27/HistoricalFS!C27-1,0)</f>
        <v>8.5533137916111501E-2</v>
      </c>
      <c r="E7" s="85">
        <f>IFERROR(HistoricalFS!E27/HistoricalFS!D27-1,0)</f>
        <v>6.9414096435838069E-2</v>
      </c>
      <c r="F7" s="85">
        <f>IFERROR(HistoricalFS!F27/HistoricalFS!E27-1,0)</f>
        <v>0.10524205743545045</v>
      </c>
      <c r="G7" s="85">
        <f>IFERROR(HistoricalFS!G27/HistoricalFS!F27-1,0)</f>
        <v>7.4303169148528747E-2</v>
      </c>
      <c r="H7" s="85">
        <f>IFERROR(HistoricalFS!H27/HistoricalFS!G27-1,0)</f>
        <v>0.20377511610274079</v>
      </c>
      <c r="I7" s="85">
        <f>IFERROR(HistoricalFS!I27/HistoricalFS!H27-1,0)</f>
        <v>-1.896499546050745E-2</v>
      </c>
      <c r="J7" s="85">
        <f>IFERROR(HistoricalFS!J27/HistoricalFS!I27-1,0)</f>
        <v>0.35477334002131733</v>
      </c>
      <c r="K7" s="85">
        <f>IFERROR(HistoricalFS!K27/HistoricalFS!J27-1,0)</f>
        <v>0.2462429329374185</v>
      </c>
      <c r="L7" s="85">
        <f>IFERROR(HistoricalFS!L27/HistoricalFS!K27-1,0)</f>
        <v>-0.26026666745890503</v>
      </c>
      <c r="N7" s="7">
        <f t="shared" si="0"/>
        <v>9.5561354119776981E-2</v>
      </c>
      <c r="O7" s="7">
        <f t="shared" si="1"/>
        <v>8.5533137916111501E-2</v>
      </c>
    </row>
    <row r="8" spans="2:15" x14ac:dyDescent="0.3">
      <c r="B8" t="s">
        <v>235</v>
      </c>
      <c r="C8" s="85"/>
      <c r="D8" s="85">
        <f>IFERROR(HistoricalFS!D30/HistoricalFS!C30-1,0)</f>
        <v>9.2140673037667264E-2</v>
      </c>
      <c r="E8" s="85">
        <f>IFERROR(HistoricalFS!E30/HistoricalFS!D30-1,0)</f>
        <v>6.8823331960147449E-2</v>
      </c>
      <c r="F8" s="85">
        <f>IFERROR(HistoricalFS!F30/HistoricalFS!E30-1,0)</f>
        <v>8.2174963509120014E-2</v>
      </c>
      <c r="G8" s="85">
        <f>IFERROR(HistoricalFS!G30/HistoricalFS!F30-1,0)</f>
        <v>7.9694492354063229E-2</v>
      </c>
      <c r="H8" s="85">
        <f>IFERROR(HistoricalFS!H30/HistoricalFS!G30-1,0)</f>
        <v>0.21341238061203782</v>
      </c>
      <c r="I8" s="85">
        <f>IFERROR(HistoricalFS!I30/HistoricalFS!H30-1,0)</f>
        <v>-2.0353915473104944E-2</v>
      </c>
      <c r="J8" s="85">
        <f>IFERROR(HistoricalFS!J30/HistoricalFS!I30-1,0)</f>
        <v>0.35087002548922808</v>
      </c>
      <c r="K8" s="85">
        <f>IFERROR(HistoricalFS!K30/HistoricalFS!J30-1,0)</f>
        <v>0.24145913260813057</v>
      </c>
      <c r="L8" s="85">
        <f>IFERROR(HistoricalFS!L30/HistoricalFS!K30-1,0)</f>
        <v>-0.2717958696514835</v>
      </c>
      <c r="N8" s="7">
        <f t="shared" si="0"/>
        <v>9.2936134938422885E-2</v>
      </c>
      <c r="O8" s="7">
        <f t="shared" si="1"/>
        <v>8.2174963509120014E-2</v>
      </c>
    </row>
    <row r="9" spans="2:15" x14ac:dyDescent="0.3">
      <c r="B9" t="s">
        <v>236</v>
      </c>
      <c r="C9" s="85"/>
      <c r="D9" s="85">
        <f>IFERROR(HistoricalFS!D36/HistoricalFS!C36-1,0)</f>
        <v>7.8651902028958665E-2</v>
      </c>
      <c r="E9" s="85">
        <f>IFERROR(HistoricalFS!E36/HistoricalFS!D36-1,0)</f>
        <v>4.9310334554771407E-2</v>
      </c>
      <c r="F9" s="85">
        <f>IFERROR(HistoricalFS!F36/HistoricalFS!E36-1,0)</f>
        <v>9.8324352255112046E-2</v>
      </c>
      <c r="G9" s="85">
        <f>IFERROR(HistoricalFS!G36/HistoricalFS!F36-1,0)</f>
        <v>0.25067338065523237</v>
      </c>
      <c r="H9" s="85">
        <f>IFERROR(HistoricalFS!H36/HistoricalFS!G36-1,0)</f>
        <v>0.18848020370875829</v>
      </c>
      <c r="I9" s="85">
        <f>IFERROR(HistoricalFS!I36/HistoricalFS!H36-1,0)</f>
        <v>-2.9971131438908061E-2</v>
      </c>
      <c r="J9" s="85">
        <f>IFERROR(HistoricalFS!J36/HistoricalFS!I36-1,0)</f>
        <v>0.34957492658474654</v>
      </c>
      <c r="K9" s="85">
        <f>IFERROR(HistoricalFS!K36/HistoricalFS!J36-1,0)</f>
        <v>0.25847332665581102</v>
      </c>
      <c r="L9" s="85">
        <f>IFERROR(HistoricalFS!L36/HistoricalFS!K36-1,0)</f>
        <v>-0.29075754792863395</v>
      </c>
      <c r="N9" s="7">
        <f t="shared" si="0"/>
        <v>0.10586219411953872</v>
      </c>
      <c r="O9" s="7">
        <f t="shared" si="1"/>
        <v>9.8324352255112046E-2</v>
      </c>
    </row>
    <row r="10" spans="2:15" x14ac:dyDescent="0.3">
      <c r="B10" t="s">
        <v>237</v>
      </c>
      <c r="C10" s="85"/>
      <c r="D10" s="85">
        <f>IFERROR(HistoricalFS!D44/HistoricalFS!C44-1,0)</f>
        <v>0.37333889352237981</v>
      </c>
      <c r="E10" s="85">
        <f>IFERROR(HistoricalFS!E44/HistoricalFS!D44-1,0)</f>
        <v>-0.15534727423632066</v>
      </c>
      <c r="F10" s="85">
        <f>IFERROR(HistoricalFS!F44/HistoricalFS!E44-1,0)</f>
        <v>0.20690233672858005</v>
      </c>
      <c r="G10" s="85">
        <f>IFERROR(HistoricalFS!G44/HistoricalFS!F44-1,0)</f>
        <v>0.14285714285714279</v>
      </c>
      <c r="H10" s="85">
        <f>IFERROR(HistoricalFS!H44/HistoricalFS!G44-1,0)</f>
        <v>0.48749826244092298</v>
      </c>
      <c r="I10" s="85">
        <f>IFERROR(HistoricalFS!I44/HistoricalFS!H44-1,0)</f>
        <v>7.2831552941588606E-2</v>
      </c>
      <c r="J10" s="85">
        <f>IFERROR(HistoricalFS!J44/HistoricalFS!I44-1,0)</f>
        <v>0.33942521789783719</v>
      </c>
      <c r="K10" s="85">
        <f>IFERROR(HistoricalFS!K44/HistoricalFS!J44-1,0)</f>
        <v>0.2982461844859472</v>
      </c>
      <c r="L10" s="85">
        <f>IFERROR(HistoricalFS!L44/HistoricalFS!K44-1,0)</f>
        <v>-0.25525493560081891</v>
      </c>
      <c r="N10" s="7">
        <f t="shared" si="0"/>
        <v>0.16783304233747323</v>
      </c>
      <c r="O10" s="7">
        <f t="shared" si="1"/>
        <v>0.20690233672858005</v>
      </c>
    </row>
    <row r="11" spans="2:15" x14ac:dyDescent="0.3"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2"/>
      <c r="O11" s="121"/>
    </row>
    <row r="12" spans="2:15" x14ac:dyDescent="0.3">
      <c r="B12" t="s">
        <v>238</v>
      </c>
      <c r="C12" s="85">
        <f>IFERROR(HistoricalFS!C13,0)</f>
        <v>0.34037441080083447</v>
      </c>
      <c r="D12" s="85">
        <f>IFERROR(HistoricalFS!D13,0)</f>
        <v>0.35382642001488518</v>
      </c>
      <c r="E12" s="85">
        <f>IFERROR(HistoricalFS!E13,0)</f>
        <v>0.33465263558312119</v>
      </c>
      <c r="F12" s="85">
        <f>IFERROR(HistoricalFS!F13,0)</f>
        <v>0.3292243867375117</v>
      </c>
      <c r="G12" s="85">
        <f>IFERROR(HistoricalFS!G13,0)</f>
        <v>0.34897544684272364</v>
      </c>
      <c r="H12" s="85">
        <f>IFERROR(HistoricalFS!H13,0)</f>
        <v>0.35360356729835285</v>
      </c>
      <c r="I12" s="85">
        <f>IFERROR(HistoricalFS!I13,0)</f>
        <v>0.29245139732685294</v>
      </c>
      <c r="J12" s="85">
        <f>IFERROR(HistoricalFS!J13,0)</f>
        <v>0.31088223670495074</v>
      </c>
      <c r="K12" s="85">
        <f>IFERROR(HistoricalFS!K13,0)</f>
        <v>0.35173503221464147</v>
      </c>
      <c r="L12" s="85">
        <f>IFERROR(HistoricalFS!L13,0)</f>
        <v>0.32927727025785108</v>
      </c>
      <c r="N12" s="7">
        <f>IFERROR(AVERAGE(C12:L12),0)</f>
        <v>0.33450028037817253</v>
      </c>
      <c r="O12" s="7">
        <f>IFERROR(MEDIAN(C12:L12),0)</f>
        <v>0.3375135231919778</v>
      </c>
    </row>
    <row r="13" spans="2:15" x14ac:dyDescent="0.3">
      <c r="B13" t="s">
        <v>239</v>
      </c>
      <c r="C13" s="85">
        <f>IFERROR(HistoricalFS!C19,0)</f>
        <v>0.19094292186730338</v>
      </c>
      <c r="D13" s="85">
        <f>IFERROR(HistoricalFS!D19,0)</f>
        <v>0.19876258050895004</v>
      </c>
      <c r="E13" s="85">
        <f>IFERROR(HistoricalFS!E19,0)</f>
        <v>0.19043659414367703</v>
      </c>
      <c r="F13" s="85">
        <f>IFERROR(HistoricalFS!F19,0)</f>
        <v>0.19568163000977651</v>
      </c>
      <c r="G13" s="85">
        <f>IFERROR(HistoricalFS!G19,0)</f>
        <v>0.20566862514688591</v>
      </c>
      <c r="H13" s="85">
        <f>IFERROR(HistoricalFS!H19,0)</f>
        <v>0.22362856178317034</v>
      </c>
      <c r="I13" s="85">
        <f>IFERROR(HistoricalFS!I19,0)</f>
        <v>0.16506524798909186</v>
      </c>
      <c r="J13" s="85">
        <f>IFERROR(HistoricalFS!J19,0)</f>
        <v>0.1815046657459756</v>
      </c>
      <c r="K13" s="85">
        <f>IFERROR(HistoricalFS!K19,0)</f>
        <v>0.21369313134654075</v>
      </c>
      <c r="L13" s="85">
        <f>IFERROR(HistoricalFS!L19,0)</f>
        <v>0.17714496888716388</v>
      </c>
      <c r="N13" s="7">
        <f t="shared" ref="N13:N41" si="2">IFERROR(AVERAGE(C13:L13),0)</f>
        <v>0.19425289274285351</v>
      </c>
      <c r="O13" s="7">
        <f t="shared" ref="O13:O41" si="3">IFERROR(MEDIAN(C13:L13),0)</f>
        <v>0.19331227593853995</v>
      </c>
    </row>
    <row r="14" spans="2:15" x14ac:dyDescent="0.3">
      <c r="B14" t="s">
        <v>240</v>
      </c>
      <c r="C14" s="85">
        <f>IFERROR(HistoricalFS!C28,0)</f>
        <v>0.17163309507276406</v>
      </c>
      <c r="D14" s="85">
        <f>IFERROR(HistoricalFS!D28,0)</f>
        <v>0.17653510591893901</v>
      </c>
      <c r="E14" s="85">
        <f>IFERROR(HistoricalFS!E28,0)</f>
        <v>0.16901135543001156</v>
      </c>
      <c r="F14" s="85">
        <f>IFERROR(HistoricalFS!F28,0)</f>
        <v>0.16334608965739844</v>
      </c>
      <c r="G14" s="85">
        <f>IFERROR(HistoricalFS!G28,0)</f>
        <v>0.16705151833755943</v>
      </c>
      <c r="H14" s="85">
        <f>IFERROR(HistoricalFS!H28,0)</f>
        <v>0.18718598577152007</v>
      </c>
      <c r="I14" s="85">
        <f>IFERROR(HistoricalFS!I28,0)</f>
        <v>0.13701287366053996</v>
      </c>
      <c r="J14" s="85">
        <f>IFERROR(HistoricalFS!J28,0)</f>
        <v>0.15662629292760291</v>
      </c>
      <c r="K14" s="85">
        <f>IFERROR(HistoricalFS!K28,0)</f>
        <v>0.18966139480424279</v>
      </c>
      <c r="L14" s="85">
        <f>IFERROR(HistoricalFS!L28,0)</f>
        <v>0.14687447095791203</v>
      </c>
      <c r="N14" s="7">
        <f t="shared" si="2"/>
        <v>0.16649381825384904</v>
      </c>
      <c r="O14" s="7">
        <f t="shared" si="3"/>
        <v>0.1680314368837855</v>
      </c>
    </row>
    <row r="15" spans="2:15" x14ac:dyDescent="0.3">
      <c r="B15" t="s">
        <v>241</v>
      </c>
      <c r="C15" s="85">
        <f>IFERROR(HistoricalFS!C31,0)</f>
        <v>0.16819967641780931</v>
      </c>
      <c r="D15" s="85">
        <f>IFERROR(HistoricalFS!D31,0)</f>
        <v>0.17405668175320793</v>
      </c>
      <c r="E15" s="85">
        <f>IFERROR(HistoricalFS!E31,0)</f>
        <v>0.16654650495852794</v>
      </c>
      <c r="F15" s="85">
        <f>IFERROR(HistoricalFS!F31,0)</f>
        <v>0.15760444446061442</v>
      </c>
      <c r="G15" s="85">
        <f>IFERROR(HistoricalFS!G31,0)</f>
        <v>0.16198849650565889</v>
      </c>
      <c r="H15" s="85">
        <f>IFERROR(HistoricalFS!H31,0)</f>
        <v>0.18296589245325004</v>
      </c>
      <c r="I15" s="85">
        <f>IFERROR(HistoricalFS!I31,0)</f>
        <v>0.13373432371359606</v>
      </c>
      <c r="J15" s="85">
        <f>IFERROR(HistoricalFS!J31,0)</f>
        <v>0.15243795121806938</v>
      </c>
      <c r="K15" s="85">
        <f>IFERROR(HistoricalFS!K31,0)</f>
        <v>0.18388110009570438</v>
      </c>
      <c r="L15" s="85">
        <f>IFERROR(HistoricalFS!L31,0)</f>
        <v>0.14017882581117827</v>
      </c>
      <c r="N15" s="7">
        <f t="shared" si="2"/>
        <v>0.16215938973876165</v>
      </c>
      <c r="O15" s="7">
        <f t="shared" si="3"/>
        <v>0.1642675007320934</v>
      </c>
    </row>
    <row r="16" spans="2:15" x14ac:dyDescent="0.3">
      <c r="B16" t="s">
        <v>242</v>
      </c>
      <c r="C16" s="85">
        <f>IFERROR(HistoricalFS!C37,0)</f>
        <v>0.10902645764387611</v>
      </c>
      <c r="D16" s="85">
        <f>IFERROR(HistoricalFS!D37,0)</f>
        <v>0.1114294990237014</v>
      </c>
      <c r="E16" s="85">
        <f>IFERROR(HistoricalFS!E37,0)</f>
        <v>0.10467501359620324</v>
      </c>
      <c r="F16" s="85">
        <f>IFERROR(HistoricalFS!F37,0)</f>
        <v>0.1005331045060507</v>
      </c>
      <c r="G16" s="85">
        <f>IFERROR(HistoricalFS!G37,0)</f>
        <v>0.1196927453769558</v>
      </c>
      <c r="H16" s="85">
        <f>IFERROR(HistoricalFS!H37,0)</f>
        <v>0.13241504200980173</v>
      </c>
      <c r="I16" s="85">
        <f>IFERROR(HistoricalFS!I37,0)</f>
        <v>9.5835303464314917E-2</v>
      </c>
      <c r="J16" s="85">
        <f>IFERROR(HistoricalFS!J37,0)</f>
        <v>0.10913377438741322</v>
      </c>
      <c r="K16" s="85">
        <f>IFERROR(HistoricalFS!K37,0)</f>
        <v>0.13344882465650537</v>
      </c>
      <c r="L16" s="85">
        <f>IFERROR(HistoricalFS!L37,0)</f>
        <v>9.9083573755619339E-2</v>
      </c>
      <c r="N16" s="7">
        <f t="shared" si="2"/>
        <v>0.11152733384204416</v>
      </c>
      <c r="O16" s="7">
        <f t="shared" si="3"/>
        <v>0.10908011601564466</v>
      </c>
    </row>
    <row r="17" spans="2:15" x14ac:dyDescent="0.3"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2"/>
      <c r="O17" s="122"/>
    </row>
    <row r="18" spans="2:15" x14ac:dyDescent="0.3">
      <c r="B18" t="s">
        <v>243</v>
      </c>
      <c r="C18" s="5">
        <f>IFERROR(HistoricalFS!C16,0)</f>
        <v>0.14943148893353111</v>
      </c>
      <c r="D18" s="5">
        <f>IFERROR(HistoricalFS!D16,0)</f>
        <v>0.15506383950593511</v>
      </c>
      <c r="E18" s="5">
        <f>IFERROR(HistoricalFS!E16,0)</f>
        <v>0.14421604143944414</v>
      </c>
      <c r="F18" s="5">
        <f>IFERROR(HistoricalFS!F16,0)</f>
        <v>0.13354275672773522</v>
      </c>
      <c r="G18" s="5">
        <f>IFERROR(HistoricalFS!G16,0)</f>
        <v>0.14330682169583772</v>
      </c>
      <c r="H18" s="5">
        <f>IFERROR(HistoricalFS!H16,0)</f>
        <v>0.12997500551518251</v>
      </c>
      <c r="I18" s="5">
        <f>IFERROR(HistoricalFS!I16,0)</f>
        <v>0.1273861493377611</v>
      </c>
      <c r="J18" s="5">
        <f>IFERROR(HistoricalFS!J16,0)</f>
        <v>0.12937757095897515</v>
      </c>
      <c r="K18" s="5">
        <f>IFERROR(HistoricalFS!K16,0)</f>
        <v>0.1380419008681007</v>
      </c>
      <c r="L18" s="5">
        <f>IFERROR(HistoricalFS!L16,0)</f>
        <v>0.15213230137068723</v>
      </c>
      <c r="N18" s="7">
        <f t="shared" si="2"/>
        <v>0.14024738763531899</v>
      </c>
      <c r="O18" s="7">
        <f t="shared" si="3"/>
        <v>0.1406743612819692</v>
      </c>
    </row>
    <row r="19" spans="2:15" x14ac:dyDescent="0.3">
      <c r="B19" t="s">
        <v>244</v>
      </c>
      <c r="C19" s="5">
        <f>IFERROR(HistoricalFS!C25,0)</f>
        <v>1.9309826794539322E-2</v>
      </c>
      <c r="D19" s="5">
        <f>IFERROR(HistoricalFS!D25,0)</f>
        <v>2.2227474590011016E-2</v>
      </c>
      <c r="E19" s="5">
        <f>IFERROR(HistoricalFS!E25,0)</f>
        <v>2.1425238713665449E-2</v>
      </c>
      <c r="F19" s="5">
        <f>IFERROR(HistoricalFS!F25,0)</f>
        <v>3.2335540352378074E-2</v>
      </c>
      <c r="G19" s="5">
        <f>IFERROR(HistoricalFS!G25,0)</f>
        <v>3.8617106809326486E-2</v>
      </c>
      <c r="H19" s="5">
        <f>IFERROR(HistoricalFS!H25,0)</f>
        <v>3.6442576011650275E-2</v>
      </c>
      <c r="I19" s="5">
        <f>IFERROR(HistoricalFS!I25,0)</f>
        <v>2.8052374328551871E-2</v>
      </c>
      <c r="J19" s="5">
        <f>IFERROR(HistoricalFS!J25,0)</f>
        <v>2.4878372818372688E-2</v>
      </c>
      <c r="K19" s="5">
        <f>IFERROR(HistoricalFS!K25,0)</f>
        <v>2.4031736542297968E-2</v>
      </c>
      <c r="L19" s="5">
        <f>IFERROR(HistoricalFS!L25,0)</f>
        <v>3.0270497929251843E-2</v>
      </c>
      <c r="N19" s="7">
        <f t="shared" si="2"/>
        <v>2.7759074489004498E-2</v>
      </c>
      <c r="O19" s="7">
        <f t="shared" si="3"/>
        <v>2.6465373573462278E-2</v>
      </c>
    </row>
    <row r="20" spans="2:15" x14ac:dyDescent="0.3">
      <c r="B20" t="s">
        <v>245</v>
      </c>
      <c r="C20" s="5">
        <f>C14</f>
        <v>0.17163309507276406</v>
      </c>
      <c r="D20" s="5">
        <f t="shared" ref="D20:L20" si="4">D14</f>
        <v>0.17653510591893901</v>
      </c>
      <c r="E20" s="5">
        <f t="shared" si="4"/>
        <v>0.16901135543001156</v>
      </c>
      <c r="F20" s="5">
        <f t="shared" si="4"/>
        <v>0.16334608965739844</v>
      </c>
      <c r="G20" s="5">
        <f t="shared" si="4"/>
        <v>0.16705151833755943</v>
      </c>
      <c r="H20" s="5">
        <f t="shared" si="4"/>
        <v>0.18718598577152007</v>
      </c>
      <c r="I20" s="5">
        <f t="shared" si="4"/>
        <v>0.13701287366053996</v>
      </c>
      <c r="J20" s="5">
        <f t="shared" si="4"/>
        <v>0.15662629292760291</v>
      </c>
      <c r="K20" s="5">
        <f t="shared" si="4"/>
        <v>0.18966139480424279</v>
      </c>
      <c r="L20" s="5">
        <f t="shared" si="4"/>
        <v>0.14687447095791203</v>
      </c>
      <c r="N20" s="7">
        <f t="shared" si="2"/>
        <v>0.16649381825384904</v>
      </c>
      <c r="O20" s="7">
        <f t="shared" si="3"/>
        <v>0.1680314368837855</v>
      </c>
    </row>
    <row r="21" spans="2:15" x14ac:dyDescent="0.3"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2"/>
      <c r="O21" s="122"/>
    </row>
    <row r="22" spans="2:15" x14ac:dyDescent="0.3">
      <c r="B22" t="s">
        <v>246</v>
      </c>
      <c r="C22" s="85">
        <f>IFERROR(HistoricalFS!C27/SUM(HistoricalFS!C50:C52),0)</f>
        <v>0.35768409093896003</v>
      </c>
      <c r="D22" s="85">
        <f>IFERROR(HistoricalFS!D27/SUM(HistoricalFS!D50:D52),0)</f>
        <v>0.32568533713528403</v>
      </c>
      <c r="E22" s="85">
        <f>IFERROR(HistoricalFS!E27/SUM(HistoricalFS!E50:E52),0)</f>
        <v>0.31793918820706524</v>
      </c>
      <c r="F22" s="85">
        <f>IFERROR(HistoricalFS!F27/SUM(HistoricalFS!F50:F52),0)</f>
        <v>0.29126564505590763</v>
      </c>
      <c r="G22" s="85">
        <f>IFERROR(HistoricalFS!G27/SUM(HistoricalFS!G50:G52),0)</f>
        <v>0.30015308490077913</v>
      </c>
      <c r="H22" s="85">
        <f>IFERROR(HistoricalFS!H27/SUM(HistoricalFS!H50:H52),0)</f>
        <v>0.29241025338485616</v>
      </c>
      <c r="I22" s="85">
        <f>IFERROR(HistoricalFS!I27/SUM(HistoricalFS!I50:I52),0)</f>
        <v>0.2589385678029722</v>
      </c>
      <c r="J22" s="85">
        <f>IFERROR(HistoricalFS!J27/SUM(HistoricalFS!J50:J52),0)</f>
        <v>0.30135928613070662</v>
      </c>
      <c r="K22" s="85">
        <f>IFERROR(HistoricalFS!K27/SUM(HistoricalFS!K50:K52),0)</f>
        <v>0.31750608885291864</v>
      </c>
      <c r="L22" s="85">
        <f>IFERROR(HistoricalFS!L27/SUM(HistoricalFS!L50:L52),0)</f>
        <v>0.22959184143918202</v>
      </c>
      <c r="N22" s="7">
        <f t="shared" si="2"/>
        <v>0.29925333838486323</v>
      </c>
      <c r="O22" s="7">
        <f t="shared" si="3"/>
        <v>0.3007561855157429</v>
      </c>
    </row>
    <row r="23" spans="2:15" x14ac:dyDescent="0.3">
      <c r="B23" t="s">
        <v>247</v>
      </c>
      <c r="C23" s="85">
        <f>IFERROR(HistoricalFS!C47,0)</f>
        <v>0.53765175421119982</v>
      </c>
      <c r="D23" s="85">
        <f>IFERROR(HistoricalFS!D47,0)</f>
        <v>0.4113385169958591</v>
      </c>
      <c r="E23" s="85">
        <f>IFERROR(HistoricalFS!E47,0)</f>
        <v>0.52615112060007641</v>
      </c>
      <c r="F23" s="85">
        <f>IFERROR(HistoricalFS!F47,0)</f>
        <v>0.47930743898214867</v>
      </c>
      <c r="G23" s="85">
        <f>IFERROR(HistoricalFS!G47,0)</f>
        <v>0.5241945484759043</v>
      </c>
      <c r="H23" s="85">
        <f>IFERROR(HistoricalFS!H47,0)</f>
        <v>0.40448332231922424</v>
      </c>
      <c r="I23" s="85">
        <f>IFERROR(HistoricalFS!I47,0)</f>
        <v>0.34137106345444268</v>
      </c>
      <c r="J23" s="85">
        <f>IFERROR(HistoricalFS!J47,0)</f>
        <v>0.34632439483829069</v>
      </c>
      <c r="K23" s="85">
        <f>IFERROR(HistoricalFS!K47,0)</f>
        <v>0.32566559630800174</v>
      </c>
      <c r="L23" s="85">
        <f>IFERROR(HistoricalFS!L47,0)</f>
        <v>0.29191037925399443</v>
      </c>
      <c r="N23" s="7">
        <f t="shared" si="2"/>
        <v>0.4188398135439142</v>
      </c>
      <c r="O23" s="7">
        <f t="shared" si="3"/>
        <v>0.40791091965754167</v>
      </c>
    </row>
    <row r="24" spans="2:15" x14ac:dyDescent="0.3">
      <c r="B24" t="s">
        <v>248</v>
      </c>
      <c r="C24" s="85">
        <f>IFERROR(HistoricalFS!C36/SUM(HistoricalFS!C50:C51),0)</f>
        <v>0.23846941371562763</v>
      </c>
      <c r="D24" s="85">
        <f>IFERROR(HistoricalFS!D36/SUM(HistoricalFS!D50:D51),0)</f>
        <v>0.22072255122049375</v>
      </c>
      <c r="E24" s="85">
        <f>IFERROR(HistoricalFS!E36/SUM(HistoricalFS!E50:E51),0)</f>
        <v>0.20940093196024379</v>
      </c>
      <c r="F24" s="85">
        <f>IFERROR(HistoricalFS!F36/SUM(HistoricalFS!F50:F51),0)</f>
        <v>0.20424051401449772</v>
      </c>
      <c r="G24" s="85">
        <f>IFERROR(HistoricalFS!G36/SUM(HistoricalFS!G50:G51),0)</f>
        <v>0.23880570494444295</v>
      </c>
      <c r="H24" s="85">
        <f>IFERROR(HistoricalFS!H36/SUM(HistoricalFS!H50:H51),0)</f>
        <v>0.22450686342414569</v>
      </c>
      <c r="I24" s="85">
        <f>IFERROR(HistoricalFS!I36/SUM(HistoricalFS!I50:I51),0)</f>
        <v>0.20192722617865025</v>
      </c>
      <c r="J24" s="85">
        <f>IFERROR(HistoricalFS!J36/SUM(HistoricalFS!J50:J51),0)</f>
        <v>0.23535616983997826</v>
      </c>
      <c r="K24" s="85">
        <f>IFERROR(HistoricalFS!K36/SUM(HistoricalFS!K50:K51),0)</f>
        <v>0.25291831079168969</v>
      </c>
      <c r="L24" s="85">
        <f>IFERROR(HistoricalFS!L36/SUM(HistoricalFS!L50:L51),0)</f>
        <v>0.17317128363628317</v>
      </c>
      <c r="N24" s="7">
        <f t="shared" si="2"/>
        <v>0.21995189697260525</v>
      </c>
      <c r="O24" s="7">
        <f t="shared" si="3"/>
        <v>0.22261470732231972</v>
      </c>
    </row>
    <row r="25" spans="2:15" x14ac:dyDescent="0.3">
      <c r="B25" t="s">
        <v>249</v>
      </c>
      <c r="C25" s="85">
        <f>IFERROR(C23*C24,0)</f>
        <v>0.12821349860992354</v>
      </c>
      <c r="D25" s="85">
        <f t="shared" ref="D25:L25" si="5">IFERROR(D23*D24,0)</f>
        <v>9.0791686886580444E-2</v>
      </c>
      <c r="E25" s="85">
        <f t="shared" si="5"/>
        <v>0.11017653500558262</v>
      </c>
      <c r="F25" s="85">
        <f t="shared" si="5"/>
        <v>9.789399770868655E-2</v>
      </c>
      <c r="G25" s="85">
        <f t="shared" si="5"/>
        <v>0.1251806486768223</v>
      </c>
      <c r="H25" s="85">
        <f t="shared" si="5"/>
        <v>9.0809282001266783E-2</v>
      </c>
      <c r="I25" s="85">
        <f t="shared" si="5"/>
        <v>6.893211194101162E-2</v>
      </c>
      <c r="J25" s="85">
        <f t="shared" si="5"/>
        <v>8.1509583091288432E-2</v>
      </c>
      <c r="K25" s="85">
        <f t="shared" si="5"/>
        <v>8.2366792501188141E-2</v>
      </c>
      <c r="L25" s="85">
        <f t="shared" si="5"/>
        <v>5.055049508216846E-2</v>
      </c>
      <c r="N25" s="7">
        <f t="shared" si="2"/>
        <v>9.2642463150451909E-2</v>
      </c>
      <c r="O25" s="7">
        <f t="shared" si="3"/>
        <v>9.0800484443923607E-2</v>
      </c>
    </row>
    <row r="26" spans="2:15" x14ac:dyDescent="0.3">
      <c r="B26" t="s">
        <v>250</v>
      </c>
      <c r="C26" s="86">
        <f>IFERROR(HistoricalFS!C27/HistoricalFS!C21,0)</f>
        <v>49.988979591836767</v>
      </c>
      <c r="D26" s="86">
        <f>IFERROR(HistoricalFS!D27/HistoricalFS!D21,0)</f>
        <v>71.228770425930904</v>
      </c>
      <c r="E26" s="86">
        <f>IFERROR(HistoricalFS!E27/HistoricalFS!E21,0)</f>
        <v>68.568603809983145</v>
      </c>
      <c r="F26" s="86">
        <f>IFERROR(HistoricalFS!F27/HistoricalFS!F21,0)</f>
        <v>28.449352765456698</v>
      </c>
      <c r="G26" s="86">
        <f>IFERROR(HistoricalFS!G27/HistoricalFS!G21,0)</f>
        <v>32.994429785986497</v>
      </c>
      <c r="H26" s="86">
        <f>IFERROR(HistoricalFS!H27/HistoricalFS!H21,0)</f>
        <v>44.355887809669362</v>
      </c>
      <c r="I26" s="86">
        <f>IFERROR(HistoricalFS!I27/HistoricalFS!I21,0)</f>
        <v>41.790692799496895</v>
      </c>
      <c r="J26" s="86">
        <f>IFERROR(HistoricalFS!J27/HistoricalFS!J21,0)</f>
        <v>37.39577708549669</v>
      </c>
      <c r="K26" s="86">
        <f>IFERROR(HistoricalFS!K27/HistoricalFS!K21,0)</f>
        <v>32.811717112638306</v>
      </c>
      <c r="L26" s="86">
        <f>IFERROR(HistoricalFS!L27/HistoricalFS!L21,0)</f>
        <v>21.935820632543393</v>
      </c>
      <c r="N26" s="86">
        <f t="shared" si="2"/>
        <v>42.952003181903862</v>
      </c>
      <c r="O26" s="86">
        <f t="shared" si="3"/>
        <v>39.593234942496792</v>
      </c>
    </row>
    <row r="27" spans="2:15" x14ac:dyDescent="0.3"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2"/>
      <c r="O27" s="122"/>
    </row>
    <row r="28" spans="2:15" x14ac:dyDescent="0.3">
      <c r="B28" t="s">
        <v>251</v>
      </c>
      <c r="C28" s="86">
        <f>IFERROR(HistoricalFS!C6/HistoricalFS!C62,0)</f>
        <v>12.024780088301709</v>
      </c>
      <c r="D28" s="86">
        <f>IFERROR(HistoricalFS!D6/HistoricalFS!D62,0)</f>
        <v>10.41199364025992</v>
      </c>
      <c r="E28" s="86">
        <f>IFERROR(HistoricalFS!E6/HistoricalFS!E62,0)</f>
        <v>9.7216331624899599</v>
      </c>
      <c r="F28" s="86">
        <f>IFERROR(HistoricalFS!F6/HistoricalFS!F62,0)</f>
        <v>10.08746782150965</v>
      </c>
      <c r="G28" s="86">
        <f>IFERROR(HistoricalFS!G6/HistoricalFS!G62,0)</f>
        <v>11.258369447755706</v>
      </c>
      <c r="H28" s="86">
        <f>IFERROR(HistoricalFS!H6/HistoricalFS!H62,0)</f>
        <v>8.3441089552181449</v>
      </c>
      <c r="I28" s="86">
        <f>IFERROR(HistoricalFS!I6/HistoricalFS!I62,0)</f>
        <v>7.5169136032070751</v>
      </c>
      <c r="J28" s="86">
        <f>IFERROR(HistoricalFS!J6/HistoricalFS!J62,0)</f>
        <v>7.4377908707035241</v>
      </c>
      <c r="K28" s="86">
        <f>IFERROR(HistoricalFS!K6/HistoricalFS!K62,0)</f>
        <v>7.2600464302880932</v>
      </c>
      <c r="L28" s="86">
        <f>IFERROR(HistoricalFS!L6/HistoricalFS!L62,0)</f>
        <v>7.8600767331610131</v>
      </c>
      <c r="N28" s="86">
        <f t="shared" si="2"/>
        <v>9.1923180752894798</v>
      </c>
      <c r="O28" s="86">
        <f t="shared" si="3"/>
        <v>9.0328710588540524</v>
      </c>
    </row>
    <row r="29" spans="2:15" x14ac:dyDescent="0.3">
      <c r="B29" t="s">
        <v>252</v>
      </c>
      <c r="C29" s="86">
        <f>IFERROR(HistoricalFS!C9/HistoricalFS!C53,0)</f>
        <v>2.536794110355383</v>
      </c>
      <c r="D29" s="86">
        <f>IFERROR(HistoricalFS!D9/HistoricalFS!D53,0)</f>
        <v>2.2949190749264319</v>
      </c>
      <c r="E29" s="86">
        <f>IFERROR(HistoricalFS!E9/HistoricalFS!E53,0)</f>
        <v>2.3225286421484617</v>
      </c>
      <c r="F29" s="86">
        <f>IFERROR(HistoricalFS!F9/HistoricalFS!F53,0)</f>
        <v>2.3642687164869227</v>
      </c>
      <c r="G29" s="86">
        <f>IFERROR(HistoricalFS!G9/HistoricalFS!G53,0)</f>
        <v>2.6911813732408052</v>
      </c>
      <c r="H29" s="86">
        <f>IFERROR(HistoricalFS!H9/HistoricalFS!H53,0)</f>
        <v>2.1739811305265078</v>
      </c>
      <c r="I29" s="86">
        <f>IFERROR(HistoricalFS!I9/HistoricalFS!I53,0)</f>
        <v>2.7236239730475833</v>
      </c>
      <c r="J29" s="86">
        <f>IFERROR(HistoricalFS!J9/HistoricalFS!J53,0)</f>
        <v>3.0258782249111338</v>
      </c>
      <c r="K29" s="86">
        <f>IFERROR(HistoricalFS!K9/HistoricalFS!K53,0)</f>
        <v>2.6454072100886519</v>
      </c>
      <c r="L29" s="86">
        <f>IFERROR(HistoricalFS!L9/HistoricalFS!L53,0)</f>
        <v>2.6244519714026882</v>
      </c>
      <c r="N29" s="86">
        <f t="shared" si="2"/>
        <v>2.5403034427134572</v>
      </c>
      <c r="O29" s="86">
        <f t="shared" si="3"/>
        <v>2.5806230408790354</v>
      </c>
    </row>
    <row r="30" spans="2:15" x14ac:dyDescent="0.3">
      <c r="B30" t="s">
        <v>253</v>
      </c>
      <c r="C30" s="86">
        <f>IFERROR(HistoricalFS!C9/HistoricalFS!C63,0)</f>
        <v>4.7110657378493066</v>
      </c>
      <c r="D30" s="86">
        <f>IFERROR(HistoricalFS!D9/HistoricalFS!D63,0)</f>
        <v>3.7049418715311351</v>
      </c>
      <c r="E30" s="86">
        <f>IFERROR(HistoricalFS!E9/HistoricalFS!E63,0)</f>
        <v>4.2110100025956338</v>
      </c>
      <c r="F30" s="86">
        <f>IFERROR(HistoricalFS!F9/HistoricalFS!F63,0)</f>
        <v>4.0972646403332211</v>
      </c>
      <c r="G30" s="86">
        <f>IFERROR(HistoricalFS!G9/HistoricalFS!G63,0)</f>
        <v>3.8816393839182735</v>
      </c>
      <c r="H30" s="86">
        <f>IFERROR(HistoricalFS!H9/HistoricalFS!H63,0)</f>
        <v>3.6948007160532823</v>
      </c>
      <c r="I30" s="86">
        <f>IFERROR(HistoricalFS!I9/HistoricalFS!I63,0)</f>
        <v>3.3464386362380507</v>
      </c>
      <c r="J30" s="86">
        <f>IFERROR(HistoricalFS!J9/HistoricalFS!J63,0)</f>
        <v>3.8267714760475569</v>
      </c>
      <c r="K30" s="86">
        <f>IFERROR(HistoricalFS!K9/HistoricalFS!K63,0)</f>
        <v>3.8845850616452351</v>
      </c>
      <c r="L30" s="86">
        <f>IFERROR(HistoricalFS!L9/HistoricalFS!L63,0)</f>
        <v>3.3844852193765096</v>
      </c>
      <c r="N30" s="86">
        <f t="shared" si="2"/>
        <v>3.8743002745588209</v>
      </c>
      <c r="O30" s="86">
        <f t="shared" si="3"/>
        <v>3.8542054299829154</v>
      </c>
    </row>
    <row r="31" spans="2:15" x14ac:dyDescent="0.3">
      <c r="B31" t="s">
        <v>254</v>
      </c>
      <c r="C31" s="86">
        <f>IFERROR(HistoricalFS!C6/HistoricalFS!C56,0)</f>
        <v>4.1774086378737545</v>
      </c>
      <c r="D31" s="86">
        <f>IFERROR(HistoricalFS!D6/HistoricalFS!D56,0)</f>
        <v>4.5590724451682032</v>
      </c>
      <c r="E31" s="86">
        <f>IFERROR(HistoricalFS!E6/HistoricalFS!E56,0)</f>
        <v>4.50789606241828</v>
      </c>
      <c r="F31" s="86">
        <f>IFERROR(HistoricalFS!F6/HistoricalFS!F56,0)</f>
        <v>2.9615873631583485</v>
      </c>
      <c r="G31" s="86">
        <f>IFERROR(HistoricalFS!G6/HistoricalFS!G56,0)</f>
        <v>3.2222976861794139</v>
      </c>
      <c r="H31" s="86">
        <f>IFERROR(HistoricalFS!H6/HistoricalFS!H56,0)</f>
        <v>3.7061903006220001</v>
      </c>
      <c r="I31" s="86">
        <f>IFERROR(HistoricalFS!I6/HistoricalFS!I56,0)</f>
        <v>5.2728689305787571</v>
      </c>
      <c r="J31" s="86">
        <f>IFERROR(HistoricalFS!J6/HistoricalFS!J56,0)</f>
        <v>5.9767488207179316</v>
      </c>
      <c r="K31" s="86">
        <f>IFERROR(HistoricalFS!K6/HistoricalFS!K56,0)</f>
        <v>4.9666457710078333</v>
      </c>
      <c r="L31" s="86">
        <f>IFERROR(HistoricalFS!L6/HistoricalFS!L56,0)</f>
        <v>3.6773592477305019</v>
      </c>
      <c r="N31" s="86">
        <f t="shared" si="2"/>
        <v>4.3028075265455019</v>
      </c>
      <c r="O31" s="86">
        <f t="shared" si="3"/>
        <v>4.3426523501460172</v>
      </c>
    </row>
    <row r="32" spans="2:15" x14ac:dyDescent="0.3">
      <c r="B32" t="s">
        <v>255</v>
      </c>
      <c r="C32" s="86">
        <f>IFERROR(HistoricalFS!C6/SUM(HistoricalFS!C50:C51),0)</f>
        <v>2.1872618708255556</v>
      </c>
      <c r="D32" s="86">
        <f>IFERROR(HistoricalFS!D6/SUM(HistoricalFS!D50:D51),0)</f>
        <v>1.9808269188533763</v>
      </c>
      <c r="E32" s="86">
        <f>IFERROR(HistoricalFS!E6/SUM(HistoricalFS!E50:E51),0)</f>
        <v>2.0004863125027494</v>
      </c>
      <c r="F32" s="86">
        <f>IFERROR(HistoricalFS!F6/SUM(HistoricalFS!F50:F51),0)</f>
        <v>2.0315747237488848</v>
      </c>
      <c r="G32" s="86">
        <f>IFERROR(HistoricalFS!G6/SUM(HistoricalFS!G50:G51),0)</f>
        <v>1.995156048867935</v>
      </c>
      <c r="H32" s="86">
        <f>IFERROR(HistoricalFS!H6/SUM(HistoricalFS!H50:H51),0)</f>
        <v>1.6954785499937921</v>
      </c>
      <c r="I32" s="86">
        <f>IFERROR(HistoricalFS!I6/SUM(HistoricalFS!I50:I51),0)</f>
        <v>2.1070233919991659</v>
      </c>
      <c r="J32" s="86">
        <f>IFERROR(HistoricalFS!J6/SUM(HistoricalFS!J50:J51),0)</f>
        <v>2.1565841661857039</v>
      </c>
      <c r="K32" s="86">
        <f>IFERROR(HistoricalFS!K6/SUM(HistoricalFS!K50:K51),0)</f>
        <v>1.8952456976874572</v>
      </c>
      <c r="L32" s="86">
        <f>IFERROR(HistoricalFS!L6/SUM(HistoricalFS!L50:L51),0)</f>
        <v>1.7477294880723062</v>
      </c>
      <c r="N32" s="86">
        <f t="shared" si="2"/>
        <v>1.9797367168736926</v>
      </c>
      <c r="O32" s="86">
        <f t="shared" si="3"/>
        <v>1.9978211806853423</v>
      </c>
    </row>
    <row r="33" spans="2:15" x14ac:dyDescent="0.3">
      <c r="B33" s="121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1"/>
      <c r="N33" s="122"/>
      <c r="O33" s="122"/>
    </row>
    <row r="34" spans="2:15" x14ac:dyDescent="0.3">
      <c r="B34" t="s">
        <v>256</v>
      </c>
      <c r="C34" s="87">
        <f>IFERROR(365/C28,0)</f>
        <v>30.353985463325834</v>
      </c>
      <c r="D34" s="87">
        <f t="shared" ref="D34:L34" si="6">IFERROR(365/D28,0)</f>
        <v>35.055726368162503</v>
      </c>
      <c r="E34" s="87">
        <f t="shared" si="6"/>
        <v>37.545131964896534</v>
      </c>
      <c r="F34" s="87">
        <f t="shared" si="6"/>
        <v>36.183510714324697</v>
      </c>
      <c r="G34" s="87">
        <f t="shared" si="6"/>
        <v>32.420325313872226</v>
      </c>
      <c r="H34" s="87">
        <f t="shared" si="6"/>
        <v>43.743436472235949</v>
      </c>
      <c r="I34" s="87">
        <f t="shared" si="6"/>
        <v>48.557163121347244</v>
      </c>
      <c r="J34" s="87">
        <f t="shared" si="6"/>
        <v>49.073711044725229</v>
      </c>
      <c r="K34" s="87">
        <f t="shared" si="6"/>
        <v>50.275160566089667</v>
      </c>
      <c r="L34" s="87">
        <f t="shared" si="6"/>
        <v>46.437205690384069</v>
      </c>
      <c r="N34" s="87">
        <f t="shared" si="2"/>
        <v>40.964535671936389</v>
      </c>
      <c r="O34" s="87">
        <f t="shared" si="3"/>
        <v>40.644284218566241</v>
      </c>
    </row>
    <row r="35" spans="2:15" x14ac:dyDescent="0.3">
      <c r="B35" t="s">
        <v>257</v>
      </c>
      <c r="C35" s="87">
        <f t="shared" ref="C35:L36" si="7">IFERROR(365/C29,0)</f>
        <v>143.88239018296468</v>
      </c>
      <c r="D35" s="87">
        <f t="shared" si="7"/>
        <v>159.0470025666159</v>
      </c>
      <c r="E35" s="87">
        <f t="shared" si="7"/>
        <v>157.15629653650072</v>
      </c>
      <c r="F35" s="87">
        <f t="shared" si="7"/>
        <v>154.38177456509897</v>
      </c>
      <c r="G35" s="87">
        <f t="shared" si="7"/>
        <v>135.62816821983853</v>
      </c>
      <c r="H35" s="87">
        <f t="shared" si="7"/>
        <v>167.89474152961122</v>
      </c>
      <c r="I35" s="87">
        <f t="shared" si="7"/>
        <v>134.01262568253333</v>
      </c>
      <c r="J35" s="87">
        <f t="shared" si="7"/>
        <v>120.62613656923341</v>
      </c>
      <c r="K35" s="87">
        <f t="shared" si="7"/>
        <v>137.97497739025528</v>
      </c>
      <c r="L35" s="87">
        <f t="shared" si="7"/>
        <v>139.07665447004496</v>
      </c>
      <c r="N35" s="87">
        <f t="shared" si="2"/>
        <v>144.96807677126972</v>
      </c>
      <c r="O35" s="87">
        <f t="shared" si="3"/>
        <v>141.47952232650482</v>
      </c>
    </row>
    <row r="36" spans="2:15" x14ac:dyDescent="0.3">
      <c r="B36" t="s">
        <v>23</v>
      </c>
      <c r="C36" s="87">
        <f t="shared" si="7"/>
        <v>77.477161285936461</v>
      </c>
      <c r="D36" s="87">
        <f t="shared" si="7"/>
        <v>98.517065221635193</v>
      </c>
      <c r="E36" s="87">
        <f t="shared" si="7"/>
        <v>86.677542863830013</v>
      </c>
      <c r="F36" s="87">
        <f t="shared" si="7"/>
        <v>89.083823487251095</v>
      </c>
      <c r="G36" s="87">
        <f t="shared" si="7"/>
        <v>94.032434211226288</v>
      </c>
      <c r="H36" s="87">
        <f t="shared" si="7"/>
        <v>98.787465969175798</v>
      </c>
      <c r="I36" s="87">
        <f t="shared" si="7"/>
        <v>109.07117675712716</v>
      </c>
      <c r="J36" s="87">
        <f t="shared" si="7"/>
        <v>95.380662860220397</v>
      </c>
      <c r="K36" s="87">
        <f t="shared" si="7"/>
        <v>93.961129492016283</v>
      </c>
      <c r="L36" s="87">
        <f t="shared" si="7"/>
        <v>107.84505658654948</v>
      </c>
      <c r="N36" s="87">
        <f t="shared" si="2"/>
        <v>95.083351873496824</v>
      </c>
      <c r="O36" s="87">
        <f t="shared" si="3"/>
        <v>94.706548535723343</v>
      </c>
    </row>
    <row r="37" spans="2:15" x14ac:dyDescent="0.3">
      <c r="B37" t="s">
        <v>258</v>
      </c>
      <c r="C37" s="87">
        <f>IFERROR(SUM(C34,C36)-C35,0)</f>
        <v>-36.051243433702382</v>
      </c>
      <c r="D37" s="87">
        <f t="shared" ref="D37:L37" si="8">IFERROR(SUM(D34,D36)-D35,0)</f>
        <v>-25.474210976818199</v>
      </c>
      <c r="E37" s="87">
        <f t="shared" si="8"/>
        <v>-32.933621707774165</v>
      </c>
      <c r="F37" s="87">
        <f t="shared" si="8"/>
        <v>-29.114440363523173</v>
      </c>
      <c r="G37" s="87">
        <f t="shared" si="8"/>
        <v>-9.175408694740014</v>
      </c>
      <c r="H37" s="87">
        <f t="shared" si="8"/>
        <v>-25.363839088199484</v>
      </c>
      <c r="I37" s="87">
        <f t="shared" si="8"/>
        <v>23.615714195941081</v>
      </c>
      <c r="J37" s="87">
        <f t="shared" si="8"/>
        <v>23.828237335712203</v>
      </c>
      <c r="K37" s="87">
        <f t="shared" si="8"/>
        <v>6.2613126678506887</v>
      </c>
      <c r="L37" s="87">
        <f t="shared" si="8"/>
        <v>15.205607806888594</v>
      </c>
      <c r="N37" s="87">
        <f t="shared" si="2"/>
        <v>-8.9201892258364843</v>
      </c>
      <c r="O37" s="87">
        <f t="shared" si="3"/>
        <v>-17.269623891469749</v>
      </c>
    </row>
    <row r="38" spans="2:15" x14ac:dyDescent="0.3"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2"/>
      <c r="O38" s="122"/>
    </row>
    <row r="39" spans="2:15" x14ac:dyDescent="0.3">
      <c r="B39" t="s">
        <v>259</v>
      </c>
      <c r="C39" s="85">
        <f>IFERROR(HistoricalFS!C73/HistoricalFS!C6,0)</f>
        <v>0.15716298718634142</v>
      </c>
      <c r="D39" s="85">
        <f>IFERROR(HistoricalFS!D73/HistoricalFS!D6,0)</f>
        <v>0.10140293546868641</v>
      </c>
      <c r="E39" s="85">
        <f>IFERROR(HistoricalFS!E73/HistoricalFS!E6,0)</f>
        <v>0.12561643550644744</v>
      </c>
      <c r="F39" s="85">
        <f>IFERROR(HistoricalFS!F73/HistoricalFS!F6,0)</f>
        <v>0.12835360260039821</v>
      </c>
      <c r="G39" s="85">
        <f>IFERROR(HistoricalFS!G73/HistoricalFS!G6,0)</f>
        <v>0.15031974766528541</v>
      </c>
      <c r="H39" s="85">
        <f>IFERROR(HistoricalFS!H73/HistoricalFS!H6,0)</f>
        <v>0.16963964557295491</v>
      </c>
      <c r="I39" s="85">
        <f>IFERROR(HistoricalFS!I73/HistoricalFS!I6,0)</f>
        <v>3.3898508931565902E-2</v>
      </c>
      <c r="J39" s="85">
        <f>IFERROR(HistoricalFS!J73/HistoricalFS!J6,0)</f>
        <v>0.12158890809975127</v>
      </c>
      <c r="K39" s="85">
        <f>IFERROR(HistoricalFS!K73/HistoricalFS!K6,0)</f>
        <v>0.17195792164076187</v>
      </c>
      <c r="L39" s="85">
        <f>IFERROR(HistoricalFS!L73/HistoricalFS!L6,0)</f>
        <v>0.13047866400909347</v>
      </c>
      <c r="N39" s="7">
        <f t="shared" si="2"/>
        <v>0.12904193566812863</v>
      </c>
      <c r="O39" s="7">
        <f t="shared" si="3"/>
        <v>0.12941613330474583</v>
      </c>
    </row>
    <row r="40" spans="2:15" x14ac:dyDescent="0.3">
      <c r="B40" t="s">
        <v>260</v>
      </c>
      <c r="C40" s="85">
        <f>IFERROR(HistoricalFS!C73/HistoricalFS!C67,0)</f>
        <v>0.21242008025358391</v>
      </c>
      <c r="D40" s="85">
        <f>IFERROR(HistoricalFS!D73/HistoricalFS!D67,0)</f>
        <v>0.12312024241466678</v>
      </c>
      <c r="E40" s="85">
        <f>IFERROR(HistoricalFS!E73/HistoricalFS!E67,0)</f>
        <v>0.15355418833027695</v>
      </c>
      <c r="F40" s="85">
        <f>IFERROR(HistoricalFS!F73/HistoricalFS!F67,0)</f>
        <v>0.15198254152296409</v>
      </c>
      <c r="G40" s="85">
        <f>IFERROR(HistoricalFS!G73/HistoricalFS!G67,0)</f>
        <v>0.18826097706217076</v>
      </c>
      <c r="H40" s="85">
        <f>IFERROR(HistoricalFS!H73/HistoricalFS!H67,0)</f>
        <v>0.18095251663691198</v>
      </c>
      <c r="I40" s="85">
        <f>IFERROR(HistoricalFS!I73/HistoricalFS!I67,0)</f>
        <v>4.2968530513628325E-2</v>
      </c>
      <c r="J40" s="85">
        <f>IFERROR(HistoricalFS!J73/HistoricalFS!J67,0)</f>
        <v>0.16266636875357118</v>
      </c>
      <c r="K40" s="85">
        <f>IFERROR(HistoricalFS!K73/HistoricalFS!K67,0)</f>
        <v>0.20412852244273305</v>
      </c>
      <c r="L40" s="85">
        <f>IFERROR(HistoricalFS!L73/HistoricalFS!L67,0)</f>
        <v>0.14573953434743578</v>
      </c>
      <c r="N40" s="7">
        <f t="shared" si="2"/>
        <v>0.15657935022779429</v>
      </c>
      <c r="O40" s="7">
        <f t="shared" si="3"/>
        <v>0.15811027854192405</v>
      </c>
    </row>
    <row r="41" spans="2:15" x14ac:dyDescent="0.3">
      <c r="B41" t="s">
        <v>261</v>
      </c>
      <c r="C41" s="85">
        <f>IFERROR(HistoricalFS!C73/HistoricalFS!C52,0)</f>
        <v>6.9378885830059689</v>
      </c>
      <c r="D41" s="85">
        <f>IFERROR(HistoricalFS!D73/HistoricalFS!D52,0)</f>
        <v>2.7257200985116175</v>
      </c>
      <c r="E41" s="85">
        <f>IFERROR(HistoricalFS!E73/HistoricalFS!E52,0)</f>
        <v>3.9619818907822961</v>
      </c>
      <c r="F41" s="85">
        <f>IFERROR(HistoricalFS!F73/HistoricalFS!F52,0)</f>
        <v>1.8714307365868446</v>
      </c>
      <c r="G41" s="85">
        <f>IFERROR(HistoricalFS!G73/HistoricalFS!G52,0)</f>
        <v>2.7162717925793474</v>
      </c>
      <c r="H41" s="85">
        <f>IFERROR(HistoricalFS!H73/HistoricalFS!H52,0)</f>
        <v>3.3695751610070261</v>
      </c>
      <c r="I41" s="85">
        <f>IFERROR(HistoricalFS!I73/HistoricalFS!I52,0)</f>
        <v>0.6216538112522686</v>
      </c>
      <c r="J41" s="85">
        <f>IFERROR(HistoricalFS!J73/HistoricalFS!J52,0)</f>
        <v>2.1698161045627185</v>
      </c>
      <c r="K41" s="85">
        <f>IFERROR(HistoricalFS!K73/HistoricalFS!K52,0)</f>
        <v>2.4667189356525676</v>
      </c>
      <c r="L41" s="85">
        <f>IFERROR(HistoricalFS!L73/HistoricalFS!L52,0)</f>
        <v>1.9316156469268084</v>
      </c>
      <c r="N41" s="7">
        <f t="shared" si="2"/>
        <v>2.877267276086747</v>
      </c>
      <c r="O41" s="7">
        <f t="shared" si="3"/>
        <v>2.5914953641159575</v>
      </c>
    </row>
    <row r="42" spans="2:15" x14ac:dyDescent="0.3"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</row>
  </sheetData>
  <mergeCells count="1">
    <mergeCell ref="B2:O2"/>
  </mergeCells>
  <pageMargins left="0.7" right="0.7" top="0.75" bottom="0.75" header="0.3" footer="0.3"/>
  <pageSetup scale="73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DD382002-FA6C-4D8B-9093-83E37BFEFEF5}">
          <x14:colorSeries theme="8" tint="-0.499984740745262"/>
          <x14:colorNegative rgb="FFD00000"/>
          <x14:colorAxis rgb="FF000000"/>
          <x14:colorMarkers theme="8" tint="-0.499984740745262"/>
          <x14:colorFirst rgb="FFD00000"/>
          <x14:colorLast rgb="FFD00000"/>
          <x14:colorHigh theme="8" tint="-0.499984740745262"/>
          <x14:colorLow rgb="FFD00000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markers="1" high="1" xr2:uid="{31692F64-AE86-42C0-BCC9-6FA61A159C24}">
          <x14:colorSeries theme="8" tint="-0.499984740745262"/>
          <x14:colorNegative rgb="FFD00000"/>
          <x14:colorAxis rgb="FF000000"/>
          <x14:colorMarkers theme="8" tint="-0.499984740745262"/>
          <x14:colorFirst rgb="FFD00000"/>
          <x14:colorLast rgb="FFD00000"/>
          <x14:colorHigh theme="8" tint="-0.499984740745262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6F8A-225A-48DE-B71C-605DA636D27A}">
  <sheetPr>
    <pageSetUpPr fitToPage="1"/>
  </sheetPr>
  <dimension ref="A2:L44"/>
  <sheetViews>
    <sheetView showGridLines="0" zoomScale="70" zoomScaleNormal="70" workbookViewId="0">
      <selection activeCell="N26" sqref="N26"/>
    </sheetView>
  </sheetViews>
  <sheetFormatPr defaultRowHeight="14.4" x14ac:dyDescent="0.3"/>
  <cols>
    <col min="1" max="1" width="1.88671875" customWidth="1"/>
    <col min="2" max="2" width="26.5546875" customWidth="1"/>
  </cols>
  <sheetData>
    <row r="2" spans="1:12" x14ac:dyDescent="0.3">
      <c r="A2" s="77" t="s">
        <v>182</v>
      </c>
      <c r="B2" s="125" t="str">
        <f>"Common Size Income Statement - "&amp;'[1]Data Sheet'!$B$1</f>
        <v>Common Size Income Statement - ASIAN PAINTS LTD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2" x14ac:dyDescent="0.3">
      <c r="B3" s="41" t="s">
        <v>38</v>
      </c>
      <c r="C3" s="42">
        <f>'[1]Data Sheet'!B$16</f>
        <v>42460</v>
      </c>
      <c r="D3" s="42">
        <f>'[1]Data Sheet'!C$16</f>
        <v>42825</v>
      </c>
      <c r="E3" s="42">
        <f>'[1]Data Sheet'!D$16</f>
        <v>43190</v>
      </c>
      <c r="F3" s="42">
        <f>'[1]Data Sheet'!E$16</f>
        <v>43555</v>
      </c>
      <c r="G3" s="42">
        <f>'[1]Data Sheet'!F$16</f>
        <v>43921</v>
      </c>
      <c r="H3" s="42">
        <f>'[1]Data Sheet'!G$16</f>
        <v>44286</v>
      </c>
      <c r="I3" s="42">
        <f>'[1]Data Sheet'!H$16</f>
        <v>44651</v>
      </c>
      <c r="J3" s="42">
        <f>'[1]Data Sheet'!I$16</f>
        <v>45016</v>
      </c>
      <c r="K3" s="42">
        <f>'[1]Data Sheet'!J$16</f>
        <v>45382</v>
      </c>
      <c r="L3" s="42">
        <f>'[1]Data Sheet'!K$16</f>
        <v>45747</v>
      </c>
    </row>
    <row r="5" spans="1:12" x14ac:dyDescent="0.3">
      <c r="B5" s="11" t="str">
        <f>'[1]Data Sheet'!A17</f>
        <v>Sales</v>
      </c>
      <c r="C5" s="7">
        <f>'Data Sheet'!B17/'Data Sheet'!B$17</f>
        <v>1</v>
      </c>
      <c r="D5" s="7">
        <f>'Data Sheet'!C17/'Data Sheet'!C$17</f>
        <v>1</v>
      </c>
      <c r="E5" s="7">
        <f>'Data Sheet'!D17/'Data Sheet'!D$17</f>
        <v>1</v>
      </c>
      <c r="F5" s="7">
        <f>'Data Sheet'!E17/'Data Sheet'!E$17</f>
        <v>1</v>
      </c>
      <c r="G5" s="7">
        <f>'Data Sheet'!F17/'Data Sheet'!F$17</f>
        <v>1</v>
      </c>
      <c r="H5" s="7">
        <f>'Data Sheet'!G17/'Data Sheet'!G$17</f>
        <v>1</v>
      </c>
      <c r="I5" s="7">
        <f>'Data Sheet'!H17/'Data Sheet'!H$17</f>
        <v>1</v>
      </c>
      <c r="J5" s="7">
        <f>'Data Sheet'!I17/'Data Sheet'!I$17</f>
        <v>1</v>
      </c>
      <c r="K5" s="7">
        <f>'Data Sheet'!J17/'Data Sheet'!J$17</f>
        <v>1</v>
      </c>
      <c r="L5" s="7">
        <f>'Data Sheet'!K17/'Data Sheet'!K$17</f>
        <v>1</v>
      </c>
    </row>
    <row r="6" spans="1:12" x14ac:dyDescent="0.3">
      <c r="B6" s="11" t="str">
        <f>'[1]Data Sheet'!A18</f>
        <v>Raw Material Cost</v>
      </c>
      <c r="C6" s="7">
        <f>'Data Sheet'!B18/'Data Sheet'!B$17</f>
        <v>0.46034646697716919</v>
      </c>
      <c r="D6" s="7">
        <f>'Data Sheet'!C18/'Data Sheet'!C$17</f>
        <v>0.4947951764673858</v>
      </c>
      <c r="E6" s="7">
        <f>'Data Sheet'!D18/'Data Sheet'!D$17</f>
        <v>0.48311366425847946</v>
      </c>
      <c r="F6" s="7">
        <f>'Data Sheet'!E18/'Data Sheet'!E$17</f>
        <v>0.51841645560606919</v>
      </c>
      <c r="G6" s="7">
        <f>'Data Sheet'!F18/'Data Sheet'!F$17</f>
        <v>0.4938828622673016</v>
      </c>
      <c r="H6" s="7">
        <f>'Data Sheet'!G18/'Data Sheet'!G$17</f>
        <v>0.48015708713619937</v>
      </c>
      <c r="I6" s="7">
        <f>'Data Sheet'!H18/'Data Sheet'!H$17</f>
        <v>0.58840195345359381</v>
      </c>
      <c r="J6" s="7">
        <f>'Data Sheet'!I18/'Data Sheet'!I$17</f>
        <v>0.55048727709657019</v>
      </c>
      <c r="K6" s="7">
        <f>'Data Sheet'!J18/'Data Sheet'!J$17</f>
        <v>0.49051901507632256</v>
      </c>
      <c r="L6" s="7">
        <f>'Data Sheet'!K18/'Data Sheet'!K$17</f>
        <v>0.51627163874307558</v>
      </c>
    </row>
    <row r="7" spans="1:12" x14ac:dyDescent="0.3">
      <c r="B7" s="11" t="str">
        <f>'[1]Data Sheet'!A19</f>
        <v>Change in Inventory</v>
      </c>
      <c r="C7" s="7">
        <f>'Data Sheet'!B19/'Data Sheet'!B$17</f>
        <v>-1.3967006948818941E-2</v>
      </c>
      <c r="D7" s="7">
        <f>'Data Sheet'!C19/'Data Sheet'!C$17</f>
        <v>3.5094964211236368E-2</v>
      </c>
      <c r="E7" s="7">
        <f>'Data Sheet'!D19/'Data Sheet'!D$17</f>
        <v>-8.4477742346749252E-3</v>
      </c>
      <c r="F7" s="7">
        <f>'Data Sheet'!E19/'Data Sheet'!E$17</f>
        <v>1.5242100755036478E-2</v>
      </c>
      <c r="G7" s="7">
        <f>'Data Sheet'!F19/'Data Sheet'!F$17</f>
        <v>1.1832519017873709E-2</v>
      </c>
      <c r="H7" s="7">
        <f>'Data Sheet'!G19/'Data Sheet'!G$17</f>
        <v>4.2578590775298802E-3</v>
      </c>
      <c r="I7" s="7">
        <f>'Data Sheet'!H19/'Data Sheet'!H$17</f>
        <v>4.5529612443164016E-2</v>
      </c>
      <c r="J7" s="7">
        <f>'Data Sheet'!I19/'Data Sheet'!I$17</f>
        <v>8.9806512820616927E-3</v>
      </c>
      <c r="K7" s="7">
        <f>'Data Sheet'!J19/'Data Sheet'!J$17</f>
        <v>-1.0249408855906214E-2</v>
      </c>
      <c r="L7" s="7">
        <f>'Data Sheet'!K19/'Data Sheet'!K$17</f>
        <v>6.0461952915180431E-3</v>
      </c>
    </row>
    <row r="8" spans="1:12" x14ac:dyDescent="0.3">
      <c r="B8" s="11" t="str">
        <f>'[1]Data Sheet'!A20</f>
        <v>Power and Fuel</v>
      </c>
      <c r="C8" s="7">
        <f>'Data Sheet'!B20/'Data Sheet'!B$17</f>
        <v>8.021587094269764E-3</v>
      </c>
      <c r="D8" s="7">
        <f>'Data Sheet'!C20/'Data Sheet'!C$17</f>
        <v>7.0389105290867941E-3</v>
      </c>
      <c r="E8" s="7">
        <f>'Data Sheet'!D20/'Data Sheet'!D$17</f>
        <v>6.5558959972183504E-3</v>
      </c>
      <c r="F8" s="7">
        <f>'Data Sheet'!E20/'Data Sheet'!E$17</f>
        <v>6.2177334560629266E-3</v>
      </c>
      <c r="G8" s="7">
        <f>'Data Sheet'!F20/'Data Sheet'!F$17</f>
        <v>4.8383944585317588E-3</v>
      </c>
      <c r="H8" s="7">
        <f>'Data Sheet'!G20/'Data Sheet'!G$17</f>
        <v>3.9631019320870327E-3</v>
      </c>
      <c r="I8" s="7">
        <f>'Data Sheet'!H20/'Data Sheet'!H$17</f>
        <v>4.0283451449558234E-3</v>
      </c>
      <c r="J8" s="7">
        <f>'Data Sheet'!I20/'Data Sheet'!I$17</f>
        <v>4.0097319142359837E-3</v>
      </c>
      <c r="K8" s="7">
        <f>'Data Sheet'!J20/'Data Sheet'!J$17</f>
        <v>3.7540784223460775E-3</v>
      </c>
      <c r="L8" s="7">
        <f>'Data Sheet'!K20/'Data Sheet'!K$17</f>
        <v>4.3821643727500045E-3</v>
      </c>
    </row>
    <row r="9" spans="1:12" x14ac:dyDescent="0.3">
      <c r="B9" s="11" t="str">
        <f>'[1]Data Sheet'!A21</f>
        <v>Other Mfr. Exp</v>
      </c>
      <c r="C9" s="7">
        <f>'Data Sheet'!B21/'Data Sheet'!B$17</f>
        <v>0.10757250994815538</v>
      </c>
      <c r="D9" s="7">
        <f>'Data Sheet'!C21/'Data Sheet'!C$17</f>
        <v>0.11039377930804628</v>
      </c>
      <c r="E9" s="7">
        <f>'Data Sheet'!D21/'Data Sheet'!D$17</f>
        <v>0.10054830589822611</v>
      </c>
      <c r="F9" s="7">
        <f>'Data Sheet'!E21/'Data Sheet'!E$17</f>
        <v>9.679508402490003E-2</v>
      </c>
      <c r="G9" s="7">
        <f>'Data Sheet'!F21/'Data Sheet'!F$17</f>
        <v>9.6288947986888487E-2</v>
      </c>
      <c r="H9" s="7">
        <f>'Data Sheet'!G21/'Data Sheet'!G$17</f>
        <v>9.5257679920452407E-2</v>
      </c>
      <c r="I9" s="7">
        <f>'Data Sheet'!H21/'Data Sheet'!H$17</f>
        <v>9.8980182315004703E-2</v>
      </c>
      <c r="J9" s="7">
        <f>'Data Sheet'!I21/'Data Sheet'!I$17</f>
        <v>8.455550081925646E-2</v>
      </c>
      <c r="K9" s="7">
        <f>'Data Sheet'!J21/'Data Sheet'!J$17</f>
        <v>7.796030565664254E-2</v>
      </c>
      <c r="L9" s="7">
        <f>'Data Sheet'!K21/'Data Sheet'!K$17</f>
        <v>7.9261196226466282E-2</v>
      </c>
    </row>
    <row r="10" spans="1:12" x14ac:dyDescent="0.3">
      <c r="B10" s="11" t="str">
        <f>'[1]Data Sheet'!A22</f>
        <v>Employee Cost</v>
      </c>
      <c r="C10" s="7">
        <f>'Data Sheet'!B22/'Data Sheet'!B$17</f>
        <v>6.9718018230752368E-2</v>
      </c>
      <c r="D10" s="7">
        <f>'Data Sheet'!C22/'Data Sheet'!C$17</f>
        <v>6.9040677891832367E-2</v>
      </c>
      <c r="E10" s="7">
        <f>'Data Sheet'!D22/'Data Sheet'!D$17</f>
        <v>6.6681724028280112E-2</v>
      </c>
      <c r="F10" s="7">
        <f>'Data Sheet'!E22/'Data Sheet'!E$17</f>
        <v>6.4588440930492666E-2</v>
      </c>
      <c r="G10" s="7">
        <f>'Data Sheet'!F22/'Data Sheet'!F$17</f>
        <v>6.7846867462428101E-2</v>
      </c>
      <c r="H10" s="7">
        <f>'Data Sheet'!G22/'Data Sheet'!G$17</f>
        <v>7.1276422790438249E-2</v>
      </c>
      <c r="I10" s="7">
        <f>'Data Sheet'!H22/'Data Sheet'!H$17</f>
        <v>6.1667734202756716E-2</v>
      </c>
      <c r="J10" s="7">
        <f>'Data Sheet'!I22/'Data Sheet'!I$17</f>
        <v>5.9045904747048232E-2</v>
      </c>
      <c r="K10" s="7">
        <f>'Data Sheet'!J22/'Data Sheet'!J$17</f>
        <v>6.5782159774141119E-2</v>
      </c>
      <c r="L10" s="7">
        <f>'Data Sheet'!K22/'Data Sheet'!K$17</f>
        <v>7.6853925691375058E-2</v>
      </c>
    </row>
    <row r="11" spans="1:12" x14ac:dyDescent="0.3">
      <c r="B11" s="11" t="str">
        <f>'[1]Data Sheet'!A23</f>
        <v>Selling and admin</v>
      </c>
      <c r="C11" s="7">
        <f>'Data Sheet'!B23/'Data Sheet'!B$17</f>
        <v>0.27413395517917194</v>
      </c>
      <c r="D11" s="7">
        <f>'Data Sheet'!C23/'Data Sheet'!C$17</f>
        <v>0.28973860691714709</v>
      </c>
      <c r="E11" s="7">
        <f>'Data Sheet'!D23/'Data Sheet'!D$17</f>
        <v>0.13402557572119314</v>
      </c>
      <c r="F11" s="7">
        <f>'Data Sheet'!E23/'Data Sheet'!E$17</f>
        <v>0.12301736006981241</v>
      </c>
      <c r="G11" s="7">
        <f>'Data Sheet'!F23/'Data Sheet'!F$17</f>
        <v>0.11436749335147506</v>
      </c>
      <c r="H11" s="7">
        <f>'Data Sheet'!G23/'Data Sheet'!G$17</f>
        <v>0.10342705842961683</v>
      </c>
      <c r="I11" s="7">
        <f>'Data Sheet'!H23/'Data Sheet'!H$17</f>
        <v>0.10109452230279906</v>
      </c>
      <c r="J11" s="7">
        <f>'Data Sheet'!I23/'Data Sheet'!I$17</f>
        <v>0.10150719411840266</v>
      </c>
      <c r="K11" s="7">
        <f>'Data Sheet'!J23/'Data Sheet'!J$17</f>
        <v>0.10739228048783579</v>
      </c>
      <c r="L11" s="7">
        <f>'Data Sheet'!K23/'Data Sheet'!K$17</f>
        <v>0.1142860682093411</v>
      </c>
    </row>
    <row r="12" spans="1:12" x14ac:dyDescent="0.3">
      <c r="B12" s="11" t="str">
        <f>'[1]Data Sheet'!A24</f>
        <v>Other Expenses</v>
      </c>
      <c r="C12" s="7">
        <f>'Data Sheet'!B24/'Data Sheet'!B$17</f>
        <v>-0.12470246624564078</v>
      </c>
      <c r="D12" s="7">
        <f>'Data Sheet'!C24/'Data Sheet'!C$17</f>
        <v>-0.13467476741121193</v>
      </c>
      <c r="E12" s="7">
        <f>'Data Sheet'!D24/'Data Sheet'!D$17</f>
        <v>1.0190465718251008E-2</v>
      </c>
      <c r="F12" s="7">
        <f>'Data Sheet'!E24/'Data Sheet'!E$17</f>
        <v>1.0525396657922789E-2</v>
      </c>
      <c r="G12" s="7">
        <f>'Data Sheet'!F24/'Data Sheet'!F$17</f>
        <v>2.8939328344362667E-2</v>
      </c>
      <c r="H12" s="7">
        <f>'Data Sheet'!G24/'Data Sheet'!G$17</f>
        <v>2.6547947085565692E-2</v>
      </c>
      <c r="I12" s="7">
        <f>'Data Sheet'!H24/'Data Sheet'!H$17</f>
        <v>2.6291627034962038E-2</v>
      </c>
      <c r="J12" s="7">
        <f>'Data Sheet'!I24/'Data Sheet'!I$17</f>
        <v>2.7870376840572496E-2</v>
      </c>
      <c r="K12" s="7">
        <f>'Data Sheet'!J24/'Data Sheet'!J$17</f>
        <v>3.0649620380264902E-2</v>
      </c>
      <c r="L12" s="7">
        <f>'Data Sheet'!K24/'Data Sheet'!K$17</f>
        <v>3.784623316134611E-2</v>
      </c>
    </row>
    <row r="13" spans="1:12" x14ac:dyDescent="0.3">
      <c r="B13" s="11" t="str">
        <f>'[1]Data Sheet'!A25</f>
        <v>Other Income</v>
      </c>
      <c r="C13" s="7">
        <f>'Data Sheet'!B25/'Data Sheet'!B$17</f>
        <v>1.4952187893485543E-2</v>
      </c>
      <c r="D13" s="7">
        <f>'Data Sheet'!C25/'Data Sheet'!C$17</f>
        <v>2.2433954610247383E-2</v>
      </c>
      <c r="E13" s="7">
        <f>'Data Sheet'!D25/'Data Sheet'!D$17</f>
        <v>1.9995185606747286E-2</v>
      </c>
      <c r="F13" s="7">
        <f>'Data Sheet'!E25/'Data Sheet'!E$17</f>
        <v>1.422911383654892E-2</v>
      </c>
      <c r="G13" s="7">
        <f>'Data Sheet'!F25/'Data Sheet'!F$17</f>
        <v>1.7566949100129878E-2</v>
      </c>
      <c r="H13" s="7">
        <f>'Data Sheet'!G25/'Data Sheet'!G$17</f>
        <v>1.5274407388456295E-2</v>
      </c>
      <c r="I13" s="7">
        <f>'Data Sheet'!H25/'Data Sheet'!H$17</f>
        <v>1.0167250375241226E-2</v>
      </c>
      <c r="J13" s="7">
        <f>'Data Sheet'!I25/'Data Sheet'!I$17</f>
        <v>1.2510224395952401E-2</v>
      </c>
      <c r="K13" s="7">
        <f>'Data Sheet'!J25/'Data Sheet'!J$17</f>
        <v>2.3129067329149988E-2</v>
      </c>
      <c r="L13" s="7">
        <f>'Data Sheet'!K25/'Data Sheet'!K$17</f>
        <v>1.0329261048758288E-2</v>
      </c>
    </row>
    <row r="14" spans="1:12" x14ac:dyDescent="0.3">
      <c r="B14" s="11" t="str">
        <f>'[1]Data Sheet'!A26</f>
        <v>Depreciation</v>
      </c>
      <c r="C14" s="7">
        <f>'Data Sheet'!B26/'Data Sheet'!B$17</f>
        <v>1.9309826794539322E-2</v>
      </c>
      <c r="D14" s="7">
        <f>'Data Sheet'!C26/'Data Sheet'!C$17</f>
        <v>2.2227474590011016E-2</v>
      </c>
      <c r="E14" s="7">
        <f>'Data Sheet'!D26/'Data Sheet'!D$17</f>
        <v>2.1425238713665449E-2</v>
      </c>
      <c r="F14" s="7">
        <f>'Data Sheet'!E26/'Data Sheet'!E$17</f>
        <v>3.2335540352378074E-2</v>
      </c>
      <c r="G14" s="7">
        <f>'Data Sheet'!F26/'Data Sheet'!F$17</f>
        <v>3.8617106809326486E-2</v>
      </c>
      <c r="H14" s="7">
        <f>'Data Sheet'!G26/'Data Sheet'!G$17</f>
        <v>3.6442576011650275E-2</v>
      </c>
      <c r="I14" s="7">
        <f>'Data Sheet'!H26/'Data Sheet'!H$17</f>
        <v>2.8052374328551871E-2</v>
      </c>
      <c r="J14" s="7">
        <f>'Data Sheet'!I26/'Data Sheet'!I$17</f>
        <v>2.4878372818372688E-2</v>
      </c>
      <c r="K14" s="7">
        <f>'Data Sheet'!J26/'Data Sheet'!J$17</f>
        <v>2.4031736542297968E-2</v>
      </c>
      <c r="L14" s="7">
        <f>'Data Sheet'!K26/'Data Sheet'!K$17</f>
        <v>3.0270497929251843E-2</v>
      </c>
    </row>
    <row r="15" spans="1:12" x14ac:dyDescent="0.3">
      <c r="B15" s="11" t="str">
        <f>'[1]Data Sheet'!A27</f>
        <v>Interest</v>
      </c>
      <c r="C15" s="7">
        <f>'Data Sheet'!B27/'Data Sheet'!B$17</f>
        <v>3.4334186549547386E-3</v>
      </c>
      <c r="D15" s="7">
        <f>'Data Sheet'!C27/'Data Sheet'!C$17</f>
        <v>2.4784241657310885E-3</v>
      </c>
      <c r="E15" s="7">
        <f>'Data Sheet'!D27/'Data Sheet'!D$17</f>
        <v>2.4648504714836358E-3</v>
      </c>
      <c r="F15" s="7">
        <f>'Data Sheet'!E27/'Data Sheet'!E$17</f>
        <v>5.7416451967840128E-3</v>
      </c>
      <c r="G15" s="7">
        <f>'Data Sheet'!F27/'Data Sheet'!F$17</f>
        <v>5.0630218319005502E-3</v>
      </c>
      <c r="H15" s="7">
        <f>'Data Sheet'!G27/'Data Sheet'!G$17</f>
        <v>4.2200933182700148E-3</v>
      </c>
      <c r="I15" s="7">
        <f>'Data Sheet'!H27/'Data Sheet'!H$17</f>
        <v>3.2785499469439143E-3</v>
      </c>
      <c r="J15" s="7">
        <f>'Data Sheet'!I27/'Data Sheet'!I$17</f>
        <v>4.1883417095335005E-3</v>
      </c>
      <c r="K15" s="7">
        <f>'Data Sheet'!J27/'Data Sheet'!J$17</f>
        <v>5.7802947085384216E-3</v>
      </c>
      <c r="L15" s="7">
        <f>'Data Sheet'!K27/'Data Sheet'!K$17</f>
        <v>6.6956451467337858E-3</v>
      </c>
    </row>
    <row r="16" spans="1:12" x14ac:dyDescent="0.3">
      <c r="B16" s="11" t="str">
        <f>'[1]Data Sheet'!A28</f>
        <v>Profit before tax</v>
      </c>
      <c r="C16" s="7">
        <f>'Data Sheet'!B28/'Data Sheet'!B$17</f>
        <v>0.18315186431129477</v>
      </c>
      <c r="D16" s="7">
        <f>'Data Sheet'!C28/'Data Sheet'!C$17</f>
        <v>0.19649063636345529</v>
      </c>
      <c r="E16" s="7">
        <f>'Data Sheet'!D28/'Data Sheet'!D$17</f>
        <v>0.18654169056527517</v>
      </c>
      <c r="F16" s="7">
        <f>'Data Sheet'!E28/'Data Sheet'!E$17</f>
        <v>0.17183355829716326</v>
      </c>
      <c r="G16" s="7">
        <f>'Data Sheet'!F28/'Data Sheet'!F$17</f>
        <v>0.17955544560578884</v>
      </c>
      <c r="H16" s="7">
        <f>'Data Sheet'!G28/'Data Sheet'!G$17</f>
        <v>0.19824029984170621</v>
      </c>
      <c r="I16" s="7">
        <f>'Data Sheet'!H28/'Data Sheet'!H$17</f>
        <v>0.14390157408883733</v>
      </c>
      <c r="J16" s="7">
        <f>'Data Sheet'!I28/'Data Sheet'!I$17</f>
        <v>0.16494817561402192</v>
      </c>
      <c r="K16" s="7">
        <f>'Data Sheet'!J28/'Data Sheet'!J$17</f>
        <v>0.20701016742485434</v>
      </c>
      <c r="L16" s="7">
        <f>'Data Sheet'!K28/'Data Sheet'!K$17</f>
        <v>0.15050808685993647</v>
      </c>
    </row>
    <row r="17" spans="1:12" x14ac:dyDescent="0.3">
      <c r="B17" s="11" t="str">
        <f>'[1]Data Sheet'!A29</f>
        <v>Tax</v>
      </c>
      <c r="C17" s="7">
        <f>'Data Sheet'!B29/'Data Sheet'!B$17</f>
        <v>5.9173218773933209E-2</v>
      </c>
      <c r="D17" s="7">
        <f>'Data Sheet'!C29/'Data Sheet'!C$17</f>
        <v>6.2627182729506528E-2</v>
      </c>
      <c r="E17" s="7">
        <f>'Data Sheet'!D29/'Data Sheet'!D$17</f>
        <v>6.1871491362324706E-2</v>
      </c>
      <c r="F17" s="7">
        <f>'Data Sheet'!E29/'Data Sheet'!E$17</f>
        <v>5.7071339954563712E-2</v>
      </c>
      <c r="G17" s="7">
        <f>'Data Sheet'!F29/'Data Sheet'!F$17</f>
        <v>4.2295751128703075E-2</v>
      </c>
      <c r="H17" s="7">
        <f>'Data Sheet'!G29/'Data Sheet'!G$17</f>
        <v>5.05508504434483E-2</v>
      </c>
      <c r="I17" s="7">
        <f>'Data Sheet'!H29/'Data Sheet'!H$17</f>
        <v>3.7899020249281136E-2</v>
      </c>
      <c r="J17" s="7">
        <f>'Data Sheet'!I29/'Data Sheet'!I$17</f>
        <v>4.3304176830656176E-2</v>
      </c>
      <c r="K17" s="7">
        <f>'Data Sheet'!J29/'Data Sheet'!J$17</f>
        <v>5.0432275439198995E-2</v>
      </c>
      <c r="L17" s="7">
        <f>'Data Sheet'!K29/'Data Sheet'!K$17</f>
        <v>4.1095252055558924E-2</v>
      </c>
    </row>
    <row r="18" spans="1:12" x14ac:dyDescent="0.3">
      <c r="B18" s="11" t="str">
        <f>'[1]Data Sheet'!A30</f>
        <v>Net profit</v>
      </c>
      <c r="C18" s="7">
        <f>'Data Sheet'!B30/'Data Sheet'!B$17</f>
        <v>0.12228295714042473</v>
      </c>
      <c r="D18" s="7">
        <f>'Data Sheet'!C30/'Data Sheet'!C$17</f>
        <v>0.12876319795724203</v>
      </c>
      <c r="E18" s="7">
        <f>'Data Sheet'!D30/'Data Sheet'!D$17</f>
        <v>0.12118778808348515</v>
      </c>
      <c r="F18" s="7">
        <f>'Data Sheet'!E30/'Data Sheet'!E$17</f>
        <v>0.11205329693718286</v>
      </c>
      <c r="G18" s="7">
        <f>'Data Sheet'!F30/'Data Sheet'!F$17</f>
        <v>0.13384476467313997</v>
      </c>
      <c r="H18" s="7">
        <f>'Data Sheet'!G30/'Data Sheet'!G$17</f>
        <v>0.14458252486207437</v>
      </c>
      <c r="I18" s="7">
        <f>'Data Sheet'!H30/'Data Sheet'!H$17</f>
        <v>0.10413871829692715</v>
      </c>
      <c r="J18" s="7">
        <f>'Data Sheet'!I30/'Data Sheet'!I$17</f>
        <v>0.11906691459407301</v>
      </c>
      <c r="K18" s="7">
        <f>'Data Sheet'!J30/'Data Sheet'!J$17</f>
        <v>0.15383213226301479</v>
      </c>
      <c r="L18" s="7">
        <f>'Data Sheet'!K30/'Data Sheet'!K$17</f>
        <v>0.10815994516543274</v>
      </c>
    </row>
    <row r="19" spans="1:12" x14ac:dyDescent="0.3">
      <c r="B19" s="11" t="str">
        <f>'[1]Data Sheet'!A31</f>
        <v>Dividend Amount</v>
      </c>
      <c r="C19" s="7">
        <f>'Data Sheet'!B31/'Data Sheet'!B$17</f>
        <v>5.0408191436213036E-2</v>
      </c>
      <c r="D19" s="7">
        <f>'Data Sheet'!C31/'Data Sheet'!C$17</f>
        <v>6.559425414570054E-2</v>
      </c>
      <c r="E19" s="7">
        <f>'Data Sheet'!D31/'Data Sheet'!D$17</f>
        <v>4.9600137893732674E-2</v>
      </c>
      <c r="F19" s="7">
        <f>'Data Sheet'!E31/'Data Sheet'!E$17</f>
        <v>5.2346839652330827E-2</v>
      </c>
      <c r="G19" s="7">
        <f>'Data Sheet'!F31/'Data Sheet'!F$17</f>
        <v>5.6950460758241075E-2</v>
      </c>
      <c r="H19" s="7">
        <f>'Data Sheet'!G31/'Data Sheet'!G$17</f>
        <v>7.8855365892637475E-2</v>
      </c>
      <c r="I19" s="7">
        <f>'Data Sheet'!H31/'Data Sheet'!H$17</f>
        <v>6.3119904004222488E-2</v>
      </c>
      <c r="J19" s="7">
        <f>'Data Sheet'!I31/'Data Sheet'!I$17</f>
        <v>7.1338086016273797E-2</v>
      </c>
      <c r="K19" s="7">
        <f>'Data Sheet'!J31/'Data Sheet'!J$17</f>
        <v>8.998913359814259E-2</v>
      </c>
      <c r="L19" s="7">
        <f>'Data Sheet'!K31/'Data Sheet'!K$17</f>
        <v>7.0160050162775378E-2</v>
      </c>
    </row>
    <row r="20" spans="1:12" x14ac:dyDescent="0.3">
      <c r="B20" t="s">
        <v>9</v>
      </c>
      <c r="C20" s="7">
        <f>HistoricalFS!C12/'Data Sheet'!B17</f>
        <v>0.34037441080083447</v>
      </c>
      <c r="D20" s="7">
        <f>HistoricalFS!D12/'Data Sheet'!C17</f>
        <v>0.35382642001488518</v>
      </c>
      <c r="E20" s="7">
        <f>HistoricalFS!E12/'Data Sheet'!D17</f>
        <v>0.33465263558312119</v>
      </c>
      <c r="F20" s="7">
        <f>HistoricalFS!F12/'Data Sheet'!E17</f>
        <v>0.3292243867375117</v>
      </c>
      <c r="G20" s="7">
        <f>HistoricalFS!G12/'Data Sheet'!F17</f>
        <v>0.34897544684272364</v>
      </c>
      <c r="H20" s="7">
        <f>HistoricalFS!H12/'Data Sheet'!G17</f>
        <v>0.35360356729835285</v>
      </c>
      <c r="I20" s="7">
        <f>HistoricalFS!I12/'Data Sheet'!H17</f>
        <v>0.29245139732685294</v>
      </c>
      <c r="J20" s="7">
        <f>HistoricalFS!J12/'Data Sheet'!I17</f>
        <v>0.31088223670495074</v>
      </c>
      <c r="K20" s="7">
        <f>HistoricalFS!K12/'Data Sheet'!J17</f>
        <v>0.35173503221464147</v>
      </c>
      <c r="L20" s="7">
        <f>HistoricalFS!L12/'Data Sheet'!K17</f>
        <v>0.32927727025785108</v>
      </c>
    </row>
    <row r="23" spans="1:12" x14ac:dyDescent="0.3">
      <c r="A23" s="77" t="s">
        <v>182</v>
      </c>
      <c r="B23" s="125" t="str">
        <f>"Common Size Balance Sheet - "&amp;'[1]Data Sheet'!$B$1</f>
        <v>Common Size Balance Sheet - ASIAN PAINTS LTD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</row>
    <row r="24" spans="1:12" x14ac:dyDescent="0.3">
      <c r="B24" s="41" t="s">
        <v>38</v>
      </c>
      <c r="C24" s="42">
        <f>'[1]Data Sheet'!B$16</f>
        <v>42460</v>
      </c>
      <c r="D24" s="42">
        <f>'[1]Data Sheet'!C$16</f>
        <v>42825</v>
      </c>
      <c r="E24" s="42">
        <f>'[1]Data Sheet'!D$16</f>
        <v>43190</v>
      </c>
      <c r="F24" s="42">
        <f>'[1]Data Sheet'!E$16</f>
        <v>43555</v>
      </c>
      <c r="G24" s="42">
        <f>'[1]Data Sheet'!F$16</f>
        <v>43921</v>
      </c>
      <c r="H24" s="42">
        <f>'[1]Data Sheet'!G$16</f>
        <v>44286</v>
      </c>
      <c r="I24" s="42">
        <f>'[1]Data Sheet'!H$16</f>
        <v>44651</v>
      </c>
      <c r="J24" s="42">
        <f>'[1]Data Sheet'!I$16</f>
        <v>45016</v>
      </c>
      <c r="K24" s="42">
        <f>'[1]Data Sheet'!J$16</f>
        <v>45382</v>
      </c>
      <c r="L24" s="42">
        <f>'[1]Data Sheet'!K$16</f>
        <v>45747</v>
      </c>
    </row>
    <row r="26" spans="1:12" x14ac:dyDescent="0.3">
      <c r="B26" s="118" t="s">
        <v>269</v>
      </c>
      <c r="C26" s="7">
        <f>'Data Sheet'!B61/'Data Sheet'!B$61</f>
        <v>1</v>
      </c>
      <c r="D26" s="7">
        <f>'Data Sheet'!C61/'Data Sheet'!C$61</f>
        <v>1</v>
      </c>
      <c r="E26" s="7">
        <f>'Data Sheet'!D61/'Data Sheet'!D$61</f>
        <v>1</v>
      </c>
      <c r="F26" s="7">
        <f>'Data Sheet'!E61/'Data Sheet'!E$61</f>
        <v>1</v>
      </c>
      <c r="G26" s="7">
        <f>'Data Sheet'!F61/'Data Sheet'!F$61</f>
        <v>1</v>
      </c>
      <c r="H26" s="7">
        <f>'Data Sheet'!G61/'Data Sheet'!G$61</f>
        <v>1</v>
      </c>
      <c r="I26" s="7">
        <f>'Data Sheet'!H61/'Data Sheet'!H$61</f>
        <v>1</v>
      </c>
      <c r="J26" s="7">
        <f>'Data Sheet'!I61/'Data Sheet'!I$61</f>
        <v>1</v>
      </c>
      <c r="K26" s="7">
        <f>'Data Sheet'!J61/'Data Sheet'!J$61</f>
        <v>1</v>
      </c>
      <c r="L26" s="7">
        <f>'Data Sheet'!K61/'Data Sheet'!K$61</f>
        <v>1</v>
      </c>
    </row>
    <row r="27" spans="1:12" x14ac:dyDescent="0.3">
      <c r="B27" s="11" t="str">
        <f>'[1]Data Sheet'!A57</f>
        <v>Equity Share Capital</v>
      </c>
      <c r="C27" s="7">
        <f>'Data Sheet'!B57/'Data Sheet'!B$61</f>
        <v>9.0841677691984955E-3</v>
      </c>
      <c r="D27" s="7">
        <f>'Data Sheet'!C57/'Data Sheet'!C$61</f>
        <v>7.732247551226543E-3</v>
      </c>
      <c r="E27" s="7">
        <f>'Data Sheet'!D57/'Data Sheet'!D$61</f>
        <v>6.969167681429406E-3</v>
      </c>
      <c r="F27" s="7">
        <f>'Data Sheet'!E57/'Data Sheet'!E$61</f>
        <v>5.9031906277617358E-3</v>
      </c>
      <c r="G27" s="7">
        <f>'Data Sheet'!F57/'Data Sheet'!F$61</f>
        <v>5.9437463324073601E-3</v>
      </c>
      <c r="H27" s="7">
        <f>'Data Sheet'!G57/'Data Sheet'!G$61</f>
        <v>4.712276974985434E-3</v>
      </c>
      <c r="I27" s="7">
        <f>'Data Sheet'!H57/'Data Sheet'!H$61</f>
        <v>4.1779860382439044E-3</v>
      </c>
      <c r="J27" s="7">
        <f>'Data Sheet'!I57/'Data Sheet'!I$61</f>
        <v>3.7208104322338864E-3</v>
      </c>
      <c r="K27" s="7">
        <f>'Data Sheet'!J57/'Data Sheet'!J$61</f>
        <v>3.2079441432444717E-3</v>
      </c>
      <c r="L27" s="7">
        <f>'Data Sheet'!K57/'Data Sheet'!K$61</f>
        <v>3.1599146770328033E-3</v>
      </c>
    </row>
    <row r="28" spans="1:12" x14ac:dyDescent="0.3">
      <c r="B28" s="11" t="str">
        <f>'[1]Data Sheet'!A58</f>
        <v>Reserves</v>
      </c>
      <c r="C28" s="7">
        <f>'Data Sheet'!B58/'Data Sheet'!B$61</f>
        <v>0.60885327534820899</v>
      </c>
      <c r="D28" s="7">
        <f>'Data Sheet'!C58/'Data Sheet'!C$61</f>
        <v>0.60522813435344402</v>
      </c>
      <c r="E28" s="7">
        <f>'Data Sheet'!D58/'Data Sheet'!D$61</f>
        <v>0.60408486807115636</v>
      </c>
      <c r="F28" s="7">
        <f>'Data Sheet'!E58/'Data Sheet'!E$61</f>
        <v>0.57694149243884485</v>
      </c>
      <c r="G28" s="7">
        <f>'Data Sheet'!F58/'Data Sheet'!F$61</f>
        <v>0.62177832775745645</v>
      </c>
      <c r="H28" s="7">
        <f>'Data Sheet'!G58/'Data Sheet'!G$61</f>
        <v>0.62442435252862394</v>
      </c>
      <c r="I28" s="7">
        <f>'Data Sheet'!H58/'Data Sheet'!H$61</f>
        <v>0.59741193104232293</v>
      </c>
      <c r="J28" s="7">
        <f>'Data Sheet'!I58/'Data Sheet'!I$61</f>
        <v>0.61663006757739625</v>
      </c>
      <c r="K28" s="7">
        <f>'Data Sheet'!J58/'Data Sheet'!J$61</f>
        <v>0.62314047430885566</v>
      </c>
      <c r="L28" s="7">
        <f>'Data Sheet'!K58/'Data Sheet'!K$61</f>
        <v>0.63593249932054585</v>
      </c>
    </row>
    <row r="29" spans="1:12" x14ac:dyDescent="0.3">
      <c r="B29" s="11" t="str">
        <f>'[1]Data Sheet'!A59</f>
        <v>Borrowings</v>
      </c>
      <c r="C29" s="7">
        <f>'Data Sheet'!B59/'Data Sheet'!B$61</f>
        <v>3.0617395726690803E-2</v>
      </c>
      <c r="D29" s="7">
        <f>'Data Sheet'!C59/'Data Sheet'!C$61</f>
        <v>4.5169803928839465E-2</v>
      </c>
      <c r="E29" s="7">
        <f>'Data Sheet'!D59/'Data Sheet'!D$61</f>
        <v>3.8756913222528021E-2</v>
      </c>
      <c r="F29" s="7">
        <f>'Data Sheet'!E59/'Data Sheet'!E$61</f>
        <v>8.1211951130049892E-2</v>
      </c>
      <c r="G29" s="7">
        <f>'Data Sheet'!F59/'Data Sheet'!F$61</f>
        <v>6.9308593336088742E-2</v>
      </c>
      <c r="H29" s="7">
        <f>'Data Sheet'!G59/'Data Sheet'!G$61</f>
        <v>5.3701878720768106E-2</v>
      </c>
      <c r="I29" s="7">
        <f>'Data Sheet'!H59/'Data Sheet'!H$61</f>
        <v>6.9119708969646448E-2</v>
      </c>
      <c r="J29" s="7">
        <f>'Data Sheet'!I59/'Data Sheet'!I$61</f>
        <v>7.4967813360548932E-2</v>
      </c>
      <c r="K29" s="7">
        <f>'Data Sheet'!J59/'Data Sheet'!J$61</f>
        <v>8.2753052847802919E-2</v>
      </c>
      <c r="L29" s="7">
        <f>'Data Sheet'!K59/'Data Sheet'!K$61</f>
        <v>7.5449551560273762E-2</v>
      </c>
    </row>
    <row r="30" spans="1:12" x14ac:dyDescent="0.3">
      <c r="B30" s="11" t="str">
        <f>'[1]Data Sheet'!A60</f>
        <v>Other Liabilities</v>
      </c>
      <c r="C30" s="7">
        <f>'Data Sheet'!B60/'Data Sheet'!B$61</f>
        <v>0.35144516115590163</v>
      </c>
      <c r="D30" s="7">
        <f>'Data Sheet'!C60/'Data Sheet'!C$61</f>
        <v>0.34186981416648998</v>
      </c>
      <c r="E30" s="7">
        <f>'Data Sheet'!D60/'Data Sheet'!D$61</f>
        <v>0.35018905102488612</v>
      </c>
      <c r="F30" s="7">
        <f>'Data Sheet'!E60/'Data Sheet'!E$61</f>
        <v>0.3359433658033435</v>
      </c>
      <c r="G30" s="7">
        <f>'Data Sheet'!F60/'Data Sheet'!F$61</f>
        <v>0.30296933257404746</v>
      </c>
      <c r="H30" s="7">
        <f>'Data Sheet'!G60/'Data Sheet'!G$61</f>
        <v>0.31716149177562253</v>
      </c>
      <c r="I30" s="7">
        <f>'Data Sheet'!H60/'Data Sheet'!H$61</f>
        <v>0.32929037394978661</v>
      </c>
      <c r="J30" s="7">
        <f>'Data Sheet'!I60/'Data Sheet'!I$61</f>
        <v>0.30468130862982085</v>
      </c>
      <c r="K30" s="7">
        <f>'Data Sheet'!J60/'Data Sheet'!J$61</f>
        <v>0.29089852870009703</v>
      </c>
      <c r="L30" s="7">
        <f>'Data Sheet'!K60/'Data Sheet'!K$61</f>
        <v>0.28545803444214757</v>
      </c>
    </row>
    <row r="32" spans="1:12" x14ac:dyDescent="0.3">
      <c r="B32" s="118" t="s">
        <v>268</v>
      </c>
      <c r="C32" s="7">
        <f>'Data Sheet'!B66/'Data Sheet'!B$66</f>
        <v>1</v>
      </c>
      <c r="D32" s="7">
        <f>'Data Sheet'!C66/'Data Sheet'!C$66</f>
        <v>1</v>
      </c>
      <c r="E32" s="7">
        <f>'Data Sheet'!D66/'Data Sheet'!D$66</f>
        <v>1</v>
      </c>
      <c r="F32" s="7">
        <f>'Data Sheet'!E66/'Data Sheet'!E$66</f>
        <v>1</v>
      </c>
      <c r="G32" s="7">
        <f>'Data Sheet'!F66/'Data Sheet'!F$66</f>
        <v>1</v>
      </c>
      <c r="H32" s="7">
        <f>'Data Sheet'!G66/'Data Sheet'!G$66</f>
        <v>1</v>
      </c>
      <c r="I32" s="7">
        <f>'Data Sheet'!H66/'Data Sheet'!H$66</f>
        <v>1</v>
      </c>
      <c r="J32" s="7">
        <f>'Data Sheet'!I66/'Data Sheet'!I$66</f>
        <v>1</v>
      </c>
      <c r="K32" s="7">
        <f>'Data Sheet'!J66/'Data Sheet'!J$66</f>
        <v>1</v>
      </c>
      <c r="L32" s="7">
        <f>'Data Sheet'!K66/'Data Sheet'!K$66</f>
        <v>1</v>
      </c>
    </row>
    <row r="33" spans="2:12" x14ac:dyDescent="0.3">
      <c r="B33" s="11" t="str">
        <f>'[1]Data Sheet'!A62</f>
        <v>Net Block</v>
      </c>
      <c r="C33" s="7">
        <f>'Data Sheet'!B62/'Data Sheet'!B$66</f>
        <v>0.32354771224250711</v>
      </c>
      <c r="D33" s="7">
        <f>'Data Sheet'!C62/'Data Sheet'!C$66</f>
        <v>0.26631917769901142</v>
      </c>
      <c r="E33" s="7">
        <f>'Data Sheet'!D62/'Data Sheet'!D$66</f>
        <v>0.2711697913609058</v>
      </c>
      <c r="F33" s="7">
        <f>'Data Sheet'!E62/'Data Sheet'!E$66</f>
        <v>0.39981684846425963</v>
      </c>
      <c r="G33" s="7">
        <f>'Data Sheet'!F62/'Data Sheet'!F$66</f>
        <v>0.38866784360114692</v>
      </c>
      <c r="H33" s="7">
        <f>'Data Sheet'!G62/'Data Sheet'!G$66</f>
        <v>0.28781243644173965</v>
      </c>
      <c r="I33" s="7">
        <f>'Data Sheet'!H62/'Data Sheet'!H$66</f>
        <v>0.240393615765538</v>
      </c>
      <c r="J33" s="7">
        <f>'Data Sheet'!I62/'Data Sheet'!I$66</f>
        <v>0.22384057304825222</v>
      </c>
      <c r="K33" s="7">
        <f>'Data Sheet'!J62/'Data Sheet'!J$66</f>
        <v>0.23901123616549005</v>
      </c>
      <c r="L33" s="7">
        <f>'Data Sheet'!K62/'Data Sheet'!K$66</f>
        <v>0.30373988025135684</v>
      </c>
    </row>
    <row r="34" spans="2:12" x14ac:dyDescent="0.3">
      <c r="B34" s="11" t="str">
        <f>'[1]Data Sheet'!A63</f>
        <v>Capital Work in Progress</v>
      </c>
      <c r="C34" s="7">
        <f>'Data Sheet'!B63/'Data Sheet'!B$66</f>
        <v>1.0094677257285944E-2</v>
      </c>
      <c r="D34" s="7">
        <f>'Data Sheet'!C63/'Data Sheet'!C$66</f>
        <v>2.0760665495651417E-2</v>
      </c>
      <c r="E34" s="7">
        <f>'Data Sheet'!D63/'Data Sheet'!D$66</f>
        <v>0.10208973311982143</v>
      </c>
      <c r="F34" s="7">
        <f>'Data Sheet'!E63/'Data Sheet'!E$66</f>
        <v>1.2903690355742316E-2</v>
      </c>
      <c r="G34" s="7">
        <f>'Data Sheet'!F63/'Data Sheet'!F$66</f>
        <v>8.6900644876648069E-3</v>
      </c>
      <c r="H34" s="7">
        <f>'Data Sheet'!G63/'Data Sheet'!G$66</f>
        <v>8.9892873319728384E-3</v>
      </c>
      <c r="I34" s="7">
        <f>'Data Sheet'!H63/'Data Sheet'!H$66</f>
        <v>1.8574005278235488E-2</v>
      </c>
      <c r="J34" s="7">
        <f>'Data Sheet'!I63/'Data Sheet'!I$66</f>
        <v>3.9550678780247588E-2</v>
      </c>
      <c r="K34" s="7">
        <f>'Data Sheet'!J63/'Data Sheet'!J$66</f>
        <v>9.0244164280719186E-2</v>
      </c>
      <c r="L34" s="7">
        <f>'Data Sheet'!K63/'Data Sheet'!K$66</f>
        <v>4.1326953327678079E-2</v>
      </c>
    </row>
    <row r="35" spans="2:12" x14ac:dyDescent="0.3">
      <c r="B35" s="11" t="str">
        <f>'[1]Data Sheet'!A64</f>
        <v>Investments</v>
      </c>
      <c r="C35" s="7">
        <f>'Data Sheet'!B64/'Data Sheet'!B$66</f>
        <v>0.25685408602873561</v>
      </c>
      <c r="D35" s="7">
        <f>'Data Sheet'!C64/'Data Sheet'!C$66</f>
        <v>0.21378068372995493</v>
      </c>
      <c r="E35" s="7">
        <f>'Data Sheet'!D64/'Data Sheet'!D$66</f>
        <v>0.15553479207293502</v>
      </c>
      <c r="F35" s="7">
        <f>'Data Sheet'!E64/'Data Sheet'!E$66</f>
        <v>0.15807774585755044</v>
      </c>
      <c r="G35" s="7">
        <f>'Data Sheet'!F64/'Data Sheet'!F$66</f>
        <v>0.12509937743099039</v>
      </c>
      <c r="H35" s="7">
        <f>'Data Sheet'!G64/'Data Sheet'!G$66</f>
        <v>0.23270552100824649</v>
      </c>
      <c r="I35" s="7">
        <f>'Data Sheet'!H64/'Data Sheet'!H$66</f>
        <v>0.14145261675123255</v>
      </c>
      <c r="J35" s="7">
        <f>'Data Sheet'!I64/'Data Sheet'!I$66</f>
        <v>0.16531500236817637</v>
      </c>
      <c r="K35" s="7">
        <f>'Data Sheet'!J64/'Data Sheet'!J$66</f>
        <v>0.15343818904998099</v>
      </c>
      <c r="L35" s="7">
        <f>'Data Sheet'!K64/'Data Sheet'!K$66</f>
        <v>0.1556485286729643</v>
      </c>
    </row>
    <row r="36" spans="2:12" x14ac:dyDescent="0.3">
      <c r="B36" s="11" t="str">
        <f>'[1]Data Sheet'!A65</f>
        <v>Other Assets</v>
      </c>
      <c r="C36" s="7">
        <f>HistoricalFS!C59/'Data Sheet'!B$66</f>
        <v>6.7684247511371809E-2</v>
      </c>
      <c r="D36" s="7">
        <f>HistoricalFS!D59/'Data Sheet'!C$66</f>
        <v>0.10617894607015289</v>
      </c>
      <c r="E36" s="7">
        <f>HistoricalFS!E59/'Data Sheet'!D$66</f>
        <v>0.12292240043942376</v>
      </c>
      <c r="F36" s="7">
        <f>HistoricalFS!F59/'Data Sheet'!E$66</f>
        <v>9.0588620479984977E-2</v>
      </c>
      <c r="G36" s="7">
        <f>HistoricalFS!G59/'Data Sheet'!F$66</f>
        <v>0.10774031678085906</v>
      </c>
      <c r="H36" s="7">
        <f>HistoricalFS!H59/'Data Sheet'!G$66</f>
        <v>0.1260367058472126</v>
      </c>
      <c r="I36" s="7">
        <f>HistoricalFS!I59/'Data Sheet'!H$66</f>
        <v>0.12529863758105408</v>
      </c>
      <c r="J36" s="7">
        <f>HistoricalFS!J59/'Data Sheet'!I$66</f>
        <v>0.11777536499203044</v>
      </c>
      <c r="K36" s="7">
        <f>HistoricalFS!K59/'Data Sheet'!J$66</f>
        <v>0.11944140568955251</v>
      </c>
      <c r="L36" s="7">
        <f>HistoricalFS!L59/'Data Sheet'!K$66</f>
        <v>0.11006366279309181</v>
      </c>
    </row>
    <row r="37" spans="2:12" x14ac:dyDescent="0.3">
      <c r="B37" s="11" t="str">
        <f>'[1]Data Sheet'!A67</f>
        <v>Receivables</v>
      </c>
      <c r="C37" s="7">
        <f>'Data Sheet'!B67/'Data Sheet'!B$66</f>
        <v>0.11240047618010365</v>
      </c>
      <c r="D37" s="7">
        <f>'Data Sheet'!C67/'Data Sheet'!C$66</f>
        <v>0.11661248235617511</v>
      </c>
      <c r="E37" s="7">
        <f>'Data Sheet'!D67/'Data Sheet'!D$66</f>
        <v>0.12574072836230374</v>
      </c>
      <c r="F37" s="7">
        <f>'Data Sheet'!E67/'Data Sheet'!E$66</f>
        <v>0.11738253315313585</v>
      </c>
      <c r="G37" s="7">
        <f>'Data Sheet'!F67/'Data Sheet'!F$66</f>
        <v>0.111241996360137</v>
      </c>
      <c r="H37" s="7">
        <f>'Data Sheet'!G67/'Data Sheet'!G$66</f>
        <v>0.12783721618012767</v>
      </c>
      <c r="I37" s="7">
        <f>'Data Sheet'!H67/'Data Sheet'!H$66</f>
        <v>0.168628255503534</v>
      </c>
      <c r="J37" s="7">
        <f>'Data Sheet'!I67/'Data Sheet'!I$66</f>
        <v>0.17987046211053581</v>
      </c>
      <c r="K37" s="7">
        <f>'Data Sheet'!J67/'Data Sheet'!J$66</f>
        <v>0.16350916715522712</v>
      </c>
      <c r="L37" s="7">
        <f>'Data Sheet'!K67/'Data Sheet'!K$66</f>
        <v>0.14210556658238688</v>
      </c>
    </row>
    <row r="38" spans="2:12" x14ac:dyDescent="0.3">
      <c r="B38" s="11" t="str">
        <f>'[1]Data Sheet'!A68</f>
        <v>Inventory</v>
      </c>
      <c r="C38" s="7">
        <f>'Data Sheet'!B68/'Data Sheet'!B$66</f>
        <v>0.18924465599586324</v>
      </c>
      <c r="D38" s="7">
        <f>'Data Sheet'!C68/'Data Sheet'!C$66</f>
        <v>0.21176136762113276</v>
      </c>
      <c r="E38" s="7">
        <f>'Data Sheet'!D68/'Data Sheet'!D$66</f>
        <v>0.19314228668912223</v>
      </c>
      <c r="F38" s="7">
        <f>'Data Sheet'!E68/'Data Sheet'!E$66</f>
        <v>0.19385137646748937</v>
      </c>
      <c r="G38" s="7">
        <f>'Data Sheet'!F68/'Data Sheet'!F$66</f>
        <v>0.21005182188342153</v>
      </c>
      <c r="H38" s="7">
        <f>'Data Sheet'!G68/'Data Sheet'!G$66</f>
        <v>0.18661442157193148</v>
      </c>
      <c r="I38" s="7">
        <f>'Data Sheet'!H68/'Data Sheet'!H$66</f>
        <v>0.26800525994155522</v>
      </c>
      <c r="J38" s="7">
        <f>'Data Sheet'!I68/'Data Sheet'!I$66</f>
        <v>0.24091549314896857</v>
      </c>
      <c r="K38" s="7">
        <f>'Data Sheet'!J68/'Data Sheet'!J$66</f>
        <v>0.19810225622952185</v>
      </c>
      <c r="L38" s="7">
        <f>'Data Sheet'!K68/'Data Sheet'!K$66</f>
        <v>0.22135446092521063</v>
      </c>
    </row>
    <row r="39" spans="2:12" x14ac:dyDescent="0.3">
      <c r="B39" s="11" t="str">
        <f>'[1]Data Sheet'!A69</f>
        <v>Cash &amp; Bank</v>
      </c>
      <c r="C39" s="7">
        <f>'Data Sheet'!B69/'Data Sheet'!B$66</f>
        <v>4.0174144784132629E-2</v>
      </c>
      <c r="D39" s="7">
        <f>'Data Sheet'!C69/'Data Sheet'!C$66</f>
        <v>6.4586677027921383E-2</v>
      </c>
      <c r="E39" s="7">
        <f>'Data Sheet'!D69/'Data Sheet'!D$66</f>
        <v>2.9400267955488002E-2</v>
      </c>
      <c r="F39" s="7">
        <f>'Data Sheet'!E69/'Data Sheet'!E$66</f>
        <v>2.7379185221837375E-2</v>
      </c>
      <c r="G39" s="7">
        <f>'Data Sheet'!F69/'Data Sheet'!F$66</f>
        <v>4.8508579455780382E-2</v>
      </c>
      <c r="H39" s="7">
        <f>'Data Sheet'!G69/'Data Sheet'!G$66</f>
        <v>3.0004411618769326E-2</v>
      </c>
      <c r="I39" s="7">
        <f>'Data Sheet'!H69/'Data Sheet'!H$66</f>
        <v>3.7647609178850648E-2</v>
      </c>
      <c r="J39" s="7">
        <f>'Data Sheet'!I69/'Data Sheet'!I$66</f>
        <v>3.2732425551788971E-2</v>
      </c>
      <c r="K39" s="7">
        <f>'Data Sheet'!J69/'Data Sheet'!J$66</f>
        <v>3.6253581429508339E-2</v>
      </c>
      <c r="L39" s="7">
        <f>'Data Sheet'!K69/'Data Sheet'!K$66</f>
        <v>2.576094744731142E-2</v>
      </c>
    </row>
    <row r="42" spans="2:12" x14ac:dyDescent="0.3">
      <c r="B42" s="11"/>
    </row>
    <row r="43" spans="2:12" x14ac:dyDescent="0.3">
      <c r="B43" s="11"/>
    </row>
    <row r="44" spans="2:12" x14ac:dyDescent="0.3">
      <c r="B44" s="11"/>
    </row>
  </sheetData>
  <mergeCells count="2">
    <mergeCell ref="B2:L2"/>
    <mergeCell ref="B23:L23"/>
  </mergeCells>
  <pageMargins left="0.7" right="0.7" top="0.75" bottom="0.75" header="0.3" footer="0.3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E177-3088-4A3F-A1BE-DA27989BF98C}">
  <sheetPr>
    <pageSetUpPr fitToPage="1"/>
  </sheetPr>
  <dimension ref="B6:M45"/>
  <sheetViews>
    <sheetView showGridLines="0" topLeftCell="A5" zoomScale="78" zoomScaleNormal="78" workbookViewId="0">
      <selection activeCell="F36" sqref="F36"/>
    </sheetView>
  </sheetViews>
  <sheetFormatPr defaultRowHeight="14.4" x14ac:dyDescent="0.3"/>
  <cols>
    <col min="1" max="1" width="1.88671875" customWidth="1"/>
    <col min="2" max="2" width="31.88671875" bestFit="1" customWidth="1"/>
    <col min="3" max="10" width="12.44140625" bestFit="1" customWidth="1"/>
    <col min="13" max="13" width="11.33203125" bestFit="1" customWidth="1"/>
  </cols>
  <sheetData>
    <row r="6" spans="2:13" x14ac:dyDescent="0.3">
      <c r="B6" s="1"/>
      <c r="C6" s="1"/>
      <c r="D6" s="1"/>
      <c r="E6" s="1"/>
      <c r="F6" s="1"/>
      <c r="G6" s="1"/>
      <c r="H6" s="1"/>
      <c r="I6" s="1"/>
      <c r="J6" s="1"/>
    </row>
    <row r="7" spans="2:13" ht="18" x14ac:dyDescent="0.35">
      <c r="B7" s="126" t="s">
        <v>59</v>
      </c>
      <c r="C7" s="126"/>
      <c r="D7" s="126"/>
      <c r="E7" s="126"/>
      <c r="F7" s="126"/>
      <c r="G7" s="126"/>
      <c r="H7" s="126"/>
      <c r="I7" s="126"/>
      <c r="J7" s="126"/>
    </row>
    <row r="8" spans="2:13" x14ac:dyDescent="0.3">
      <c r="B8" s="16" t="s">
        <v>115</v>
      </c>
      <c r="C8" s="113">
        <f>'Data Sheet'!I16</f>
        <v>45016</v>
      </c>
      <c r="D8" s="113">
        <f>'Data Sheet'!J16</f>
        <v>45382</v>
      </c>
      <c r="E8" s="113">
        <f>'Data Sheet'!K16</f>
        <v>45747</v>
      </c>
      <c r="F8" s="114">
        <f>E8+365</f>
        <v>46112</v>
      </c>
      <c r="G8" s="114">
        <f t="shared" ref="G8:J8" si="0">F8+365</f>
        <v>46477</v>
      </c>
      <c r="H8" s="114">
        <f t="shared" si="0"/>
        <v>46842</v>
      </c>
      <c r="I8" s="114">
        <f t="shared" si="0"/>
        <v>47207</v>
      </c>
      <c r="J8" s="114">
        <f t="shared" si="0"/>
        <v>47572</v>
      </c>
    </row>
    <row r="9" spans="2:13" x14ac:dyDescent="0.3">
      <c r="B9" s="1"/>
    </row>
    <row r="10" spans="2:13" x14ac:dyDescent="0.3">
      <c r="B10" s="13" t="str">
        <f>'Data Sheet'!A17</f>
        <v>Sales</v>
      </c>
      <c r="C10" s="24">
        <f>IFERROR('Data Sheet'!I17,0)</f>
        <v>34488.589999999997</v>
      </c>
      <c r="D10" s="24">
        <f>IFERROR('Data Sheet'!J17,0)</f>
        <v>35494.730000000003</v>
      </c>
      <c r="E10" s="24">
        <f>IFERROR('Data Sheet'!K17,0)</f>
        <v>33905.620000000003</v>
      </c>
      <c r="F10" s="13">
        <f>E10*(1+$C$35)</f>
        <v>36558.832074744598</v>
      </c>
      <c r="G10" s="13">
        <f t="shared" ref="G10:J10" si="1">F10*(1+$C$35)</f>
        <v>39419.665609104755</v>
      </c>
      <c r="H10" s="13">
        <f t="shared" si="1"/>
        <v>42504.367578172743</v>
      </c>
      <c r="I10" s="13">
        <f t="shared" si="1"/>
        <v>45830.45632947093</v>
      </c>
      <c r="J10" s="13">
        <f t="shared" si="1"/>
        <v>49416.821071493265</v>
      </c>
      <c r="M10" s="9"/>
    </row>
    <row r="11" spans="2:13" x14ac:dyDescent="0.3">
      <c r="B11" s="13" t="s">
        <v>8</v>
      </c>
      <c r="C11" s="25">
        <f>IFERROR(SUM('Data Sheet'!I18,'Data Sheet'!I20:I22)-1*'Data Sheet'!I19,0)</f>
        <v>23766.7</v>
      </c>
      <c r="D11" s="25">
        <f>IFERROR(SUM('Data Sheet'!J18,'Data Sheet'!J20:J22)-1*'Data Sheet'!J19,0)</f>
        <v>23009.99</v>
      </c>
      <c r="E11" s="25">
        <f>IFERROR(SUM('Data Sheet'!K18,'Data Sheet'!K20:K22)-1*'Data Sheet'!K19,0)</f>
        <v>22741.27</v>
      </c>
      <c r="F11" s="13">
        <f>E11*(1+$C$36)</f>
        <v>24556.213263708065</v>
      </c>
      <c r="G11" s="13">
        <f t="shared" ref="G11:J11" si="2">F11*(1+$C$36)</f>
        <v>26516.004156879182</v>
      </c>
      <c r="H11" s="13">
        <f t="shared" si="2"/>
        <v>28632.202730001212</v>
      </c>
      <c r="I11" s="13">
        <f t="shared" si="2"/>
        <v>30917.291622131655</v>
      </c>
      <c r="J11" s="13">
        <f t="shared" si="2"/>
        <v>33384.749691170262</v>
      </c>
      <c r="M11" s="9"/>
    </row>
    <row r="12" spans="2:13" x14ac:dyDescent="0.3">
      <c r="B12" s="13"/>
      <c r="C12" s="25"/>
      <c r="D12" s="25"/>
      <c r="E12" s="25"/>
      <c r="F12" s="13"/>
      <c r="G12" s="13"/>
      <c r="H12" s="13"/>
      <c r="I12" s="13"/>
      <c r="J12" s="13"/>
      <c r="M12" s="9"/>
    </row>
    <row r="13" spans="2:13" x14ac:dyDescent="0.3">
      <c r="B13" s="29" t="s">
        <v>116</v>
      </c>
      <c r="C13" s="30">
        <f>C10-C11</f>
        <v>10721.889999999996</v>
      </c>
      <c r="D13" s="30">
        <f t="shared" ref="D13:J13" si="3">D10-D11</f>
        <v>12484.740000000002</v>
      </c>
      <c r="E13" s="30">
        <f t="shared" si="3"/>
        <v>11164.350000000002</v>
      </c>
      <c r="F13" s="83">
        <f t="shared" si="3"/>
        <v>12002.618811036533</v>
      </c>
      <c r="G13" s="83">
        <f t="shared" si="3"/>
        <v>12903.661452225573</v>
      </c>
      <c r="H13" s="83">
        <f t="shared" si="3"/>
        <v>13872.164848171531</v>
      </c>
      <c r="I13" s="83">
        <f t="shared" si="3"/>
        <v>14913.164707339274</v>
      </c>
      <c r="J13" s="83">
        <f t="shared" si="3"/>
        <v>16032.071380323003</v>
      </c>
      <c r="M13" s="9"/>
    </row>
    <row r="14" spans="2:13" x14ac:dyDescent="0.3">
      <c r="B14" s="13" t="s">
        <v>117</v>
      </c>
      <c r="C14" s="25">
        <f>IFERROR(SUM('Data Sheet'!I23:I24),0)</f>
        <v>4462.05</v>
      </c>
      <c r="D14" s="25">
        <f>IFERROR(SUM('Data Sheet'!J23:J24),0)</f>
        <v>4899.76</v>
      </c>
      <c r="E14" s="25">
        <f>IFERROR(SUM('Data Sheet'!K23:K24),0)</f>
        <v>5158.1400000000003</v>
      </c>
      <c r="F14" s="13">
        <f>E14*(1+$C$37)</f>
        <v>5438.9359824060984</v>
      </c>
      <c r="G14" s="13">
        <f t="shared" ref="G14:J14" si="4">F14*(1+$C$37)</f>
        <v>5735.0177817414396</v>
      </c>
      <c r="H14" s="13">
        <f t="shared" si="4"/>
        <v>6047.2175188832252</v>
      </c>
      <c r="I14" s="13">
        <f t="shared" si="4"/>
        <v>6376.4126132463443</v>
      </c>
      <c r="J14" s="13">
        <f t="shared" si="4"/>
        <v>6723.5282487202048</v>
      </c>
      <c r="M14" s="9"/>
    </row>
    <row r="15" spans="2:13" x14ac:dyDescent="0.3">
      <c r="B15" s="13"/>
      <c r="C15" s="25"/>
      <c r="D15" s="25"/>
      <c r="E15" s="25"/>
      <c r="F15" s="13"/>
      <c r="G15" s="13"/>
      <c r="H15" s="13"/>
      <c r="I15" s="13"/>
      <c r="J15" s="13"/>
      <c r="M15" s="9"/>
    </row>
    <row r="16" spans="2:13" x14ac:dyDescent="0.3">
      <c r="B16" s="29" t="s">
        <v>9</v>
      </c>
      <c r="C16" s="31">
        <f>C13-C14</f>
        <v>6259.8399999999956</v>
      </c>
      <c r="D16" s="31">
        <f t="shared" ref="D16:J16" si="5">D13-D14</f>
        <v>7584.9800000000014</v>
      </c>
      <c r="E16" s="31">
        <f t="shared" si="5"/>
        <v>6006.2100000000019</v>
      </c>
      <c r="F16" s="29">
        <f t="shared" si="5"/>
        <v>6563.6828286304344</v>
      </c>
      <c r="G16" s="29">
        <f t="shared" si="5"/>
        <v>7168.6436704841335</v>
      </c>
      <c r="H16" s="29">
        <f t="shared" si="5"/>
        <v>7824.9473292883058</v>
      </c>
      <c r="I16" s="29">
        <f t="shared" si="5"/>
        <v>8536.7520940929298</v>
      </c>
      <c r="J16" s="29">
        <f t="shared" si="5"/>
        <v>9308.5431316027971</v>
      </c>
    </row>
    <row r="17" spans="2:10" x14ac:dyDescent="0.3">
      <c r="B17" s="13" t="str">
        <f>'Data Sheet'!A27</f>
        <v>Interest</v>
      </c>
      <c r="C17" s="26">
        <f>IFERROR('Data Sheet'!I27,0)</f>
        <v>144.44999999999999</v>
      </c>
      <c r="D17" s="26">
        <f>IFERROR('Data Sheet'!J27,0)</f>
        <v>205.17</v>
      </c>
      <c r="E17" s="26">
        <f>IFERROR('Data Sheet'!K27,0)</f>
        <v>227.02</v>
      </c>
      <c r="F17" s="13">
        <f>E17*(1+$C$38)</f>
        <v>239.76881129425021</v>
      </c>
      <c r="G17" s="13">
        <f t="shared" ref="G17:J17" si="6">F17*(1+$C$38)</f>
        <v>253.23356034471752</v>
      </c>
      <c r="H17" s="13">
        <f t="shared" si="6"/>
        <v>267.45445222299224</v>
      </c>
      <c r="I17" s="13">
        <f t="shared" si="6"/>
        <v>282.47394980557522</v>
      </c>
      <c r="J17" s="13">
        <f t="shared" si="6"/>
        <v>298.33690056591695</v>
      </c>
    </row>
    <row r="18" spans="2:10" x14ac:dyDescent="0.3">
      <c r="B18" s="13" t="str">
        <f>'Data Sheet'!A26</f>
        <v>Depreciation</v>
      </c>
      <c r="C18" s="26">
        <f>IFERROR('Data Sheet'!I26,0)</f>
        <v>858.02</v>
      </c>
      <c r="D18" s="26">
        <f>IFERROR('Data Sheet'!J26,0)</f>
        <v>853</v>
      </c>
      <c r="E18" s="26">
        <f>IFERROR('Data Sheet'!K26,0)</f>
        <v>1026.3399999999999</v>
      </c>
      <c r="F18" s="13">
        <f>E18*(1+$C$39)</f>
        <v>1099.4069245109315</v>
      </c>
      <c r="G18" s="13">
        <f t="shared" ref="G18:J18" si="7">F18*(1+$C$39)</f>
        <v>1177.6756100927423</v>
      </c>
      <c r="H18" s="13">
        <f t="shared" si="7"/>
        <v>1261.5163791371251</v>
      </c>
      <c r="I18" s="13">
        <f t="shared" si="7"/>
        <v>1351.3259179290617</v>
      </c>
      <c r="J18" s="13">
        <f t="shared" si="7"/>
        <v>1447.5291535381077</v>
      </c>
    </row>
    <row r="19" spans="2:10" x14ac:dyDescent="0.3">
      <c r="B19" s="13"/>
      <c r="C19" s="26"/>
      <c r="D19" s="26"/>
      <c r="E19" s="26"/>
      <c r="F19" s="13"/>
      <c r="G19" s="13"/>
      <c r="H19" s="13"/>
      <c r="I19" s="13"/>
      <c r="J19" s="13"/>
    </row>
    <row r="20" spans="2:10" x14ac:dyDescent="0.3">
      <c r="B20" s="29" t="s">
        <v>10</v>
      </c>
      <c r="C20" s="31">
        <f>C16-C18</f>
        <v>5401.8199999999961</v>
      </c>
      <c r="D20" s="31">
        <f t="shared" ref="D20:J20" si="8">D16-D18</f>
        <v>6731.9800000000014</v>
      </c>
      <c r="E20" s="31">
        <f t="shared" si="8"/>
        <v>4979.8700000000017</v>
      </c>
      <c r="F20" s="29">
        <f t="shared" si="8"/>
        <v>5464.2759041195031</v>
      </c>
      <c r="G20" s="29">
        <f t="shared" si="8"/>
        <v>5990.9680603913912</v>
      </c>
      <c r="H20" s="29">
        <f t="shared" si="8"/>
        <v>6563.4309501511807</v>
      </c>
      <c r="I20" s="29">
        <f t="shared" si="8"/>
        <v>7185.4261761638681</v>
      </c>
      <c r="J20" s="29">
        <f t="shared" si="8"/>
        <v>7861.0139780646896</v>
      </c>
    </row>
    <row r="21" spans="2:10" x14ac:dyDescent="0.3">
      <c r="B21" s="32"/>
      <c r="C21" s="33"/>
      <c r="D21" s="33"/>
      <c r="E21" s="33"/>
      <c r="F21" s="32"/>
      <c r="G21" s="32"/>
      <c r="H21" s="32"/>
      <c r="I21" s="32"/>
      <c r="J21" s="32"/>
    </row>
    <row r="22" spans="2:10" x14ac:dyDescent="0.3">
      <c r="B22" s="29" t="s">
        <v>118</v>
      </c>
      <c r="C22" s="31">
        <f>C16-SUM(C17:C18)</f>
        <v>5257.3699999999953</v>
      </c>
      <c r="D22" s="31">
        <f t="shared" ref="D22:J22" si="9">D16-SUM(D17:D18)</f>
        <v>6526.8100000000013</v>
      </c>
      <c r="E22" s="31">
        <f t="shared" si="9"/>
        <v>4752.8500000000022</v>
      </c>
      <c r="F22" s="29">
        <f t="shared" si="9"/>
        <v>5224.5070928252526</v>
      </c>
      <c r="G22" s="29">
        <f t="shared" si="9"/>
        <v>5737.7345000466739</v>
      </c>
      <c r="H22" s="29">
        <f t="shared" si="9"/>
        <v>6295.9764979281881</v>
      </c>
      <c r="I22" s="29">
        <f t="shared" si="9"/>
        <v>6902.952226358293</v>
      </c>
      <c r="J22" s="29">
        <f t="shared" si="9"/>
        <v>7562.6770774987726</v>
      </c>
    </row>
    <row r="23" spans="2:10" x14ac:dyDescent="0.3">
      <c r="B23" s="13" t="s">
        <v>87</v>
      </c>
      <c r="C23" s="82">
        <v>0.25</v>
      </c>
      <c r="D23" s="82">
        <v>0.25</v>
      </c>
      <c r="E23" s="82">
        <v>0.25</v>
      </c>
      <c r="F23" s="84">
        <v>0.25</v>
      </c>
      <c r="G23" s="84">
        <v>0.25</v>
      </c>
      <c r="H23" s="84">
        <v>0.25</v>
      </c>
      <c r="I23" s="84">
        <v>0.25</v>
      </c>
      <c r="J23" s="84">
        <v>0.25</v>
      </c>
    </row>
    <row r="24" spans="2:10" x14ac:dyDescent="0.3">
      <c r="B24" s="13"/>
      <c r="C24" s="26"/>
      <c r="D24" s="26"/>
      <c r="E24" s="26"/>
      <c r="F24" s="13"/>
      <c r="G24" s="13"/>
      <c r="H24" s="13"/>
      <c r="I24" s="13"/>
      <c r="J24" s="13"/>
    </row>
    <row r="25" spans="2:10" x14ac:dyDescent="0.3">
      <c r="B25" s="34" t="s">
        <v>11</v>
      </c>
      <c r="C25" s="31">
        <f>C20*(1-C23)</f>
        <v>4051.3649999999971</v>
      </c>
      <c r="D25" s="31">
        <f t="shared" ref="D25:J25" si="10">D20*(1-D23)</f>
        <v>5048.9850000000006</v>
      </c>
      <c r="E25" s="31">
        <f t="shared" si="10"/>
        <v>3734.9025000000011</v>
      </c>
      <c r="F25" s="29">
        <f t="shared" si="10"/>
        <v>4098.2069280896276</v>
      </c>
      <c r="G25" s="29">
        <f t="shared" si="10"/>
        <v>4493.2260452935434</v>
      </c>
      <c r="H25" s="29">
        <f t="shared" si="10"/>
        <v>4922.5732126133853</v>
      </c>
      <c r="I25" s="29">
        <f t="shared" si="10"/>
        <v>5389.0696321229007</v>
      </c>
      <c r="J25" s="29">
        <f t="shared" si="10"/>
        <v>5895.7604835485172</v>
      </c>
    </row>
    <row r="26" spans="2:10" x14ac:dyDescent="0.3">
      <c r="B26" s="1" t="s">
        <v>12</v>
      </c>
      <c r="C26" s="26">
        <f>C18</f>
        <v>858.02</v>
      </c>
      <c r="D26" s="26">
        <f t="shared" ref="D26:J26" si="11">D18</f>
        <v>853</v>
      </c>
      <c r="E26" s="26">
        <f t="shared" si="11"/>
        <v>1026.3399999999999</v>
      </c>
      <c r="F26" s="13">
        <f t="shared" si="11"/>
        <v>1099.4069245109315</v>
      </c>
      <c r="G26" s="13">
        <f t="shared" si="11"/>
        <v>1177.6756100927423</v>
      </c>
      <c r="H26" s="13">
        <f t="shared" si="11"/>
        <v>1261.5163791371251</v>
      </c>
      <c r="I26" s="13">
        <f t="shared" si="11"/>
        <v>1351.3259179290617</v>
      </c>
      <c r="J26" s="13">
        <f t="shared" si="11"/>
        <v>1447.5291535381077</v>
      </c>
    </row>
    <row r="27" spans="2:10" x14ac:dyDescent="0.3">
      <c r="B27" s="1" t="s">
        <v>13</v>
      </c>
      <c r="C27" s="26">
        <f>IFERROR(-SUM('Raw CF'!L13:L14),0)</f>
        <v>1420</v>
      </c>
      <c r="D27" s="26">
        <f>IFERROR(-SUM('Raw CF'!M13:M14),0)</f>
        <v>2491</v>
      </c>
      <c r="E27" s="26">
        <f>IFERROR(-SUM('Raw CF'!N13:N14),0)</f>
        <v>1820</v>
      </c>
      <c r="F27" s="13">
        <f>'Fixed Assets'!F7</f>
        <v>2478.7781093682333</v>
      </c>
      <c r="G27" s="13">
        <f>'Fixed Assets'!G7</f>
        <v>2688.4951469400776</v>
      </c>
      <c r="H27" s="13">
        <f>'Fixed Assets'!H7</f>
        <v>2915.9552957979581</v>
      </c>
      <c r="I27" s="13">
        <f>'Fixed Assets'!I7</f>
        <v>3162.6597119841008</v>
      </c>
      <c r="J27" s="13">
        <f>'Fixed Assets'!J7</f>
        <v>3430.2365568571486</v>
      </c>
    </row>
    <row r="28" spans="2:10" x14ac:dyDescent="0.3">
      <c r="B28" s="8" t="s">
        <v>29</v>
      </c>
      <c r="C28" s="27"/>
      <c r="D28" s="27">
        <f>'Change in WC'!D17</f>
        <v>-56</v>
      </c>
      <c r="E28" s="27">
        <f>'Change in WC'!E17</f>
        <v>5</v>
      </c>
      <c r="F28" s="14">
        <f>'Change in WC'!F17</f>
        <v>387.58801621088969</v>
      </c>
      <c r="G28" s="14">
        <f>'Change in WC'!G17</f>
        <v>546.32688195352239</v>
      </c>
      <c r="H28" s="14">
        <f>'Change in WC'!H17</f>
        <v>589.40933281422258</v>
      </c>
      <c r="I28" s="14">
        <f>'Change in WC'!I17</f>
        <v>635.88951005432136</v>
      </c>
      <c r="J28" s="14">
        <f>'Change in WC'!J17</f>
        <v>686.035402531008</v>
      </c>
    </row>
    <row r="29" spans="2:10" x14ac:dyDescent="0.3">
      <c r="B29" s="1"/>
      <c r="C29" s="26"/>
      <c r="D29" s="26"/>
      <c r="E29" s="26"/>
      <c r="F29" s="13"/>
      <c r="G29" s="13"/>
      <c r="H29" s="13"/>
      <c r="I29" s="13"/>
      <c r="J29" s="13"/>
    </row>
    <row r="30" spans="2:10" ht="15" thickBot="1" x14ac:dyDescent="0.35">
      <c r="B30" s="15" t="s">
        <v>14</v>
      </c>
      <c r="C30" s="28"/>
      <c r="D30" s="28">
        <f>D25+D26-D27-D28</f>
        <v>3466.9850000000006</v>
      </c>
      <c r="E30" s="28">
        <f t="shared" ref="E30:J30" si="12">E25+E26-E27-E28</f>
        <v>2936.2425000000012</v>
      </c>
      <c r="F30" s="28">
        <f t="shared" si="12"/>
        <v>2331.2477270214358</v>
      </c>
      <c r="G30" s="28">
        <f t="shared" si="12"/>
        <v>2436.0796264926857</v>
      </c>
      <c r="H30" s="28">
        <f t="shared" si="12"/>
        <v>2678.7249631383297</v>
      </c>
      <c r="I30" s="28">
        <f t="shared" si="12"/>
        <v>2941.8463280135402</v>
      </c>
      <c r="J30" s="28">
        <f t="shared" si="12"/>
        <v>3227.0176776984681</v>
      </c>
    </row>
    <row r="31" spans="2:10" x14ac:dyDescent="0.3">
      <c r="B31" s="1"/>
      <c r="C31" s="9"/>
      <c r="D31" s="9"/>
      <c r="E31" s="9"/>
      <c r="F31" s="9"/>
      <c r="G31" s="9"/>
      <c r="H31" s="9"/>
      <c r="I31" s="9"/>
      <c r="J31" s="9"/>
    </row>
    <row r="32" spans="2:10" x14ac:dyDescent="0.3">
      <c r="B32" s="1"/>
      <c r="C32" s="9"/>
      <c r="D32" s="9"/>
      <c r="E32" s="9"/>
      <c r="F32" s="9"/>
      <c r="G32" s="9"/>
      <c r="H32" s="9"/>
      <c r="I32" s="9"/>
      <c r="J32" s="9"/>
    </row>
    <row r="33" spans="2:10" x14ac:dyDescent="0.3">
      <c r="B33" s="127" t="s">
        <v>222</v>
      </c>
      <c r="C33" s="127"/>
    </row>
    <row r="34" spans="2:10" x14ac:dyDescent="0.3">
      <c r="C34" s="5"/>
      <c r="D34" s="7"/>
      <c r="E34" s="7"/>
      <c r="F34" s="5"/>
      <c r="G34" s="5"/>
      <c r="H34" s="5"/>
      <c r="I34" s="5"/>
      <c r="J34" s="5"/>
    </row>
    <row r="35" spans="2:10" x14ac:dyDescent="0.3">
      <c r="B35" t="s">
        <v>179</v>
      </c>
      <c r="C35" s="67">
        <f>Forecasts!C21</f>
        <v>7.8252870018144322E-2</v>
      </c>
      <c r="D35" s="7"/>
      <c r="E35" s="7"/>
      <c r="F35" s="5"/>
      <c r="G35" s="5"/>
      <c r="H35" s="5"/>
      <c r="I35" s="5"/>
      <c r="J35" s="5"/>
    </row>
    <row r="36" spans="2:10" x14ac:dyDescent="0.3">
      <c r="B36" s="1" t="s">
        <v>226</v>
      </c>
      <c r="C36" s="67">
        <f>Forecasts!G21</f>
        <v>7.9808351235795702E-2</v>
      </c>
      <c r="D36" s="3"/>
      <c r="E36" s="3"/>
      <c r="F36" s="3"/>
      <c r="G36" s="3"/>
      <c r="H36" s="3"/>
      <c r="I36" s="3"/>
      <c r="J36" s="3"/>
    </row>
    <row r="37" spans="2:10" x14ac:dyDescent="0.3">
      <c r="B37" s="1" t="s">
        <v>227</v>
      </c>
      <c r="C37" s="67">
        <f>Forecasts!K21</f>
        <v>5.4437448849022595E-2</v>
      </c>
      <c r="D37" s="9"/>
      <c r="E37" s="9"/>
      <c r="F37" s="9"/>
      <c r="G37" s="9"/>
      <c r="H37" s="9"/>
      <c r="I37" s="9"/>
      <c r="J37" s="9"/>
    </row>
    <row r="38" spans="2:10" x14ac:dyDescent="0.3">
      <c r="B38" s="1" t="s">
        <v>228</v>
      </c>
      <c r="C38" s="67">
        <f>Forecasts!O21</f>
        <v>5.6157216519470657E-2</v>
      </c>
      <c r="D38" s="9"/>
      <c r="E38" s="9"/>
      <c r="F38" s="9"/>
      <c r="G38" s="9"/>
      <c r="H38" s="9"/>
      <c r="I38" s="9"/>
      <c r="J38" s="9"/>
    </row>
    <row r="39" spans="2:10" x14ac:dyDescent="0.3">
      <c r="B39" s="1" t="s">
        <v>229</v>
      </c>
      <c r="C39" s="67">
        <f>Forecasts!S21</f>
        <v>7.1191734231279738E-2</v>
      </c>
      <c r="D39" s="9"/>
      <c r="E39" s="9"/>
      <c r="F39" s="9"/>
      <c r="G39" s="9"/>
      <c r="H39" s="9"/>
      <c r="I39" s="9"/>
      <c r="J39" s="9"/>
    </row>
    <row r="40" spans="2:10" x14ac:dyDescent="0.3">
      <c r="B40" s="1"/>
      <c r="C40" s="9"/>
      <c r="D40" s="9"/>
      <c r="E40" s="9"/>
      <c r="F40" s="9"/>
      <c r="G40" s="9"/>
      <c r="H40" s="9"/>
      <c r="I40" s="9"/>
      <c r="J40" s="9"/>
    </row>
    <row r="41" spans="2:10" x14ac:dyDescent="0.3">
      <c r="B41" s="1"/>
      <c r="C41" s="9"/>
      <c r="D41" s="9"/>
      <c r="E41" s="9"/>
      <c r="F41" s="9"/>
      <c r="G41" s="9"/>
      <c r="H41" s="9"/>
      <c r="I41" s="9"/>
      <c r="J41" s="9"/>
    </row>
    <row r="42" spans="2:10" x14ac:dyDescent="0.3">
      <c r="B42" s="1"/>
      <c r="C42" s="9"/>
      <c r="D42" s="9"/>
      <c r="E42" s="9"/>
      <c r="F42" s="9"/>
      <c r="G42" s="9"/>
      <c r="H42" s="9"/>
      <c r="I42" s="9"/>
      <c r="J42" s="9"/>
    </row>
    <row r="43" spans="2:10" x14ac:dyDescent="0.3">
      <c r="B43" s="1"/>
      <c r="C43" s="9"/>
      <c r="D43" s="9"/>
      <c r="E43" s="9"/>
      <c r="F43" s="9"/>
      <c r="G43" s="9"/>
      <c r="H43" s="9"/>
      <c r="I43" s="9"/>
      <c r="J43" s="9"/>
    </row>
    <row r="44" spans="2:10" x14ac:dyDescent="0.3">
      <c r="B44" s="1"/>
      <c r="C44" s="9"/>
      <c r="D44" s="9"/>
      <c r="E44" s="9"/>
      <c r="F44" s="9"/>
      <c r="G44" s="9"/>
      <c r="H44" s="9"/>
      <c r="I44" s="9"/>
      <c r="J44" s="9"/>
    </row>
    <row r="45" spans="2:10" x14ac:dyDescent="0.3">
      <c r="B45" s="1"/>
      <c r="C45" s="1"/>
      <c r="D45" s="1"/>
      <c r="E45" s="1"/>
      <c r="F45" s="1"/>
      <c r="G45" s="1"/>
      <c r="H45" s="1"/>
      <c r="I45" s="1"/>
      <c r="J45" s="1"/>
    </row>
  </sheetData>
  <mergeCells count="2">
    <mergeCell ref="B7:J7"/>
    <mergeCell ref="B33:C33"/>
  </mergeCells>
  <pageMargins left="0.7" right="0.7" top="0.75" bottom="0.75" header="0.3" footer="0.3"/>
  <pageSetup scale="45" fitToHeight="0" orientation="portrait" r:id="rId1"/>
  <ignoredErrors>
    <ignoredError sqref="C14 D14:E14 C27:E27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1EE3-837F-4D6A-934C-112861EFA080}">
  <sheetPr>
    <pageSetUpPr fitToPage="1"/>
  </sheetPr>
  <dimension ref="B2:T22"/>
  <sheetViews>
    <sheetView showGridLines="0" workbookViewId="0">
      <selection activeCell="S19" sqref="S19"/>
    </sheetView>
  </sheetViews>
  <sheetFormatPr defaultRowHeight="14.4" x14ac:dyDescent="0.3"/>
  <cols>
    <col min="1" max="1" width="1.88671875" customWidth="1"/>
    <col min="2" max="2" width="11.33203125" customWidth="1"/>
    <col min="3" max="3" width="11.21875" customWidth="1"/>
    <col min="4" max="4" width="11.33203125" bestFit="1" customWidth="1"/>
    <col min="5" max="5" width="6.77734375" customWidth="1"/>
    <col min="6" max="8" width="11.33203125" bestFit="1" customWidth="1"/>
    <col min="9" max="9" width="6.77734375" customWidth="1"/>
    <col min="10" max="12" width="11.33203125" bestFit="1" customWidth="1"/>
    <col min="13" max="13" width="6.77734375" customWidth="1"/>
    <col min="14" max="14" width="11.33203125" bestFit="1" customWidth="1"/>
    <col min="17" max="17" width="6.77734375" customWidth="1"/>
    <col min="19" max="19" width="9.44140625" bestFit="1" customWidth="1"/>
  </cols>
  <sheetData>
    <row r="2" spans="2:20" ht="15.6" x14ac:dyDescent="0.3">
      <c r="B2" s="125" t="s">
        <v>175</v>
      </c>
      <c r="C2" s="125"/>
      <c r="D2" s="125"/>
      <c r="E2" s="64"/>
      <c r="F2" s="125" t="s">
        <v>180</v>
      </c>
      <c r="G2" s="125"/>
      <c r="H2" s="125"/>
      <c r="I2" s="64"/>
      <c r="J2" s="125" t="s">
        <v>176</v>
      </c>
      <c r="K2" s="125"/>
      <c r="L2" s="125"/>
      <c r="N2" s="125" t="s">
        <v>223</v>
      </c>
      <c r="O2" s="125"/>
      <c r="P2" s="125"/>
      <c r="R2" s="125" t="s">
        <v>225</v>
      </c>
      <c r="S2" s="125"/>
      <c r="T2" s="125"/>
    </row>
    <row r="3" spans="2:20" x14ac:dyDescent="0.3">
      <c r="B3" s="65" t="s">
        <v>30</v>
      </c>
      <c r="C3" s="66" t="s">
        <v>75</v>
      </c>
      <c r="D3" s="66" t="s">
        <v>58</v>
      </c>
      <c r="F3" s="65" t="s">
        <v>30</v>
      </c>
      <c r="G3" s="66" t="s">
        <v>8</v>
      </c>
      <c r="H3" s="66" t="s">
        <v>58</v>
      </c>
      <c r="J3" s="65" t="s">
        <v>30</v>
      </c>
      <c r="K3" s="66" t="s">
        <v>91</v>
      </c>
      <c r="L3" s="66" t="s">
        <v>58</v>
      </c>
      <c r="N3" s="65" t="s">
        <v>30</v>
      </c>
      <c r="O3" s="66" t="s">
        <v>224</v>
      </c>
      <c r="P3" s="66" t="s">
        <v>58</v>
      </c>
      <c r="R3" s="65" t="s">
        <v>30</v>
      </c>
      <c r="S3" s="66" t="s">
        <v>224</v>
      </c>
      <c r="T3" s="66" t="s">
        <v>58</v>
      </c>
    </row>
    <row r="4" spans="2:20" x14ac:dyDescent="0.3">
      <c r="E4" s="2"/>
      <c r="I4" s="2"/>
    </row>
    <row r="5" spans="2:20" x14ac:dyDescent="0.3">
      <c r="B5" s="60">
        <v>2016</v>
      </c>
      <c r="C5" s="24" cm="1">
        <f t="array" ref="C5:C14">IFERROR(TRANSPOSE('Data Sheet'!B17:K17),0)</f>
        <v>14271.49</v>
      </c>
      <c r="D5" s="24">
        <f>0</f>
        <v>0</v>
      </c>
      <c r="E5" s="58"/>
      <c r="F5" s="60">
        <v>2016</v>
      </c>
      <c r="G5" s="24">
        <f t="array" ref="G5:G14">IFERROR(TRANSPOSE(HistoricalFS!C9:L9),0)</f>
        <v>9413.8399999999983</v>
      </c>
      <c r="H5" s="24">
        <f>0</f>
        <v>0</v>
      </c>
      <c r="I5" s="58"/>
      <c r="J5" s="60">
        <v>2016</v>
      </c>
      <c r="K5" s="24">
        <f t="array" ref="K5:K14">IFERROR(TRANSPOSE(HistoricalFS!C15:L15),0)</f>
        <v>2132.61</v>
      </c>
      <c r="L5" s="24">
        <f>0</f>
        <v>0</v>
      </c>
      <c r="N5" s="60">
        <v>2016</v>
      </c>
      <c r="O5" s="24">
        <f t="array" ref="O5:O14">IFERROR(TRANSPOSE(HistoricalFS!C21:L21),0)</f>
        <v>49</v>
      </c>
      <c r="P5" s="24">
        <f>0</f>
        <v>0</v>
      </c>
      <c r="R5" s="60">
        <v>2016</v>
      </c>
      <c r="S5" s="24">
        <f t="array" ref="S5:S14">IFERROR(TRANSPOSE(HistoricalFS!C24:L24),0)</f>
        <v>275.58</v>
      </c>
      <c r="T5" s="24">
        <f>0</f>
        <v>0</v>
      </c>
    </row>
    <row r="6" spans="2:20" x14ac:dyDescent="0.3">
      <c r="B6" s="60">
        <v>2017</v>
      </c>
      <c r="C6" s="24">
        <v>15061.99</v>
      </c>
      <c r="D6" s="61">
        <f>C6/C5-1</f>
        <v>5.5390151974320734E-2</v>
      </c>
      <c r="E6" s="59"/>
      <c r="F6" s="60">
        <v>2017</v>
      </c>
      <c r="G6" s="24">
        <v>9732.66</v>
      </c>
      <c r="H6" s="61">
        <f>G6/G5-1</f>
        <v>3.3867157291817218E-2</v>
      </c>
      <c r="I6" s="59"/>
      <c r="J6" s="60">
        <v>2017</v>
      </c>
      <c r="K6" s="24">
        <v>2335.5699999999997</v>
      </c>
      <c r="L6" s="61">
        <f>K6/K5-1</f>
        <v>9.5169768499631768E-2</v>
      </c>
      <c r="N6" s="60">
        <v>2017</v>
      </c>
      <c r="O6" s="24">
        <v>37.33</v>
      </c>
      <c r="P6" s="61">
        <f>O6/O5-1</f>
        <v>-0.23816326530612253</v>
      </c>
      <c r="R6" s="60">
        <v>2017</v>
      </c>
      <c r="S6" s="24">
        <v>334.79</v>
      </c>
      <c r="T6" s="61">
        <f>S6/S5-1</f>
        <v>0.21485594019885346</v>
      </c>
    </row>
    <row r="7" spans="2:20" x14ac:dyDescent="0.3">
      <c r="B7" s="60">
        <v>2018</v>
      </c>
      <c r="C7" s="24">
        <v>16824.55</v>
      </c>
      <c r="D7" s="61">
        <f t="shared" ref="D7:D18" si="0">C7/C6-1</f>
        <v>0.11702039371955486</v>
      </c>
      <c r="F7" s="60">
        <v>2018</v>
      </c>
      <c r="G7" s="24">
        <v>11194.169999999998</v>
      </c>
      <c r="H7" s="61">
        <f t="shared" ref="H7:H14" si="1">G7/G6-1</f>
        <v>0.15016552514934234</v>
      </c>
      <c r="J7" s="60">
        <v>2018</v>
      </c>
      <c r="K7" s="24">
        <v>2426.37</v>
      </c>
      <c r="L7" s="61">
        <f t="shared" ref="L7:L17" si="2">K7/K6-1</f>
        <v>3.8877019314343064E-2</v>
      </c>
      <c r="N7" s="60">
        <v>2018</v>
      </c>
      <c r="O7" s="24">
        <v>41.47</v>
      </c>
      <c r="P7" s="61">
        <f t="shared" ref="P7:P14" si="3">O7/O6-1</f>
        <v>0.11090275917492631</v>
      </c>
      <c r="R7" s="60">
        <v>2018</v>
      </c>
      <c r="S7" s="24">
        <v>360.47</v>
      </c>
      <c r="T7" s="61">
        <f t="shared" ref="T7:T14" si="4">S7/S6-1</f>
        <v>7.6704800023895681E-2</v>
      </c>
    </row>
    <row r="8" spans="2:20" x14ac:dyDescent="0.3">
      <c r="B8" s="60">
        <v>2019</v>
      </c>
      <c r="C8" s="24">
        <v>19240.13</v>
      </c>
      <c r="D8" s="61">
        <f t="shared" si="0"/>
        <v>0.14357471670861943</v>
      </c>
      <c r="F8" s="60">
        <v>2019</v>
      </c>
      <c r="G8" s="24">
        <v>12905.81</v>
      </c>
      <c r="H8" s="61">
        <f t="shared" si="1"/>
        <v>0.15290459230117115</v>
      </c>
      <c r="J8" s="60">
        <v>2019</v>
      </c>
      <c r="K8" s="24">
        <v>2569.38</v>
      </c>
      <c r="L8" s="61">
        <f t="shared" si="2"/>
        <v>5.8939897872130054E-2</v>
      </c>
      <c r="N8" s="60">
        <v>2019</v>
      </c>
      <c r="O8" s="24">
        <v>110.47</v>
      </c>
      <c r="P8" s="61">
        <f t="shared" si="3"/>
        <v>1.6638533879913191</v>
      </c>
      <c r="R8" s="60">
        <v>2019</v>
      </c>
      <c r="S8" s="24">
        <v>622.14</v>
      </c>
      <c r="T8" s="61">
        <f t="shared" si="4"/>
        <v>0.72591339085083351</v>
      </c>
    </row>
    <row r="9" spans="2:20" x14ac:dyDescent="0.3">
      <c r="B9" s="60">
        <v>2020</v>
      </c>
      <c r="C9" s="24">
        <v>20211.25</v>
      </c>
      <c r="D9" s="61">
        <f t="shared" si="0"/>
        <v>5.0473671435691925E-2</v>
      </c>
      <c r="F9" s="60">
        <v>2020</v>
      </c>
      <c r="G9" s="24">
        <v>13158.020000000002</v>
      </c>
      <c r="H9" s="61">
        <f t="shared" si="1"/>
        <v>1.9542361153620069E-2</v>
      </c>
      <c r="J9" s="60">
        <v>2020</v>
      </c>
      <c r="K9" s="24">
        <v>2896.4100000000003</v>
      </c>
      <c r="L9" s="61">
        <f t="shared" si="2"/>
        <v>0.1272797328538402</v>
      </c>
      <c r="N9" s="60">
        <v>2020</v>
      </c>
      <c r="O9" s="24">
        <v>102.33</v>
      </c>
      <c r="P9" s="61">
        <f t="shared" si="3"/>
        <v>-7.3685163392776309E-2</v>
      </c>
      <c r="R9" s="60">
        <v>2020</v>
      </c>
      <c r="S9" s="24">
        <v>780.5</v>
      </c>
      <c r="T9" s="61">
        <f t="shared" si="4"/>
        <v>0.25454077860288682</v>
      </c>
    </row>
    <row r="10" spans="2:20" x14ac:dyDescent="0.3">
      <c r="B10" s="60">
        <v>2021</v>
      </c>
      <c r="C10" s="24">
        <v>21712.79</v>
      </c>
      <c r="D10" s="61">
        <f t="shared" si="0"/>
        <v>7.4292287711052118E-2</v>
      </c>
      <c r="F10" s="60">
        <v>2021</v>
      </c>
      <c r="G10" s="24">
        <v>14035.069999999998</v>
      </c>
      <c r="H10" s="61">
        <f t="shared" si="1"/>
        <v>6.6655165442824682E-2</v>
      </c>
      <c r="J10" s="60">
        <v>2021</v>
      </c>
      <c r="K10" s="24">
        <v>2822.12</v>
      </c>
      <c r="L10" s="61">
        <f t="shared" si="2"/>
        <v>-2.5648993063827397E-2</v>
      </c>
      <c r="N10" s="60">
        <v>2021</v>
      </c>
      <c r="O10" s="24">
        <v>91.63</v>
      </c>
      <c r="P10" s="61">
        <f t="shared" si="3"/>
        <v>-0.10456366656894367</v>
      </c>
      <c r="R10" s="60">
        <v>2021</v>
      </c>
      <c r="S10" s="24">
        <v>791.27</v>
      </c>
      <c r="T10" s="61">
        <f t="shared" si="4"/>
        <v>1.3798846893017247E-2</v>
      </c>
    </row>
    <row r="11" spans="2:20" x14ac:dyDescent="0.3">
      <c r="B11" s="60">
        <v>2022</v>
      </c>
      <c r="C11" s="24">
        <v>29101.279999999999</v>
      </c>
      <c r="D11" s="61">
        <f t="shared" si="0"/>
        <v>0.34028284711453471</v>
      </c>
      <c r="F11" s="60">
        <v>2022</v>
      </c>
      <c r="G11" s="24">
        <v>20590.57</v>
      </c>
      <c r="H11" s="61">
        <f t="shared" si="1"/>
        <v>0.46707996468845558</v>
      </c>
      <c r="J11" s="60">
        <v>2022</v>
      </c>
      <c r="K11" s="24">
        <v>3707.1</v>
      </c>
      <c r="L11" s="61">
        <f t="shared" si="2"/>
        <v>0.3135869488186187</v>
      </c>
      <c r="N11" s="60">
        <v>2022</v>
      </c>
      <c r="O11" s="24">
        <v>95.41</v>
      </c>
      <c r="P11" s="61">
        <f t="shared" si="3"/>
        <v>4.1252864782276522E-2</v>
      </c>
      <c r="R11" s="60">
        <v>2022</v>
      </c>
      <c r="S11" s="24">
        <v>816.36</v>
      </c>
      <c r="T11" s="61">
        <f t="shared" si="4"/>
        <v>3.1708519215944087E-2</v>
      </c>
    </row>
    <row r="12" spans="2:20" x14ac:dyDescent="0.3">
      <c r="B12" s="60">
        <v>2023</v>
      </c>
      <c r="C12" s="24">
        <v>34488.589999999997</v>
      </c>
      <c r="D12" s="61">
        <f t="shared" si="0"/>
        <v>0.18512278497715551</v>
      </c>
      <c r="F12" s="60">
        <v>2023</v>
      </c>
      <c r="G12" s="24">
        <v>23766.7</v>
      </c>
      <c r="H12" s="61">
        <f t="shared" si="1"/>
        <v>0.1542516792881401</v>
      </c>
      <c r="J12" s="60">
        <v>2023</v>
      </c>
      <c r="K12" s="24">
        <v>4462.05</v>
      </c>
      <c r="L12" s="61">
        <f t="shared" si="2"/>
        <v>0.20364975317633727</v>
      </c>
      <c r="N12" s="60">
        <v>2023</v>
      </c>
      <c r="O12" s="24">
        <v>144.44999999999999</v>
      </c>
      <c r="P12" s="61">
        <f t="shared" si="3"/>
        <v>0.51399224399958077</v>
      </c>
      <c r="R12" s="60">
        <v>2023</v>
      </c>
      <c r="S12" s="24">
        <v>858.02</v>
      </c>
      <c r="T12" s="61">
        <f t="shared" si="4"/>
        <v>5.1031407712283761E-2</v>
      </c>
    </row>
    <row r="13" spans="2:20" x14ac:dyDescent="0.3">
      <c r="B13" s="60">
        <v>2024</v>
      </c>
      <c r="C13" s="24">
        <v>35494.730000000003</v>
      </c>
      <c r="D13" s="61">
        <f t="shared" si="0"/>
        <v>2.9173126532572313E-2</v>
      </c>
      <c r="F13" s="60">
        <v>2024</v>
      </c>
      <c r="G13" s="24">
        <v>23009.99</v>
      </c>
      <c r="H13" s="61">
        <f t="shared" si="1"/>
        <v>-3.1839085779683307E-2</v>
      </c>
      <c r="J13" s="60">
        <v>2024</v>
      </c>
      <c r="K13" s="24">
        <v>4899.76</v>
      </c>
      <c r="L13" s="61">
        <f t="shared" si="2"/>
        <v>9.809616656021336E-2</v>
      </c>
      <c r="N13" s="60">
        <v>2024</v>
      </c>
      <c r="O13" s="24">
        <v>205.17</v>
      </c>
      <c r="P13" s="61">
        <f t="shared" si="3"/>
        <v>0.42035306334371758</v>
      </c>
      <c r="R13" s="60">
        <v>2024</v>
      </c>
      <c r="S13" s="24">
        <v>853</v>
      </c>
      <c r="T13" s="61">
        <f t="shared" si="4"/>
        <v>-5.8506794713409915E-3</v>
      </c>
    </row>
    <row r="14" spans="2:20" x14ac:dyDescent="0.3">
      <c r="B14" s="60">
        <v>2025</v>
      </c>
      <c r="C14" s="24">
        <v>33905.620000000003</v>
      </c>
      <c r="D14" s="61">
        <f t="shared" si="0"/>
        <v>-4.4770308155605121E-2</v>
      </c>
      <c r="F14" s="60">
        <v>2025</v>
      </c>
      <c r="G14" s="24">
        <v>22741.27</v>
      </c>
      <c r="H14" s="61">
        <f t="shared" si="1"/>
        <v>-1.1678405770710998E-2</v>
      </c>
      <c r="J14" s="60">
        <v>2025</v>
      </c>
      <c r="K14" s="24">
        <v>5158.1400000000003</v>
      </c>
      <c r="L14" s="61">
        <f t="shared" si="2"/>
        <v>5.273319509527008E-2</v>
      </c>
      <c r="N14" s="60">
        <v>2025</v>
      </c>
      <c r="O14" s="24">
        <v>227.02</v>
      </c>
      <c r="P14" s="61">
        <f t="shared" si="3"/>
        <v>0.10649705122581277</v>
      </c>
      <c r="R14" s="60">
        <v>2025</v>
      </c>
      <c r="S14" s="24">
        <v>1026.3399999999999</v>
      </c>
      <c r="T14" s="61">
        <f t="shared" si="4"/>
        <v>0.20321219226260245</v>
      </c>
    </row>
    <row r="15" spans="2:20" x14ac:dyDescent="0.3">
      <c r="B15" s="62">
        <v>2026</v>
      </c>
      <c r="C15" s="32">
        <f>FORECAST(B15,_xlfn.ANCHORARRAY($C$5),$B$5:B14)</f>
        <v>38669.293333332986</v>
      </c>
      <c r="D15" s="63">
        <f t="shared" si="0"/>
        <v>0.14049804526013632</v>
      </c>
      <c r="F15" s="62">
        <v>2026</v>
      </c>
      <c r="G15" s="32">
        <f>FORECAST(F15,$G$5:G14,$F$5:F14)</f>
        <v>26044.215333333705</v>
      </c>
      <c r="H15" s="63">
        <f>G15/G14-1</f>
        <v>0.14524014416669351</v>
      </c>
      <c r="J15" s="62">
        <v>2026</v>
      </c>
      <c r="K15" s="32">
        <f>FORECAST(J15,$K$5:K14,$J$5:J14)</f>
        <v>5297.4966666667024</v>
      </c>
      <c r="L15" s="63">
        <f>K15/K14-1</f>
        <v>2.7016844573179766E-2</v>
      </c>
      <c r="N15" s="62">
        <v>2026</v>
      </c>
      <c r="O15" s="32">
        <f>FORECAST(N15,$O$5:O14,$N$5:N14)</f>
        <v>218.29733333332842</v>
      </c>
      <c r="P15" s="63">
        <f>O15/O14-1</f>
        <v>-3.8422459107882889E-2</v>
      </c>
      <c r="R15" s="62">
        <v>2026</v>
      </c>
      <c r="S15" s="32">
        <f>FORECAST(R15,$S$5:S14,$R$5:R14)</f>
        <v>1120.6966666666558</v>
      </c>
      <c r="T15" s="63">
        <f>S15/S14-1</f>
        <v>9.1935096231907432E-2</v>
      </c>
    </row>
    <row r="16" spans="2:20" x14ac:dyDescent="0.3">
      <c r="B16" s="62">
        <v>2027</v>
      </c>
      <c r="C16" s="32">
        <f>FORECAST(B16,$C$5:C15,$B$5:B15)</f>
        <v>41330.757212120108</v>
      </c>
      <c r="D16" s="63">
        <f t="shared" si="0"/>
        <v>6.8826286941554571E-2</v>
      </c>
      <c r="F16" s="62">
        <v>2027</v>
      </c>
      <c r="G16" s="32">
        <f>FORECAST(F16,$G$5:G15,$F$5:F15)</f>
        <v>27860.470848485362</v>
      </c>
      <c r="H16" s="63">
        <f t="shared" ref="H16:H17" si="5">G16/G15-1</f>
        <v>6.9737386667474421E-2</v>
      </c>
      <c r="J16" s="62">
        <v>2027</v>
      </c>
      <c r="K16" s="32">
        <f>FORECAST(J16,$K$5:K15,$J$5:J15)</f>
        <v>5653.2322424242739</v>
      </c>
      <c r="L16" s="63">
        <f t="shared" si="2"/>
        <v>6.7151637488694904E-2</v>
      </c>
      <c r="N16" s="62">
        <v>2027</v>
      </c>
      <c r="O16" s="32">
        <f>FORECAST(N16,$O$5:O15,$N$5:N15)</f>
        <v>237.90993939393229</v>
      </c>
      <c r="P16" s="63">
        <f t="shared" ref="P16:P17" si="6">O16/O15-1</f>
        <v>8.984354394589178E-2</v>
      </c>
      <c r="R16" s="62">
        <v>2027</v>
      </c>
      <c r="S16" s="32">
        <f>FORECAST(R16,$S$5:S15,$R$5:R15)</f>
        <v>1202.3056969697063</v>
      </c>
      <c r="T16" s="63">
        <f t="shared" ref="T16:T17" si="7">S16/S15-1</f>
        <v>7.2819909909953129E-2</v>
      </c>
    </row>
    <row r="17" spans="2:20" x14ac:dyDescent="0.3">
      <c r="B17" s="62">
        <v>2028</v>
      </c>
      <c r="C17" s="32">
        <f>FORECAST(B17,$C$5:C16,$B$5:B16)</f>
        <v>43992.221090909094</v>
      </c>
      <c r="D17" s="63">
        <f t="shared" si="0"/>
        <v>6.4394268537826926E-2</v>
      </c>
      <c r="F17" s="62">
        <v>2028</v>
      </c>
      <c r="G17" s="32">
        <f>FORECAST(F17,$G$5:G16,$F$5:F16)</f>
        <v>29676.726363637019</v>
      </c>
      <c r="H17" s="63">
        <f t="shared" si="5"/>
        <v>6.5191127782048941E-2</v>
      </c>
      <c r="J17" s="62">
        <v>2028</v>
      </c>
      <c r="K17" s="32">
        <f>FORECAST(J17,$K$5:K16,$J$5:J16)</f>
        <v>6008.9678181818454</v>
      </c>
      <c r="L17" s="63">
        <f t="shared" si="2"/>
        <v>6.292605017851205E-2</v>
      </c>
      <c r="N17" s="62">
        <v>2028</v>
      </c>
      <c r="O17" s="32">
        <f>FORECAST(N17,$O$5:O16,$N$5:N16)</f>
        <v>257.52254545453616</v>
      </c>
      <c r="P17" s="63">
        <f t="shared" si="6"/>
        <v>8.2437102504276716E-2</v>
      </c>
      <c r="R17" s="62">
        <v>2028</v>
      </c>
      <c r="S17" s="32">
        <f>FORECAST(R17,$S$5:S16,$R$5:R16)</f>
        <v>1283.9147272727278</v>
      </c>
      <c r="T17" s="63">
        <f t="shared" si="7"/>
        <v>6.7877105222664325E-2</v>
      </c>
    </row>
    <row r="18" spans="2:20" x14ac:dyDescent="0.3">
      <c r="B18" s="62">
        <v>2029</v>
      </c>
      <c r="C18" s="32">
        <f>FORECAST(B18,$C$5:C17,$B$5:B17)</f>
        <v>46653.684969696216</v>
      </c>
      <c r="D18" s="63">
        <f t="shared" si="0"/>
        <v>6.0498511163763702E-2</v>
      </c>
      <c r="F18" s="62">
        <v>2029</v>
      </c>
      <c r="G18" s="32">
        <f>FORECAST(F18,$G$5:G17,$F$5:F17)</f>
        <v>31492.981878788676</v>
      </c>
      <c r="H18" s="63">
        <f>G18/G17-1</f>
        <v>6.120134319724424E-2</v>
      </c>
      <c r="J18" s="62">
        <v>2029</v>
      </c>
      <c r="K18" s="32">
        <f>FORECAST(J18,$K$5:K17,$J$5:J17)</f>
        <v>6364.7033939395333</v>
      </c>
      <c r="L18" s="63">
        <f>K18/K17-1</f>
        <v>5.9200778989248137E-2</v>
      </c>
      <c r="N18" s="62">
        <v>2029</v>
      </c>
      <c r="O18" s="32">
        <f>FORECAST(N18,$O$5:O17,$N$5:N17)</f>
        <v>277.1351515151473</v>
      </c>
      <c r="P18" s="63">
        <f>O18/O17-1</f>
        <v>7.6158792334062309E-2</v>
      </c>
      <c r="R18" s="62">
        <v>2029</v>
      </c>
      <c r="S18" s="32">
        <f>FORECAST(R18,$S$5:S17,$R$5:R17)</f>
        <v>1365.5237575757492</v>
      </c>
      <c r="T18" s="63">
        <f>S18/S17-1</f>
        <v>6.3562656124658723E-2</v>
      </c>
    </row>
    <row r="19" spans="2:20" x14ac:dyDescent="0.3">
      <c r="B19" s="62">
        <v>2030</v>
      </c>
      <c r="C19" s="32">
        <f>FORECAST(B19,$C$5:C18,$B$5:B18)</f>
        <v>49315.14884848427</v>
      </c>
      <c r="D19" s="63">
        <f>C19/C18-1</f>
        <v>5.7047238187440064E-2</v>
      </c>
      <c r="F19" s="62">
        <v>2030</v>
      </c>
      <c r="G19" s="32">
        <f>FORECAST(F19,$G$5:G18,$F$5:F18)</f>
        <v>33309.237393939868</v>
      </c>
      <c r="H19" s="63">
        <f>G19/G18-1</f>
        <v>5.7671754365517414E-2</v>
      </c>
      <c r="J19" s="62">
        <v>2030</v>
      </c>
      <c r="K19" s="32">
        <f>FORECAST(J19,$K$5:K18,$J$5:J18)</f>
        <v>6720.4389696969884</v>
      </c>
      <c r="L19" s="63">
        <f>K19/K18-1</f>
        <v>5.5891933015478124E-2</v>
      </c>
      <c r="N19" s="62">
        <v>2030</v>
      </c>
      <c r="O19" s="32">
        <f>FORECAST(N19,$O$5:O18,$N$5:N18)</f>
        <v>296.74775757575117</v>
      </c>
      <c r="P19" s="63">
        <f>O19/O18-1</f>
        <v>7.0769102921005356E-2</v>
      </c>
      <c r="R19" s="62">
        <v>2030</v>
      </c>
      <c r="S19" s="32">
        <f>FORECAST(R19,$S$5:S18,$R$5:R18)</f>
        <v>1447.1327878787997</v>
      </c>
      <c r="T19" s="63">
        <f>S19/S18-1</f>
        <v>5.9763903667215068E-2</v>
      </c>
    </row>
    <row r="21" spans="2:20" x14ac:dyDescent="0.3">
      <c r="B21" s="80" t="s">
        <v>177</v>
      </c>
      <c r="C21" s="81">
        <f>AVERAGE(D15:D19)</f>
        <v>7.8252870018144322E-2</v>
      </c>
      <c r="F21" s="80" t="s">
        <v>177</v>
      </c>
      <c r="G21" s="81">
        <f>AVERAGE(H15:H19)</f>
        <v>7.9808351235795702E-2</v>
      </c>
      <c r="J21" s="80" t="s">
        <v>177</v>
      </c>
      <c r="K21" s="81">
        <f>AVERAGE(L15:L19)</f>
        <v>5.4437448849022595E-2</v>
      </c>
      <c r="N21" s="80" t="s">
        <v>177</v>
      </c>
      <c r="O21" s="81">
        <f>AVERAGE(P15:P19)</f>
        <v>5.6157216519470657E-2</v>
      </c>
      <c r="R21" s="80" t="s">
        <v>177</v>
      </c>
      <c r="S21" s="81">
        <f>AVERAGE(T15:T19)</f>
        <v>7.1191734231279738E-2</v>
      </c>
    </row>
    <row r="22" spans="2:20" x14ac:dyDescent="0.3">
      <c r="B22" s="80" t="s">
        <v>178</v>
      </c>
      <c r="C22" s="81">
        <f>MEDIAN(D15:D19)</f>
        <v>6.4394268537826926E-2</v>
      </c>
      <c r="F22" s="80" t="s">
        <v>178</v>
      </c>
      <c r="G22" s="81">
        <f>MEDIAN(H15:H19)</f>
        <v>6.5191127782048941E-2</v>
      </c>
      <c r="J22" s="80" t="s">
        <v>178</v>
      </c>
      <c r="K22" s="81">
        <f>MEDIAN(L15:L19)</f>
        <v>5.9200778989248137E-2</v>
      </c>
      <c r="N22" s="80" t="s">
        <v>178</v>
      </c>
      <c r="O22" s="81">
        <f>MEDIAN(P15:P19)</f>
        <v>7.6158792334062309E-2</v>
      </c>
      <c r="R22" s="80" t="s">
        <v>178</v>
      </c>
      <c r="S22" s="81">
        <f>MEDIAN(T15:T19)</f>
        <v>6.7877105222664325E-2</v>
      </c>
    </row>
  </sheetData>
  <mergeCells count="5">
    <mergeCell ref="B2:D2"/>
    <mergeCell ref="J2:L2"/>
    <mergeCell ref="F2:H2"/>
    <mergeCell ref="N2:P2"/>
    <mergeCell ref="R2:T2"/>
  </mergeCells>
  <pageMargins left="0.7" right="0.7" top="0.75" bottom="0.75" header="0.3" footer="0.3"/>
  <pageSetup scale="4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A65B-151A-4966-A20D-8B895760571D}">
  <dimension ref="B2:M29"/>
  <sheetViews>
    <sheetView showGridLines="0" zoomScale="90" zoomScaleNormal="90" workbookViewId="0">
      <selection activeCell="M27" sqref="M27"/>
    </sheetView>
  </sheetViews>
  <sheetFormatPr defaultRowHeight="14.4" x14ac:dyDescent="0.3"/>
  <cols>
    <col min="1" max="1" width="1.88671875" customWidth="1"/>
    <col min="2" max="2" width="28.88671875" bestFit="1" customWidth="1"/>
    <col min="3" max="10" width="11.33203125" bestFit="1" customWidth="1"/>
    <col min="13" max="13" width="11.33203125" bestFit="1" customWidth="1"/>
  </cols>
  <sheetData>
    <row r="2" spans="2:13" ht="15.6" x14ac:dyDescent="0.3">
      <c r="B2" s="128" t="s">
        <v>60</v>
      </c>
      <c r="C2" s="128"/>
      <c r="D2" s="128"/>
      <c r="E2" s="128"/>
      <c r="F2" s="128"/>
      <c r="G2" s="128"/>
      <c r="H2" s="128"/>
      <c r="I2" s="128"/>
      <c r="J2" s="128"/>
    </row>
    <row r="3" spans="2:13" x14ac:dyDescent="0.3">
      <c r="B3" s="16" t="s">
        <v>115</v>
      </c>
      <c r="C3" s="113">
        <f>FCF!C8</f>
        <v>45016</v>
      </c>
      <c r="D3" s="113">
        <f>FCF!D8</f>
        <v>45382</v>
      </c>
      <c r="E3" s="113">
        <f>FCF!E8</f>
        <v>45747</v>
      </c>
      <c r="F3" s="114">
        <f>FCF!F8</f>
        <v>46112</v>
      </c>
      <c r="G3" s="114">
        <f>FCF!G8</f>
        <v>46477</v>
      </c>
      <c r="H3" s="114">
        <f>FCF!H8</f>
        <v>46842</v>
      </c>
      <c r="I3" s="114">
        <f>FCF!I8</f>
        <v>47207</v>
      </c>
      <c r="J3" s="114">
        <f>FCF!J8</f>
        <v>47572</v>
      </c>
    </row>
    <row r="5" spans="2:13" x14ac:dyDescent="0.3">
      <c r="B5" s="9" t="str">
        <f>'Raw Bs'!B35</f>
        <v>Trade receivables</v>
      </c>
      <c r="C5" s="102">
        <f>'Raw Bs'!L35</f>
        <v>4637</v>
      </c>
      <c r="D5" s="102">
        <f>'Raw Bs'!M35</f>
        <v>4889</v>
      </c>
      <c r="E5" s="102">
        <f>'Raw Bs'!N35</f>
        <v>4314</v>
      </c>
      <c r="F5" s="89">
        <f>F21*F23/360</f>
        <v>4867.4985234367432</v>
      </c>
      <c r="G5" s="89">
        <f t="shared" ref="G5:J5" si="0">G21*G23/360</f>
        <v>5248.3942527047484</v>
      </c>
      <c r="H5" s="89">
        <f t="shared" si="0"/>
        <v>5659.0961659656286</v>
      </c>
      <c r="I5" s="89">
        <f t="shared" si="0"/>
        <v>6101.9366826611167</v>
      </c>
      <c r="J5" s="89">
        <f t="shared" si="0"/>
        <v>6579.4307407483448</v>
      </c>
    </row>
    <row r="6" spans="2:13" x14ac:dyDescent="0.3">
      <c r="B6" s="11" t="str">
        <f>'Raw Bs'!B34</f>
        <v>Inventories</v>
      </c>
      <c r="C6" s="102">
        <f>'Raw Bs'!L34</f>
        <v>6211</v>
      </c>
      <c r="D6" s="102">
        <f>'Raw Bs'!M34</f>
        <v>5923</v>
      </c>
      <c r="E6" s="102">
        <f>'Raw Bs'!N34</f>
        <v>6719</v>
      </c>
      <c r="F6" s="39">
        <f>F22*F24/360</f>
        <v>6664.5235483529914</v>
      </c>
      <c r="G6" s="39">
        <f t="shared" ref="G6:J6" si="1">G22*G24/360</f>
        <v>7196.4081845191777</v>
      </c>
      <c r="H6" s="39">
        <f t="shared" si="1"/>
        <v>7770.7416565454387</v>
      </c>
      <c r="I6" s="39">
        <f t="shared" si="1"/>
        <v>8390.911736033644</v>
      </c>
      <c r="J6" s="39">
        <f t="shared" si="1"/>
        <v>9060.5765670515793</v>
      </c>
    </row>
    <row r="7" spans="2:13" x14ac:dyDescent="0.3">
      <c r="B7" s="9" t="str">
        <f>'Raw Bs'!B37</f>
        <v>Loans n Advances</v>
      </c>
      <c r="C7" s="102">
        <f>'Raw Bs'!L37</f>
        <v>12</v>
      </c>
      <c r="D7" s="102">
        <f>'Raw Bs'!M37</f>
        <v>17</v>
      </c>
      <c r="E7" s="102">
        <f>'Raw Bs'!N37</f>
        <v>22</v>
      </c>
      <c r="F7" s="89">
        <f>F21*$F26</f>
        <v>17.983843744522158</v>
      </c>
      <c r="G7" s="89">
        <f t="shared" ref="G7:J7" si="2">G21*$F26</f>
        <v>19.391131131488869</v>
      </c>
      <c r="H7" s="89">
        <f t="shared" si="2"/>
        <v>20.908542795426058</v>
      </c>
      <c r="I7" s="89">
        <f t="shared" si="2"/>
        <v>22.544696277065345</v>
      </c>
      <c r="J7" s="89">
        <f t="shared" si="2"/>
        <v>24.308883464433087</v>
      </c>
    </row>
    <row r="8" spans="2:13" x14ac:dyDescent="0.3">
      <c r="B8" s="9" t="str">
        <f>'Raw Bs'!B38</f>
        <v>Other asset items</v>
      </c>
      <c r="C8" s="102">
        <f>'Raw Bs'!L38</f>
        <v>3024</v>
      </c>
      <c r="D8" s="102">
        <f>'Raw Bs'!M38</f>
        <v>3555</v>
      </c>
      <c r="E8" s="102">
        <f>'Raw Bs'!N38</f>
        <v>3319</v>
      </c>
      <c r="F8" s="89">
        <f>F21*$F27</f>
        <v>3481.9394765973234</v>
      </c>
      <c r="G8" s="89">
        <f>G21*$F27</f>
        <v>3754.4112338705395</v>
      </c>
      <c r="H8" s="89">
        <f>H21*$F27</f>
        <v>4048.2046881492715</v>
      </c>
      <c r="I8" s="89">
        <f>I21*$F27</f>
        <v>4364.9883234178596</v>
      </c>
      <c r="J8" s="89">
        <f>J21*$F27</f>
        <v>4706.5611873209955</v>
      </c>
    </row>
    <row r="9" spans="2:13" x14ac:dyDescent="0.3">
      <c r="B9" s="57" t="s">
        <v>26</v>
      </c>
      <c r="C9" s="103">
        <f>SUM(C5:C8)</f>
        <v>13884</v>
      </c>
      <c r="D9" s="103">
        <f t="shared" ref="D9:J9" si="3">SUM(D5:D8)</f>
        <v>14384</v>
      </c>
      <c r="E9" s="103">
        <f t="shared" si="3"/>
        <v>14374</v>
      </c>
      <c r="F9" s="112">
        <f t="shared" si="3"/>
        <v>15031.94539213158</v>
      </c>
      <c r="G9" s="112">
        <f t="shared" si="3"/>
        <v>16218.604802225957</v>
      </c>
      <c r="H9" s="112">
        <f t="shared" si="3"/>
        <v>17498.951053455767</v>
      </c>
      <c r="I9" s="112">
        <f t="shared" si="3"/>
        <v>18880.381438389686</v>
      </c>
      <c r="J9" s="112">
        <f t="shared" si="3"/>
        <v>20370.877378585352</v>
      </c>
    </row>
    <row r="10" spans="2:13" x14ac:dyDescent="0.3">
      <c r="B10" s="9"/>
      <c r="C10" s="39"/>
      <c r="D10" s="39"/>
      <c r="E10" s="39"/>
      <c r="F10" s="39"/>
      <c r="G10" s="39"/>
      <c r="H10" s="39"/>
      <c r="I10" s="39"/>
      <c r="J10" s="39"/>
    </row>
    <row r="11" spans="2:13" x14ac:dyDescent="0.3">
      <c r="B11" s="9" t="s">
        <v>3</v>
      </c>
      <c r="C11" s="104">
        <f>'Raw Bs'!L13</f>
        <v>3635</v>
      </c>
      <c r="D11" s="104">
        <f>'Raw Bs'!M13</f>
        <v>3831</v>
      </c>
      <c r="E11" s="104">
        <f>'Raw Bs'!N13</f>
        <v>3848</v>
      </c>
      <c r="F11" s="39">
        <f>F25*F22/360</f>
        <v>3999.7633026746262</v>
      </c>
      <c r="G11" s="39">
        <f>G25*G22/360</f>
        <v>4318.9778171945291</v>
      </c>
      <c r="H11" s="39">
        <f>H25*H22/360</f>
        <v>4663.6683158087999</v>
      </c>
      <c r="I11" s="39">
        <f>I25*I22/360</f>
        <v>5035.8679948041199</v>
      </c>
      <c r="J11" s="39">
        <f>J25*J22/360</f>
        <v>5437.772316510549</v>
      </c>
    </row>
    <row r="12" spans="2:13" x14ac:dyDescent="0.3">
      <c r="B12" s="9" t="s">
        <v>28</v>
      </c>
      <c r="C12" s="104">
        <f>'Raw Bs'!L15</f>
        <v>3657</v>
      </c>
      <c r="D12" s="104">
        <f>'Raw Bs'!M15</f>
        <v>4017</v>
      </c>
      <c r="E12" s="104">
        <f>'Raw Bs'!N15</f>
        <v>3985</v>
      </c>
      <c r="F12" s="39">
        <f>F$21*F28</f>
        <v>4103.594073246064</v>
      </c>
      <c r="G12" s="39">
        <f>G$21*G28</f>
        <v>4424.7120868670154</v>
      </c>
      <c r="H12" s="39">
        <f>H$21*H28</f>
        <v>4770.9585066683321</v>
      </c>
      <c r="I12" s="39">
        <f>I$21*I28</f>
        <v>5144.2997025526101</v>
      </c>
      <c r="J12" s="39">
        <f>J$21*J28</f>
        <v>5546.8559185108379</v>
      </c>
      <c r="M12" s="9"/>
    </row>
    <row r="13" spans="2:13" x14ac:dyDescent="0.3">
      <c r="B13" s="57" t="s">
        <v>27</v>
      </c>
      <c r="C13" s="105">
        <f t="shared" ref="C13:J13" si="4">SUM(C11:C12)</f>
        <v>7292</v>
      </c>
      <c r="D13" s="105">
        <f t="shared" si="4"/>
        <v>7848</v>
      </c>
      <c r="E13" s="105">
        <f t="shared" si="4"/>
        <v>7833</v>
      </c>
      <c r="F13" s="106">
        <f t="shared" si="4"/>
        <v>8103.3573759206902</v>
      </c>
      <c r="G13" s="106">
        <f t="shared" si="4"/>
        <v>8743.6899040615444</v>
      </c>
      <c r="H13" s="106">
        <f t="shared" si="4"/>
        <v>9434.626822477132</v>
      </c>
      <c r="I13" s="106">
        <f t="shared" si="4"/>
        <v>10180.16769735673</v>
      </c>
      <c r="J13" s="106">
        <f t="shared" si="4"/>
        <v>10984.628235021388</v>
      </c>
      <c r="M13" s="9"/>
    </row>
    <row r="14" spans="2:13" ht="6" customHeight="1" x14ac:dyDescent="0.3">
      <c r="C14" s="104"/>
      <c r="D14" s="104"/>
      <c r="E14" s="104"/>
      <c r="F14" s="39"/>
      <c r="G14" s="39"/>
      <c r="H14" s="39"/>
      <c r="I14" s="39"/>
      <c r="J14" s="39"/>
    </row>
    <row r="15" spans="2:13" x14ac:dyDescent="0.3">
      <c r="B15" s="56" t="s">
        <v>4</v>
      </c>
      <c r="C15" s="107">
        <f>C9-C13</f>
        <v>6592</v>
      </c>
      <c r="D15" s="107">
        <f t="shared" ref="D15:E15" si="5">D9-D13</f>
        <v>6536</v>
      </c>
      <c r="E15" s="107">
        <f t="shared" si="5"/>
        <v>6541</v>
      </c>
      <c r="F15" s="108">
        <f>F9-F13</f>
        <v>6928.5880162108897</v>
      </c>
      <c r="G15" s="108">
        <f>G9-G13</f>
        <v>7474.9148981644121</v>
      </c>
      <c r="H15" s="108">
        <f>H9-H13</f>
        <v>8064.3242309786347</v>
      </c>
      <c r="I15" s="108">
        <f>I9-I13</f>
        <v>8700.213741032956</v>
      </c>
      <c r="J15" s="108">
        <f>J9-J13</f>
        <v>9386.249143563964</v>
      </c>
    </row>
    <row r="16" spans="2:13" x14ac:dyDescent="0.3">
      <c r="C16" s="39"/>
      <c r="D16" s="39"/>
      <c r="E16" s="39"/>
      <c r="F16" s="39"/>
      <c r="G16" s="39"/>
      <c r="H16" s="39"/>
      <c r="I16" s="39"/>
      <c r="J16" s="39"/>
    </row>
    <row r="17" spans="2:10" ht="15" thickBot="1" x14ac:dyDescent="0.35">
      <c r="B17" s="45" t="s">
        <v>2</v>
      </c>
      <c r="C17" s="109">
        <v>0</v>
      </c>
      <c r="D17" s="93">
        <f t="shared" ref="D17:J17" si="6">D15-C15</f>
        <v>-56</v>
      </c>
      <c r="E17" s="93">
        <f t="shared" si="6"/>
        <v>5</v>
      </c>
      <c r="F17" s="93">
        <f t="shared" si="6"/>
        <v>387.58801621088969</v>
      </c>
      <c r="G17" s="93">
        <f t="shared" si="6"/>
        <v>546.32688195352239</v>
      </c>
      <c r="H17" s="93">
        <f t="shared" si="6"/>
        <v>589.40933281422258</v>
      </c>
      <c r="I17" s="93">
        <f t="shared" si="6"/>
        <v>635.88951005432136</v>
      </c>
      <c r="J17" s="93">
        <f t="shared" si="6"/>
        <v>686.035402531008</v>
      </c>
    </row>
    <row r="19" spans="2:10" ht="15.6" x14ac:dyDescent="0.3">
      <c r="B19" s="128" t="s">
        <v>22</v>
      </c>
      <c r="C19" s="128"/>
      <c r="D19" s="128"/>
      <c r="E19" s="128"/>
      <c r="F19" s="128"/>
      <c r="G19" s="128"/>
      <c r="H19" s="128"/>
      <c r="I19" s="128"/>
      <c r="J19" s="128"/>
    </row>
    <row r="20" spans="2:10" x14ac:dyDescent="0.3">
      <c r="B20" s="16" t="str">
        <f t="shared" ref="B20:J20" si="7">B3</f>
        <v>Years</v>
      </c>
      <c r="C20" s="113">
        <f t="shared" si="7"/>
        <v>45016</v>
      </c>
      <c r="D20" s="113">
        <f t="shared" si="7"/>
        <v>45382</v>
      </c>
      <c r="E20" s="113">
        <f t="shared" si="7"/>
        <v>45747</v>
      </c>
      <c r="F20" s="114">
        <f t="shared" si="7"/>
        <v>46112</v>
      </c>
      <c r="G20" s="114">
        <f t="shared" si="7"/>
        <v>46477</v>
      </c>
      <c r="H20" s="114">
        <f t="shared" si="7"/>
        <v>46842</v>
      </c>
      <c r="I20" s="114">
        <f t="shared" si="7"/>
        <v>47207</v>
      </c>
      <c r="J20" s="114">
        <f t="shared" si="7"/>
        <v>47572</v>
      </c>
    </row>
    <row r="21" spans="2:10" x14ac:dyDescent="0.3">
      <c r="B21" s="98" t="s">
        <v>0</v>
      </c>
      <c r="C21" s="110">
        <f>FCF!C10</f>
        <v>34488.589999999997</v>
      </c>
      <c r="D21" s="110">
        <f>FCF!D10</f>
        <v>35494.730000000003</v>
      </c>
      <c r="E21" s="110">
        <f>FCF!E10</f>
        <v>33905.620000000003</v>
      </c>
      <c r="F21" s="110">
        <f>FCF!F10</f>
        <v>36558.832074744598</v>
      </c>
      <c r="G21" s="110">
        <f>FCF!G10</f>
        <v>39419.665609104755</v>
      </c>
      <c r="H21" s="110">
        <f>FCF!H10</f>
        <v>42504.367578172743</v>
      </c>
      <c r="I21" s="110">
        <f>FCF!I10</f>
        <v>45830.45632947093</v>
      </c>
      <c r="J21" s="110">
        <f>FCF!J10</f>
        <v>49416.821071493265</v>
      </c>
    </row>
    <row r="22" spans="2:10" x14ac:dyDescent="0.3">
      <c r="B22" s="98" t="s">
        <v>8</v>
      </c>
      <c r="C22" s="110">
        <f>FCF!C11</f>
        <v>23766.7</v>
      </c>
      <c r="D22" s="110">
        <f>FCF!D11</f>
        <v>23009.99</v>
      </c>
      <c r="E22" s="110">
        <f>FCF!E11</f>
        <v>22741.27</v>
      </c>
      <c r="F22" s="110">
        <f>FCF!F11</f>
        <v>24556.213263708065</v>
      </c>
      <c r="G22" s="110">
        <f>FCF!G11</f>
        <v>26516.004156879182</v>
      </c>
      <c r="H22" s="110">
        <f>FCF!H11</f>
        <v>28632.202730001212</v>
      </c>
      <c r="I22" s="110">
        <f>FCF!I11</f>
        <v>30917.291622131655</v>
      </c>
      <c r="J22" s="110">
        <f>FCF!J11</f>
        <v>33384.749691170262</v>
      </c>
    </row>
    <row r="23" spans="2:10" x14ac:dyDescent="0.3">
      <c r="B23" s="98" t="s">
        <v>24</v>
      </c>
      <c r="C23" s="99">
        <f>C5/C21*360</f>
        <v>48.402094721761607</v>
      </c>
      <c r="D23" s="99">
        <f t="shared" ref="D23:E24" si="8">D5/D21*360</f>
        <v>49.585952618881727</v>
      </c>
      <c r="E23" s="99">
        <f t="shared" si="8"/>
        <v>45.804795783117953</v>
      </c>
      <c r="F23" s="100">
        <f>AVERAGE(C23:E23)</f>
        <v>47.930947707920431</v>
      </c>
      <c r="G23" s="100">
        <f>F23</f>
        <v>47.930947707920431</v>
      </c>
      <c r="H23" s="100">
        <f t="shared" ref="H23:J23" si="9">G23</f>
        <v>47.930947707920431</v>
      </c>
      <c r="I23" s="100">
        <f t="shared" si="9"/>
        <v>47.930947707920431</v>
      </c>
      <c r="J23" s="100">
        <f t="shared" si="9"/>
        <v>47.930947707920431</v>
      </c>
    </row>
    <row r="24" spans="2:10" x14ac:dyDescent="0.3">
      <c r="B24" s="98" t="s">
        <v>23</v>
      </c>
      <c r="C24" s="99">
        <f>C6/C22*360</f>
        <v>94.079531445257444</v>
      </c>
      <c r="D24" s="99">
        <f t="shared" si="8"/>
        <v>92.667576126717123</v>
      </c>
      <c r="E24" s="99">
        <f t="shared" si="8"/>
        <v>106.36345287664233</v>
      </c>
      <c r="F24" s="100">
        <f t="shared" ref="F24:F25" si="10">AVERAGE(C24:E24)</f>
        <v>97.70352014953896</v>
      </c>
      <c r="G24" s="100">
        <f t="shared" ref="G24:J24" si="11">F24</f>
        <v>97.70352014953896</v>
      </c>
      <c r="H24" s="100">
        <f t="shared" si="11"/>
        <v>97.70352014953896</v>
      </c>
      <c r="I24" s="100">
        <f t="shared" si="11"/>
        <v>97.70352014953896</v>
      </c>
      <c r="J24" s="100">
        <f t="shared" si="11"/>
        <v>97.70352014953896</v>
      </c>
    </row>
    <row r="25" spans="2:10" x14ac:dyDescent="0.3">
      <c r="B25" s="98" t="s">
        <v>25</v>
      </c>
      <c r="C25" s="99">
        <f>C11/C22*360</f>
        <v>55.060231332073862</v>
      </c>
      <c r="D25" s="99">
        <f t="shared" ref="D25:E25" si="12">D11/D22*360</f>
        <v>59.937444562122799</v>
      </c>
      <c r="E25" s="99">
        <f t="shared" si="12"/>
        <v>60.914803790641415</v>
      </c>
      <c r="F25" s="100">
        <f t="shared" si="10"/>
        <v>58.637493228279361</v>
      </c>
      <c r="G25" s="100">
        <f t="shared" ref="G25:J25" si="13">F25</f>
        <v>58.637493228279361</v>
      </c>
      <c r="H25" s="100">
        <f t="shared" si="13"/>
        <v>58.637493228279361</v>
      </c>
      <c r="I25" s="100">
        <f t="shared" si="13"/>
        <v>58.637493228279361</v>
      </c>
      <c r="J25" s="100">
        <f t="shared" si="13"/>
        <v>58.637493228279361</v>
      </c>
    </row>
    <row r="26" spans="2:10" x14ac:dyDescent="0.3">
      <c r="B26" s="98" t="s">
        <v>264</v>
      </c>
      <c r="C26" s="101">
        <f>C7/C21</f>
        <v>3.4794115967048814E-4</v>
      </c>
      <c r="D26" s="101">
        <f t="shared" ref="D26" si="14">D7/D21</f>
        <v>4.7894433906103801E-4</v>
      </c>
      <c r="E26" s="101">
        <f>E7/E21</f>
        <v>6.4885998250437528E-4</v>
      </c>
      <c r="F26" s="101">
        <f>AVERAGE($C$26:E26)</f>
        <v>4.9191516041196713E-4</v>
      </c>
      <c r="G26" s="101">
        <f>AVERAGE($C$26:F26)</f>
        <v>4.9191516041196713E-4</v>
      </c>
      <c r="H26" s="101">
        <f>AVERAGE($C$26:G26)</f>
        <v>4.9191516041196713E-4</v>
      </c>
      <c r="I26" s="101">
        <f>AVERAGE($C$26:H26)</f>
        <v>4.9191516041196713E-4</v>
      </c>
      <c r="J26" s="101">
        <f>AVERAGE($C$26:I26)</f>
        <v>4.9191516041196713E-4</v>
      </c>
    </row>
    <row r="27" spans="2:10" x14ac:dyDescent="0.3">
      <c r="B27" s="98" t="s">
        <v>262</v>
      </c>
      <c r="C27" s="101">
        <f>C8/C21</f>
        <v>8.768117223696302E-2</v>
      </c>
      <c r="D27" s="101">
        <f>D8/D21</f>
        <v>0.10015571325658766</v>
      </c>
      <c r="E27" s="101">
        <f>E8/E21</f>
        <v>9.788937645145554E-2</v>
      </c>
      <c r="F27" s="101">
        <f>AVERAGE($C$27:E27)</f>
        <v>9.5242087315002069E-2</v>
      </c>
      <c r="G27" s="101">
        <f>AVERAGE($C$27:F27)</f>
        <v>9.5242087315002069E-2</v>
      </c>
      <c r="H27" s="101">
        <f>AVERAGE($C$27:G27)</f>
        <v>9.5242087315002069E-2</v>
      </c>
      <c r="I27" s="101">
        <f>AVERAGE($C$27:H27)</f>
        <v>9.5242087315002069E-2</v>
      </c>
      <c r="J27" s="101">
        <f>AVERAGE($C$27:I27)</f>
        <v>9.5242087315002069E-2</v>
      </c>
    </row>
    <row r="28" spans="2:10" x14ac:dyDescent="0.3">
      <c r="B28" s="98" t="s">
        <v>263</v>
      </c>
      <c r="C28" s="101">
        <f>C12/C$21</f>
        <v>0.10603506840958127</v>
      </c>
      <c r="D28" s="101">
        <f>D12/D$21</f>
        <v>0.11317173000048175</v>
      </c>
      <c r="E28" s="101">
        <f>E12/E$21</f>
        <v>0.11753213773999707</v>
      </c>
      <c r="F28" s="101">
        <f>AVERAGE($C$28:E28)</f>
        <v>0.11224631205002004</v>
      </c>
      <c r="G28" s="101">
        <f>AVERAGE($C$28:F28)</f>
        <v>0.11224631205002004</v>
      </c>
      <c r="H28" s="101">
        <f>AVERAGE($C$28:G28)</f>
        <v>0.11224631205002004</v>
      </c>
      <c r="I28" s="101">
        <f>AVERAGE($C$28:H28)</f>
        <v>0.11224631205002004</v>
      </c>
      <c r="J28" s="101">
        <f>AVERAGE($C$28:I28)</f>
        <v>0.11224631205002003</v>
      </c>
    </row>
    <row r="29" spans="2:10" x14ac:dyDescent="0.3">
      <c r="C29" s="7"/>
      <c r="D29" s="7"/>
      <c r="E29" s="7"/>
      <c r="F29" s="7"/>
      <c r="G29" s="7"/>
      <c r="H29" s="7"/>
      <c r="I29" s="7"/>
      <c r="J29" s="7"/>
    </row>
  </sheetData>
  <mergeCells count="2">
    <mergeCell ref="B2:J2"/>
    <mergeCell ref="B19:J19"/>
  </mergeCells>
  <phoneticPr fontId="1" type="noConversion"/>
  <pageMargins left="0.7" right="0.7" top="0.75" bottom="0.75" header="0.3" footer="0.3"/>
  <ignoredErrors>
    <ignoredError sqref="F26 G26:J2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2FAE-610C-4F91-88A7-1E87C7CEEDF8}">
  <dimension ref="B3:J14"/>
  <sheetViews>
    <sheetView showGridLines="0" zoomScaleNormal="100" workbookViewId="0">
      <selection activeCell="L13" sqref="L13"/>
    </sheetView>
  </sheetViews>
  <sheetFormatPr defaultRowHeight="14.4" x14ac:dyDescent="0.3"/>
  <cols>
    <col min="1" max="1" width="1.88671875" customWidth="1"/>
    <col min="2" max="2" width="30.33203125" bestFit="1" customWidth="1"/>
    <col min="3" max="10" width="11.33203125" bestFit="1" customWidth="1"/>
  </cols>
  <sheetData>
    <row r="3" spans="2:10" ht="15.6" x14ac:dyDescent="0.3">
      <c r="B3" s="128" t="s">
        <v>61</v>
      </c>
      <c r="C3" s="128"/>
      <c r="D3" s="128"/>
      <c r="E3" s="128"/>
      <c r="F3" s="128"/>
      <c r="G3" s="128"/>
      <c r="H3" s="128"/>
      <c r="I3" s="128"/>
      <c r="J3" s="128"/>
    </row>
    <row r="4" spans="2:10" x14ac:dyDescent="0.3">
      <c r="B4" s="16" t="s">
        <v>115</v>
      </c>
      <c r="C4" s="113">
        <f>'Data Sheet'!I16</f>
        <v>45016</v>
      </c>
      <c r="D4" s="113">
        <f>'Data Sheet'!J16</f>
        <v>45382</v>
      </c>
      <c r="E4" s="113">
        <f>'Data Sheet'!K16</f>
        <v>45747</v>
      </c>
      <c r="F4" s="114">
        <f>E4+365</f>
        <v>46112</v>
      </c>
      <c r="G4" s="114">
        <f t="shared" ref="G4:J4" si="0">F4+365</f>
        <v>46477</v>
      </c>
      <c r="H4" s="114">
        <f t="shared" si="0"/>
        <v>46842</v>
      </c>
      <c r="I4" s="114">
        <f t="shared" si="0"/>
        <v>47207</v>
      </c>
      <c r="J4" s="114">
        <f t="shared" si="0"/>
        <v>47572</v>
      </c>
    </row>
    <row r="5" spans="2:10" x14ac:dyDescent="0.3">
      <c r="B5" t="s">
        <v>15</v>
      </c>
      <c r="C5" s="39">
        <f>IFERROR('Raw Bs'!L27,0)</f>
        <v>9676</v>
      </c>
      <c r="D5" s="39">
        <f>IFERROR('Raw Bs'!M27,0)</f>
        <v>11622</v>
      </c>
      <c r="E5" s="39">
        <f>IFERROR('Raw Bs'!N27,0)</f>
        <v>14484</v>
      </c>
      <c r="F5" s="39">
        <f>E8</f>
        <v>15277.66</v>
      </c>
      <c r="G5" s="39">
        <f t="shared" ref="G5:J5" si="1">F8</f>
        <v>16570.226520625947</v>
      </c>
      <c r="H5" s="39">
        <f t="shared" si="1"/>
        <v>17972.150639879113</v>
      </c>
      <c r="I5" s="39">
        <f t="shared" si="1"/>
        <v>19492.684558080851</v>
      </c>
      <c r="J5" s="39">
        <f t="shared" si="1"/>
        <v>21141.86325801905</v>
      </c>
    </row>
    <row r="6" spans="2:10" x14ac:dyDescent="0.3">
      <c r="B6" t="s">
        <v>16</v>
      </c>
      <c r="C6" s="39">
        <f>IFERROR('Data Sheet'!I26,0)</f>
        <v>858.02</v>
      </c>
      <c r="D6" s="39">
        <f>IFERROR('Data Sheet'!J26,0)</f>
        <v>853</v>
      </c>
      <c r="E6" s="39">
        <f>IFERROR('Data Sheet'!K26,0)</f>
        <v>1026.3399999999999</v>
      </c>
      <c r="F6" s="39">
        <f>F13*F5</f>
        <v>1186.2115887422829</v>
      </c>
      <c r="G6" s="39">
        <f t="shared" ref="G6:J6" si="2">G13*G5</f>
        <v>1286.5710276869113</v>
      </c>
      <c r="H6" s="39">
        <f t="shared" si="2"/>
        <v>1395.4213775962182</v>
      </c>
      <c r="I6" s="39">
        <f t="shared" si="2"/>
        <v>1513.4810120459053</v>
      </c>
      <c r="J6" s="39">
        <f t="shared" si="2"/>
        <v>1641.5290826125774</v>
      </c>
    </row>
    <row r="7" spans="2:10" x14ac:dyDescent="0.3">
      <c r="B7" t="s">
        <v>17</v>
      </c>
      <c r="C7" s="39">
        <f>FCF!C27</f>
        <v>1420</v>
      </c>
      <c r="D7" s="39">
        <f>FCF!D27</f>
        <v>2491</v>
      </c>
      <c r="E7" s="39">
        <f>FCF!E27</f>
        <v>1820</v>
      </c>
      <c r="F7" s="39">
        <f>F14*F5</f>
        <v>2478.7781093682333</v>
      </c>
      <c r="G7" s="39">
        <f t="shared" ref="G7:J7" si="3">G14*G5</f>
        <v>2688.4951469400776</v>
      </c>
      <c r="H7" s="39">
        <f t="shared" si="3"/>
        <v>2915.9552957979581</v>
      </c>
      <c r="I7" s="39">
        <f t="shared" si="3"/>
        <v>3162.6597119841008</v>
      </c>
      <c r="J7" s="39">
        <f t="shared" si="3"/>
        <v>3430.2365568571486</v>
      </c>
    </row>
    <row r="8" spans="2:10" ht="15" thickBot="1" x14ac:dyDescent="0.35">
      <c r="B8" s="45" t="s">
        <v>18</v>
      </c>
      <c r="C8" s="93">
        <f>C5-C6+C7</f>
        <v>10237.98</v>
      </c>
      <c r="D8" s="93">
        <f t="shared" ref="D8:E8" si="4">D5-D6+D7</f>
        <v>13260</v>
      </c>
      <c r="E8" s="93">
        <f t="shared" si="4"/>
        <v>15277.66</v>
      </c>
      <c r="F8" s="93">
        <f>F5+F7-F6</f>
        <v>16570.226520625947</v>
      </c>
      <c r="G8" s="93">
        <f t="shared" ref="G8:J8" si="5">G5+G7-G6</f>
        <v>17972.150639879113</v>
      </c>
      <c r="H8" s="93">
        <f t="shared" si="5"/>
        <v>19492.684558080851</v>
      </c>
      <c r="I8" s="93">
        <f t="shared" si="5"/>
        <v>21141.86325801905</v>
      </c>
      <c r="J8" s="93">
        <f t="shared" si="5"/>
        <v>22930.570732263619</v>
      </c>
    </row>
    <row r="11" spans="2:10" ht="15.6" x14ac:dyDescent="0.3">
      <c r="B11" s="128" t="s">
        <v>19</v>
      </c>
      <c r="C11" s="128"/>
      <c r="D11" s="128"/>
      <c r="E11" s="128"/>
      <c r="F11" s="128"/>
      <c r="G11" s="128"/>
      <c r="H11" s="128"/>
      <c r="I11" s="128"/>
      <c r="J11" s="128"/>
    </row>
    <row r="12" spans="2:10" x14ac:dyDescent="0.3">
      <c r="B12" s="78" t="str">
        <f>B4</f>
        <v>Years</v>
      </c>
      <c r="C12" s="113">
        <f t="shared" ref="C12:J12" si="6">C4</f>
        <v>45016</v>
      </c>
      <c r="D12" s="113">
        <f t="shared" si="6"/>
        <v>45382</v>
      </c>
      <c r="E12" s="113">
        <f t="shared" si="6"/>
        <v>45747</v>
      </c>
      <c r="F12" s="114">
        <f t="shared" si="6"/>
        <v>46112</v>
      </c>
      <c r="G12" s="114">
        <f t="shared" si="6"/>
        <v>46477</v>
      </c>
      <c r="H12" s="114">
        <f t="shared" si="6"/>
        <v>46842</v>
      </c>
      <c r="I12" s="114">
        <f t="shared" si="6"/>
        <v>47207</v>
      </c>
      <c r="J12" s="114">
        <f t="shared" si="6"/>
        <v>47572</v>
      </c>
    </row>
    <row r="13" spans="2:10" x14ac:dyDescent="0.3">
      <c r="B13" s="98" t="s">
        <v>20</v>
      </c>
      <c r="C13" s="101">
        <f>C6/C5</f>
        <v>8.867507234394377E-2</v>
      </c>
      <c r="D13" s="101">
        <f t="shared" ref="D13:E13" si="7">D6/D5</f>
        <v>7.3395284804680772E-2</v>
      </c>
      <c r="E13" s="101">
        <f t="shared" si="7"/>
        <v>7.0860259596796454E-2</v>
      </c>
      <c r="F13" s="101">
        <f>AVERAGE($C$13:E13)</f>
        <v>7.7643538915140337E-2</v>
      </c>
      <c r="G13" s="101">
        <f>AVERAGE($C$13:F13)</f>
        <v>7.7643538915140337E-2</v>
      </c>
      <c r="H13" s="101">
        <f>AVERAGE($C$13:G13)</f>
        <v>7.7643538915140337E-2</v>
      </c>
      <c r="I13" s="101">
        <f>AVERAGE($C$13:H13)</f>
        <v>7.7643538915140323E-2</v>
      </c>
      <c r="J13" s="101">
        <f>AVERAGE($C$13:I13)</f>
        <v>7.7643538915140323E-2</v>
      </c>
    </row>
    <row r="14" spans="2:10" x14ac:dyDescent="0.3">
      <c r="B14" s="98" t="s">
        <v>21</v>
      </c>
      <c r="C14" s="101">
        <f>C7/C5</f>
        <v>0.14675485737908225</v>
      </c>
      <c r="D14" s="101">
        <f t="shared" ref="D14:E14" si="8">D7/D5</f>
        <v>0.21433488212011703</v>
      </c>
      <c r="E14" s="101">
        <f t="shared" si="8"/>
        <v>0.12565589616128142</v>
      </c>
      <c r="F14" s="101">
        <f>AVERAGE($C$14:E14)</f>
        <v>0.16224854522016025</v>
      </c>
      <c r="G14" s="101">
        <f>AVERAGE($C$14:F14)</f>
        <v>0.16224854522016025</v>
      </c>
      <c r="H14" s="101">
        <f>AVERAGE($C$14:G14)</f>
        <v>0.16224854522016025</v>
      </c>
      <c r="I14" s="101">
        <f>AVERAGE($C$14:H14)</f>
        <v>0.16224854522016027</v>
      </c>
      <c r="J14" s="101">
        <f>AVERAGE($C$14:I14)</f>
        <v>0.16224854522016027</v>
      </c>
    </row>
  </sheetData>
  <mergeCells count="2">
    <mergeCell ref="B3:J3"/>
    <mergeCell ref="B11:J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71AB-737A-446F-8897-DCDA3DF1A4FA}">
  <dimension ref="B2:C21"/>
  <sheetViews>
    <sheetView showGridLines="0" zoomScaleNormal="100" workbookViewId="0">
      <selection activeCell="E10" sqref="E10"/>
    </sheetView>
  </sheetViews>
  <sheetFormatPr defaultRowHeight="14.4" x14ac:dyDescent="0.3"/>
  <cols>
    <col min="1" max="1" width="1.88671875" customWidth="1"/>
    <col min="2" max="2" width="30.6640625" customWidth="1"/>
    <col min="3" max="3" width="12.88671875" bestFit="1" customWidth="1"/>
    <col min="4" max="4" width="6.77734375" customWidth="1"/>
    <col min="5" max="5" width="27.44140625" bestFit="1" customWidth="1"/>
    <col min="6" max="6" width="9.88671875" bestFit="1" customWidth="1"/>
  </cols>
  <sheetData>
    <row r="2" spans="2:3" ht="15.6" x14ac:dyDescent="0.3">
      <c r="B2" s="116" t="s">
        <v>38</v>
      </c>
      <c r="C2" s="117" t="s">
        <v>1</v>
      </c>
    </row>
    <row r="3" spans="2:3" ht="3.6" customHeight="1" x14ac:dyDescent="0.3">
      <c r="B3" s="54"/>
      <c r="C3" s="115"/>
    </row>
    <row r="4" spans="2:3" x14ac:dyDescent="0.3">
      <c r="B4" t="s">
        <v>39</v>
      </c>
      <c r="C4" s="37">
        <f>'Data Sheet'!K27</f>
        <v>227.02</v>
      </c>
    </row>
    <row r="5" spans="2:3" x14ac:dyDescent="0.3">
      <c r="B5" t="s">
        <v>40</v>
      </c>
      <c r="C5" s="94">
        <v>6.5000000000000002E-2</v>
      </c>
    </row>
    <row r="6" spans="2:3" x14ac:dyDescent="0.3">
      <c r="B6" t="s">
        <v>41</v>
      </c>
      <c r="C6" s="95">
        <v>1.27</v>
      </c>
    </row>
    <row r="7" spans="2:3" x14ac:dyDescent="0.3">
      <c r="B7" t="s">
        <v>42</v>
      </c>
      <c r="C7" s="94">
        <v>0.12</v>
      </c>
    </row>
    <row r="8" spans="2:3" x14ac:dyDescent="0.3">
      <c r="B8" t="s">
        <v>43</v>
      </c>
      <c r="C8" s="67">
        <f>C7-C5</f>
        <v>5.4999999999999993E-2</v>
      </c>
    </row>
    <row r="10" spans="2:3" ht="15.6" x14ac:dyDescent="0.3">
      <c r="B10" s="128" t="s">
        <v>31</v>
      </c>
      <c r="C10" s="128"/>
    </row>
    <row r="11" spans="2:3" ht="3.6" customHeight="1" x14ac:dyDescent="0.3">
      <c r="B11" s="2"/>
      <c r="C11" s="2"/>
    </row>
    <row r="12" spans="2:3" x14ac:dyDescent="0.3">
      <c r="B12" t="s">
        <v>5</v>
      </c>
      <c r="C12" s="89">
        <f>'Data Sheet'!B9</f>
        <v>235134.19</v>
      </c>
    </row>
    <row r="13" spans="2:3" x14ac:dyDescent="0.3">
      <c r="B13" t="s">
        <v>6</v>
      </c>
      <c r="C13" s="89">
        <f>'Data Sheet'!K59</f>
        <v>2290.29</v>
      </c>
    </row>
    <row r="14" spans="2:3" x14ac:dyDescent="0.3">
      <c r="B14" t="s">
        <v>32</v>
      </c>
      <c r="C14" s="89">
        <f>SUM(C12:C13)</f>
        <v>237424.48</v>
      </c>
    </row>
    <row r="15" spans="2:3" x14ac:dyDescent="0.3">
      <c r="B15" t="s">
        <v>33</v>
      </c>
      <c r="C15" s="97">
        <f>C4/C13</f>
        <v>9.9122818507699897E-2</v>
      </c>
    </row>
    <row r="16" spans="2:3" x14ac:dyDescent="0.3">
      <c r="B16" t="s">
        <v>34</v>
      </c>
      <c r="C16" s="90">
        <v>0.25</v>
      </c>
    </row>
    <row r="17" spans="2:3" x14ac:dyDescent="0.3">
      <c r="B17" t="s">
        <v>35</v>
      </c>
      <c r="C17" s="11">
        <f>C13/C14</f>
        <v>9.6463936658932551E-3</v>
      </c>
    </row>
    <row r="18" spans="2:3" x14ac:dyDescent="0.3">
      <c r="B18" t="s">
        <v>44</v>
      </c>
      <c r="C18" s="67">
        <f>C5+C6*C8</f>
        <v>0.13485</v>
      </c>
    </row>
    <row r="19" spans="2:3" x14ac:dyDescent="0.3">
      <c r="B19" t="s">
        <v>45</v>
      </c>
      <c r="C19" s="4">
        <f>C12/C14</f>
        <v>0.99035360633410674</v>
      </c>
    </row>
    <row r="20" spans="2:3" ht="6" customHeight="1" x14ac:dyDescent="0.3"/>
    <row r="21" spans="2:3" ht="15" thickBot="1" x14ac:dyDescent="0.35">
      <c r="B21" s="45" t="s">
        <v>7</v>
      </c>
      <c r="C21" s="96">
        <f>(C19*C18)+(C17*C15*(1-C16))</f>
        <v>0.13426631711060291</v>
      </c>
    </row>
  </sheetData>
  <mergeCells count="1">
    <mergeCell ref="B10: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EC59-2636-4831-8599-6BD08F4E5683}">
  <dimension ref="A2:J25"/>
  <sheetViews>
    <sheetView showGridLines="0" tabSelected="1" zoomScaleNormal="100" workbookViewId="0">
      <selection activeCell="N19" sqref="N19"/>
    </sheetView>
  </sheetViews>
  <sheetFormatPr defaultRowHeight="14.4" x14ac:dyDescent="0.3"/>
  <cols>
    <col min="1" max="1" width="1.88671875" customWidth="1"/>
    <col min="2" max="2" width="26.77734375" bestFit="1" customWidth="1"/>
    <col min="3" max="3" width="12.77734375" bestFit="1" customWidth="1"/>
    <col min="4" max="4" width="9.44140625" bestFit="1" customWidth="1"/>
    <col min="6" max="10" width="9.5546875" bestFit="1" customWidth="1"/>
  </cols>
  <sheetData>
    <row r="2" spans="2:10" ht="15.6" x14ac:dyDescent="0.3">
      <c r="B2" s="128" t="s">
        <v>62</v>
      </c>
      <c r="C2" s="128"/>
      <c r="D2" s="128"/>
      <c r="E2" s="128"/>
      <c r="F2" s="128"/>
      <c r="G2" s="128"/>
      <c r="H2" s="128"/>
      <c r="I2" s="128"/>
      <c r="J2" s="128"/>
    </row>
    <row r="3" spans="2:10" x14ac:dyDescent="0.3">
      <c r="B3" s="16" t="s">
        <v>115</v>
      </c>
      <c r="C3" s="113">
        <f>'Data Sheet'!I16</f>
        <v>45016</v>
      </c>
      <c r="D3" s="113">
        <f>'Data Sheet'!J16</f>
        <v>45382</v>
      </c>
      <c r="E3" s="113">
        <f>'Data Sheet'!K16</f>
        <v>45747</v>
      </c>
      <c r="F3" s="114">
        <f>E3+365</f>
        <v>46112</v>
      </c>
      <c r="G3" s="114">
        <f t="shared" ref="G3:J3" si="0">F3+365</f>
        <v>46477</v>
      </c>
      <c r="H3" s="114">
        <f t="shared" si="0"/>
        <v>46842</v>
      </c>
      <c r="I3" s="114">
        <f t="shared" si="0"/>
        <v>47207</v>
      </c>
      <c r="J3" s="114">
        <f t="shared" si="0"/>
        <v>47572</v>
      </c>
    </row>
    <row r="4" spans="2:10" x14ac:dyDescent="0.3">
      <c r="B4" t="s">
        <v>14</v>
      </c>
      <c r="C4" s="92">
        <v>0</v>
      </c>
      <c r="D4" s="39">
        <f>FCF!D30</f>
        <v>3466.9850000000006</v>
      </c>
      <c r="E4" s="39">
        <f>FCF!E30</f>
        <v>2936.2425000000012</v>
      </c>
      <c r="F4" s="39">
        <f>FCF!F30</f>
        <v>2331.2477270214358</v>
      </c>
      <c r="G4" s="39">
        <f>FCF!G30</f>
        <v>2436.0796264926857</v>
      </c>
      <c r="H4" s="39">
        <f>FCF!H30</f>
        <v>2678.7249631383297</v>
      </c>
      <c r="I4" s="39">
        <f>FCF!I30</f>
        <v>2941.8463280135402</v>
      </c>
      <c r="J4" s="39">
        <f>FCF!J30</f>
        <v>3227.0176776984681</v>
      </c>
    </row>
    <row r="6" spans="2:10" x14ac:dyDescent="0.3">
      <c r="B6" t="s">
        <v>267</v>
      </c>
      <c r="F6">
        <f>IF(B6="mid-year convention",0.5,1)</f>
        <v>1</v>
      </c>
      <c r="G6">
        <f>F6+1</f>
        <v>2</v>
      </c>
      <c r="H6">
        <f t="shared" ref="H6:J6" si="1">G6+1</f>
        <v>3</v>
      </c>
      <c r="I6">
        <f t="shared" si="1"/>
        <v>4</v>
      </c>
      <c r="J6">
        <f t="shared" si="1"/>
        <v>5</v>
      </c>
    </row>
    <row r="7" spans="2:10" ht="15" thickBot="1" x14ac:dyDescent="0.35">
      <c r="B7" s="45" t="s">
        <v>46</v>
      </c>
      <c r="C7" s="45"/>
      <c r="D7" s="45"/>
      <c r="E7" s="45"/>
      <c r="F7" s="93">
        <f>F4/(1+$C$13)^F6</f>
        <v>2055.2913296058978</v>
      </c>
      <c r="G7" s="93">
        <f t="shared" ref="G7:J7" si="2">G4/(1+$C$13)^G6</f>
        <v>1893.4829922830913</v>
      </c>
      <c r="H7" s="93">
        <f t="shared" si="2"/>
        <v>1835.6210029292167</v>
      </c>
      <c r="I7" s="93">
        <f t="shared" si="2"/>
        <v>1777.2963158167036</v>
      </c>
      <c r="J7" s="93">
        <f t="shared" si="2"/>
        <v>1718.803251678283</v>
      </c>
    </row>
    <row r="8" spans="2:10" x14ac:dyDescent="0.3">
      <c r="F8" s="12"/>
      <c r="G8" s="12"/>
      <c r="H8" s="12"/>
      <c r="I8" s="12"/>
      <c r="J8" s="12"/>
    </row>
    <row r="10" spans="2:10" ht="15.6" x14ac:dyDescent="0.3">
      <c r="B10" s="128" t="s">
        <v>47</v>
      </c>
      <c r="C10" s="128"/>
    </row>
    <row r="11" spans="2:10" x14ac:dyDescent="0.3">
      <c r="B11" t="s">
        <v>48</v>
      </c>
      <c r="C11" s="39">
        <f>SUM(F7:J7)</f>
        <v>9280.4948923131924</v>
      </c>
    </row>
    <row r="12" spans="2:10" x14ac:dyDescent="0.3">
      <c r="B12" t="s">
        <v>49</v>
      </c>
      <c r="C12" s="91">
        <v>0.06</v>
      </c>
    </row>
    <row r="13" spans="2:10" x14ac:dyDescent="0.3">
      <c r="B13" t="s">
        <v>7</v>
      </c>
      <c r="C13" s="5">
        <f>WACC!C21</f>
        <v>0.13426631711060291</v>
      </c>
    </row>
    <row r="14" spans="2:10" x14ac:dyDescent="0.3">
      <c r="B14" t="s">
        <v>50</v>
      </c>
      <c r="C14" s="89">
        <f>(J4*(1+C12))/(C13-C12)</f>
        <v>46059.086695602629</v>
      </c>
    </row>
    <row r="15" spans="2:10" x14ac:dyDescent="0.3">
      <c r="B15" t="s">
        <v>51</v>
      </c>
      <c r="C15" s="89">
        <f>C14/(1+C13)</f>
        <v>40606.942127076654</v>
      </c>
    </row>
    <row r="16" spans="2:10" x14ac:dyDescent="0.3">
      <c r="B16" t="s">
        <v>52</v>
      </c>
      <c r="C16" s="89">
        <f>C15+C11</f>
        <v>49887.43701938985</v>
      </c>
    </row>
    <row r="17" spans="1:3" x14ac:dyDescent="0.3">
      <c r="B17" t="s">
        <v>53</v>
      </c>
      <c r="C17" s="89">
        <f>'Data Sheet'!K69</f>
        <v>781.98</v>
      </c>
    </row>
    <row r="18" spans="1:3" x14ac:dyDescent="0.3">
      <c r="A18" s="6"/>
      <c r="B18" t="s">
        <v>54</v>
      </c>
      <c r="C18" s="89">
        <f>'Data Sheet'!K59</f>
        <v>2290.29</v>
      </c>
    </row>
    <row r="19" spans="1:3" x14ac:dyDescent="0.3">
      <c r="B19" t="s">
        <v>55</v>
      </c>
      <c r="C19" s="39">
        <f>C16+C17-C18</f>
        <v>48379.127019389853</v>
      </c>
    </row>
    <row r="20" spans="1:3" x14ac:dyDescent="0.3">
      <c r="B20" t="s">
        <v>56</v>
      </c>
      <c r="C20" s="11">
        <f>'Data Sheet'!B6</f>
        <v>95.980973957057714</v>
      </c>
    </row>
    <row r="21" spans="1:3" ht="6" customHeight="1" x14ac:dyDescent="0.3"/>
    <row r="22" spans="1:3" ht="15" thickBot="1" x14ac:dyDescent="0.35">
      <c r="B22" s="45" t="s">
        <v>57</v>
      </c>
      <c r="C22" s="93">
        <f>C19/C20</f>
        <v>504.04913624897029</v>
      </c>
    </row>
    <row r="23" spans="1:3" x14ac:dyDescent="0.3">
      <c r="C23" t="s">
        <v>265</v>
      </c>
    </row>
    <row r="24" spans="1:3" x14ac:dyDescent="0.3">
      <c r="B24" t="s">
        <v>266</v>
      </c>
      <c r="C24" s="39">
        <f>'Data Sheet'!B8</f>
        <v>2449.8000000000002</v>
      </c>
    </row>
    <row r="25" spans="1:3" x14ac:dyDescent="0.3">
      <c r="B25" t="str">
        <f>IF(C24&gt;C22, "Premium", "Discount")</f>
        <v>Premium</v>
      </c>
      <c r="C25" s="111">
        <f>C24/C22</f>
        <v>4.8602404484429957</v>
      </c>
    </row>
  </sheetData>
  <mergeCells count="2">
    <mergeCell ref="B2:J2"/>
    <mergeCell ref="B10:C10"/>
  </mergeCells>
  <dataValidations count="2">
    <dataValidation type="list" allowBlank="1" showInputMessage="1" showErrorMessage="1" sqref="C12" xr:uid="{DE02B2D8-76A8-420D-85A1-569292ECAE2D}">
      <formula1>"4.5%,5%, 6%, 10%, 11.4%, 7.9%"</formula1>
    </dataValidation>
    <dataValidation type="list" allowBlank="1" showInputMessage="1" showErrorMessage="1" sqref="B6" xr:uid="{1E1F9D05-B5F3-427A-96E0-8669555B3216}">
      <formula1>"Mid-Year Convention, Year- End Convention"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06C8-76A8-4D7F-B89C-1309F3B93F10}">
  <sheetPr>
    <tabColor theme="8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1231-CBBE-4E26-9FDB-795C97455C54}">
  <dimension ref="A1:K93"/>
  <sheetViews>
    <sheetView zoomScale="120" zoomScaleNormal="120" zoomScalePageLayoutView="120" workbookViewId="0">
      <pane xSplit="1" ySplit="1" topLeftCell="B58" activePane="bottomRight" state="frozen"/>
      <selection activeCell="C4" sqref="C4"/>
      <selection pane="topRight" activeCell="C4" sqref="C4"/>
      <selection pane="bottomLeft" activeCell="C4" sqref="C4"/>
      <selection pane="bottomRight" activeCell="K59" sqref="K59"/>
    </sheetView>
  </sheetViews>
  <sheetFormatPr defaultColWidth="8.77734375" defaultRowHeight="14.4" x14ac:dyDescent="0.3"/>
  <cols>
    <col min="1" max="1" width="27.6640625" style="18" bestFit="1" customWidth="1"/>
    <col min="2" max="11" width="13.44140625" style="18" bestFit="1" customWidth="1"/>
    <col min="12" max="16384" width="8.77734375" style="18"/>
  </cols>
  <sheetData>
    <row r="1" spans="1:11" s="17" customFormat="1" x14ac:dyDescent="0.3">
      <c r="A1" s="17" t="s">
        <v>63</v>
      </c>
      <c r="B1" s="17" t="s">
        <v>64</v>
      </c>
      <c r="E1" s="129" t="str">
        <f>IF(B2&lt;&gt;B3, "A NEW VERSION OF THE WORKSHEET IS AVAILABLE", "")</f>
        <v/>
      </c>
      <c r="F1" s="129"/>
      <c r="G1" s="129"/>
      <c r="H1" s="129"/>
      <c r="I1" s="129"/>
      <c r="J1" s="129"/>
      <c r="K1" s="129"/>
    </row>
    <row r="2" spans="1:11" x14ac:dyDescent="0.3">
      <c r="A2" s="17" t="s">
        <v>65</v>
      </c>
      <c r="B2" s="18">
        <v>2.1</v>
      </c>
      <c r="E2" s="130" t="s">
        <v>66</v>
      </c>
      <c r="F2" s="130"/>
      <c r="G2" s="130"/>
      <c r="H2" s="130"/>
      <c r="I2" s="130"/>
      <c r="J2" s="130"/>
      <c r="K2" s="130"/>
    </row>
    <row r="3" spans="1:11" x14ac:dyDescent="0.3">
      <c r="A3" s="17" t="s">
        <v>67</v>
      </c>
      <c r="B3" s="18">
        <v>2.1</v>
      </c>
    </row>
    <row r="4" spans="1:11" x14ac:dyDescent="0.3">
      <c r="A4" s="17"/>
    </row>
    <row r="5" spans="1:11" x14ac:dyDescent="0.3">
      <c r="A5" s="17" t="s">
        <v>68</v>
      </c>
    </row>
    <row r="6" spans="1:11" x14ac:dyDescent="0.3">
      <c r="A6" s="18" t="s">
        <v>69</v>
      </c>
      <c r="B6" s="18">
        <f>IF(B9&gt;0, B9/B8, 0)</f>
        <v>95.980973957057714</v>
      </c>
    </row>
    <row r="7" spans="1:11" x14ac:dyDescent="0.3">
      <c r="A7" s="18" t="s">
        <v>70</v>
      </c>
      <c r="B7">
        <v>1</v>
      </c>
    </row>
    <row r="8" spans="1:11" x14ac:dyDescent="0.3">
      <c r="A8" s="18" t="s">
        <v>71</v>
      </c>
      <c r="B8">
        <v>2449.8000000000002</v>
      </c>
    </row>
    <row r="9" spans="1:11" x14ac:dyDescent="0.3">
      <c r="A9" s="18" t="s">
        <v>72</v>
      </c>
      <c r="B9">
        <v>235134.19</v>
      </c>
    </row>
    <row r="15" spans="1:11" x14ac:dyDescent="0.3">
      <c r="A15" s="17" t="s">
        <v>73</v>
      </c>
    </row>
    <row r="16" spans="1:11" s="21" customFormat="1" x14ac:dyDescent="0.3">
      <c r="A16" s="19" t="s">
        <v>74</v>
      </c>
      <c r="B16" s="20">
        <v>42460</v>
      </c>
      <c r="C16" s="20">
        <v>42825</v>
      </c>
      <c r="D16" s="20">
        <v>43190</v>
      </c>
      <c r="E16" s="20">
        <v>43555</v>
      </c>
      <c r="F16" s="20">
        <v>43921</v>
      </c>
      <c r="G16" s="20">
        <v>44286</v>
      </c>
      <c r="H16" s="20">
        <v>44651</v>
      </c>
      <c r="I16" s="20">
        <v>45016</v>
      </c>
      <c r="J16" s="20">
        <v>45382</v>
      </c>
      <c r="K16" s="20">
        <v>45747</v>
      </c>
    </row>
    <row r="17" spans="1:11" s="22" customFormat="1" x14ac:dyDescent="0.3">
      <c r="A17" s="22" t="s">
        <v>75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22" customFormat="1" x14ac:dyDescent="0.3">
      <c r="A18" s="18" t="s">
        <v>76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22" customFormat="1" x14ac:dyDescent="0.3">
      <c r="A19" s="18" t="s">
        <v>77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22" customFormat="1" x14ac:dyDescent="0.3">
      <c r="A20" s="18" t="s">
        <v>78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22" customFormat="1" x14ac:dyDescent="0.3">
      <c r="A21" s="18" t="s">
        <v>79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22" customFormat="1" x14ac:dyDescent="0.3">
      <c r="A22" s="18" t="s">
        <v>80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22" customFormat="1" x14ac:dyDescent="0.3">
      <c r="A23" s="18" t="s">
        <v>81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22" customFormat="1" x14ac:dyDescent="0.3">
      <c r="A24" s="18" t="s">
        <v>82</v>
      </c>
      <c r="B24">
        <v>-1779.69</v>
      </c>
      <c r="C24">
        <v>-2028.47</v>
      </c>
      <c r="D24">
        <v>171.45</v>
      </c>
      <c r="E24">
        <v>202.51</v>
      </c>
      <c r="F24">
        <v>584.9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22" customFormat="1" x14ac:dyDescent="0.3">
      <c r="A25" s="22" t="s">
        <v>83</v>
      </c>
      <c r="B25">
        <v>213.39</v>
      </c>
      <c r="C25">
        <v>337.9</v>
      </c>
      <c r="D25">
        <v>336.41</v>
      </c>
      <c r="E25">
        <v>273.77</v>
      </c>
      <c r="F25">
        <v>355.05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22" customFormat="1" x14ac:dyDescent="0.3">
      <c r="A26" s="22" t="s">
        <v>84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22" customFormat="1" x14ac:dyDescent="0.3">
      <c r="A27" s="22" t="s">
        <v>85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22" customFormat="1" x14ac:dyDescent="0.3">
      <c r="A28" s="22" t="s">
        <v>86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22" customFormat="1" x14ac:dyDescent="0.3">
      <c r="A29" s="22" t="s">
        <v>87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22" customFormat="1" x14ac:dyDescent="0.3">
      <c r="A30" s="22" t="s">
        <v>88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22" customFormat="1" x14ac:dyDescent="0.3">
      <c r="A31" s="22" t="s">
        <v>89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22" customFormat="1" x14ac:dyDescent="0.3"/>
    <row r="33" spans="1:11" x14ac:dyDescent="0.3">
      <c r="A33" s="22"/>
    </row>
    <row r="34" spans="1:11" x14ac:dyDescent="0.3">
      <c r="A34" s="22"/>
    </row>
    <row r="35" spans="1:11" x14ac:dyDescent="0.3">
      <c r="A35" s="22"/>
    </row>
    <row r="36" spans="1:11" x14ac:dyDescent="0.3">
      <c r="A36" s="22"/>
    </row>
    <row r="37" spans="1:11" x14ac:dyDescent="0.3">
      <c r="A37" s="22"/>
    </row>
    <row r="38" spans="1:11" x14ac:dyDescent="0.3">
      <c r="A38" s="22"/>
    </row>
    <row r="39" spans="1:11" x14ac:dyDescent="0.3">
      <c r="A39" s="22"/>
    </row>
    <row r="40" spans="1:11" x14ac:dyDescent="0.3">
      <c r="A40" s="17" t="s">
        <v>90</v>
      </c>
    </row>
    <row r="41" spans="1:11" s="21" customFormat="1" x14ac:dyDescent="0.3">
      <c r="A41" s="19" t="s">
        <v>74</v>
      </c>
      <c r="B41" s="20">
        <v>45016</v>
      </c>
      <c r="C41" s="20">
        <v>45107</v>
      </c>
      <c r="D41" s="20">
        <v>45199</v>
      </c>
      <c r="E41" s="20">
        <v>45291</v>
      </c>
      <c r="F41" s="20">
        <v>45382</v>
      </c>
      <c r="G41" s="20">
        <v>45473</v>
      </c>
      <c r="H41" s="20">
        <v>45565</v>
      </c>
      <c r="I41" s="20">
        <v>45657</v>
      </c>
      <c r="J41" s="20">
        <v>45747</v>
      </c>
      <c r="K41" s="20">
        <v>45838</v>
      </c>
    </row>
    <row r="42" spans="1:11" s="22" customFormat="1" x14ac:dyDescent="0.3">
      <c r="A42" s="22" t="s">
        <v>75</v>
      </c>
      <c r="B42">
        <v>8787.34</v>
      </c>
      <c r="C42">
        <v>9182.31</v>
      </c>
      <c r="D42">
        <v>8478.57</v>
      </c>
      <c r="E42">
        <v>9103.09</v>
      </c>
      <c r="F42">
        <v>8730.76</v>
      </c>
      <c r="G42">
        <v>8969.73</v>
      </c>
      <c r="H42">
        <v>8027.54</v>
      </c>
      <c r="I42">
        <v>8549.44</v>
      </c>
      <c r="J42">
        <v>8358.91</v>
      </c>
      <c r="K42">
        <v>8938.5499999999993</v>
      </c>
    </row>
    <row r="43" spans="1:11" s="22" customFormat="1" x14ac:dyDescent="0.3">
      <c r="A43" s="22" t="s">
        <v>91</v>
      </c>
      <c r="B43">
        <v>6922.58</v>
      </c>
      <c r="C43">
        <v>7061.02</v>
      </c>
      <c r="D43">
        <v>6762.34</v>
      </c>
      <c r="E43">
        <v>7047</v>
      </c>
      <c r="F43">
        <v>7039.39</v>
      </c>
      <c r="G43">
        <v>7275.96</v>
      </c>
      <c r="H43">
        <v>6788.03</v>
      </c>
      <c r="I43">
        <v>6912.71</v>
      </c>
      <c r="J43">
        <v>6922.71</v>
      </c>
      <c r="K43">
        <v>7313.58</v>
      </c>
    </row>
    <row r="44" spans="1:11" s="22" customFormat="1" x14ac:dyDescent="0.3">
      <c r="A44" s="22" t="s">
        <v>83</v>
      </c>
      <c r="B44">
        <v>104.17</v>
      </c>
      <c r="C44">
        <v>227.74</v>
      </c>
      <c r="D44">
        <v>194.33</v>
      </c>
      <c r="E44">
        <v>186.46</v>
      </c>
      <c r="F44">
        <v>212.43</v>
      </c>
      <c r="G44">
        <v>192.93</v>
      </c>
      <c r="H44">
        <v>24.53</v>
      </c>
      <c r="I44">
        <v>192.82</v>
      </c>
      <c r="J44">
        <v>-60.06</v>
      </c>
      <c r="K44">
        <v>229.11</v>
      </c>
    </row>
    <row r="45" spans="1:11" s="22" customFormat="1" x14ac:dyDescent="0.3">
      <c r="A45" s="22" t="s">
        <v>84</v>
      </c>
      <c r="B45">
        <v>220.17</v>
      </c>
      <c r="C45">
        <v>198.32</v>
      </c>
      <c r="D45">
        <v>208.72</v>
      </c>
      <c r="E45">
        <v>220.35</v>
      </c>
      <c r="F45">
        <v>225.61</v>
      </c>
      <c r="G45">
        <v>227.7</v>
      </c>
      <c r="H45">
        <v>241.99</v>
      </c>
      <c r="I45">
        <v>255.55</v>
      </c>
      <c r="J45">
        <v>301.10000000000002</v>
      </c>
      <c r="K45">
        <v>300.87</v>
      </c>
    </row>
    <row r="46" spans="1:11" s="22" customFormat="1" x14ac:dyDescent="0.3">
      <c r="A46" s="22" t="s">
        <v>85</v>
      </c>
      <c r="B46">
        <v>38.909999999999997</v>
      </c>
      <c r="C46">
        <v>45.75</v>
      </c>
      <c r="D46">
        <v>50.9</v>
      </c>
      <c r="E46">
        <v>54.42</v>
      </c>
      <c r="F46">
        <v>54.1</v>
      </c>
      <c r="G46">
        <v>55.38</v>
      </c>
      <c r="H46">
        <v>63.01</v>
      </c>
      <c r="I46">
        <v>55.84</v>
      </c>
      <c r="J46">
        <v>52.79</v>
      </c>
      <c r="K46">
        <v>44.5</v>
      </c>
    </row>
    <row r="47" spans="1:11" s="22" customFormat="1" x14ac:dyDescent="0.3">
      <c r="A47" s="22" t="s">
        <v>86</v>
      </c>
      <c r="B47">
        <v>1709.85</v>
      </c>
      <c r="C47">
        <v>2104.96</v>
      </c>
      <c r="D47">
        <v>1650.94</v>
      </c>
      <c r="E47">
        <v>1967.78</v>
      </c>
      <c r="F47">
        <v>1624.09</v>
      </c>
      <c r="G47">
        <v>1603.62</v>
      </c>
      <c r="H47">
        <v>959.04</v>
      </c>
      <c r="I47">
        <v>1518.16</v>
      </c>
      <c r="J47">
        <v>1022.25</v>
      </c>
      <c r="K47">
        <v>1508.71</v>
      </c>
    </row>
    <row r="48" spans="1:11" s="22" customFormat="1" x14ac:dyDescent="0.3">
      <c r="A48" s="22" t="s">
        <v>87</v>
      </c>
      <c r="B48">
        <v>451.44</v>
      </c>
      <c r="C48">
        <v>530.12</v>
      </c>
      <c r="D48">
        <v>418.55</v>
      </c>
      <c r="E48">
        <v>492.62</v>
      </c>
      <c r="F48">
        <v>348.79</v>
      </c>
      <c r="G48">
        <v>416.83</v>
      </c>
      <c r="H48">
        <v>265.38</v>
      </c>
      <c r="I48">
        <v>389.73</v>
      </c>
      <c r="J48">
        <v>321.42</v>
      </c>
      <c r="K48">
        <v>391.66</v>
      </c>
    </row>
    <row r="49" spans="1:11" s="22" customFormat="1" x14ac:dyDescent="0.3">
      <c r="A49" s="22" t="s">
        <v>88</v>
      </c>
      <c r="B49">
        <v>1234.1400000000001</v>
      </c>
      <c r="C49">
        <v>1550.37</v>
      </c>
      <c r="D49">
        <v>1205.42</v>
      </c>
      <c r="E49">
        <v>1447.72</v>
      </c>
      <c r="F49">
        <v>1256.72</v>
      </c>
      <c r="G49">
        <v>1169.98</v>
      </c>
      <c r="H49">
        <v>694.64</v>
      </c>
      <c r="I49">
        <v>1110.48</v>
      </c>
      <c r="J49">
        <v>692.13</v>
      </c>
      <c r="K49">
        <v>1099.77</v>
      </c>
    </row>
    <row r="50" spans="1:11" x14ac:dyDescent="0.3">
      <c r="A50" s="22" t="s">
        <v>92</v>
      </c>
      <c r="B50">
        <v>1864.76</v>
      </c>
      <c r="C50">
        <v>2121.29</v>
      </c>
      <c r="D50">
        <v>1716.23</v>
      </c>
      <c r="E50">
        <v>2056.09</v>
      </c>
      <c r="F50">
        <v>1691.37</v>
      </c>
      <c r="G50">
        <v>1693.77</v>
      </c>
      <c r="H50">
        <v>1239.51</v>
      </c>
      <c r="I50">
        <v>1636.73</v>
      </c>
      <c r="J50">
        <v>1436.2</v>
      </c>
      <c r="K50">
        <v>1624.97</v>
      </c>
    </row>
    <row r="51" spans="1:11" x14ac:dyDescent="0.3">
      <c r="A51" s="22"/>
    </row>
    <row r="52" spans="1:11" x14ac:dyDescent="0.3">
      <c r="A52" s="22"/>
    </row>
    <row r="53" spans="1:11" x14ac:dyDescent="0.3">
      <c r="A53" s="22"/>
    </row>
    <row r="54" spans="1:11" x14ac:dyDescent="0.3">
      <c r="A54" s="22"/>
    </row>
    <row r="55" spans="1:11" x14ac:dyDescent="0.3">
      <c r="A55" s="17" t="s">
        <v>93</v>
      </c>
    </row>
    <row r="56" spans="1:11" s="21" customFormat="1" x14ac:dyDescent="0.3">
      <c r="A56" s="19" t="s">
        <v>74</v>
      </c>
      <c r="B56" s="20">
        <v>42460</v>
      </c>
      <c r="C56" s="20">
        <v>42825</v>
      </c>
      <c r="D56" s="20">
        <v>43190</v>
      </c>
      <c r="E56" s="20">
        <v>43555</v>
      </c>
      <c r="F56" s="20">
        <v>43921</v>
      </c>
      <c r="G56" s="20">
        <v>44286</v>
      </c>
      <c r="H56" s="20">
        <v>44651</v>
      </c>
      <c r="I56" s="20">
        <v>45016</v>
      </c>
      <c r="J56" s="20">
        <v>45382</v>
      </c>
      <c r="K56" s="20">
        <v>45747</v>
      </c>
    </row>
    <row r="57" spans="1:11" x14ac:dyDescent="0.3">
      <c r="A57" s="22" t="s">
        <v>36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22" t="s">
        <v>37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">
      <c r="A59" s="22" t="s">
        <v>94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">
      <c r="A60" s="22" t="s">
        <v>95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7" customFormat="1" x14ac:dyDescent="0.3">
      <c r="A61" s="17" t="s">
        <v>96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">
      <c r="A62" s="22" t="s">
        <v>97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">
      <c r="A63" s="22" t="s">
        <v>98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">
      <c r="A64" s="22" t="s">
        <v>99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">
      <c r="A65" s="22" t="s">
        <v>100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7" customFormat="1" x14ac:dyDescent="0.3">
      <c r="A66" s="17" t="s">
        <v>96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22" customFormat="1" x14ac:dyDescent="0.3">
      <c r="A67" s="22" t="s">
        <v>101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">
      <c r="A68" s="22" t="s">
        <v>102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">
      <c r="A69" s="18" t="s">
        <v>103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">
      <c r="A70" s="18" t="s">
        <v>104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18" t="s">
        <v>105</v>
      </c>
    </row>
    <row r="72" spans="1:11" x14ac:dyDescent="0.3">
      <c r="A72" s="18" t="s">
        <v>106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22"/>
    </row>
    <row r="75" spans="1:11" x14ac:dyDescent="0.3">
      <c r="A75" s="22"/>
    </row>
    <row r="76" spans="1:11" x14ac:dyDescent="0.3">
      <c r="A76" s="22"/>
    </row>
    <row r="77" spans="1:11" x14ac:dyDescent="0.3">
      <c r="A77" s="22"/>
    </row>
    <row r="78" spans="1:11" x14ac:dyDescent="0.3">
      <c r="A78" s="22"/>
    </row>
    <row r="79" spans="1:11" x14ac:dyDescent="0.3">
      <c r="A79" s="22"/>
    </row>
    <row r="80" spans="1:11" x14ac:dyDescent="0.3">
      <c r="A80" s="17" t="s">
        <v>107</v>
      </c>
    </row>
    <row r="81" spans="1:11" s="21" customFormat="1" x14ac:dyDescent="0.3">
      <c r="A81" s="19" t="s">
        <v>74</v>
      </c>
      <c r="B81" s="20">
        <v>42460</v>
      </c>
      <c r="C81" s="20">
        <v>42825</v>
      </c>
      <c r="D81" s="20">
        <v>43190</v>
      </c>
      <c r="E81" s="20">
        <v>43555</v>
      </c>
      <c r="F81" s="20">
        <v>43921</v>
      </c>
      <c r="G81" s="20">
        <v>44286</v>
      </c>
      <c r="H81" s="20">
        <v>44651</v>
      </c>
      <c r="I81" s="20">
        <v>45016</v>
      </c>
      <c r="J81" s="20">
        <v>45382</v>
      </c>
      <c r="K81" s="20">
        <v>45747</v>
      </c>
    </row>
    <row r="82" spans="1:11" s="17" customFormat="1" x14ac:dyDescent="0.3">
      <c r="A82" s="22" t="s">
        <v>108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22" customFormat="1" x14ac:dyDescent="0.3">
      <c r="A83" s="22" t="s">
        <v>109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22" customFormat="1" x14ac:dyDescent="0.3">
      <c r="A84" s="22" t="s">
        <v>110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7" customFormat="1" x14ac:dyDescent="0.3">
      <c r="A85" s="22" t="s">
        <v>111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">
      <c r="A86" s="22"/>
    </row>
    <row r="87" spans="1:11" x14ac:dyDescent="0.3">
      <c r="A87" s="22"/>
    </row>
    <row r="88" spans="1:11" x14ac:dyDescent="0.3">
      <c r="A88" s="22"/>
    </row>
    <row r="89" spans="1:11" x14ac:dyDescent="0.3">
      <c r="A89" s="22"/>
    </row>
    <row r="90" spans="1:11" s="17" customFormat="1" x14ac:dyDescent="0.3">
      <c r="A90" s="17" t="s">
        <v>112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7" customFormat="1" x14ac:dyDescent="0.3">
      <c r="A92" s="17" t="s">
        <v>113</v>
      </c>
    </row>
    <row r="93" spans="1:11" x14ac:dyDescent="0.3">
      <c r="A93" s="18" t="s">
        <v>114</v>
      </c>
      <c r="B93" s="23">
        <v>95.92</v>
      </c>
      <c r="C93" s="23">
        <v>95.92</v>
      </c>
      <c r="D93" s="23">
        <v>95.92</v>
      </c>
      <c r="E93" s="23">
        <v>95.92</v>
      </c>
      <c r="F93" s="23">
        <v>95.92</v>
      </c>
      <c r="G93" s="23">
        <v>95.92</v>
      </c>
      <c r="H93" s="23">
        <v>95.92</v>
      </c>
      <c r="I93" s="23">
        <v>95.92</v>
      </c>
      <c r="J93" s="23">
        <v>95.92</v>
      </c>
      <c r="K93" s="23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DB1E9750-C12C-4024-8ACE-1321F863D386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DBF8-3C98-400E-88B6-902A366300A4}">
  <dimension ref="B2:N39"/>
  <sheetViews>
    <sheetView showGridLines="0" workbookViewId="0">
      <pane ySplit="2" topLeftCell="A3" activePane="bottomLeft" state="frozen"/>
      <selection pane="bottomLeft" activeCell="N34" sqref="N34"/>
    </sheetView>
  </sheetViews>
  <sheetFormatPr defaultRowHeight="14.4" x14ac:dyDescent="0.3"/>
  <cols>
    <col min="1" max="1" width="1.88671875" customWidth="1"/>
    <col min="2" max="2" width="22.77734375" bestFit="1" customWidth="1"/>
    <col min="3" max="14" width="8.77734375" customWidth="1"/>
  </cols>
  <sheetData>
    <row r="2" spans="2:14" x14ac:dyDescent="0.3">
      <c r="B2" s="41" t="s">
        <v>144</v>
      </c>
      <c r="C2" s="42">
        <v>41699</v>
      </c>
      <c r="D2" s="42">
        <v>42064</v>
      </c>
      <c r="E2" s="42">
        <v>42430</v>
      </c>
      <c r="F2" s="42">
        <v>42795</v>
      </c>
      <c r="G2" s="42">
        <v>43160</v>
      </c>
      <c r="H2" s="42">
        <v>43525</v>
      </c>
      <c r="I2" s="42">
        <v>43891</v>
      </c>
      <c r="J2" s="42">
        <v>44256</v>
      </c>
      <c r="K2" s="42">
        <v>44621</v>
      </c>
      <c r="L2" s="42">
        <v>44986</v>
      </c>
      <c r="M2" s="42">
        <v>45352</v>
      </c>
      <c r="N2" s="42">
        <v>45717</v>
      </c>
    </row>
    <row r="3" spans="2:14" x14ac:dyDescent="0.3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2:14" x14ac:dyDescent="0.3">
      <c r="B4" s="36" t="s">
        <v>145</v>
      </c>
      <c r="C4" s="50">
        <v>96</v>
      </c>
      <c r="D4" s="50">
        <v>96</v>
      </c>
      <c r="E4" s="50">
        <v>96</v>
      </c>
      <c r="F4" s="50">
        <v>96</v>
      </c>
      <c r="G4" s="50">
        <v>96</v>
      </c>
      <c r="H4" s="50">
        <v>96</v>
      </c>
      <c r="I4" s="50">
        <v>96</v>
      </c>
      <c r="J4" s="50">
        <v>96</v>
      </c>
      <c r="K4" s="50">
        <v>96</v>
      </c>
      <c r="L4" s="50">
        <v>96</v>
      </c>
      <c r="M4" s="50">
        <v>96</v>
      </c>
      <c r="N4" s="50">
        <v>96</v>
      </c>
    </row>
    <row r="5" spans="2:14" x14ac:dyDescent="0.3">
      <c r="B5" s="36" t="s">
        <v>37</v>
      </c>
      <c r="C5" s="51">
        <v>3943</v>
      </c>
      <c r="D5" s="51">
        <v>4646</v>
      </c>
      <c r="E5" s="51">
        <v>6429</v>
      </c>
      <c r="F5" s="51">
        <v>7508</v>
      </c>
      <c r="G5" s="51">
        <v>8314</v>
      </c>
      <c r="H5" s="51">
        <v>9375</v>
      </c>
      <c r="I5" s="51">
        <v>10034</v>
      </c>
      <c r="J5" s="51">
        <v>12710</v>
      </c>
      <c r="K5" s="51">
        <v>13716</v>
      </c>
      <c r="L5" s="51">
        <v>15896</v>
      </c>
      <c r="M5" s="51">
        <v>18632</v>
      </c>
      <c r="N5" s="51">
        <v>19304</v>
      </c>
    </row>
    <row r="6" spans="2:14" x14ac:dyDescent="0.3">
      <c r="B6" s="36" t="s">
        <v>146</v>
      </c>
      <c r="C6" s="50"/>
      <c r="D6" s="50"/>
      <c r="E6" s="50"/>
      <c r="F6" s="50"/>
      <c r="G6" s="50"/>
      <c r="H6" s="51"/>
      <c r="I6" s="51"/>
      <c r="J6" s="51"/>
      <c r="K6" s="51"/>
      <c r="L6" s="51"/>
      <c r="M6" s="51"/>
      <c r="N6" s="51"/>
    </row>
    <row r="7" spans="2:14" x14ac:dyDescent="0.3">
      <c r="B7" t="s">
        <v>147</v>
      </c>
      <c r="C7" s="52">
        <v>41</v>
      </c>
      <c r="D7" s="52">
        <v>78</v>
      </c>
      <c r="E7" s="52">
        <v>73</v>
      </c>
      <c r="F7" s="52">
        <v>41</v>
      </c>
      <c r="G7" s="52">
        <v>28</v>
      </c>
      <c r="H7" s="52">
        <v>19</v>
      </c>
      <c r="I7" s="52">
        <v>19</v>
      </c>
      <c r="J7" s="52">
        <v>15</v>
      </c>
      <c r="K7" s="52">
        <v>45</v>
      </c>
      <c r="L7" s="52">
        <v>76</v>
      </c>
      <c r="M7" s="52">
        <v>54</v>
      </c>
      <c r="N7" s="52">
        <v>260</v>
      </c>
    </row>
    <row r="8" spans="2:14" x14ac:dyDescent="0.3">
      <c r="B8" t="s">
        <v>148</v>
      </c>
      <c r="C8" s="52">
        <v>199</v>
      </c>
      <c r="D8" s="52">
        <v>332</v>
      </c>
      <c r="E8" s="52">
        <v>231</v>
      </c>
      <c r="F8" s="52">
        <v>504</v>
      </c>
      <c r="G8" s="52">
        <v>492</v>
      </c>
      <c r="H8" s="52">
        <v>597</v>
      </c>
      <c r="I8" s="52">
        <v>321</v>
      </c>
      <c r="J8" s="52">
        <v>334</v>
      </c>
      <c r="K8" s="52">
        <v>731</v>
      </c>
      <c r="L8" s="52">
        <v>896</v>
      </c>
      <c r="M8" s="53">
        <v>1053</v>
      </c>
      <c r="N8" s="52">
        <v>604</v>
      </c>
    </row>
    <row r="9" spans="2:14" x14ac:dyDescent="0.3">
      <c r="B9" t="s">
        <v>149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693</v>
      </c>
      <c r="I9" s="52">
        <v>764</v>
      </c>
      <c r="J9" s="52">
        <v>745</v>
      </c>
      <c r="K9" s="52">
        <v>811</v>
      </c>
      <c r="L9" s="52">
        <v>960</v>
      </c>
      <c r="M9" s="53">
        <v>1367</v>
      </c>
      <c r="N9" s="53">
        <v>1427</v>
      </c>
    </row>
    <row r="10" spans="2:14" x14ac:dyDescent="0.3">
      <c r="B10" t="s">
        <v>150</v>
      </c>
      <c r="C10" s="52">
        <v>9</v>
      </c>
      <c r="D10" s="52">
        <v>8</v>
      </c>
      <c r="E10" s="52">
        <v>20</v>
      </c>
      <c r="F10" s="52">
        <v>15</v>
      </c>
      <c r="G10" s="52">
        <v>13</v>
      </c>
      <c r="H10" s="52">
        <v>11</v>
      </c>
      <c r="I10" s="52">
        <v>15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</row>
    <row r="11" spans="2:14" x14ac:dyDescent="0.3">
      <c r="B11" s="36" t="s">
        <v>151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2:14" x14ac:dyDescent="0.3">
      <c r="B12" t="s">
        <v>152</v>
      </c>
      <c r="C12" s="52">
        <v>246</v>
      </c>
      <c r="D12" s="52">
        <v>264</v>
      </c>
      <c r="E12" s="52">
        <v>384</v>
      </c>
      <c r="F12" s="52">
        <v>375</v>
      </c>
      <c r="G12" s="52">
        <v>328</v>
      </c>
      <c r="H12" s="52">
        <v>361</v>
      </c>
      <c r="I12" s="52">
        <v>404</v>
      </c>
      <c r="J12" s="52">
        <v>423</v>
      </c>
      <c r="K12" s="52">
        <v>388</v>
      </c>
      <c r="L12" s="52">
        <v>454</v>
      </c>
      <c r="M12" s="52">
        <v>695</v>
      </c>
      <c r="N12" s="52">
        <v>659</v>
      </c>
    </row>
    <row r="13" spans="2:14" x14ac:dyDescent="0.3">
      <c r="B13" t="s">
        <v>3</v>
      </c>
      <c r="C13" s="53">
        <v>1746</v>
      </c>
      <c r="D13" s="53">
        <v>1549</v>
      </c>
      <c r="E13" s="53">
        <v>1565</v>
      </c>
      <c r="F13" s="53">
        <v>1923</v>
      </c>
      <c r="G13" s="53">
        <v>2160</v>
      </c>
      <c r="H13" s="53">
        <v>2394</v>
      </c>
      <c r="I13" s="53">
        <v>2137</v>
      </c>
      <c r="J13" s="53">
        <v>3379</v>
      </c>
      <c r="K13" s="53">
        <v>4164</v>
      </c>
      <c r="L13" s="53">
        <v>3635</v>
      </c>
      <c r="M13" s="53">
        <v>3831</v>
      </c>
      <c r="N13" s="53">
        <v>3848</v>
      </c>
    </row>
    <row r="14" spans="2:14" x14ac:dyDescent="0.3">
      <c r="B14" t="s">
        <v>153</v>
      </c>
      <c r="C14" s="52">
        <v>0</v>
      </c>
      <c r="D14" s="52">
        <v>5</v>
      </c>
      <c r="E14" s="52">
        <v>12</v>
      </c>
      <c r="F14" s="52">
        <v>17</v>
      </c>
      <c r="G14" s="52">
        <v>16</v>
      </c>
      <c r="H14" s="52">
        <v>13</v>
      </c>
      <c r="I14" s="52">
        <v>29</v>
      </c>
      <c r="J14" s="52">
        <v>41</v>
      </c>
      <c r="K14" s="52">
        <v>76</v>
      </c>
      <c r="L14" s="52">
        <v>108</v>
      </c>
      <c r="M14" s="52">
        <v>154</v>
      </c>
      <c r="N14" s="52">
        <v>173</v>
      </c>
    </row>
    <row r="15" spans="2:14" x14ac:dyDescent="0.3">
      <c r="B15" t="s">
        <v>154</v>
      </c>
      <c r="C15" s="35">
        <v>1795</v>
      </c>
      <c r="D15" s="35">
        <v>1937</v>
      </c>
      <c r="E15" s="35">
        <v>1750</v>
      </c>
      <c r="F15" s="35">
        <v>1925</v>
      </c>
      <c r="G15" s="35">
        <v>2316</v>
      </c>
      <c r="H15" s="35">
        <v>2690</v>
      </c>
      <c r="I15" s="35">
        <v>2320</v>
      </c>
      <c r="J15" s="35">
        <v>2613</v>
      </c>
      <c r="K15" s="35">
        <v>2932</v>
      </c>
      <c r="L15" s="35">
        <v>3657</v>
      </c>
      <c r="M15" s="35">
        <v>4017</v>
      </c>
      <c r="N15" s="35">
        <v>3985</v>
      </c>
    </row>
    <row r="16" spans="2:14" ht="15" thickBot="1" x14ac:dyDescent="0.35">
      <c r="B16" s="45" t="s">
        <v>155</v>
      </c>
      <c r="C16" s="46">
        <v>8075</v>
      </c>
      <c r="D16" s="46">
        <v>8914</v>
      </c>
      <c r="E16" s="46">
        <v>10559</v>
      </c>
      <c r="F16" s="46">
        <v>12405</v>
      </c>
      <c r="G16" s="46">
        <v>13763</v>
      </c>
      <c r="H16" s="46">
        <v>16249</v>
      </c>
      <c r="I16" s="46">
        <v>16138</v>
      </c>
      <c r="J16" s="46">
        <v>20355</v>
      </c>
      <c r="K16" s="46">
        <v>22958</v>
      </c>
      <c r="L16" s="46">
        <v>25779</v>
      </c>
      <c r="M16" s="46">
        <v>29901</v>
      </c>
      <c r="N16" s="46">
        <v>30355</v>
      </c>
    </row>
    <row r="17" spans="2:14" x14ac:dyDescent="0.3">
      <c r="B17" s="36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2:14" x14ac:dyDescent="0.3">
      <c r="B18" s="36" t="s">
        <v>156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 x14ac:dyDescent="0.3">
      <c r="B19" t="s">
        <v>157</v>
      </c>
      <c r="C19" s="52">
        <v>247</v>
      </c>
      <c r="D19" s="52">
        <v>251</v>
      </c>
      <c r="E19" s="52">
        <v>429</v>
      </c>
      <c r="F19" s="52">
        <v>408</v>
      </c>
      <c r="G19" s="52">
        <v>586</v>
      </c>
      <c r="H19" s="52">
        <v>605</v>
      </c>
      <c r="I19" s="52">
        <v>640</v>
      </c>
      <c r="J19" s="52">
        <v>644</v>
      </c>
      <c r="K19" s="52">
        <v>644</v>
      </c>
      <c r="L19" s="52">
        <v>804</v>
      </c>
      <c r="M19" s="53">
        <v>1126</v>
      </c>
      <c r="N19" s="53">
        <v>1050</v>
      </c>
    </row>
    <row r="20" spans="2:14" x14ac:dyDescent="0.3">
      <c r="B20" t="s">
        <v>158</v>
      </c>
      <c r="C20" s="52">
        <v>931</v>
      </c>
      <c r="D20" s="52">
        <v>962</v>
      </c>
      <c r="E20" s="52">
        <v>923</v>
      </c>
      <c r="F20" s="52">
        <v>931</v>
      </c>
      <c r="G20" s="52">
        <v>957</v>
      </c>
      <c r="H20" s="53">
        <v>2402</v>
      </c>
      <c r="I20" s="53">
        <v>2257</v>
      </c>
      <c r="J20" s="53">
        <v>2249</v>
      </c>
      <c r="K20" s="53">
        <v>2325</v>
      </c>
      <c r="L20" s="53">
        <v>2883</v>
      </c>
      <c r="M20" s="53">
        <v>3390</v>
      </c>
      <c r="N20" s="53">
        <v>4136</v>
      </c>
    </row>
    <row r="21" spans="2:14" x14ac:dyDescent="0.3">
      <c r="B21" t="s">
        <v>159</v>
      </c>
      <c r="C21" s="53">
        <v>2054</v>
      </c>
      <c r="D21" s="53">
        <v>2132</v>
      </c>
      <c r="E21" s="53">
        <v>1793</v>
      </c>
      <c r="F21" s="53">
        <v>1980</v>
      </c>
      <c r="G21" s="53">
        <v>2157</v>
      </c>
      <c r="H21" s="53">
        <v>4006</v>
      </c>
      <c r="I21" s="53">
        <v>4208</v>
      </c>
      <c r="J21" s="53">
        <v>4340</v>
      </c>
      <c r="K21" s="53">
        <v>4531</v>
      </c>
      <c r="L21" s="53">
        <v>4825</v>
      </c>
      <c r="M21" s="53">
        <v>5422</v>
      </c>
      <c r="N21" s="53">
        <v>7576</v>
      </c>
    </row>
    <row r="22" spans="2:14" x14ac:dyDescent="0.3">
      <c r="B22" t="s">
        <v>160</v>
      </c>
      <c r="C22" s="52">
        <v>155</v>
      </c>
      <c r="D22" s="52">
        <v>171</v>
      </c>
      <c r="E22" s="52">
        <v>97</v>
      </c>
      <c r="F22" s="52">
        <v>119</v>
      </c>
      <c r="G22" s="52">
        <v>200</v>
      </c>
      <c r="H22" s="52">
        <v>221</v>
      </c>
      <c r="I22" s="52">
        <v>241</v>
      </c>
      <c r="J22" s="52">
        <v>243</v>
      </c>
      <c r="K22" s="52">
        <v>253</v>
      </c>
      <c r="L22" s="52">
        <v>270</v>
      </c>
      <c r="M22" s="52">
        <v>298</v>
      </c>
      <c r="N22" s="52">
        <v>325</v>
      </c>
    </row>
    <row r="23" spans="2:14" x14ac:dyDescent="0.3">
      <c r="B23" t="s">
        <v>161</v>
      </c>
      <c r="C23" s="52">
        <v>71</v>
      </c>
      <c r="D23" s="52">
        <v>83</v>
      </c>
      <c r="E23" s="52">
        <v>49</v>
      </c>
      <c r="F23" s="52">
        <v>59</v>
      </c>
      <c r="G23" s="52">
        <v>72</v>
      </c>
      <c r="H23" s="52">
        <v>88</v>
      </c>
      <c r="I23" s="52">
        <v>94</v>
      </c>
      <c r="J23" s="52">
        <v>99</v>
      </c>
      <c r="K23" s="52">
        <v>113</v>
      </c>
      <c r="L23" s="52">
        <v>146</v>
      </c>
      <c r="M23" s="52">
        <v>175</v>
      </c>
      <c r="N23" s="52">
        <v>203</v>
      </c>
    </row>
    <row r="24" spans="2:14" x14ac:dyDescent="0.3">
      <c r="B24" t="s">
        <v>162</v>
      </c>
      <c r="C24" s="52">
        <v>14</v>
      </c>
      <c r="D24" s="52">
        <v>18</v>
      </c>
      <c r="E24" s="52">
        <v>11</v>
      </c>
      <c r="F24" s="52">
        <v>14</v>
      </c>
      <c r="G24" s="52">
        <v>27</v>
      </c>
      <c r="H24" s="52">
        <v>47</v>
      </c>
      <c r="I24" s="52">
        <v>43</v>
      </c>
      <c r="J24" s="52">
        <v>38</v>
      </c>
      <c r="K24" s="52">
        <v>32</v>
      </c>
      <c r="L24" s="52">
        <v>36</v>
      </c>
      <c r="M24" s="52">
        <v>40</v>
      </c>
      <c r="N24" s="52">
        <v>39</v>
      </c>
    </row>
    <row r="25" spans="2:14" x14ac:dyDescent="0.3">
      <c r="B25" t="s">
        <v>163</v>
      </c>
      <c r="C25" s="52">
        <v>203</v>
      </c>
      <c r="D25" s="52">
        <v>351</v>
      </c>
      <c r="E25" s="52">
        <v>339</v>
      </c>
      <c r="F25" s="52">
        <v>276</v>
      </c>
      <c r="G25" s="52">
        <v>468</v>
      </c>
      <c r="H25" s="52">
        <v>512</v>
      </c>
      <c r="I25" s="52">
        <v>505</v>
      </c>
      <c r="J25" s="52">
        <v>476</v>
      </c>
      <c r="K25" s="52">
        <v>345</v>
      </c>
      <c r="L25" s="52">
        <v>422</v>
      </c>
      <c r="M25" s="52">
        <v>850</v>
      </c>
      <c r="N25" s="52">
        <v>827</v>
      </c>
    </row>
    <row r="26" spans="2:14" x14ac:dyDescent="0.3">
      <c r="B26" t="s">
        <v>164</v>
      </c>
      <c r="C26" s="52">
        <v>128</v>
      </c>
      <c r="D26" s="52">
        <v>145</v>
      </c>
      <c r="E26" s="52">
        <v>103</v>
      </c>
      <c r="F26" s="52">
        <v>128</v>
      </c>
      <c r="G26" s="52">
        <v>238</v>
      </c>
      <c r="H26" s="52">
        <v>261</v>
      </c>
      <c r="I26" s="52">
        <v>293</v>
      </c>
      <c r="J26" s="52">
        <v>302</v>
      </c>
      <c r="K26" s="52">
        <v>294</v>
      </c>
      <c r="L26" s="52">
        <v>289</v>
      </c>
      <c r="M26" s="52">
        <v>321</v>
      </c>
      <c r="N26" s="52">
        <v>328</v>
      </c>
    </row>
    <row r="27" spans="2:14" x14ac:dyDescent="0.3">
      <c r="B27" s="36" t="s">
        <v>165</v>
      </c>
      <c r="C27" s="53">
        <v>3804</v>
      </c>
      <c r="D27" s="53">
        <v>4112</v>
      </c>
      <c r="E27" s="53">
        <v>3744</v>
      </c>
      <c r="F27" s="53">
        <v>3914</v>
      </c>
      <c r="G27" s="53">
        <v>4705</v>
      </c>
      <c r="H27" s="53">
        <v>8141</v>
      </c>
      <c r="I27" s="53">
        <v>8282</v>
      </c>
      <c r="J27" s="53">
        <v>8392</v>
      </c>
      <c r="K27" s="53">
        <v>8538</v>
      </c>
      <c r="L27" s="53">
        <v>9676</v>
      </c>
      <c r="M27" s="53">
        <v>11622</v>
      </c>
      <c r="N27" s="53">
        <v>14484</v>
      </c>
    </row>
    <row r="28" spans="2:14" x14ac:dyDescent="0.3">
      <c r="B28" s="36" t="s">
        <v>166</v>
      </c>
      <c r="C28" s="35">
        <v>1223</v>
      </c>
      <c r="D28" s="35">
        <v>1438</v>
      </c>
      <c r="E28">
        <v>275</v>
      </c>
      <c r="F28">
        <v>610</v>
      </c>
      <c r="G28">
        <v>973</v>
      </c>
      <c r="H28" s="35">
        <v>1592</v>
      </c>
      <c r="I28" s="35">
        <v>2010</v>
      </c>
      <c r="J28" s="35">
        <v>2533</v>
      </c>
      <c r="K28" s="35">
        <v>3019</v>
      </c>
      <c r="L28" s="35">
        <v>3814</v>
      </c>
      <c r="M28" s="35">
        <v>4381</v>
      </c>
      <c r="N28" s="35">
        <v>4945</v>
      </c>
    </row>
    <row r="29" spans="2:14" s="10" customFormat="1" x14ac:dyDescent="0.3">
      <c r="B29" s="47" t="s">
        <v>97</v>
      </c>
      <c r="C29" s="48">
        <f>SUM(C27:C28)</f>
        <v>5027</v>
      </c>
      <c r="D29" s="48">
        <f t="shared" ref="D29:N29" si="0">SUM(D27:D28)</f>
        <v>5550</v>
      </c>
      <c r="E29" s="48">
        <f t="shared" si="0"/>
        <v>4019</v>
      </c>
      <c r="F29" s="48">
        <f t="shared" si="0"/>
        <v>4524</v>
      </c>
      <c r="G29" s="48">
        <f t="shared" si="0"/>
        <v>5678</v>
      </c>
      <c r="H29" s="48">
        <f t="shared" si="0"/>
        <v>9733</v>
      </c>
      <c r="I29" s="48">
        <f t="shared" si="0"/>
        <v>10292</v>
      </c>
      <c r="J29" s="48">
        <f t="shared" si="0"/>
        <v>10925</v>
      </c>
      <c r="K29" s="48">
        <f t="shared" si="0"/>
        <v>11557</v>
      </c>
      <c r="L29" s="48">
        <f t="shared" si="0"/>
        <v>13490</v>
      </c>
      <c r="M29" s="48">
        <f t="shared" si="0"/>
        <v>16003</v>
      </c>
      <c r="N29" s="48">
        <f t="shared" si="0"/>
        <v>19429</v>
      </c>
    </row>
    <row r="30" spans="2:14" s="10" customFormat="1" x14ac:dyDescent="0.3">
      <c r="B30" s="49"/>
    </row>
    <row r="31" spans="2:14" x14ac:dyDescent="0.3">
      <c r="B31" s="36" t="s">
        <v>167</v>
      </c>
      <c r="C31" s="50">
        <v>72</v>
      </c>
      <c r="D31" s="50">
        <v>196</v>
      </c>
      <c r="E31" s="50">
        <v>107</v>
      </c>
      <c r="F31" s="50">
        <v>258</v>
      </c>
      <c r="G31" s="51">
        <v>1405</v>
      </c>
      <c r="H31" s="50">
        <v>210</v>
      </c>
      <c r="I31" s="50">
        <v>140</v>
      </c>
      <c r="J31" s="50">
        <v>183</v>
      </c>
      <c r="K31" s="50">
        <v>426</v>
      </c>
      <c r="L31" s="51">
        <v>1020</v>
      </c>
      <c r="M31" s="51">
        <v>2698</v>
      </c>
      <c r="N31" s="51">
        <v>1254</v>
      </c>
    </row>
    <row r="32" spans="2:14" x14ac:dyDescent="0.3">
      <c r="B32" s="36" t="s">
        <v>99</v>
      </c>
      <c r="C32" s="51">
        <v>1424</v>
      </c>
      <c r="D32" s="51">
        <v>1588</v>
      </c>
      <c r="E32" s="51">
        <v>2712</v>
      </c>
      <c r="F32" s="51">
        <v>2652</v>
      </c>
      <c r="G32" s="51">
        <v>2141</v>
      </c>
      <c r="H32" s="51">
        <v>2569</v>
      </c>
      <c r="I32" s="51">
        <v>2019</v>
      </c>
      <c r="J32" s="51">
        <v>4737</v>
      </c>
      <c r="K32" s="51">
        <v>3248</v>
      </c>
      <c r="L32" s="51">
        <v>4262</v>
      </c>
      <c r="M32" s="51">
        <v>4588</v>
      </c>
      <c r="N32" s="51">
        <v>4725</v>
      </c>
    </row>
    <row r="33" spans="2:14" x14ac:dyDescent="0.3">
      <c r="B33" s="36" t="s">
        <v>168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2:14" x14ac:dyDescent="0.3">
      <c r="B34" t="s">
        <v>169</v>
      </c>
      <c r="C34" s="53">
        <v>2070</v>
      </c>
      <c r="D34" s="53">
        <v>2259</v>
      </c>
      <c r="E34" s="53">
        <v>1998</v>
      </c>
      <c r="F34" s="53">
        <v>2627</v>
      </c>
      <c r="G34" s="53">
        <v>2658</v>
      </c>
      <c r="H34" s="53">
        <v>3150</v>
      </c>
      <c r="I34" s="53">
        <v>3390</v>
      </c>
      <c r="J34" s="53">
        <v>3799</v>
      </c>
      <c r="K34" s="53">
        <v>6153</v>
      </c>
      <c r="L34" s="53">
        <v>6211</v>
      </c>
      <c r="M34" s="53">
        <v>5923</v>
      </c>
      <c r="N34" s="53">
        <v>6719</v>
      </c>
    </row>
    <row r="35" spans="2:14" x14ac:dyDescent="0.3">
      <c r="B35" t="s">
        <v>174</v>
      </c>
      <c r="C35" s="53">
        <v>1110</v>
      </c>
      <c r="D35" s="53">
        <v>1182</v>
      </c>
      <c r="E35" s="53">
        <v>1187</v>
      </c>
      <c r="F35" s="53">
        <v>1447</v>
      </c>
      <c r="G35" s="53">
        <v>1731</v>
      </c>
      <c r="H35" s="53">
        <v>1907</v>
      </c>
      <c r="I35" s="53">
        <v>1795</v>
      </c>
      <c r="J35" s="53">
        <v>2602</v>
      </c>
      <c r="K35" s="53">
        <v>3871</v>
      </c>
      <c r="L35" s="53">
        <v>4637</v>
      </c>
      <c r="M35" s="53">
        <v>4889</v>
      </c>
      <c r="N35" s="53">
        <v>4314</v>
      </c>
    </row>
    <row r="36" spans="2:14" x14ac:dyDescent="0.3">
      <c r="B36" t="s">
        <v>170</v>
      </c>
      <c r="C36" s="52">
        <v>229</v>
      </c>
      <c r="D36" s="52">
        <v>204</v>
      </c>
      <c r="E36" s="52">
        <v>424</v>
      </c>
      <c r="F36" s="52">
        <v>801</v>
      </c>
      <c r="G36" s="52">
        <v>405</v>
      </c>
      <c r="H36" s="52">
        <v>445</v>
      </c>
      <c r="I36" s="52">
        <v>783</v>
      </c>
      <c r="J36" s="52">
        <v>611</v>
      </c>
      <c r="K36" s="52">
        <v>864</v>
      </c>
      <c r="L36" s="52">
        <v>844</v>
      </c>
      <c r="M36" s="53">
        <v>1084</v>
      </c>
      <c r="N36" s="52">
        <v>782</v>
      </c>
    </row>
    <row r="37" spans="2:14" x14ac:dyDescent="0.3">
      <c r="B37" t="s">
        <v>171</v>
      </c>
      <c r="C37" s="52">
        <v>7</v>
      </c>
      <c r="D37" s="52">
        <v>8</v>
      </c>
      <c r="E37" s="52">
        <v>9</v>
      </c>
      <c r="F37" s="52">
        <v>14</v>
      </c>
      <c r="G37" s="52">
        <v>13</v>
      </c>
      <c r="H37" s="52">
        <v>16</v>
      </c>
      <c r="I37" s="52">
        <v>12</v>
      </c>
      <c r="J37" s="52">
        <v>11</v>
      </c>
      <c r="K37" s="52">
        <v>8</v>
      </c>
      <c r="L37" s="52">
        <v>12</v>
      </c>
      <c r="M37" s="52">
        <v>17</v>
      </c>
      <c r="N37" s="52">
        <v>22</v>
      </c>
    </row>
    <row r="38" spans="2:14" x14ac:dyDescent="0.3">
      <c r="B38" t="s">
        <v>172</v>
      </c>
      <c r="C38">
        <v>603</v>
      </c>
      <c r="D38">
        <v>817</v>
      </c>
      <c r="E38">
        <v>705</v>
      </c>
      <c r="F38" s="35">
        <v>1303</v>
      </c>
      <c r="G38" s="35">
        <v>1678</v>
      </c>
      <c r="H38" s="35">
        <v>1456</v>
      </c>
      <c r="I38" s="35">
        <v>1727</v>
      </c>
      <c r="J38" s="35">
        <v>2555</v>
      </c>
      <c r="K38" s="35">
        <v>2869</v>
      </c>
      <c r="L38" s="35">
        <v>3024</v>
      </c>
      <c r="M38" s="35">
        <v>3555</v>
      </c>
      <c r="N38" s="35">
        <v>3319</v>
      </c>
    </row>
    <row r="39" spans="2:14" ht="15" thickBot="1" x14ac:dyDescent="0.35">
      <c r="B39" s="45" t="s">
        <v>173</v>
      </c>
      <c r="C39" s="46">
        <v>8075</v>
      </c>
      <c r="D39" s="46">
        <v>8914</v>
      </c>
      <c r="E39" s="46">
        <v>10559</v>
      </c>
      <c r="F39" s="46">
        <v>12405</v>
      </c>
      <c r="G39" s="46">
        <v>13763</v>
      </c>
      <c r="H39" s="46">
        <v>16249</v>
      </c>
      <c r="I39" s="46">
        <v>16138</v>
      </c>
      <c r="J39" s="46">
        <v>20355</v>
      </c>
      <c r="K39" s="46">
        <v>22958</v>
      </c>
      <c r="L39" s="46">
        <v>25779</v>
      </c>
      <c r="M39" s="46">
        <v>29901</v>
      </c>
      <c r="N39" s="46">
        <v>30355</v>
      </c>
    </row>
  </sheetData>
  <pageMargins left="0.7" right="0.7" top="0.75" bottom="0.75" header="0.3" footer="0.3"/>
  <ignoredErrors>
    <ignoredError sqref="C29:N29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9979-0C87-4AD1-8A46-D2F644E0FE1E}">
  <dimension ref="B1:N32"/>
  <sheetViews>
    <sheetView showGridLines="0" workbookViewId="0">
      <selection activeCell="M11" sqref="M11"/>
    </sheetView>
  </sheetViews>
  <sheetFormatPr defaultRowHeight="14.4" x14ac:dyDescent="0.3"/>
  <cols>
    <col min="1" max="1" width="1.88671875" customWidth="1"/>
    <col min="2" max="2" width="28.77734375" bestFit="1" customWidth="1"/>
    <col min="3" max="6" width="8.5546875" bestFit="1" customWidth="1"/>
    <col min="7" max="9" width="9.88671875" bestFit="1" customWidth="1"/>
    <col min="10" max="10" width="9.5546875" bestFit="1" customWidth="1"/>
    <col min="11" max="14" width="9.88671875" bestFit="1" customWidth="1"/>
  </cols>
  <sheetData>
    <row r="1" spans="2:14" ht="23.4" x14ac:dyDescent="0.45">
      <c r="B1" s="43" t="str">
        <f>'Data Sheet'!B1</f>
        <v>ASIAN PAINTS LTD</v>
      </c>
    </row>
    <row r="2" spans="2:14" x14ac:dyDescent="0.3">
      <c r="B2" s="41" t="s">
        <v>144</v>
      </c>
      <c r="C2" s="42">
        <v>41699</v>
      </c>
      <c r="D2" s="42">
        <f>C2+366</f>
        <v>42065</v>
      </c>
      <c r="E2" s="42">
        <f t="shared" ref="E2:N2" si="0">D2+366</f>
        <v>42431</v>
      </c>
      <c r="F2" s="42">
        <f t="shared" si="0"/>
        <v>42797</v>
      </c>
      <c r="G2" s="42">
        <f t="shared" si="0"/>
        <v>43163</v>
      </c>
      <c r="H2" s="42">
        <f t="shared" si="0"/>
        <v>43529</v>
      </c>
      <c r="I2" s="42">
        <f t="shared" si="0"/>
        <v>43895</v>
      </c>
      <c r="J2" s="42">
        <f t="shared" si="0"/>
        <v>44261</v>
      </c>
      <c r="K2" s="42">
        <f t="shared" si="0"/>
        <v>44627</v>
      </c>
      <c r="L2" s="42">
        <f t="shared" si="0"/>
        <v>44993</v>
      </c>
      <c r="M2" s="42">
        <f t="shared" si="0"/>
        <v>45359</v>
      </c>
      <c r="N2" s="42">
        <f t="shared" si="0"/>
        <v>45725</v>
      </c>
    </row>
    <row r="3" spans="2:14" x14ac:dyDescent="0.3">
      <c r="B3" s="36" t="s">
        <v>119</v>
      </c>
      <c r="C3" s="37">
        <v>1402</v>
      </c>
      <c r="D3" s="37">
        <v>1188</v>
      </c>
      <c r="E3" s="37">
        <v>2243</v>
      </c>
      <c r="F3" s="37">
        <v>1527</v>
      </c>
      <c r="G3" s="37">
        <v>2113</v>
      </c>
      <c r="H3" s="37">
        <v>2470</v>
      </c>
      <c r="I3" s="37">
        <v>3038</v>
      </c>
      <c r="J3" s="37">
        <v>3683</v>
      </c>
      <c r="K3" s="37">
        <v>986</v>
      </c>
      <c r="L3" s="37">
        <v>4193</v>
      </c>
      <c r="M3" s="37">
        <v>6104</v>
      </c>
      <c r="N3" s="37">
        <v>4424</v>
      </c>
    </row>
    <row r="4" spans="2:14" x14ac:dyDescent="0.3">
      <c r="B4" t="s">
        <v>120</v>
      </c>
      <c r="C4" s="38">
        <v>2051</v>
      </c>
      <c r="D4" s="38">
        <v>2271</v>
      </c>
      <c r="E4" s="38">
        <v>2848</v>
      </c>
      <c r="F4" s="38">
        <v>3056</v>
      </c>
      <c r="G4" s="38">
        <v>3274</v>
      </c>
      <c r="H4" s="38">
        <v>3861</v>
      </c>
      <c r="I4" s="38">
        <v>4380</v>
      </c>
      <c r="J4" s="38">
        <v>4970</v>
      </c>
      <c r="K4" s="38">
        <v>4957</v>
      </c>
      <c r="L4" s="38">
        <v>6460</v>
      </c>
      <c r="M4" s="38">
        <v>7929</v>
      </c>
      <c r="N4" s="38">
        <v>6390</v>
      </c>
    </row>
    <row r="5" spans="2:14" x14ac:dyDescent="0.3">
      <c r="B5" t="s">
        <v>101</v>
      </c>
      <c r="C5" s="38">
        <v>-254</v>
      </c>
      <c r="D5" s="38">
        <v>-155</v>
      </c>
      <c r="E5" s="38">
        <v>-146</v>
      </c>
      <c r="F5" s="38">
        <v>-475</v>
      </c>
      <c r="G5" s="38">
        <v>-483</v>
      </c>
      <c r="H5" s="38">
        <v>-205</v>
      </c>
      <c r="I5" s="38">
        <v>160</v>
      </c>
      <c r="J5" s="38">
        <v>-849</v>
      </c>
      <c r="K5" s="38">
        <v>-1326</v>
      </c>
      <c r="L5" s="38">
        <v>-834</v>
      </c>
      <c r="M5" s="38">
        <v>-362</v>
      </c>
      <c r="N5" s="38">
        <v>282</v>
      </c>
    </row>
    <row r="6" spans="2:14" x14ac:dyDescent="0.3">
      <c r="B6" t="s">
        <v>102</v>
      </c>
      <c r="C6" s="38">
        <v>-231</v>
      </c>
      <c r="D6" s="38">
        <v>-144</v>
      </c>
      <c r="E6" s="38">
        <v>202</v>
      </c>
      <c r="F6" s="38">
        <v>-629</v>
      </c>
      <c r="G6" s="38">
        <v>-39</v>
      </c>
      <c r="H6" s="38">
        <v>-492</v>
      </c>
      <c r="I6" s="38">
        <v>-251</v>
      </c>
      <c r="J6" s="38">
        <v>-409</v>
      </c>
      <c r="K6" s="38">
        <v>-2354</v>
      </c>
      <c r="L6" s="38">
        <v>-56</v>
      </c>
      <c r="M6" s="38">
        <v>315</v>
      </c>
      <c r="N6" s="38">
        <v>-805</v>
      </c>
    </row>
    <row r="7" spans="2:14" x14ac:dyDescent="0.3">
      <c r="B7" t="s">
        <v>121</v>
      </c>
      <c r="C7" s="38">
        <v>317</v>
      </c>
      <c r="D7" s="38">
        <v>-151</v>
      </c>
      <c r="E7" s="38">
        <v>142</v>
      </c>
      <c r="F7" s="38">
        <v>501</v>
      </c>
      <c r="G7" s="38">
        <v>442</v>
      </c>
      <c r="H7" s="38">
        <v>287</v>
      </c>
      <c r="I7" s="38">
        <v>-241</v>
      </c>
      <c r="J7" s="38">
        <v>1143</v>
      </c>
      <c r="K7" s="38">
        <v>644</v>
      </c>
      <c r="L7" s="38">
        <v>-539</v>
      </c>
      <c r="M7" s="38">
        <v>269</v>
      </c>
      <c r="N7" s="38">
        <v>-160</v>
      </c>
    </row>
    <row r="8" spans="2:14" x14ac:dyDescent="0.3">
      <c r="B8" t="s">
        <v>122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-92</v>
      </c>
      <c r="K8" s="38">
        <v>242</v>
      </c>
      <c r="L8" s="38">
        <v>657</v>
      </c>
      <c r="M8" s="38">
        <v>-212</v>
      </c>
      <c r="N8" s="38">
        <v>114</v>
      </c>
    </row>
    <row r="9" spans="2:14" x14ac:dyDescent="0.3">
      <c r="B9" t="s">
        <v>123</v>
      </c>
      <c r="C9" s="38">
        <v>-168</v>
      </c>
      <c r="D9" s="38">
        <v>-450</v>
      </c>
      <c r="E9" s="38">
        <v>198</v>
      </c>
      <c r="F9" s="38">
        <v>-603</v>
      </c>
      <c r="G9" s="38">
        <v>-80</v>
      </c>
      <c r="H9" s="38">
        <v>-410</v>
      </c>
      <c r="I9" s="38">
        <v>-331</v>
      </c>
      <c r="J9" s="38">
        <v>-206</v>
      </c>
      <c r="K9" s="38">
        <v>-2795</v>
      </c>
      <c r="L9" s="38">
        <v>-772</v>
      </c>
      <c r="M9" s="38">
        <v>10</v>
      </c>
      <c r="N9" s="38">
        <v>-570</v>
      </c>
    </row>
    <row r="10" spans="2:14" x14ac:dyDescent="0.3">
      <c r="B10" t="s">
        <v>124</v>
      </c>
      <c r="C10" s="38">
        <v>-480</v>
      </c>
      <c r="D10" s="38">
        <v>-633</v>
      </c>
      <c r="E10" s="38">
        <v>-802</v>
      </c>
      <c r="F10" s="38">
        <v>-925</v>
      </c>
      <c r="G10" s="38">
        <v>-1081</v>
      </c>
      <c r="H10" s="38">
        <v>-982</v>
      </c>
      <c r="I10" s="38">
        <v>-1011</v>
      </c>
      <c r="J10" s="38">
        <v>-1080</v>
      </c>
      <c r="K10" s="38">
        <v>-1176</v>
      </c>
      <c r="L10" s="38">
        <v>-1494</v>
      </c>
      <c r="M10" s="38">
        <v>-1835</v>
      </c>
      <c r="N10" s="38">
        <v>-1396</v>
      </c>
    </row>
    <row r="11" spans="2:14" x14ac:dyDescent="0.3"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2:14" x14ac:dyDescent="0.3">
      <c r="B12" s="36" t="s">
        <v>125</v>
      </c>
      <c r="C12" s="40">
        <v>-586</v>
      </c>
      <c r="D12" s="40">
        <v>-465</v>
      </c>
      <c r="E12" s="40">
        <v>-866</v>
      </c>
      <c r="F12" s="40">
        <v>-681</v>
      </c>
      <c r="G12" s="40">
        <v>-1556</v>
      </c>
      <c r="H12" s="40">
        <v>-918</v>
      </c>
      <c r="I12" s="40">
        <v>-518</v>
      </c>
      <c r="J12" s="40">
        <v>-541</v>
      </c>
      <c r="K12" s="40">
        <v>-317</v>
      </c>
      <c r="L12" s="40">
        <v>-1282</v>
      </c>
      <c r="M12" s="40">
        <v>-2548</v>
      </c>
      <c r="N12" s="40">
        <v>-941</v>
      </c>
    </row>
    <row r="13" spans="2:14" x14ac:dyDescent="0.3">
      <c r="B13" t="s">
        <v>126</v>
      </c>
      <c r="C13" s="38">
        <v>-251</v>
      </c>
      <c r="D13" s="38">
        <v>-454</v>
      </c>
      <c r="E13" s="38">
        <v>-817</v>
      </c>
      <c r="F13" s="38">
        <v>-684</v>
      </c>
      <c r="G13" s="38">
        <v>-1426</v>
      </c>
      <c r="H13" s="38">
        <v>-1151</v>
      </c>
      <c r="I13" s="38">
        <v>-404</v>
      </c>
      <c r="J13" s="38">
        <v>-282</v>
      </c>
      <c r="K13" s="38">
        <v>-551</v>
      </c>
      <c r="L13" s="38">
        <v>-1446</v>
      </c>
      <c r="M13" s="38">
        <v>-2496</v>
      </c>
      <c r="N13" s="38">
        <v>-1830</v>
      </c>
    </row>
    <row r="14" spans="2:14" x14ac:dyDescent="0.3">
      <c r="B14" t="s">
        <v>127</v>
      </c>
      <c r="C14" s="35">
        <v>16</v>
      </c>
      <c r="D14" s="35">
        <v>16</v>
      </c>
      <c r="E14" s="35">
        <v>15</v>
      </c>
      <c r="F14" s="35">
        <v>17</v>
      </c>
      <c r="G14" s="35">
        <v>17</v>
      </c>
      <c r="H14" s="35">
        <v>17</v>
      </c>
      <c r="I14" s="35">
        <v>37</v>
      </c>
      <c r="J14" s="35">
        <v>28</v>
      </c>
      <c r="K14" s="35">
        <v>40</v>
      </c>
      <c r="L14" s="35">
        <v>26</v>
      </c>
      <c r="M14" s="35">
        <v>5</v>
      </c>
      <c r="N14" s="35">
        <v>10</v>
      </c>
    </row>
    <row r="15" spans="2:14" x14ac:dyDescent="0.3">
      <c r="B15" t="s">
        <v>128</v>
      </c>
      <c r="C15" s="39">
        <v>-872</v>
      </c>
      <c r="D15" s="39">
        <v>-243</v>
      </c>
      <c r="E15" s="39">
        <v>-282</v>
      </c>
      <c r="F15" s="39">
        <v>-153</v>
      </c>
      <c r="G15" s="39">
        <v>-320</v>
      </c>
      <c r="H15" s="39">
        <v>-573</v>
      </c>
      <c r="I15" s="39">
        <v>-25</v>
      </c>
      <c r="J15" s="39">
        <v>-140</v>
      </c>
      <c r="K15" s="39">
        <v>0</v>
      </c>
      <c r="L15" s="39">
        <v>-146</v>
      </c>
      <c r="M15" s="39">
        <v>-212</v>
      </c>
      <c r="N15" s="39">
        <v>-1</v>
      </c>
    </row>
    <row r="16" spans="2:14" x14ac:dyDescent="0.3">
      <c r="B16" t="s">
        <v>129</v>
      </c>
      <c r="C16" s="38">
        <v>463</v>
      </c>
      <c r="D16" s="38">
        <v>278</v>
      </c>
      <c r="E16" s="38">
        <v>205</v>
      </c>
      <c r="F16" s="38">
        <v>357</v>
      </c>
      <c r="G16" s="38">
        <v>362</v>
      </c>
      <c r="H16" s="38">
        <v>733</v>
      </c>
      <c r="I16" s="38">
        <v>134</v>
      </c>
      <c r="J16" s="38">
        <v>272</v>
      </c>
      <c r="K16" s="38">
        <v>207</v>
      </c>
      <c r="L16" s="38">
        <v>446</v>
      </c>
      <c r="M16" s="38">
        <v>240</v>
      </c>
      <c r="N16" s="38">
        <v>421</v>
      </c>
    </row>
    <row r="17" spans="2:14" x14ac:dyDescent="0.3">
      <c r="B17" t="s">
        <v>130</v>
      </c>
      <c r="C17" s="38">
        <v>14</v>
      </c>
      <c r="D17" s="38">
        <v>11</v>
      </c>
      <c r="E17" s="38">
        <v>15</v>
      </c>
      <c r="F17" s="38">
        <v>32</v>
      </c>
      <c r="G17" s="38">
        <v>39</v>
      </c>
      <c r="H17" s="38">
        <v>40</v>
      </c>
      <c r="I17" s="38">
        <v>65</v>
      </c>
      <c r="J17" s="38">
        <v>73</v>
      </c>
      <c r="K17" s="38">
        <v>77</v>
      </c>
      <c r="L17" s="38">
        <v>87</v>
      </c>
      <c r="M17" s="38">
        <v>135</v>
      </c>
      <c r="N17" s="38">
        <v>155</v>
      </c>
    </row>
    <row r="18" spans="2:14" x14ac:dyDescent="0.3">
      <c r="B18" t="s">
        <v>131</v>
      </c>
      <c r="C18" s="38">
        <v>65</v>
      </c>
      <c r="D18" s="38">
        <v>71</v>
      </c>
      <c r="E18" s="38">
        <v>69</v>
      </c>
      <c r="F18" s="38">
        <v>74</v>
      </c>
      <c r="G18" s="38">
        <v>38</v>
      </c>
      <c r="H18" s="38">
        <v>40</v>
      </c>
      <c r="I18" s="38">
        <v>27</v>
      </c>
      <c r="J18" s="38">
        <v>8</v>
      </c>
      <c r="K18" s="38">
        <v>15</v>
      </c>
      <c r="L18" s="38">
        <v>56</v>
      </c>
      <c r="M18" s="38">
        <v>129</v>
      </c>
      <c r="N18" s="38">
        <v>136</v>
      </c>
    </row>
    <row r="19" spans="2:14" x14ac:dyDescent="0.3">
      <c r="B19" t="s">
        <v>132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-180</v>
      </c>
      <c r="M19" s="38">
        <v>0</v>
      </c>
      <c r="N19" s="38">
        <v>0</v>
      </c>
    </row>
    <row r="20" spans="2:14" x14ac:dyDescent="0.3">
      <c r="B20" t="s">
        <v>133</v>
      </c>
      <c r="C20" s="38">
        <v>0</v>
      </c>
      <c r="D20" s="38">
        <v>0</v>
      </c>
      <c r="E20" s="38">
        <v>0</v>
      </c>
      <c r="F20" s="38">
        <v>0</v>
      </c>
      <c r="G20" s="38">
        <v>141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38</v>
      </c>
    </row>
    <row r="21" spans="2:14" x14ac:dyDescent="0.3">
      <c r="B21" t="s">
        <v>134</v>
      </c>
      <c r="C21" s="38">
        <v>0</v>
      </c>
      <c r="D21" s="38">
        <v>0</v>
      </c>
      <c r="E21" s="38">
        <v>0</v>
      </c>
      <c r="F21" s="38">
        <v>0</v>
      </c>
      <c r="G21" s="38">
        <v>-525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</row>
    <row r="22" spans="2:14" x14ac:dyDescent="0.3">
      <c r="B22" t="s">
        <v>135</v>
      </c>
      <c r="C22" s="38">
        <v>-21</v>
      </c>
      <c r="D22" s="38">
        <v>-144</v>
      </c>
      <c r="E22" s="38">
        <v>-70</v>
      </c>
      <c r="F22" s="38">
        <v>-324</v>
      </c>
      <c r="G22" s="38">
        <v>118</v>
      </c>
      <c r="H22" s="38">
        <v>-24</v>
      </c>
      <c r="I22" s="38">
        <v>-353</v>
      </c>
      <c r="J22" s="38">
        <v>-500</v>
      </c>
      <c r="K22" s="38">
        <v>-105</v>
      </c>
      <c r="L22" s="38">
        <v>-126</v>
      </c>
      <c r="M22" s="38">
        <v>-350</v>
      </c>
      <c r="N22" s="38">
        <v>130</v>
      </c>
    </row>
    <row r="23" spans="2:14" x14ac:dyDescent="0.3"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2:14" x14ac:dyDescent="0.3">
      <c r="B24" s="36" t="s">
        <v>136</v>
      </c>
      <c r="C24" s="40">
        <v>-626</v>
      </c>
      <c r="D24" s="40">
        <v>-576</v>
      </c>
      <c r="E24" s="40">
        <v>-849</v>
      </c>
      <c r="F24" s="40">
        <v>-756</v>
      </c>
      <c r="G24" s="40">
        <v>-1379</v>
      </c>
      <c r="H24" s="40">
        <v>-1117</v>
      </c>
      <c r="I24" s="40">
        <v>-2871</v>
      </c>
      <c r="J24" s="40">
        <v>-650</v>
      </c>
      <c r="K24" s="40">
        <v>-1808</v>
      </c>
      <c r="L24" s="40">
        <v>-2140</v>
      </c>
      <c r="M24" s="40">
        <v>-2982</v>
      </c>
      <c r="N24" s="40">
        <v>-3753</v>
      </c>
    </row>
    <row r="25" spans="2:14" x14ac:dyDescent="0.3">
      <c r="B25" t="s">
        <v>137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1</v>
      </c>
      <c r="N25" s="38">
        <v>0</v>
      </c>
    </row>
    <row r="26" spans="2:14" x14ac:dyDescent="0.3">
      <c r="B26" t="s">
        <v>138</v>
      </c>
      <c r="C26" s="38">
        <v>44</v>
      </c>
      <c r="D26" s="38">
        <v>239</v>
      </c>
      <c r="E26" s="38">
        <v>8</v>
      </c>
      <c r="F26" s="38">
        <v>271</v>
      </c>
      <c r="G26" s="38">
        <v>10</v>
      </c>
      <c r="H26" s="38">
        <v>243</v>
      </c>
      <c r="I26" s="38">
        <v>18</v>
      </c>
      <c r="J26" s="38">
        <v>155</v>
      </c>
      <c r="K26" s="38">
        <v>418</v>
      </c>
      <c r="L26" s="38">
        <v>254</v>
      </c>
      <c r="M26" s="38">
        <v>101</v>
      </c>
      <c r="N26" s="38">
        <v>415</v>
      </c>
    </row>
    <row r="27" spans="2:14" x14ac:dyDescent="0.3">
      <c r="B27" t="s">
        <v>139</v>
      </c>
      <c r="C27" s="35">
        <v>-81</v>
      </c>
      <c r="D27">
        <v>-86</v>
      </c>
      <c r="E27" s="35">
        <v>-119</v>
      </c>
      <c r="F27" s="35">
        <v>-58</v>
      </c>
      <c r="G27" s="35">
        <v>-54</v>
      </c>
      <c r="H27" s="35">
        <v>-26</v>
      </c>
      <c r="I27" s="35">
        <v>-279</v>
      </c>
      <c r="J27" s="35">
        <v>-14</v>
      </c>
      <c r="K27" s="35">
        <v>-8</v>
      </c>
      <c r="L27" s="35">
        <v>-25</v>
      </c>
      <c r="M27" s="35">
        <v>-98</v>
      </c>
      <c r="N27" s="35">
        <v>-428</v>
      </c>
    </row>
    <row r="28" spans="2:14" x14ac:dyDescent="0.3">
      <c r="B28" t="s">
        <v>140</v>
      </c>
      <c r="C28" s="39">
        <v>-42</v>
      </c>
      <c r="D28" s="39">
        <v>-35</v>
      </c>
      <c r="E28" s="39">
        <v>-40</v>
      </c>
      <c r="F28" s="39">
        <v>-36</v>
      </c>
      <c r="G28" s="39">
        <v>-35</v>
      </c>
      <c r="H28" s="39">
        <v>-106</v>
      </c>
      <c r="I28" s="39">
        <v>-101</v>
      </c>
      <c r="J28" s="39">
        <v>-89</v>
      </c>
      <c r="K28" s="39">
        <v>-94</v>
      </c>
      <c r="L28" s="39">
        <v>-142</v>
      </c>
      <c r="M28" s="39">
        <v>-191</v>
      </c>
      <c r="N28" s="39">
        <v>-203</v>
      </c>
    </row>
    <row r="29" spans="2:14" x14ac:dyDescent="0.3">
      <c r="B29" t="s">
        <v>141</v>
      </c>
      <c r="C29" s="38">
        <v>-547</v>
      </c>
      <c r="D29" s="38">
        <v>-695</v>
      </c>
      <c r="E29" s="38">
        <v>-764</v>
      </c>
      <c r="F29" s="38">
        <v>-947</v>
      </c>
      <c r="G29" s="38">
        <v>-1218</v>
      </c>
      <c r="H29" s="38">
        <v>-1049</v>
      </c>
      <c r="I29" s="38">
        <v>-2121</v>
      </c>
      <c r="J29" s="38">
        <v>-499</v>
      </c>
      <c r="K29" s="38">
        <v>-1763</v>
      </c>
      <c r="L29" s="38">
        <v>-1936</v>
      </c>
      <c r="M29" s="38">
        <v>-2551</v>
      </c>
      <c r="N29" s="38">
        <v>-3140</v>
      </c>
    </row>
    <row r="30" spans="2:14" x14ac:dyDescent="0.3">
      <c r="B30" t="s">
        <v>142</v>
      </c>
      <c r="C30" s="38">
        <v>0</v>
      </c>
      <c r="D30" s="38">
        <v>0</v>
      </c>
      <c r="E30" s="38">
        <v>0</v>
      </c>
      <c r="F30" s="38">
        <v>0</v>
      </c>
      <c r="G30" s="38">
        <v>0</v>
      </c>
      <c r="H30" s="38">
        <v>-180</v>
      </c>
      <c r="I30" s="38">
        <v>-179</v>
      </c>
      <c r="J30" s="38">
        <v>-203</v>
      </c>
      <c r="K30" s="38">
        <v>-221</v>
      </c>
      <c r="L30" s="38">
        <v>-256</v>
      </c>
      <c r="M30" s="38">
        <v>-286</v>
      </c>
      <c r="N30" s="38">
        <v>-325</v>
      </c>
    </row>
    <row r="31" spans="2:14" x14ac:dyDescent="0.3">
      <c r="B31" t="s">
        <v>143</v>
      </c>
      <c r="C31" s="38">
        <v>0</v>
      </c>
      <c r="D31" s="38">
        <v>0</v>
      </c>
      <c r="E31" s="38">
        <v>66</v>
      </c>
      <c r="F31" s="38">
        <v>13</v>
      </c>
      <c r="G31" s="38">
        <v>-82</v>
      </c>
      <c r="H31" s="38">
        <v>0</v>
      </c>
      <c r="I31" s="38">
        <v>-209</v>
      </c>
      <c r="J31" s="38">
        <v>0</v>
      </c>
      <c r="K31" s="38">
        <v>-140</v>
      </c>
      <c r="L31" s="38">
        <v>-36</v>
      </c>
      <c r="M31" s="38">
        <v>41</v>
      </c>
      <c r="N31" s="38">
        <v>-72</v>
      </c>
    </row>
    <row r="32" spans="2:14" x14ac:dyDescent="0.3">
      <c r="B32" t="s">
        <v>111</v>
      </c>
      <c r="C32" s="38">
        <v>190</v>
      </c>
      <c r="D32" s="38">
        <v>147</v>
      </c>
      <c r="E32" s="38">
        <v>528</v>
      </c>
      <c r="F32" s="38">
        <v>90</v>
      </c>
      <c r="G32" s="38">
        <v>-822</v>
      </c>
      <c r="H32" s="38">
        <v>434</v>
      </c>
      <c r="I32" s="38">
        <v>-351</v>
      </c>
      <c r="J32" s="38">
        <v>2492</v>
      </c>
      <c r="K32" s="38">
        <v>-1138</v>
      </c>
      <c r="L32" s="38">
        <v>771</v>
      </c>
      <c r="M32" s="38">
        <v>573</v>
      </c>
      <c r="N32" s="38">
        <v>-270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HistoricalFS</vt:lpstr>
      <vt:lpstr>Ratio Analysis</vt:lpstr>
      <vt:lpstr>Common Size Statement</vt:lpstr>
      <vt:lpstr>FCF</vt:lpstr>
      <vt:lpstr>Forecasts</vt:lpstr>
      <vt:lpstr>Change in WC</vt:lpstr>
      <vt:lpstr>Fixed Assets</vt:lpstr>
      <vt:lpstr>WACC</vt:lpstr>
      <vt:lpstr>DCF</vt:lpstr>
      <vt:lpstr>Data Sources--&gt;</vt:lpstr>
      <vt:lpstr>Data Sheet</vt:lpstr>
      <vt:lpstr>Raw Bs</vt:lpstr>
      <vt:lpstr>Raw CF</vt:lpstr>
      <vt:lpstr>HistoricalFS!Print_Area</vt:lpstr>
      <vt:lpstr>'Ratio Analysis'!Print_Area</vt:lpstr>
      <vt:lpstr>HistoricalFS!Print_Titles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sethi</dc:creator>
  <cp:lastModifiedBy>jaydeep sethi</cp:lastModifiedBy>
  <cp:lastPrinted>2025-08-28T11:21:26Z</cp:lastPrinted>
  <dcterms:created xsi:type="dcterms:W3CDTF">2025-07-08T06:34:00Z</dcterms:created>
  <dcterms:modified xsi:type="dcterms:W3CDTF">2025-08-30T10:16:29Z</dcterms:modified>
</cp:coreProperties>
</file>