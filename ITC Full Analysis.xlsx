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10.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5.xml" ContentType="application/vnd.openxmlformats-officedocument.drawing+xml"/>
  <Override PartName="/xl/charts/chartEx3.xml" ContentType="application/vnd.ms-office.chartex+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https://d.docs.live.net/968c1ad8445358e1/Desktop/"/>
    </mc:Choice>
  </mc:AlternateContent>
  <xr:revisionPtr revIDLastSave="2270" documentId="8_{1B2E8B65-C635-4389-BC9F-232127363975}" xr6:coauthVersionLast="47" xr6:coauthVersionMax="47" xr10:uidLastSave="{64531C30-1E04-45E8-8D5E-390997A29BC3}"/>
  <bookViews>
    <workbookView xWindow="-108" yWindow="-108" windowWidth="23256" windowHeight="12456" firstSheet="13" activeTab="15" xr2:uid="{00000000-000D-0000-FFFF-FFFF00000000}"/>
  </bookViews>
  <sheets>
    <sheet name="Financials&gt;" sheetId="19" r:id="rId1"/>
    <sheet name="One Page Profile" sheetId="27" r:id="rId2"/>
    <sheet name="HistoricalFS" sheetId="7" r:id="rId3"/>
    <sheet name="Common Size Statement" sheetId="14" r:id="rId4"/>
    <sheet name="Ratio Analysis" sheetId="12" r:id="rId5"/>
    <sheet name="WACC" sheetId="16" r:id="rId6"/>
    <sheet name="Intrinsic Growth" sheetId="20" r:id="rId7"/>
    <sheet name="DCF" sheetId="22" r:id="rId8"/>
    <sheet name="Comps Val" sheetId="17" r:id="rId9"/>
    <sheet name="VAR" sheetId="23" r:id="rId10"/>
    <sheet name="DuPont Analysis" sheetId="24" r:id="rId11"/>
    <sheet name="Altman Z Score" sheetId="26" r:id="rId12"/>
    <sheet name="Summary" sheetId="31" r:id="rId13"/>
    <sheet name="Data&gt;" sheetId="8" r:id="rId14"/>
    <sheet name="Data Sheet" sheetId="6" r:id="rId15"/>
    <sheet name="Comps Data" sheetId="15" r:id="rId16"/>
    <sheet name="Share price" sheetId="29" r:id="rId17"/>
    <sheet name="Input" sheetId="28" r:id="rId18"/>
    <sheet name="Raw CF" sheetId="11" r:id="rId19"/>
    <sheet name="Raw Bs" sheetId="21" r:id="rId20"/>
    <sheet name="List of Stocks" sheetId="25" r:id="rId21"/>
  </sheets>
  <definedNames>
    <definedName name="_xlnm._FilterDatabase" localSheetId="20" hidden="1">'List of Stocks'!$B$2:$E$5442</definedName>
    <definedName name="_xlnm._FilterDatabase" localSheetId="16" hidden="1">'Share price'!$B$2:$D$1236</definedName>
    <definedName name="_xlnm._FilterDatabase" localSheetId="9" hidden="1">VAR!$B$7:$G$7</definedName>
    <definedName name="_xlchart.v1.0" hidden="1">Input!$B$29:$B$32</definedName>
    <definedName name="_xlchart.v1.1" hidden="1">Input!$C$29:$C$32</definedName>
    <definedName name="_xlchart.v1.2" hidden="1">VAR!$G$9:$G$4966</definedName>
    <definedName name="_xlchart.v1.3" hidden="1">Input!$B$29:$B$32</definedName>
    <definedName name="_xlchart.v1.4" hidden="1">Input!$C$29:$C$32</definedName>
    <definedName name="_xlnm.Print_Area" localSheetId="11">'Altman Z Score'!$B$1:$J$108</definedName>
    <definedName name="_xlnm.Print_Area" localSheetId="3">'Common Size Statement'!$B$1:$L$43</definedName>
    <definedName name="_xlnm.Print_Area" localSheetId="7">DCF!$B$1:$J$44</definedName>
    <definedName name="_xlnm.Print_Area" localSheetId="10">'DuPont Analysis'!$B$1:$J$113</definedName>
    <definedName name="_xlnm.Print_Area" localSheetId="2">HistoricalFS!$B$1:$L$117</definedName>
    <definedName name="_xlnm.Print_Area" localSheetId="1">'One Page Profile'!$B$2:$K$69</definedName>
    <definedName name="_xlnm.Print_Area" localSheetId="12">Summary!$B$1:$L$76</definedName>
    <definedName name="_xlnm.Print_Area" localSheetId="9">VAR!$B$1:$M$42</definedName>
    <definedName name="_xlnm.Print_Titles" localSheetId="2">HistoricalFS!$B:$L,HistoricalFS!$1:$8</definedName>
    <definedName name="_xlnm.Print_Titles" localSheetId="12">Summary!$B:$L,Summary!$1:$7</definedName>
    <definedName name="UPDATE">'Data Sheet'!$E$1</definedName>
  </definedNames>
  <calcPr calcId="191028"/>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61" i="20" l="1"/>
  <c r="F61" i="20"/>
  <c r="G61" i="20"/>
  <c r="H61" i="20"/>
  <c r="I61" i="20"/>
  <c r="D61" i="20"/>
  <c r="B2" i="31"/>
  <c r="B4" i="31"/>
  <c r="B7" i="31"/>
  <c r="B4" i="23"/>
  <c r="B2" i="23"/>
  <c r="B4" i="17"/>
  <c r="B2" i="17"/>
  <c r="B4" i="22"/>
  <c r="B2" i="22"/>
  <c r="B4" i="20"/>
  <c r="B2" i="20"/>
  <c r="B4" i="16"/>
  <c r="B2" i="16"/>
  <c r="B4" i="12"/>
  <c r="B2" i="12"/>
  <c r="B4" i="14"/>
  <c r="B2" i="14"/>
  <c r="B2" i="7"/>
  <c r="B4" i="7"/>
  <c r="C24" i="15"/>
  <c r="C26" i="15"/>
  <c r="B2" i="24"/>
  <c r="K52" i="27"/>
  <c r="K53" i="27"/>
  <c r="K54" i="27"/>
  <c r="K55" i="27"/>
  <c r="J52" i="27"/>
  <c r="J53" i="27"/>
  <c r="J54" i="27"/>
  <c r="J55" i="27"/>
  <c r="I52" i="27"/>
  <c r="I53" i="27"/>
  <c r="I54" i="27"/>
  <c r="I55" i="27"/>
  <c r="G52" i="27"/>
  <c r="G53" i="27"/>
  <c r="G54" i="27"/>
  <c r="G55" i="27"/>
  <c r="F52" i="27"/>
  <c r="F53" i="27"/>
  <c r="F54" i="27"/>
  <c r="F55" i="27"/>
  <c r="D52" i="27"/>
  <c r="D53" i="27"/>
  <c r="D54" i="27"/>
  <c r="D55" i="27"/>
  <c r="C52" i="27"/>
  <c r="C53" i="27"/>
  <c r="C54" i="27"/>
  <c r="C55" i="27"/>
  <c r="K51" i="27"/>
  <c r="J51" i="27"/>
  <c r="I51" i="27"/>
  <c r="G51" i="27"/>
  <c r="F51" i="27"/>
  <c r="D51" i="27"/>
  <c r="C51" i="27"/>
  <c r="K49" i="27"/>
  <c r="J49" i="27"/>
  <c r="I49" i="27"/>
  <c r="G49" i="27"/>
  <c r="F49" i="27"/>
  <c r="D49" i="27"/>
  <c r="C49" i="27"/>
  <c r="B52" i="27"/>
  <c r="B53" i="27"/>
  <c r="B54" i="27"/>
  <c r="B55" i="27"/>
  <c r="B51" i="27"/>
  <c r="K45" i="27"/>
  <c r="K44" i="27"/>
  <c r="K43" i="27"/>
  <c r="K41" i="27"/>
  <c r="K40" i="27"/>
  <c r="E31" i="27"/>
  <c r="E32" i="27"/>
  <c r="E33" i="27"/>
  <c r="E34" i="27"/>
  <c r="E35" i="27"/>
  <c r="E36" i="27"/>
  <c r="F31" i="27"/>
  <c r="F32" i="27"/>
  <c r="F33" i="27"/>
  <c r="F34" i="27"/>
  <c r="F35" i="27"/>
  <c r="F36" i="27"/>
  <c r="F30" i="27"/>
  <c r="E30" i="27"/>
  <c r="C31" i="27"/>
  <c r="C32" i="27"/>
  <c r="C33" i="27"/>
  <c r="C34" i="27"/>
  <c r="C35" i="27"/>
  <c r="C36" i="27"/>
  <c r="C30" i="27"/>
  <c r="B31" i="27"/>
  <c r="B32" i="27"/>
  <c r="B33" i="27"/>
  <c r="B34" i="27"/>
  <c r="B35" i="27"/>
  <c r="B36" i="27"/>
  <c r="B30" i="27"/>
  <c r="E18" i="28"/>
  <c r="E19" i="28"/>
  <c r="E20" i="28"/>
  <c r="E21" i="28"/>
  <c r="E22" i="28"/>
  <c r="E23" i="28"/>
  <c r="E24" i="28"/>
  <c r="E25" i="28"/>
  <c r="E26" i="28"/>
  <c r="E17" i="28"/>
  <c r="D23" i="27"/>
  <c r="E23" i="27"/>
  <c r="F23" i="27"/>
  <c r="G23" i="27"/>
  <c r="D24" i="27"/>
  <c r="E24" i="27"/>
  <c r="F24" i="27"/>
  <c r="G24" i="27"/>
  <c r="C24" i="27"/>
  <c r="C23" i="27"/>
  <c r="B24" i="27"/>
  <c r="B23" i="27"/>
  <c r="B21" i="27"/>
  <c r="B22" i="27"/>
  <c r="B13" i="28"/>
  <c r="D12" i="28"/>
  <c r="E12" i="28"/>
  <c r="F12" i="28"/>
  <c r="G12" i="28"/>
  <c r="H12" i="28"/>
  <c r="I12" i="28"/>
  <c r="J12" i="28"/>
  <c r="K12" i="28"/>
  <c r="L12" i="28"/>
  <c r="C12" i="28"/>
  <c r="D11" i="28"/>
  <c r="E11" i="28"/>
  <c r="F11" i="28"/>
  <c r="G11" i="28"/>
  <c r="H11" i="28"/>
  <c r="I11" i="28"/>
  <c r="J11" i="28"/>
  <c r="K11" i="28"/>
  <c r="L11" i="28"/>
  <c r="C11" i="28"/>
  <c r="D10" i="28"/>
  <c r="E10" i="28"/>
  <c r="F10" i="28"/>
  <c r="G10" i="28"/>
  <c r="H10" i="28"/>
  <c r="I10" i="28"/>
  <c r="J10" i="28"/>
  <c r="K10" i="28"/>
  <c r="L10" i="28"/>
  <c r="C10" i="28"/>
  <c r="D7" i="28"/>
  <c r="E7" i="28"/>
  <c r="F7" i="28"/>
  <c r="G7" i="28"/>
  <c r="H7" i="28"/>
  <c r="I7" i="28"/>
  <c r="J7" i="28"/>
  <c r="K7" i="28"/>
  <c r="L7" i="28"/>
  <c r="C7" i="28"/>
  <c r="D6" i="28"/>
  <c r="E6" i="28"/>
  <c r="F6" i="28"/>
  <c r="G6" i="28"/>
  <c r="H6" i="28"/>
  <c r="I6" i="28"/>
  <c r="J6" i="28"/>
  <c r="K6" i="28"/>
  <c r="L6" i="28"/>
  <c r="C6" i="28"/>
  <c r="D5" i="28"/>
  <c r="E5" i="28"/>
  <c r="F5" i="28"/>
  <c r="G5" i="28"/>
  <c r="H5" i="28"/>
  <c r="I5" i="28"/>
  <c r="J5" i="28"/>
  <c r="K5" i="28"/>
  <c r="L5" i="28"/>
  <c r="C5" i="28"/>
  <c r="D4" i="28"/>
  <c r="E4" i="28"/>
  <c r="F4" i="28"/>
  <c r="G4" i="28"/>
  <c r="H4" i="28"/>
  <c r="I4" i="28"/>
  <c r="J4" i="28"/>
  <c r="K4" i="28"/>
  <c r="L4" i="28"/>
  <c r="D3" i="28"/>
  <c r="E3" i="28"/>
  <c r="F3" i="28"/>
  <c r="G3" i="28"/>
  <c r="H3" i="28"/>
  <c r="I3" i="28"/>
  <c r="J3" i="28"/>
  <c r="K3" i="28"/>
  <c r="L3" i="28"/>
  <c r="C3" i="28"/>
  <c r="C4" i="28"/>
  <c r="G19" i="27"/>
  <c r="F19" i="27"/>
  <c r="E19" i="27"/>
  <c r="D19" i="27"/>
  <c r="C19" i="27"/>
  <c r="D6" i="27"/>
  <c r="E6" i="27"/>
  <c r="F6" i="27"/>
  <c r="G6" i="27"/>
  <c r="C6" i="27"/>
  <c r="D1758" i="23"/>
  <c r="D3450" i="23"/>
  <c r="D2952" i="23"/>
  <c r="D921" i="23"/>
  <c r="D1935" i="23"/>
  <c r="D2182" i="23"/>
  <c r="D4276" i="23"/>
  <c r="D2109" i="23"/>
  <c r="D3913" i="23"/>
  <c r="D2687" i="23"/>
  <c r="D764" i="23"/>
  <c r="D2089" i="23"/>
  <c r="D2121" i="23"/>
  <c r="D3214" i="23"/>
  <c r="D2281" i="23"/>
  <c r="D308" i="23"/>
  <c r="D3535" i="23"/>
  <c r="D1624" i="23"/>
  <c r="D4374" i="23"/>
  <c r="D3708" i="23"/>
  <c r="D1501" i="23"/>
  <c r="D2146" i="23"/>
  <c r="D2983" i="23"/>
  <c r="D3979" i="23"/>
  <c r="D2106" i="23"/>
  <c r="D3727" i="23"/>
  <c r="D3159" i="23"/>
  <c r="D2322" i="23"/>
  <c r="D2626" i="23"/>
  <c r="D4553" i="23"/>
  <c r="D4580" i="23"/>
  <c r="D3760" i="23"/>
  <c r="D4658" i="23"/>
  <c r="D4337" i="23"/>
  <c r="D4317" i="23"/>
  <c r="D2247" i="23"/>
  <c r="D4456" i="23"/>
  <c r="D169" i="23"/>
  <c r="D306" i="23"/>
  <c r="D1584" i="23"/>
  <c r="D3275" i="23"/>
  <c r="D3970" i="23"/>
  <c r="D3065" i="23"/>
  <c r="D2058" i="23"/>
  <c r="D1503" i="23"/>
  <c r="D2756" i="23"/>
  <c r="D2609" i="23"/>
  <c r="D3405" i="23"/>
  <c r="D662" i="23"/>
  <c r="D3947" i="23"/>
  <c r="D2261" i="23"/>
  <c r="D3383" i="23"/>
  <c r="D4170" i="23"/>
  <c r="D4046" i="23"/>
  <c r="D2352" i="23"/>
  <c r="D547" i="23"/>
  <c r="D3085" i="23"/>
  <c r="D4770" i="23"/>
  <c r="D4306" i="23"/>
  <c r="D1133" i="23"/>
  <c r="D2445" i="23"/>
  <c r="D867" i="23"/>
  <c r="D3052" i="23"/>
  <c r="D2010" i="23"/>
  <c r="D3018" i="23"/>
  <c r="D1329" i="23"/>
  <c r="D478" i="23"/>
  <c r="D3168" i="23"/>
  <c r="D3755" i="23"/>
  <c r="D2216" i="23"/>
  <c r="D2733" i="23"/>
  <c r="D2509" i="23"/>
  <c r="D488" i="23"/>
  <c r="D3918" i="23"/>
  <c r="D2617" i="23"/>
  <c r="D2376" i="23"/>
  <c r="D4169" i="23"/>
  <c r="D1443" i="23"/>
  <c r="D2414" i="23"/>
  <c r="D4045" i="23"/>
  <c r="D3894" i="23"/>
  <c r="D2401" i="23"/>
  <c r="D1949" i="23"/>
  <c r="D3195" i="23"/>
  <c r="D2564" i="23"/>
  <c r="D2478" i="23"/>
  <c r="D1842" i="23"/>
  <c r="D120" i="23"/>
  <c r="D4617" i="23"/>
  <c r="D2259" i="23"/>
  <c r="D2342" i="23"/>
  <c r="D4174" i="23"/>
  <c r="D2776" i="23"/>
  <c r="D3775" i="23"/>
  <c r="D2887" i="23"/>
  <c r="D2497" i="23"/>
  <c r="D3548" i="23"/>
  <c r="D2233" i="23"/>
  <c r="D3831" i="23"/>
  <c r="D4051" i="23"/>
  <c r="D2071" i="23"/>
  <c r="D3386" i="23"/>
  <c r="D1496" i="23"/>
  <c r="D1437" i="23"/>
  <c r="D1957" i="23"/>
  <c r="D404" i="23"/>
  <c r="D4467" i="23"/>
  <c r="D3011" i="23"/>
  <c r="D3122" i="23"/>
  <c r="D3490" i="23"/>
  <c r="D3225" i="23"/>
  <c r="D3791" i="23"/>
  <c r="D3981" i="23"/>
  <c r="D2048" i="23"/>
  <c r="D608" i="23"/>
  <c r="D3687" i="23"/>
  <c r="D2432" i="23"/>
  <c r="D4817" i="23"/>
  <c r="D3210" i="23"/>
  <c r="D915" i="23"/>
  <c r="D4464" i="23"/>
  <c r="D3550" i="23"/>
  <c r="D3117" i="23"/>
  <c r="D3787" i="23"/>
  <c r="D2563" i="23"/>
  <c r="D1190" i="23"/>
  <c r="D1858" i="23"/>
  <c r="D3040" i="23"/>
  <c r="D1781" i="23"/>
  <c r="D1008" i="23"/>
  <c r="D2245" i="23"/>
  <c r="D2678" i="23"/>
  <c r="D3537" i="23"/>
  <c r="D3347" i="23"/>
  <c r="D3993" i="23"/>
  <c r="D1194" i="23"/>
  <c r="D2306" i="23"/>
  <c r="D1991" i="23"/>
  <c r="D505" i="23"/>
  <c r="D4490" i="23"/>
  <c r="D1242" i="23"/>
  <c r="D3456" i="23"/>
  <c r="D2758" i="23"/>
  <c r="D706" i="23"/>
  <c r="D3507" i="23"/>
  <c r="D737" i="23"/>
  <c r="D3540" i="23"/>
  <c r="D3927" i="23"/>
  <c r="D2583" i="23"/>
  <c r="D2149" i="23"/>
  <c r="D2820" i="23"/>
  <c r="D916" i="23"/>
  <c r="D3340" i="23"/>
  <c r="D2907" i="23"/>
  <c r="D458" i="23"/>
  <c r="D1854" i="23"/>
  <c r="D3858" i="23"/>
  <c r="D2943" i="23"/>
  <c r="D2167" i="23"/>
  <c r="D1888" i="23"/>
  <c r="D932" i="23"/>
  <c r="D2439" i="23"/>
  <c r="D3510" i="23"/>
  <c r="D3861" i="23"/>
  <c r="D3050" i="23"/>
  <c r="D1094" i="23"/>
  <c r="D4112" i="23"/>
  <c r="D4103" i="23"/>
  <c r="D334" i="23"/>
  <c r="D3737" i="23"/>
  <c r="D1969" i="23"/>
  <c r="D47" i="23"/>
  <c r="D4400" i="23"/>
  <c r="D1285" i="23"/>
  <c r="D1186" i="23"/>
  <c r="D1824" i="23"/>
  <c r="D1251" i="23"/>
  <c r="D2411" i="23"/>
  <c r="D724" i="23"/>
  <c r="D2929" i="23"/>
  <c r="D493" i="23"/>
  <c r="D395" i="23"/>
  <c r="D1125" i="23"/>
  <c r="D2249" i="23"/>
  <c r="D1583" i="23"/>
  <c r="D3732" i="23"/>
  <c r="D1219" i="23"/>
  <c r="D2815" i="23"/>
  <c r="D1951" i="23"/>
  <c r="D2293" i="23"/>
  <c r="D2535" i="23"/>
  <c r="D1333" i="23"/>
  <c r="D3795" i="23"/>
  <c r="D2683" i="23"/>
  <c r="D4078" i="23"/>
  <c r="D3380" i="23"/>
  <c r="D2223" i="23"/>
  <c r="D3240" i="23"/>
  <c r="D2809" i="23"/>
  <c r="D3815" i="23"/>
  <c r="D3314" i="23"/>
  <c r="D1356" i="23"/>
  <c r="D1028" i="23"/>
  <c r="D142" i="23"/>
  <c r="D4851" i="23"/>
  <c r="D1287" i="23"/>
  <c r="D1632" i="23"/>
  <c r="D4378" i="23"/>
  <c r="D1843" i="23"/>
  <c r="D3415" i="23"/>
  <c r="D3987" i="23"/>
  <c r="D4056" i="23"/>
  <c r="D2040" i="23"/>
  <c r="D1042" i="23"/>
  <c r="D4944" i="23"/>
  <c r="D41" i="23"/>
  <c r="D1086" i="23"/>
  <c r="D1359" i="23"/>
  <c r="D3211" i="23"/>
  <c r="D3294" i="23"/>
  <c r="D3070" i="23"/>
  <c r="D538" i="23"/>
  <c r="D4861" i="23"/>
  <c r="D2305" i="23"/>
  <c r="D945" i="23"/>
  <c r="D3134" i="23"/>
  <c r="D3418" i="23"/>
  <c r="D1457" i="23"/>
  <c r="D3422" i="23"/>
  <c r="D3177" i="23"/>
  <c r="D1690" i="23"/>
  <c r="D499" i="23"/>
  <c r="D2664" i="23"/>
  <c r="D1283" i="23"/>
  <c r="D2336" i="23"/>
  <c r="D852" i="23"/>
  <c r="D4383" i="23"/>
  <c r="D2536" i="23"/>
  <c r="D3897" i="23"/>
  <c r="D4333" i="23"/>
  <c r="D340" i="23"/>
  <c r="D3515" i="23"/>
  <c r="D1992" i="23"/>
  <c r="D1076" i="23"/>
  <c r="D3410" i="23"/>
  <c r="D2802" i="23"/>
  <c r="D2848" i="23"/>
  <c r="D3126" i="23"/>
  <c r="D2418" i="23"/>
  <c r="D2420" i="23"/>
  <c r="D2875" i="23"/>
  <c r="D637" i="23"/>
  <c r="D907" i="23"/>
  <c r="D777" i="23"/>
  <c r="D4497" i="23"/>
  <c r="D3138" i="23"/>
  <c r="D2768" i="23"/>
  <c r="D3544" i="23"/>
  <c r="D77" i="23"/>
  <c r="D4098" i="23"/>
  <c r="D3923" i="23"/>
  <c r="D862" i="23"/>
  <c r="D1899" i="23"/>
  <c r="D3609" i="23"/>
  <c r="D4948" i="23"/>
  <c r="D28" i="23"/>
  <c r="D1436" i="23"/>
  <c r="D3285" i="23"/>
  <c r="D3575" i="23"/>
  <c r="D1816" i="23"/>
  <c r="D3346" i="23"/>
  <c r="D3630" i="23"/>
  <c r="D264" i="23"/>
  <c r="D3567" i="23"/>
  <c r="D3666" i="23"/>
  <c r="D1062" i="23"/>
  <c r="D2257" i="23"/>
  <c r="D4489" i="23"/>
  <c r="D1036" i="23"/>
  <c r="D2594" i="23"/>
  <c r="D4579" i="23"/>
  <c r="D2172" i="23"/>
  <c r="D4892" i="23"/>
  <c r="D2405" i="23"/>
  <c r="D4299" i="23"/>
  <c r="D3246" i="23"/>
  <c r="D3502" i="23"/>
  <c r="D2072" i="23"/>
  <c r="D1420" i="23"/>
  <c r="D4714" i="23"/>
  <c r="D4137" i="23"/>
  <c r="D4419" i="23"/>
  <c r="D1265" i="23"/>
  <c r="D4959" i="23"/>
  <c r="D57" i="23"/>
  <c r="D943" i="23"/>
  <c r="D2900" i="23"/>
  <c r="D4093" i="23"/>
  <c r="D1191" i="23"/>
  <c r="D2225" i="23"/>
  <c r="D1338" i="23"/>
  <c r="D2782" i="23"/>
  <c r="D2954" i="23"/>
  <c r="D2855" i="23"/>
  <c r="D4463" i="23"/>
  <c r="D3318" i="23"/>
  <c r="D2828" i="23"/>
  <c r="D802" i="23"/>
  <c r="D1785" i="23"/>
  <c r="D946" i="23"/>
  <c r="D3198" i="23"/>
  <c r="D762" i="23"/>
  <c r="D2311" i="23"/>
  <c r="D2118" i="23"/>
  <c r="D1385" i="23"/>
  <c r="D2388" i="23"/>
  <c r="D4022" i="23"/>
  <c r="D1211" i="23"/>
  <c r="D4245" i="23"/>
  <c r="D3182" i="23"/>
  <c r="D1221" i="23"/>
  <c r="D1687" i="23"/>
  <c r="D2309" i="23"/>
  <c r="D1500" i="23"/>
  <c r="D4529" i="23"/>
  <c r="D4016" i="23"/>
  <c r="D320" i="23"/>
  <c r="D3306" i="23"/>
  <c r="D1255" i="23"/>
  <c r="D186" i="23"/>
  <c r="D3029" i="23"/>
  <c r="D1853" i="23"/>
  <c r="D3424" i="23"/>
  <c r="D3419" i="23"/>
  <c r="D2298" i="23"/>
  <c r="D1433" i="23"/>
  <c r="D2757" i="23"/>
  <c r="D3384" i="23"/>
  <c r="D2317" i="23"/>
  <c r="D3637" i="23"/>
  <c r="D890" i="23"/>
  <c r="D4947" i="23"/>
  <c r="D30" i="23"/>
  <c r="D1782" i="23"/>
  <c r="D3425" i="23"/>
  <c r="D1214" i="23"/>
  <c r="D3469" i="23"/>
  <c r="D1798" i="23"/>
  <c r="D1796" i="23"/>
  <c r="D1521" i="23"/>
  <c r="D2659" i="23"/>
  <c r="D3267" i="23"/>
  <c r="D3660" i="23"/>
  <c r="D2779" i="23"/>
  <c r="D1961" i="23"/>
  <c r="D3628" i="23"/>
  <c r="D3364" i="23"/>
  <c r="D4730" i="23"/>
  <c r="D2970" i="23"/>
  <c r="D3148" i="23"/>
  <c r="D1193" i="23"/>
  <c r="D2321" i="23"/>
  <c r="D3333" i="23"/>
  <c r="D1705" i="23"/>
  <c r="D1350" i="23"/>
  <c r="D1310" i="23"/>
  <c r="D3123" i="23"/>
  <c r="D858" i="23"/>
  <c r="D2566" i="23"/>
  <c r="D3734" i="23"/>
  <c r="D3959" i="23"/>
  <c r="D1387" i="23"/>
  <c r="D4496" i="23"/>
  <c r="D768" i="23"/>
  <c r="D2605" i="23"/>
  <c r="D2729" i="23"/>
  <c r="D3907" i="23"/>
  <c r="D4091" i="23"/>
  <c r="D2218" i="23"/>
  <c r="D1393" i="23"/>
  <c r="D3092" i="23"/>
  <c r="D3684" i="23"/>
  <c r="D1748" i="23"/>
  <c r="D1334" i="23"/>
  <c r="D1159" i="23"/>
  <c r="D3619" i="23"/>
  <c r="D3073" i="23"/>
  <c r="D1216" i="23"/>
  <c r="D952" i="23"/>
  <c r="D3713" i="23"/>
  <c r="D2070" i="23"/>
  <c r="D3584" i="23"/>
  <c r="D1633" i="23"/>
  <c r="D2999" i="23"/>
  <c r="D3209" i="23"/>
  <c r="D4391" i="23"/>
  <c r="D2387" i="23"/>
  <c r="D3753" i="23"/>
  <c r="D818" i="23"/>
  <c r="D868" i="23"/>
  <c r="D2300" i="23"/>
  <c r="D4571" i="23"/>
  <c r="D2166" i="23"/>
  <c r="D2385" i="23"/>
  <c r="D3547" i="23"/>
  <c r="D4291" i="23"/>
  <c r="D869" i="23"/>
  <c r="D3390" i="23"/>
  <c r="D2565" i="23"/>
  <c r="D2910" i="23"/>
  <c r="D3798" i="23"/>
  <c r="D3931" i="23"/>
  <c r="D2844" i="23"/>
  <c r="D3433" i="23"/>
  <c r="D1505" i="23"/>
  <c r="D4308" i="23"/>
  <c r="D446" i="23"/>
  <c r="D4510" i="23"/>
  <c r="D4884" i="23"/>
  <c r="D3076" i="23"/>
  <c r="D260" i="23"/>
  <c r="D899" i="23"/>
  <c r="D2494" i="23"/>
  <c r="D2731" i="23"/>
  <c r="D2231" i="23"/>
  <c r="D2652" i="23"/>
  <c r="D2833" i="23"/>
  <c r="D738" i="23"/>
  <c r="D3360" i="23"/>
  <c r="D4052" i="23"/>
  <c r="D2920" i="23"/>
  <c r="D565" i="23"/>
  <c r="D1568" i="23"/>
  <c r="D310" i="23"/>
  <c r="D1774" i="23"/>
  <c r="D1244" i="23"/>
  <c r="D2774" i="23"/>
  <c r="D2195" i="23"/>
  <c r="D3523" i="23"/>
  <c r="D2329" i="23"/>
  <c r="D4131" i="23"/>
  <c r="D2816" i="23"/>
  <c r="D2371" i="23"/>
  <c r="D1091" i="23"/>
  <c r="D1408" i="23"/>
  <c r="D2853" i="23"/>
  <c r="D541" i="23"/>
  <c r="D3067" i="23"/>
  <c r="D3925" i="23"/>
  <c r="D2901" i="23"/>
  <c r="D2136" i="23"/>
  <c r="D1797" i="23"/>
  <c r="D3485" i="23"/>
  <c r="D1372" i="23"/>
  <c r="D4153" i="23"/>
  <c r="D3900" i="23"/>
  <c r="D1423" i="23"/>
  <c r="D985" i="23"/>
  <c r="D1695" i="23"/>
  <c r="D620" i="23"/>
  <c r="D1181" i="23"/>
  <c r="D1154" i="23"/>
  <c r="D1048" i="23"/>
  <c r="D2488" i="23"/>
  <c r="D4485" i="23"/>
  <c r="D1357" i="23"/>
  <c r="D3821" i="23"/>
  <c r="D634" i="23"/>
  <c r="D2531" i="23"/>
  <c r="D4054" i="23"/>
  <c r="D1984" i="23"/>
  <c r="D4458" i="23"/>
  <c r="D1615" i="23"/>
  <c r="D1220" i="23"/>
  <c r="D3447" i="23"/>
  <c r="D1610" i="23"/>
  <c r="D2934" i="23"/>
  <c r="D391" i="23"/>
  <c r="D1296" i="23"/>
  <c r="D2264" i="23"/>
  <c r="D1539" i="23"/>
  <c r="D2372" i="23"/>
  <c r="D509" i="23"/>
  <c r="D1950" i="23"/>
  <c r="D2444" i="23"/>
  <c r="D3180" i="23"/>
  <c r="D1061" i="23"/>
  <c r="D1749" i="23"/>
  <c r="D3487" i="23"/>
  <c r="D546" i="23"/>
  <c r="D2065" i="23"/>
  <c r="D2150" i="23"/>
  <c r="D516" i="23"/>
  <c r="D4087" i="23"/>
  <c r="D2222" i="23"/>
  <c r="D1434" i="23"/>
  <c r="D2734" i="23"/>
  <c r="D1936" i="23"/>
  <c r="D3310" i="23"/>
  <c r="D1462" i="23"/>
  <c r="D2204" i="23"/>
  <c r="D3281" i="23"/>
  <c r="D1349" i="23"/>
  <c r="D4322" i="23"/>
  <c r="D1715" i="23"/>
  <c r="D2676" i="23"/>
  <c r="D3950" i="23"/>
  <c r="D4023" i="23"/>
  <c r="D2331" i="23"/>
  <c r="D4118" i="23"/>
  <c r="D1111" i="23"/>
  <c r="D1384" i="23"/>
  <c r="D333" i="23"/>
  <c r="D3740" i="23"/>
  <c r="D1733" i="23"/>
  <c r="D4249" i="23"/>
  <c r="D3650" i="23"/>
  <c r="D3521" i="23"/>
  <c r="D1218" i="23"/>
  <c r="D1902" i="23"/>
  <c r="D3249" i="23"/>
  <c r="D2266" i="23"/>
  <c r="D2183" i="23"/>
  <c r="D2406" i="23"/>
  <c r="D4008" i="23"/>
  <c r="D181" i="23"/>
  <c r="D1459" i="23"/>
  <c r="D3675" i="23"/>
  <c r="D3075" i="23"/>
  <c r="D1629" i="23"/>
  <c r="D4721" i="23"/>
  <c r="D1513" i="23"/>
  <c r="D1718" i="23"/>
  <c r="D69" i="23"/>
  <c r="D315" i="23"/>
  <c r="D430" i="23"/>
  <c r="D3082" i="23"/>
  <c r="D507" i="23"/>
  <c r="D2410" i="23"/>
  <c r="D1996" i="23"/>
  <c r="D1258" i="23"/>
  <c r="D1488" i="23"/>
  <c r="D3639" i="23"/>
  <c r="D1518" i="23"/>
  <c r="D1622" i="23"/>
  <c r="D1867" i="23"/>
  <c r="D3048" i="23"/>
  <c r="D3432" i="23"/>
  <c r="D3273" i="23"/>
  <c r="D4203" i="23"/>
  <c r="D1313" i="23"/>
  <c r="D1809" i="23"/>
  <c r="D519" i="23"/>
  <c r="D4111" i="23"/>
  <c r="D3335" i="23"/>
  <c r="D1945" i="23"/>
  <c r="D4028" i="23"/>
  <c r="D2107" i="23"/>
  <c r="D1968" i="23"/>
  <c r="D3201" i="23"/>
  <c r="D359" i="23"/>
  <c r="D4426" i="23"/>
  <c r="D3709" i="23"/>
  <c r="D4272" i="23"/>
  <c r="D2711" i="23"/>
  <c r="D4883" i="23"/>
  <c r="D4011" i="23"/>
  <c r="D4500" i="23"/>
  <c r="D2639" i="23"/>
  <c r="D1537" i="23"/>
  <c r="D1740" i="23"/>
  <c r="D1325" i="23"/>
  <c r="D3296" i="23"/>
  <c r="D1383" i="23"/>
  <c r="D2278" i="23"/>
  <c r="D2737" i="23"/>
  <c r="D3592" i="23"/>
  <c r="D2773" i="23"/>
  <c r="D3556" i="23"/>
  <c r="D1582" i="23"/>
  <c r="D2670" i="23"/>
  <c r="D2765" i="23"/>
  <c r="D2112" i="23"/>
  <c r="D2772" i="23"/>
  <c r="D1298" i="23"/>
  <c r="D4025" i="23"/>
  <c r="D3669" i="23"/>
  <c r="D2726" i="23"/>
  <c r="D3055" i="23"/>
  <c r="D3388" i="23"/>
  <c r="D4708" i="23"/>
  <c r="D2391" i="23"/>
  <c r="D4154" i="23"/>
  <c r="D492" i="23"/>
  <c r="D2592" i="23"/>
  <c r="D2599" i="23"/>
  <c r="D2957" i="23"/>
  <c r="D797" i="23"/>
  <c r="D2175" i="23"/>
  <c r="D1373" i="23"/>
  <c r="D2537" i="23"/>
  <c r="D2793" i="23"/>
  <c r="D3160" i="23"/>
  <c r="D1637" i="23"/>
  <c r="D4059" i="23"/>
  <c r="D1229" i="23"/>
  <c r="D614" i="23"/>
  <c r="D357" i="23"/>
  <c r="D2472" i="23"/>
  <c r="D1140" i="23"/>
  <c r="D3206" i="23"/>
  <c r="D1050" i="23"/>
  <c r="D3259" i="23"/>
  <c r="D4494" i="23"/>
  <c r="D3658" i="23"/>
  <c r="D1070" i="23"/>
  <c r="D303" i="23"/>
  <c r="D4663" i="23"/>
  <c r="D2926" i="23"/>
  <c r="D338" i="23"/>
  <c r="D4784" i="23"/>
  <c r="D1561" i="23"/>
  <c r="D4890" i="23"/>
  <c r="D1948" i="23"/>
  <c r="D1012" i="23"/>
  <c r="D798" i="23"/>
  <c r="D2360" i="23"/>
  <c r="D935" i="23"/>
  <c r="D3752" i="23"/>
  <c r="D3113" i="23"/>
  <c r="D2102" i="23"/>
  <c r="D1130" i="23"/>
  <c r="D2357" i="23"/>
  <c r="D2240" i="23"/>
  <c r="D1049" i="23"/>
  <c r="D3033" i="23"/>
  <c r="D3322" i="23"/>
  <c r="D619" i="23"/>
  <c r="D632" i="23"/>
  <c r="D3828" i="23"/>
  <c r="D422" i="23"/>
  <c r="D2209" i="23"/>
  <c r="D2252" i="23"/>
  <c r="D3382" i="23"/>
  <c r="D3407" i="23"/>
  <c r="D1813" i="23"/>
  <c r="D1455" i="23"/>
  <c r="D4047" i="23"/>
  <c r="D1205" i="23"/>
  <c r="D1599" i="23"/>
  <c r="D1592" i="23"/>
  <c r="D1478" i="23"/>
  <c r="D4348" i="23"/>
  <c r="D3486" i="23"/>
  <c r="D1492" i="23"/>
  <c r="D1873" i="23"/>
  <c r="D1865" i="23"/>
  <c r="D3420" i="23"/>
  <c r="D1425" i="23"/>
  <c r="D800" i="23"/>
  <c r="D2771" i="23"/>
  <c r="D2890" i="23"/>
  <c r="D1688" i="23"/>
  <c r="D1856" i="23"/>
  <c r="D2238" i="23"/>
  <c r="D2034" i="23"/>
  <c r="D1841" i="23"/>
  <c r="D1000" i="23"/>
  <c r="D2896" i="23"/>
  <c r="D1651" i="23"/>
  <c r="D1274" i="23"/>
  <c r="D3994" i="23"/>
  <c r="D1833" i="23"/>
  <c r="D3677" i="23"/>
  <c r="D1577" i="23"/>
  <c r="D1964" i="23"/>
  <c r="D1286" i="23"/>
  <c r="D1378" i="23"/>
  <c r="D4417" i="23"/>
  <c r="D289" i="23"/>
  <c r="D105" i="23"/>
  <c r="D2849" i="23"/>
  <c r="D1410" i="23"/>
  <c r="D1534" i="23"/>
  <c r="D756" i="23"/>
  <c r="D2327" i="23"/>
  <c r="D2434" i="23"/>
  <c r="D4409" i="23"/>
  <c r="D429" i="23"/>
  <c r="D2082" i="23"/>
  <c r="D1196" i="23"/>
  <c r="D3945" i="23"/>
  <c r="D3671" i="23"/>
  <c r="D2076" i="23"/>
  <c r="D4565" i="23"/>
  <c r="D2931" i="23"/>
  <c r="D1102" i="23"/>
  <c r="D4620" i="23"/>
  <c r="D3041" i="23"/>
  <c r="D1451" i="23"/>
  <c r="D2998" i="23"/>
  <c r="D1635" i="23"/>
  <c r="D1864" i="23"/>
  <c r="D1654" i="23"/>
  <c r="D2643" i="23"/>
  <c r="D1267" i="23"/>
  <c r="D4624" i="23"/>
  <c r="D1553" i="23"/>
  <c r="D4179" i="23"/>
  <c r="D4532" i="23"/>
  <c r="D733" i="23"/>
  <c r="D276" i="23"/>
  <c r="D1428" i="23"/>
  <c r="D88" i="23"/>
  <c r="D4436" i="23"/>
  <c r="D240" i="23"/>
  <c r="D3986" i="23"/>
  <c r="D4614" i="23"/>
  <c r="D3465" i="23"/>
  <c r="D4547" i="23"/>
  <c r="D624" i="23"/>
  <c r="D1328" i="23"/>
  <c r="D4147" i="23"/>
  <c r="D873" i="23"/>
  <c r="D3446" i="23"/>
  <c r="D860" i="23"/>
  <c r="D3389" i="23"/>
  <c r="D815" i="23"/>
  <c r="D4631" i="23"/>
  <c r="D2125" i="23"/>
  <c r="D2042" i="23"/>
  <c r="D3662" i="23"/>
  <c r="D4710" i="23"/>
  <c r="D3171" i="23"/>
  <c r="D358" i="23"/>
  <c r="D4361" i="23"/>
  <c r="D1773" i="23"/>
  <c r="D135" i="23"/>
  <c r="D4033" i="23"/>
  <c r="D2452" i="23"/>
  <c r="D739" i="23"/>
  <c r="D1367" i="23"/>
  <c r="D1131" i="23"/>
  <c r="D1664" i="23"/>
  <c r="D4595" i="23"/>
  <c r="D3877" i="23"/>
  <c r="D804" i="23"/>
  <c r="D3438" i="23"/>
  <c r="D1078" i="23"/>
  <c r="D1307" i="23"/>
  <c r="D447" i="23"/>
  <c r="D2814" i="23"/>
  <c r="D1250" i="23"/>
  <c r="D506" i="23"/>
  <c r="D3272" i="23"/>
  <c r="D1087" i="23"/>
  <c r="D567" i="23"/>
  <c r="D1019" i="23"/>
  <c r="D1155" i="23"/>
  <c r="D1348" i="23"/>
  <c r="D2914" i="23"/>
  <c r="D259" i="23"/>
  <c r="D552" i="23"/>
  <c r="D2930" i="23"/>
  <c r="D1324" i="23"/>
  <c r="D300" i="23"/>
  <c r="D4841" i="23"/>
  <c r="D1762" i="23"/>
  <c r="D4253" i="23"/>
  <c r="D4442" i="23"/>
  <c r="D3059" i="23"/>
  <c r="D2622" i="23"/>
  <c r="D2723" i="23"/>
  <c r="D711" i="23"/>
  <c r="D4939" i="23"/>
  <c r="D2413" i="23"/>
  <c r="D1290" i="23"/>
  <c r="D3264" i="23"/>
  <c r="D1840" i="23"/>
  <c r="D4439" i="23"/>
  <c r="D2657" i="23"/>
  <c r="D1206" i="23"/>
  <c r="D543" i="23"/>
  <c r="D157" i="23"/>
  <c r="D1023" i="23"/>
  <c r="D861" i="23"/>
  <c r="D2312" i="23"/>
  <c r="D1033" i="23"/>
  <c r="D4672" i="23"/>
  <c r="D3676" i="23"/>
  <c r="D3615" i="23"/>
  <c r="D2834" i="23"/>
  <c r="D4418" i="23"/>
  <c r="D1308" i="23"/>
  <c r="D3458" i="23"/>
  <c r="D1719" i="23"/>
  <c r="D1993" i="23"/>
  <c r="D3459" i="23"/>
  <c r="D406" i="23"/>
  <c r="D2778" i="23"/>
  <c r="D3754" i="23"/>
  <c r="D2318" i="23"/>
  <c r="D1746" i="23"/>
  <c r="D1803" i="23"/>
  <c r="D1248" i="23"/>
  <c r="D3077" i="23"/>
  <c r="D4290" i="23"/>
  <c r="D1063" i="23"/>
  <c r="D2857" i="23"/>
  <c r="D2049" i="23"/>
  <c r="D335" i="23"/>
  <c r="D2898" i="23"/>
  <c r="D2468" i="23"/>
  <c r="D4695" i="23"/>
  <c r="D4628" i="23"/>
  <c r="D3316" i="23"/>
  <c r="D4545" i="23"/>
  <c r="D4700" i="23"/>
  <c r="D3509" i="23"/>
  <c r="D2087" i="23"/>
  <c r="D70" i="23"/>
  <c r="D533" i="23"/>
  <c r="D972" i="23"/>
  <c r="D4403" i="23"/>
  <c r="D4399" i="23"/>
  <c r="D723" i="23"/>
  <c r="D2022" i="23"/>
  <c r="D2805" i="23"/>
  <c r="D4020" i="23"/>
  <c r="D4811" i="23"/>
  <c r="D732" i="23"/>
  <c r="D4397" i="23"/>
  <c r="D2078" i="23"/>
  <c r="D4755" i="23"/>
  <c r="D3748" i="23"/>
  <c r="D652" i="23"/>
  <c r="D4018" i="23"/>
  <c r="D416" i="23"/>
  <c r="D974" i="23"/>
  <c r="D3106" i="23"/>
  <c r="D1281" i="23"/>
  <c r="D3232" i="23"/>
  <c r="D823" i="23"/>
  <c r="D585" i="23"/>
  <c r="D4221" i="23"/>
  <c r="D3374" i="23"/>
  <c r="D703" i="23"/>
  <c r="D3758" i="23"/>
  <c r="D4940" i="23"/>
  <c r="D1489" i="23"/>
  <c r="D847" i="23"/>
  <c r="D4191" i="23"/>
  <c r="D4825" i="23"/>
  <c r="D3667" i="23"/>
  <c r="D2132" i="23"/>
  <c r="D4954" i="23"/>
  <c r="D383" i="23"/>
  <c r="D225" i="23"/>
  <c r="D182" i="23"/>
  <c r="D889" i="23"/>
  <c r="D268" i="23"/>
  <c r="D3351" i="23"/>
  <c r="D1497" i="23"/>
  <c r="D4269" i="23"/>
  <c r="D3710" i="23"/>
  <c r="D1732" i="23"/>
  <c r="D3062" i="23"/>
  <c r="D3724" i="23"/>
  <c r="D2304" i="23"/>
  <c r="D3149" i="23"/>
  <c r="D2381" i="23"/>
  <c r="D4389" i="23"/>
  <c r="D3176" i="23"/>
  <c r="D1389" i="23"/>
  <c r="D173" i="23"/>
  <c r="D1083" i="23"/>
  <c r="D2256" i="23"/>
  <c r="D26" i="23"/>
  <c r="D2623" i="23"/>
  <c r="D1293" i="23"/>
  <c r="D1528" i="23"/>
  <c r="D1576" i="23"/>
  <c r="D2902" i="23"/>
  <c r="D1043" i="23"/>
  <c r="D3482" i="23"/>
  <c r="D1920" i="23"/>
  <c r="D2356" i="23"/>
  <c r="D3762" i="23"/>
  <c r="D729" i="23"/>
  <c r="D1174" i="23"/>
  <c r="D1606" i="23"/>
  <c r="D3793" i="23"/>
  <c r="D2061" i="23"/>
  <c r="D2950" i="23"/>
  <c r="D4116" i="23"/>
  <c r="D2586" i="23"/>
  <c r="D2739" i="23"/>
  <c r="D3714" i="23"/>
  <c r="D2940" i="23"/>
  <c r="D998" i="23"/>
  <c r="D2354" i="23"/>
  <c r="D3408" i="23"/>
  <c r="D4483" i="23"/>
  <c r="D2865" i="23"/>
  <c r="D3243" i="23"/>
  <c r="D190" i="23"/>
  <c r="D3484" i="23"/>
  <c r="D979" i="23"/>
  <c r="D1065" i="23"/>
  <c r="D3345" i="23"/>
  <c r="D4263" i="23"/>
  <c r="D2193" i="23"/>
  <c r="D4071" i="23"/>
  <c r="D3437" i="23"/>
  <c r="D302" i="23"/>
  <c r="D2398" i="23"/>
  <c r="D3234" i="23"/>
  <c r="D2668" i="23"/>
  <c r="D1418" i="23"/>
  <c r="D1135" i="23"/>
  <c r="D1092" i="23"/>
  <c r="D1973" i="23"/>
  <c r="D2752" i="23"/>
  <c r="D3030" i="23"/>
  <c r="D3774" i="23"/>
  <c r="D1627" i="23"/>
  <c r="D3399" i="23"/>
  <c r="D1626" i="23"/>
  <c r="D3002" i="23"/>
  <c r="D2302" i="23"/>
  <c r="D3000" i="23"/>
  <c r="D2797" i="23"/>
  <c r="D3596" i="23"/>
  <c r="D1327" i="23"/>
  <c r="D3068" i="23"/>
  <c r="D3392" i="23"/>
  <c r="D2059" i="23"/>
  <c r="D2627" i="23"/>
  <c r="D3348" i="23"/>
  <c r="D3971" i="23"/>
  <c r="D1953" i="23"/>
  <c r="D2741" i="23"/>
  <c r="D2988" i="23"/>
  <c r="D3552" i="23"/>
  <c r="D4294" i="23"/>
  <c r="D3353" i="23"/>
  <c r="D1148" i="23"/>
  <c r="D940" i="23"/>
  <c r="D2788" i="23"/>
  <c r="D2504" i="23"/>
  <c r="D4781" i="23"/>
  <c r="D3488" i="23"/>
  <c r="D642" i="23"/>
  <c r="D1388" i="23"/>
  <c r="D2134" i="23"/>
  <c r="D2785" i="23"/>
  <c r="D2981" i="23"/>
  <c r="D1041" i="23"/>
  <c r="D1207" i="23"/>
  <c r="D3100" i="23"/>
  <c r="D4001" i="23"/>
  <c r="D4085" i="23"/>
  <c r="D2272" i="23"/>
  <c r="D78" i="23"/>
  <c r="D3105" i="23"/>
  <c r="D3651" i="23"/>
  <c r="D2394" i="23"/>
  <c r="D950" i="23"/>
  <c r="D1564" i="23"/>
  <c r="D1306" i="23"/>
  <c r="D3562" i="23"/>
  <c r="D3719" i="23"/>
  <c r="D3741" i="23"/>
  <c r="D3427" i="23"/>
  <c r="D2465" i="23"/>
  <c r="D2464" i="23"/>
  <c r="D2589" i="23"/>
  <c r="D2951" i="23"/>
  <c r="D1057" i="23"/>
  <c r="D3915" i="23"/>
  <c r="D4026" i="23"/>
  <c r="D1641" i="23"/>
  <c r="D3879" i="23"/>
  <c r="D683" i="23"/>
  <c r="D4868" i="23"/>
  <c r="D2662" i="23"/>
  <c r="D2933" i="23"/>
  <c r="D1716" i="23"/>
  <c r="D2470" i="23"/>
  <c r="D4834" i="23"/>
  <c r="D1524" i="23"/>
  <c r="D588" i="23"/>
  <c r="D644" i="23"/>
  <c r="D3042" i="23"/>
  <c r="D4556" i="23"/>
  <c r="D4764" i="23"/>
  <c r="D4394" i="23"/>
  <c r="D887" i="23"/>
  <c r="D351" i="23"/>
  <c r="D172" i="23"/>
  <c r="D913" i="23"/>
  <c r="D1047" i="23"/>
  <c r="D2353" i="23"/>
  <c r="D3498" i="23"/>
  <c r="D3491" i="23"/>
  <c r="D2707" i="23"/>
  <c r="D2946" i="23"/>
  <c r="D3369" i="23"/>
  <c r="D2736" i="23"/>
  <c r="D2505" i="23"/>
  <c r="D814" i="23"/>
  <c r="D782" i="23"/>
  <c r="D4693" i="23"/>
  <c r="D2310" i="23"/>
  <c r="D2269" i="23"/>
  <c r="D1535" i="23"/>
  <c r="D4902" i="23"/>
  <c r="D4176" i="23"/>
  <c r="D1771" i="23"/>
  <c r="D2886" i="23"/>
  <c r="D2808" i="23"/>
  <c r="D1737" i="23"/>
  <c r="D4888" i="23"/>
  <c r="D3276" i="23"/>
  <c r="D3505" i="23"/>
  <c r="D4443" i="23"/>
  <c r="D3343" i="23"/>
  <c r="D548" i="23"/>
  <c r="D34" i="23"/>
  <c r="D3546" i="23"/>
  <c r="D1145" i="23"/>
  <c r="D29" i="23"/>
  <c r="D4362" i="23"/>
  <c r="D4513" i="23"/>
  <c r="D884" i="23"/>
  <c r="D4205" i="23"/>
  <c r="D4228" i="23"/>
  <c r="D4471" i="23"/>
  <c r="D3368" i="23"/>
  <c r="D3174" i="23"/>
  <c r="D1341" i="23"/>
  <c r="D646" i="23"/>
  <c r="D881" i="23"/>
  <c r="D385" i="23"/>
  <c r="D530" i="23"/>
  <c r="D1779" i="23"/>
  <c r="D3517" i="23"/>
  <c r="D4128" i="23"/>
  <c r="D4772" i="23"/>
  <c r="D3835" i="23"/>
  <c r="D2866" i="23"/>
  <c r="D387" i="23"/>
  <c r="D3937" i="23"/>
  <c r="D2843" i="23"/>
  <c r="D1217" i="23"/>
  <c r="D1879" i="23"/>
  <c r="D1913" i="23"/>
  <c r="D453" i="23"/>
  <c r="D2185" i="23"/>
  <c r="D4935" i="23"/>
  <c r="D1559" i="23"/>
  <c r="D3215" i="23"/>
  <c r="D2205" i="23"/>
  <c r="D3995" i="23"/>
  <c r="D2840" i="23"/>
  <c r="D665" i="23"/>
  <c r="D146" i="23"/>
  <c r="D807" i="23"/>
  <c r="D3072" i="23"/>
  <c r="D337" i="23"/>
  <c r="D1175" i="23"/>
  <c r="D2341" i="23"/>
  <c r="D1422" i="23"/>
  <c r="D1952" i="23"/>
  <c r="D3442" i="23"/>
  <c r="D1791" i="23"/>
  <c r="D3786" i="23"/>
  <c r="D343" i="23"/>
  <c r="D3212" i="23"/>
  <c r="D497" i="23"/>
  <c r="D472" i="23"/>
  <c r="D4445" i="23"/>
  <c r="D3543" i="23"/>
  <c r="D1415" i="23"/>
  <c r="D3269" i="23"/>
  <c r="D808" i="23"/>
  <c r="D112" i="23"/>
  <c r="D187" i="23"/>
  <c r="D3542" i="23"/>
  <c r="D3237" i="23"/>
  <c r="D235" i="23"/>
  <c r="D2826" i="23"/>
  <c r="D501" i="23"/>
  <c r="D1297" i="23"/>
  <c r="D1361" i="23"/>
  <c r="D3914" i="23"/>
  <c r="D3934" i="23"/>
  <c r="D3704" i="23"/>
  <c r="D4143" i="23"/>
  <c r="D931" i="23"/>
  <c r="D1723" i="23"/>
  <c r="D2355" i="23"/>
  <c r="D3263" i="23"/>
  <c r="D759" i="23"/>
  <c r="D1938" i="23"/>
  <c r="D4371" i="23"/>
  <c r="D4209" i="23"/>
  <c r="D4080" i="23"/>
  <c r="D305" i="23"/>
  <c r="D1900" i="23"/>
  <c r="D4211" i="23"/>
  <c r="D2899" i="23"/>
  <c r="D1956" i="23"/>
  <c r="D3868" i="23"/>
  <c r="D3289" i="23"/>
  <c r="D893" i="23"/>
  <c r="D4635" i="23"/>
  <c r="D783" i="23"/>
  <c r="D326" i="23"/>
  <c r="D4840" i="23"/>
  <c r="D3898" i="23"/>
  <c r="D3801" i="23"/>
  <c r="D4495" i="23"/>
  <c r="D2110" i="23"/>
  <c r="D4030" i="23"/>
  <c r="D3503" i="23"/>
  <c r="D3759" i="23"/>
  <c r="D3034" i="23"/>
  <c r="D3317" i="23"/>
  <c r="D1649" i="23"/>
  <c r="D4655" i="23"/>
  <c r="D3298" i="23"/>
  <c r="D947" i="23"/>
  <c r="D4699" i="23"/>
  <c r="D2333" i="23"/>
  <c r="D1642" i="23"/>
  <c r="D3253" i="23"/>
  <c r="D4640" i="23"/>
  <c r="D1567" i="23"/>
  <c r="D3095" i="23"/>
  <c r="D2888" i="23"/>
  <c r="D3541" i="23"/>
  <c r="D2633" i="23"/>
  <c r="D1765" i="23"/>
  <c r="D4183" i="23"/>
  <c r="D2631" i="23"/>
  <c r="D2712" i="23"/>
  <c r="D1021" i="23"/>
  <c r="D4688" i="23"/>
  <c r="D4188" i="23"/>
  <c r="D1682" i="23"/>
  <c r="D463" i="23"/>
  <c r="D831" i="23"/>
  <c r="D1995" i="23"/>
  <c r="D914" i="23"/>
  <c r="D3207" i="23"/>
  <c r="D1711" i="23"/>
  <c r="D3702" i="23"/>
  <c r="D1905" i="23"/>
  <c r="D4408" i="23"/>
  <c r="D1572" i="23"/>
  <c r="D3309" i="23"/>
  <c r="D4356" i="23"/>
  <c r="D3366" i="23"/>
  <c r="D464" i="23"/>
  <c r="D410" i="23"/>
  <c r="D2893" i="23"/>
  <c r="D3577" i="23"/>
  <c r="D2383" i="23"/>
  <c r="D4676" i="23"/>
  <c r="D830" i="23"/>
  <c r="D3749" i="23"/>
  <c r="D694" i="23"/>
  <c r="D3396" i="23"/>
  <c r="D3199" i="23"/>
  <c r="D1132" i="23"/>
  <c r="D4753" i="23"/>
  <c r="D4871" i="23"/>
  <c r="D1390" i="23"/>
  <c r="D811" i="23"/>
  <c r="D83" i="23"/>
  <c r="D4171" i="23"/>
  <c r="D1139" i="23"/>
  <c r="D4836" i="23"/>
  <c r="D54" i="23"/>
  <c r="D184" i="23"/>
  <c r="D1836" i="23"/>
  <c r="D1756" i="23"/>
  <c r="D4198" i="23"/>
  <c r="D222" i="23"/>
  <c r="D4570" i="23"/>
  <c r="D4061" i="23"/>
  <c r="D4842" i="23"/>
  <c r="D2831" i="23"/>
  <c r="D4669" i="23"/>
  <c r="D2113" i="23"/>
  <c r="D1882" i="23"/>
  <c r="D4060" i="23"/>
  <c r="D2671" i="23"/>
  <c r="D627" i="23"/>
  <c r="D2971" i="23"/>
  <c r="D4376" i="23"/>
  <c r="D708" i="23"/>
  <c r="D149" i="23"/>
  <c r="D3680" i="23"/>
  <c r="D2161" i="23"/>
  <c r="D242" i="23"/>
  <c r="D4204" i="23"/>
  <c r="D19" i="23"/>
  <c r="D232" i="23"/>
  <c r="D140" i="23"/>
  <c r="D2446" i="23"/>
  <c r="D1752" i="23"/>
  <c r="D3891" i="23"/>
  <c r="D2201" i="23"/>
  <c r="D90" i="23"/>
  <c r="D2344" i="23"/>
  <c r="D4414" i="23"/>
  <c r="D4453" i="23"/>
  <c r="D4942" i="23"/>
  <c r="D2688" i="23"/>
  <c r="D4910" i="23"/>
  <c r="D2638" i="23"/>
  <c r="D775" i="23"/>
  <c r="D2876" i="23"/>
  <c r="D2722" i="23"/>
  <c r="D2968" i="23"/>
  <c r="D3865" i="23"/>
  <c r="D793" i="23"/>
  <c r="D3467" i="23"/>
  <c r="D4885" i="23"/>
  <c r="D1261" i="23"/>
  <c r="D4342" i="23"/>
  <c r="D82" i="23"/>
  <c r="D4534" i="23"/>
  <c r="D139" i="23"/>
  <c r="D4352" i="23"/>
  <c r="D483" i="23"/>
  <c r="D23" i="23"/>
  <c r="D4803" i="23"/>
  <c r="D18" i="23"/>
  <c r="D4678" i="23"/>
  <c r="D80" i="23"/>
  <c r="D33" i="23"/>
  <c r="D4336" i="23"/>
  <c r="D4787" i="23"/>
  <c r="D4965" i="23"/>
  <c r="D15" i="23"/>
  <c r="D20" i="23"/>
  <c r="D1151" i="23"/>
  <c r="D942" i="23"/>
  <c r="D4962" i="23"/>
  <c r="D92" i="23"/>
  <c r="D4964" i="23"/>
  <c r="D3796" i="23"/>
  <c r="D4687" i="23"/>
  <c r="D4827" i="23"/>
  <c r="D2092" i="23"/>
  <c r="D4821" i="23"/>
  <c r="D3633" i="23"/>
  <c r="D4035" i="23"/>
  <c r="D2538" i="23"/>
  <c r="D3337" i="23"/>
  <c r="D4343" i="23"/>
  <c r="D3444" i="23"/>
  <c r="D4601" i="23"/>
  <c r="D1989" i="23"/>
  <c r="D859" i="23"/>
  <c r="D3241" i="23"/>
  <c r="D4220" i="23"/>
  <c r="D4540" i="23"/>
  <c r="D3355" i="23"/>
  <c r="D2203" i="23"/>
  <c r="D1223" i="23"/>
  <c r="D4184" i="23"/>
  <c r="D2661" i="23"/>
  <c r="D4186" i="23"/>
  <c r="D1979" i="23"/>
  <c r="D114" i="23"/>
  <c r="D4929" i="23"/>
  <c r="D4958" i="23"/>
  <c r="D1821" i="23"/>
  <c r="D4005" i="23"/>
  <c r="D318" i="23"/>
  <c r="D4372" i="23"/>
  <c r="D4283" i="23"/>
  <c r="D2380" i="23"/>
  <c r="D2655" i="23"/>
  <c r="D2821" i="23"/>
  <c r="D4243" i="23"/>
  <c r="D1404" i="23"/>
  <c r="D3049" i="23"/>
  <c r="D3569" i="23"/>
  <c r="D3083" i="23"/>
  <c r="D675" i="23"/>
  <c r="D1744" i="23"/>
  <c r="D1270" i="23"/>
  <c r="D1555" i="23"/>
  <c r="D3282" i="23"/>
  <c r="D2379" i="23"/>
  <c r="D4242" i="23"/>
  <c r="D3397" i="23"/>
  <c r="D1499" i="23"/>
  <c r="D2268" i="23"/>
  <c r="D2864" i="23"/>
  <c r="D1701" i="23"/>
  <c r="D2477" i="23"/>
  <c r="D3722" i="23"/>
  <c r="D2653" i="23"/>
  <c r="D3866" i="23"/>
  <c r="D4159" i="23"/>
  <c r="D3035" i="23"/>
  <c r="D661" i="23"/>
  <c r="D631" i="23"/>
  <c r="D4525" i="23"/>
  <c r="D954" i="23"/>
  <c r="D1927" i="23"/>
  <c r="D1366" i="23"/>
  <c r="D4674" i="23"/>
  <c r="D3681" i="23"/>
  <c r="D4260" i="23"/>
  <c r="D742" i="23"/>
  <c r="D3109" i="23"/>
  <c r="D3104" i="23"/>
  <c r="D3436" i="23"/>
  <c r="D2745" i="23"/>
  <c r="D2715" i="23"/>
  <c r="D3803" i="23"/>
  <c r="D1683" i="23"/>
  <c r="D2479" i="23"/>
  <c r="D1427" i="23"/>
  <c r="D4549" i="23"/>
  <c r="D1689" i="23"/>
  <c r="D3416" i="23"/>
  <c r="D2480" i="23"/>
  <c r="D4133" i="23"/>
  <c r="D2512" i="23"/>
  <c r="D4607" i="23"/>
  <c r="D3162" i="23"/>
  <c r="D4555" i="23"/>
  <c r="D651" i="23"/>
  <c r="D3440" i="23"/>
  <c r="D1395" i="23"/>
  <c r="D2867" i="23"/>
  <c r="D842" i="23"/>
  <c r="D3564" i="23"/>
  <c r="D353" i="23"/>
  <c r="D1071" i="23"/>
  <c r="D1114" i="23"/>
  <c r="D3358" i="23"/>
  <c r="D3700" i="23"/>
  <c r="D1352" i="23"/>
  <c r="D1224" i="23"/>
  <c r="D2131" i="23"/>
  <c r="D1303" i="23"/>
  <c r="D4351" i="23"/>
  <c r="D826" i="23"/>
  <c r="D2443" i="23"/>
  <c r="D2069" i="23"/>
  <c r="D4339" i="23"/>
  <c r="D4505" i="23"/>
  <c r="D4578" i="23"/>
  <c r="D4395" i="23"/>
  <c r="D405" i="23"/>
  <c r="D4303" i="23"/>
  <c r="D269" i="23"/>
  <c r="D1176" i="23"/>
  <c r="D1059" i="23"/>
  <c r="D4823" i="23"/>
  <c r="D1850" i="23"/>
  <c r="D21" i="23"/>
  <c r="D1675" i="23"/>
  <c r="D3978" i="23"/>
  <c r="D1351" i="23"/>
  <c r="D3844" i="23"/>
  <c r="D2862" i="23"/>
  <c r="D3089" i="23"/>
  <c r="D4107" i="23"/>
  <c r="D3601" i="23"/>
  <c r="D1586" i="23"/>
  <c r="D2786" i="23"/>
  <c r="D1911" i="23"/>
  <c r="D1529" i="23"/>
  <c r="D4388" i="23"/>
  <c r="D584" i="23"/>
  <c r="D4520" i="23"/>
  <c r="D2239" i="23"/>
  <c r="D987" i="23"/>
  <c r="D272" i="23"/>
  <c r="D4377" i="23"/>
  <c r="D3417" i="23"/>
  <c r="D4567" i="23"/>
  <c r="D4552" i="23"/>
  <c r="D3409" i="23"/>
  <c r="D654" i="23"/>
  <c r="D1200" i="23"/>
  <c r="D4806" i="23"/>
  <c r="D4207" i="23"/>
  <c r="D712" i="23"/>
  <c r="D4560" i="23"/>
  <c r="D3079" i="23"/>
  <c r="D4460" i="23"/>
  <c r="D4037" i="23"/>
  <c r="D3906" i="23"/>
  <c r="D1800" i="23"/>
  <c r="D1884" i="23"/>
  <c r="D3904" i="23"/>
  <c r="D1247" i="23"/>
  <c r="D4012" i="23"/>
  <c r="D2431" i="23"/>
  <c r="D375" i="23"/>
  <c r="D4259" i="23"/>
  <c r="D4422" i="23"/>
  <c r="D2483" i="23"/>
  <c r="D2008" i="23"/>
  <c r="D1981" i="23"/>
  <c r="D4282" i="23"/>
  <c r="D2872" i="23"/>
  <c r="D1284" i="23"/>
  <c r="D2517" i="23"/>
  <c r="D4334" i="23"/>
  <c r="D3604" i="23"/>
  <c r="D1594" i="23"/>
  <c r="D2016" i="23"/>
  <c r="D1147" i="23"/>
  <c r="D3155" i="23"/>
  <c r="D1925" i="23"/>
  <c r="D2339" i="23"/>
  <c r="D4230" i="23"/>
  <c r="D3143" i="23"/>
  <c r="D1402" i="23"/>
  <c r="D1508" i="23"/>
  <c r="D3912" i="23"/>
  <c r="D2667" i="23"/>
  <c r="D1466" i="23"/>
  <c r="D2484" i="23"/>
  <c r="D4003" i="23"/>
  <c r="D3830" i="23"/>
  <c r="D2168" i="23"/>
  <c r="D2487" i="23"/>
  <c r="D2279" i="23"/>
  <c r="D771" i="23"/>
  <c r="D2835" i="23"/>
  <c r="D4120" i="23"/>
  <c r="D2145" i="23"/>
  <c r="D2539" i="23"/>
  <c r="D4848" i="23"/>
  <c r="D2230" i="23"/>
  <c r="D2967" i="23"/>
  <c r="D3558" i="23"/>
  <c r="D2316" i="23"/>
  <c r="D1442" i="23"/>
  <c r="D4880" i="23"/>
  <c r="D4554" i="23"/>
  <c r="D3093" i="23"/>
  <c r="D576" i="23"/>
  <c r="D400" i="23"/>
  <c r="D3673" i="23"/>
  <c r="D1282" i="23"/>
  <c r="D636" i="23"/>
  <c r="D4768" i="23"/>
  <c r="D3585" i="23"/>
  <c r="D2948" i="23"/>
  <c r="D3183" i="23"/>
  <c r="D4386" i="23"/>
  <c r="D1300" i="23"/>
  <c r="D2916" i="23"/>
  <c r="D1007" i="23"/>
  <c r="D3965" i="23"/>
  <c r="D2332" i="23"/>
  <c r="D3642" i="23"/>
  <c r="D1189" i="23"/>
  <c r="D1734" i="23"/>
  <c r="D3767" i="23"/>
  <c r="D3834" i="23"/>
  <c r="D1694" i="23"/>
  <c r="D2682" i="23"/>
  <c r="D197" i="23"/>
  <c r="D1668" i="23"/>
  <c r="D3356" i="23"/>
  <c r="D1003" i="23"/>
  <c r="D3471" i="23"/>
  <c r="D2686" i="23"/>
  <c r="D3229" i="23"/>
  <c r="D3434" i="23"/>
  <c r="D2187" i="23"/>
  <c r="D2540" i="23"/>
  <c r="D3839" i="23"/>
  <c r="D380" i="23"/>
  <c r="D2716" i="23"/>
  <c r="D3387" i="23"/>
  <c r="D3969" i="23"/>
  <c r="D2894" i="23"/>
  <c r="D2837" i="23"/>
  <c r="D537" i="23"/>
  <c r="D1179" i="23"/>
  <c r="D4347" i="23"/>
  <c r="D2215" i="23"/>
  <c r="D2319" i="23"/>
  <c r="D1736" i="23"/>
  <c r="D2045" i="23"/>
  <c r="D1587" i="23"/>
  <c r="D765" i="23"/>
  <c r="D1077" i="23"/>
  <c r="D741" i="23"/>
  <c r="D1444" i="23"/>
  <c r="D2012" i="23"/>
  <c r="D2791" i="23"/>
  <c r="D3200" i="23"/>
  <c r="D1339" i="23"/>
  <c r="D2962" i="23"/>
  <c r="D2993" i="23"/>
  <c r="D2578" i="23"/>
  <c r="D1870" i="23"/>
  <c r="D4516" i="23"/>
  <c r="D1431" i="23"/>
  <c r="D1963" i="23"/>
  <c r="D1685" i="23"/>
  <c r="D3530" i="23"/>
  <c r="D1665" i="23"/>
  <c r="D4416" i="23"/>
  <c r="D1266" i="23"/>
  <c r="D939" i="23"/>
  <c r="D3977" i="23"/>
  <c r="D4182" i="23"/>
  <c r="D1435" i="23"/>
  <c r="D1068" i="23"/>
  <c r="D3973" i="23"/>
  <c r="D898" i="23"/>
  <c r="D4350" i="23"/>
  <c r="D2375" i="23"/>
  <c r="D1667" i="23"/>
  <c r="D4906" i="23"/>
  <c r="D2634" i="23"/>
  <c r="D3342" i="23"/>
  <c r="D3761" i="23"/>
  <c r="D2607" i="23"/>
  <c r="D3757" i="23"/>
  <c r="D1465" i="23"/>
  <c r="D3091" i="23"/>
  <c r="D511" i="23"/>
  <c r="D2965" i="23"/>
  <c r="D441" i="23"/>
  <c r="D1278" i="23"/>
  <c r="D2147" i="23"/>
  <c r="D1477" i="23"/>
  <c r="D3489" i="23"/>
  <c r="D3634" i="23"/>
  <c r="D1974" i="23"/>
  <c r="D2868" i="23"/>
  <c r="D1727" i="23"/>
  <c r="D789" i="23"/>
  <c r="D2158" i="23"/>
  <c r="D2959" i="23"/>
  <c r="D4584" i="23"/>
  <c r="D2978" i="23"/>
  <c r="D551" i="23"/>
  <c r="D3460" i="23"/>
  <c r="D786" i="23"/>
  <c r="D2275" i="23"/>
  <c r="D2960" i="23"/>
  <c r="D1787" i="23"/>
  <c r="D734" i="23"/>
  <c r="D4167" i="23"/>
  <c r="D1985" i="23"/>
  <c r="D3750" i="23"/>
  <c r="D4649" i="23"/>
  <c r="D3130" i="23"/>
  <c r="D3916" i="23"/>
  <c r="D3466" i="23"/>
  <c r="D554" i="23"/>
  <c r="D3860" i="23"/>
  <c r="D2974" i="23"/>
  <c r="D590" i="23"/>
  <c r="D3213" i="23"/>
  <c r="D3631" i="23"/>
  <c r="D2885" i="23"/>
  <c r="D241" i="23"/>
  <c r="D1480" i="23"/>
  <c r="D3593" i="23"/>
  <c r="D2790" i="23"/>
  <c r="D1109" i="23"/>
  <c r="D4104" i="23"/>
  <c r="D3919" i="23"/>
  <c r="D1203" i="23"/>
  <c r="D3728" i="23"/>
  <c r="D4144" i="23"/>
  <c r="D465" i="23"/>
  <c r="D3887" i="23"/>
  <c r="D1908" i="23"/>
  <c r="D4357" i="23"/>
  <c r="D1276" i="23"/>
  <c r="D4657" i="23"/>
  <c r="D2660" i="23"/>
  <c r="D1634" i="23"/>
  <c r="D3783" i="23"/>
  <c r="D3038" i="23"/>
  <c r="D1142" i="23"/>
  <c r="D900" i="23"/>
  <c r="D2459" i="23"/>
  <c r="D290" i="23"/>
  <c r="D128" i="23"/>
  <c r="D4470" i="23"/>
  <c r="D1652" i="23"/>
  <c r="D4421" i="23"/>
  <c r="D4081" i="23"/>
  <c r="D4869" i="23"/>
  <c r="D4747" i="23"/>
  <c r="D3512" i="23"/>
  <c r="D2873" i="23"/>
  <c r="D767" i="23"/>
  <c r="D2461" i="23"/>
  <c r="D4725" i="23"/>
  <c r="D1124" i="23"/>
  <c r="D4536" i="23"/>
  <c r="D822" i="23"/>
  <c r="D4076" i="23"/>
  <c r="D1904" i="23"/>
  <c r="D4393" i="23"/>
  <c r="D2366" i="23"/>
  <c r="D183" i="23"/>
  <c r="D4795" i="23"/>
  <c r="D4122" i="23"/>
  <c r="D2725" i="23"/>
  <c r="D2243" i="23"/>
  <c r="D2207" i="23"/>
  <c r="D4041" i="23"/>
  <c r="D4577" i="23"/>
  <c r="D2541" i="23"/>
  <c r="D402" i="23"/>
  <c r="D1982" i="23"/>
  <c r="D3385" i="23"/>
  <c r="D1230" i="23"/>
  <c r="D3315" i="23"/>
  <c r="D2987" i="23"/>
  <c r="D2761" i="23"/>
  <c r="D2787" i="23"/>
  <c r="D484" i="23"/>
  <c r="D2795" i="23"/>
  <c r="D1603" i="23"/>
  <c r="D1967" i="23"/>
  <c r="D1471" i="23"/>
  <c r="D1760" i="23"/>
  <c r="D2628" i="23"/>
  <c r="D2891" i="23"/>
  <c r="D3597" i="23"/>
  <c r="D726" i="23"/>
  <c r="D3699" i="23"/>
  <c r="D926" i="23"/>
  <c r="D4017" i="23"/>
  <c r="D3290" i="23"/>
  <c r="D53" i="23"/>
  <c r="D1983" i="23"/>
  <c r="D2250" i="23"/>
  <c r="D1739" i="23"/>
  <c r="D136" i="23"/>
  <c r="D2140" i="23"/>
  <c r="D618" i="23"/>
  <c r="D3274" i="23"/>
  <c r="D3520" i="23"/>
  <c r="D1863" i="23"/>
  <c r="D4679" i="23"/>
  <c r="D1741" i="23"/>
  <c r="D3251" i="23"/>
  <c r="D1231" i="23"/>
  <c r="D1600" i="23"/>
  <c r="D2458" i="23"/>
  <c r="D209" i="23"/>
  <c r="D3146" i="23"/>
  <c r="D1291" i="23"/>
  <c r="D4070" i="23"/>
  <c r="D432" i="23"/>
  <c r="D3771" i="23"/>
  <c r="D3672" i="23"/>
  <c r="D1379" i="23"/>
  <c r="D3884" i="23"/>
  <c r="D690" i="23"/>
  <c r="D4007" i="23"/>
  <c r="D3779" i="23"/>
  <c r="D1680" i="23"/>
  <c r="D2515" i="23"/>
  <c r="D3948" i="23"/>
  <c r="D2881" i="23"/>
  <c r="D3808" i="23"/>
  <c r="D1977" i="23"/>
  <c r="D1772" i="23"/>
  <c r="D4053" i="23"/>
  <c r="D2151" i="23"/>
  <c r="D1116" i="23"/>
  <c r="D3330" i="23"/>
  <c r="D3131" i="23"/>
  <c r="D3492" i="23"/>
  <c r="D2697" i="23"/>
  <c r="D3688" i="23"/>
  <c r="D3227" i="23"/>
  <c r="D1101" i="23"/>
  <c r="D3853" i="23"/>
  <c r="D1763" i="23"/>
  <c r="D4501" i="23"/>
  <c r="D4130" i="23"/>
  <c r="D2519" i="23"/>
  <c r="D1017" i="23"/>
  <c r="D4671" i="23"/>
  <c r="D839" i="23"/>
  <c r="D3953" i="23"/>
  <c r="D1919" i="23"/>
  <c r="D982" i="23"/>
  <c r="D3661" i="23"/>
  <c r="D2783" i="23"/>
  <c r="D2282" i="23"/>
  <c r="D589" i="23"/>
  <c r="D4748" i="23"/>
  <c r="D3685" i="23"/>
  <c r="D481" i="23"/>
  <c r="D1502" i="23"/>
  <c r="D1907" i="23"/>
  <c r="D769" i="23"/>
  <c r="D3573" i="23"/>
  <c r="D2241" i="23"/>
  <c r="D2925" i="23"/>
  <c r="D3185" i="23"/>
  <c r="D1510" i="23"/>
  <c r="D238" i="23"/>
  <c r="D1025" i="23"/>
  <c r="D840" i="23"/>
  <c r="D3238" i="23"/>
  <c r="D4094" i="23"/>
  <c r="D3421" i="23"/>
  <c r="D2025" i="23"/>
  <c r="D553" i="23"/>
  <c r="D1830" i="23"/>
  <c r="D1917" i="23"/>
  <c r="D2481" i="23"/>
  <c r="D2397" i="23"/>
  <c r="D1123" i="23"/>
  <c r="D4165" i="23"/>
  <c r="D2067" i="23"/>
  <c r="D1398" i="23"/>
  <c r="D3812" i="23"/>
  <c r="D2990" i="23"/>
  <c r="D2647" i="23"/>
  <c r="D2513" i="23"/>
  <c r="D3326" i="23"/>
  <c r="D4502" i="23"/>
  <c r="D3864" i="23"/>
  <c r="D3327" i="23"/>
  <c r="D2909" i="23"/>
  <c r="D87" i="23"/>
  <c r="D2286" i="23"/>
  <c r="D3165" i="23"/>
  <c r="D910" i="23"/>
  <c r="D4252" i="23"/>
  <c r="D4241" i="23"/>
  <c r="D3147" i="23"/>
  <c r="D3305" i="23"/>
  <c r="D2644" i="23"/>
  <c r="D3855" i="23"/>
  <c r="D1507" i="23"/>
  <c r="D3175" i="23"/>
  <c r="D562" i="23"/>
  <c r="D3031" i="23"/>
  <c r="D3802" i="23"/>
  <c r="D3477" i="23"/>
  <c r="D1646" i="23"/>
  <c r="D4114" i="23"/>
  <c r="D3376" i="23"/>
  <c r="D3924" i="23"/>
  <c r="D3121" i="23"/>
  <c r="D1644" i="23"/>
  <c r="D4574" i="23"/>
  <c r="D844" i="23"/>
  <c r="D2518" i="23"/>
  <c r="D819" i="23"/>
  <c r="D4208" i="23"/>
  <c r="D2813" i="23"/>
  <c r="D4546" i="23"/>
  <c r="D2663" i="23"/>
  <c r="D629" i="23"/>
  <c r="D1121" i="23"/>
  <c r="D3037" i="23"/>
  <c r="D1896" i="23"/>
  <c r="D261" i="23"/>
  <c r="D679" i="23"/>
  <c r="D4625" i="23"/>
  <c r="D2516" i="23"/>
  <c r="D3746" i="23"/>
  <c r="D2301" i="23"/>
  <c r="D3193" i="23"/>
  <c r="D573" i="23"/>
  <c r="D1163" i="23"/>
  <c r="D1757" i="23"/>
  <c r="D2291" i="23"/>
  <c r="D2289" i="23"/>
  <c r="D3443" i="23"/>
  <c r="D3099" i="23"/>
  <c r="D1725" i="23"/>
  <c r="D2728" i="23"/>
  <c r="D3655" i="23"/>
  <c r="D1928" i="23"/>
  <c r="D2514" i="23"/>
  <c r="D2704" i="23"/>
  <c r="D3096" i="23"/>
  <c r="D1929" i="23"/>
  <c r="D3339" i="23"/>
  <c r="D2328" i="23"/>
  <c r="D495" i="23"/>
  <c r="D3895" i="23"/>
  <c r="D4448" i="23"/>
  <c r="D755" i="23"/>
  <c r="D150" i="23"/>
  <c r="D1541" i="23"/>
  <c r="D3806" i="23"/>
  <c r="D3283" i="23"/>
  <c r="D2613" i="23"/>
  <c r="D3047" i="23"/>
  <c r="D3674" i="23"/>
  <c r="D1914" i="23"/>
  <c r="D3784" i="23"/>
  <c r="D3411" i="23"/>
  <c r="D1187" i="23"/>
  <c r="D2542" i="23"/>
  <c r="D1280" i="23"/>
  <c r="D4163" i="23"/>
  <c r="D1826" i="23"/>
  <c r="D1074" i="23"/>
  <c r="D1522" i="23"/>
  <c r="D4129" i="23"/>
  <c r="D3566" i="23"/>
  <c r="D4152" i="23"/>
  <c r="D1608" i="23"/>
  <c r="D4557" i="23"/>
  <c r="D2482" i="23"/>
  <c r="D2295" i="23"/>
  <c r="D2842" i="23"/>
  <c r="D2701" i="23"/>
  <c r="D4328" i="23"/>
  <c r="D743" i="23"/>
  <c r="D2210" i="23"/>
  <c r="D4330" i="23"/>
  <c r="D1999" i="23"/>
  <c r="D3020" i="23"/>
  <c r="D1371" i="23"/>
  <c r="D2581" i="23"/>
  <c r="D3888" i="23"/>
  <c r="D2938" i="23"/>
  <c r="D1053" i="23"/>
  <c r="D2700" i="23"/>
  <c r="D1662" i="23"/>
  <c r="D3137" i="23"/>
  <c r="D1645" i="23"/>
  <c r="D3010" i="23"/>
  <c r="D3561" i="23"/>
  <c r="D1542" i="23"/>
  <c r="D2021" i="23"/>
  <c r="D3712" i="23"/>
  <c r="D393" i="23"/>
  <c r="D1018" i="23"/>
  <c r="D4115" i="23"/>
  <c r="D1035" i="23"/>
  <c r="D4292" i="23"/>
  <c r="D2428" i="23"/>
  <c r="D4650" i="23"/>
  <c r="D3172" i="23"/>
  <c r="D3629" i="23"/>
  <c r="D876" i="23"/>
  <c r="D2055" i="23"/>
  <c r="D3766" i="23"/>
  <c r="D3911" i="23"/>
  <c r="D2237" i="23"/>
  <c r="D4626" i="23"/>
  <c r="D790" i="23"/>
  <c r="D1838" i="23"/>
  <c r="D1517" i="23"/>
  <c r="D4512" i="23"/>
  <c r="D4692" i="23"/>
  <c r="D2692" i="23"/>
  <c r="D2825" i="23"/>
  <c r="D1810" i="23"/>
  <c r="D2409" i="23"/>
  <c r="D1620" i="23"/>
  <c r="D3678" i="23"/>
  <c r="D1998" i="23"/>
  <c r="D3132" i="23"/>
  <c r="D2749" i="23"/>
  <c r="D1832" i="23"/>
  <c r="D2693" i="23"/>
  <c r="D1580" i="23"/>
  <c r="D2100" i="23"/>
  <c r="D231" i="23"/>
  <c r="D2699" i="23"/>
  <c r="D3431" i="23"/>
  <c r="D2407" i="23"/>
  <c r="D3262" i="23"/>
  <c r="D4564" i="23"/>
  <c r="D3025" i="23"/>
  <c r="D2889" i="23"/>
  <c r="D4238" i="23"/>
  <c r="D3745" i="23"/>
  <c r="D1292" i="23"/>
  <c r="D4610" i="23"/>
  <c r="D1149" i="23"/>
  <c r="D4433" i="23"/>
  <c r="D1450" i="23"/>
  <c r="D3499" i="23"/>
  <c r="D774" i="23"/>
  <c r="D2860" i="23"/>
  <c r="D3553" i="23"/>
  <c r="D356" i="23"/>
  <c r="D4966" i="23"/>
  <c r="D4855" i="23"/>
  <c r="D3257" i="23"/>
  <c r="D216" i="23"/>
  <c r="D3250" i="23"/>
  <c r="D3790" i="23"/>
  <c r="D3008" i="23"/>
  <c r="D3738" i="23"/>
  <c r="D593" i="23"/>
  <c r="D4477" i="23"/>
  <c r="D4314" i="23"/>
  <c r="D39" i="23"/>
  <c r="D117" i="23"/>
  <c r="D1134" i="23"/>
  <c r="D4135" i="23"/>
  <c r="D1876" i="23"/>
  <c r="D2708" i="23"/>
  <c r="D1469" i="23"/>
  <c r="D2423" i="23"/>
  <c r="D3598" i="23"/>
  <c r="D905" i="23"/>
  <c r="D707" i="23"/>
  <c r="D1552" i="23"/>
  <c r="D4451" i="23"/>
  <c r="D2111" i="23"/>
  <c r="D3332" i="23"/>
  <c r="D4466" i="23"/>
  <c r="D2861" i="23"/>
  <c r="D1954" i="23"/>
  <c r="D4558" i="23"/>
  <c r="D3367" i="23"/>
  <c r="D725" i="23"/>
  <c r="D1456" i="23"/>
  <c r="D2368" i="23"/>
  <c r="D4219" i="23"/>
  <c r="D433" i="23"/>
  <c r="D215" i="23"/>
  <c r="D2463" i="23"/>
  <c r="D2684" i="23"/>
  <c r="D4032" i="23"/>
  <c r="D35" i="23"/>
  <c r="D220" i="23"/>
  <c r="D4181" i="23"/>
  <c r="D3508" i="23"/>
  <c r="D517" i="23"/>
  <c r="D1113" i="23"/>
  <c r="D3475" i="23"/>
  <c r="D1210" i="23"/>
  <c r="D1305" i="23"/>
  <c r="D3341" i="23"/>
  <c r="D4298" i="23"/>
  <c r="D4251" i="23"/>
  <c r="D834" i="23"/>
  <c r="D3583" i="23"/>
  <c r="D1878" i="23"/>
  <c r="D4744" i="23"/>
  <c r="D4440" i="23"/>
  <c r="D163" i="23"/>
  <c r="D698" i="23"/>
  <c r="D1340" i="23"/>
  <c r="D4480" i="23"/>
  <c r="D2099" i="23"/>
  <c r="D2754" i="23"/>
  <c r="D2577" i="23"/>
  <c r="D2576" i="23"/>
  <c r="D3896" i="23"/>
  <c r="D2636" i="23"/>
  <c r="D203" i="23"/>
  <c r="D2039" i="23"/>
  <c r="D3338" i="23"/>
  <c r="D4435" i="23"/>
  <c r="D3848" i="23"/>
  <c r="D1861" i="23"/>
  <c r="D3782" i="23"/>
  <c r="D2807" i="23"/>
  <c r="D1235" i="23"/>
  <c r="D3135" i="23"/>
  <c r="D2197" i="23"/>
  <c r="D995" i="23"/>
  <c r="D3711" i="23"/>
  <c r="D4762" i="23"/>
  <c r="D456" i="23"/>
  <c r="D2169" i="23"/>
  <c r="D67" i="23"/>
  <c r="D2404" i="23"/>
  <c r="D1909" i="23"/>
  <c r="D874" i="23"/>
  <c r="D3401" i="23"/>
  <c r="D2079" i="23"/>
  <c r="D2612" i="23"/>
  <c r="D2454" i="23"/>
  <c r="D1222" i="23"/>
  <c r="D4096" i="23"/>
  <c r="D4222" i="23"/>
  <c r="D365" i="23"/>
  <c r="D3827" i="23"/>
  <c r="D3145" i="23"/>
  <c r="D1381" i="23"/>
  <c r="D2367" i="23"/>
  <c r="D3996" i="23"/>
  <c r="D3683" i="23"/>
  <c r="D1686" i="23"/>
  <c r="D4684" i="23"/>
  <c r="D1241" i="23"/>
  <c r="D2430" i="23"/>
  <c r="D3926" i="23"/>
  <c r="D4323" i="23"/>
  <c r="D1153" i="23"/>
  <c r="D3736" i="23"/>
  <c r="D2373" i="23"/>
  <c r="D880" i="23"/>
  <c r="D3228" i="23"/>
  <c r="D657" i="23"/>
  <c r="D73" i="23"/>
  <c r="D1441" i="23"/>
  <c r="D3302" i="23"/>
  <c r="D4796" i="23"/>
  <c r="D438" i="23"/>
  <c r="D2427" i="23"/>
  <c r="D678" i="23"/>
  <c r="D1786" i="23"/>
  <c r="D923" i="23"/>
  <c r="D3204" i="23"/>
  <c r="D968" i="23"/>
  <c r="D3066" i="23"/>
  <c r="D486" i="23"/>
  <c r="D4058" i="23"/>
  <c r="D3395" i="23"/>
  <c r="D973" i="23"/>
  <c r="D937" i="23"/>
  <c r="D4373" i="23"/>
  <c r="D1735" i="23"/>
  <c r="D1353" i="23"/>
  <c r="D1199" i="23"/>
  <c r="D2992" i="23"/>
  <c r="D368" i="23"/>
  <c r="D2164" i="23"/>
  <c r="D1650" i="23"/>
  <c r="D101" i="23"/>
  <c r="D2323" i="23"/>
  <c r="D4119" i="23"/>
  <c r="D1699" i="23"/>
  <c r="D4344" i="23"/>
  <c r="D936" i="23"/>
  <c r="D2098" i="23"/>
  <c r="D4262" i="23"/>
  <c r="D4278" i="23"/>
  <c r="D3974" i="23"/>
  <c r="D817" i="23"/>
  <c r="D4367" i="23"/>
  <c r="D997" i="23"/>
  <c r="D275" i="23"/>
  <c r="D4155" i="23"/>
  <c r="D3928" i="23"/>
  <c r="D615" i="23"/>
  <c r="D4599" i="23"/>
  <c r="D1881" i="23"/>
  <c r="D1618" i="23"/>
  <c r="D4029" i="23"/>
  <c r="D451" i="23"/>
  <c r="D372" i="23"/>
  <c r="D3311" i="23"/>
  <c r="D3518" i="23"/>
  <c r="D1368" i="23"/>
  <c r="D4355" i="23"/>
  <c r="D4338" i="23"/>
  <c r="D2137" i="23"/>
  <c r="D4756" i="23"/>
  <c r="D4633" i="23"/>
  <c r="D4818" i="23"/>
  <c r="D1044" i="23"/>
  <c r="D4782" i="23"/>
  <c r="D3087" i="23"/>
  <c r="D219" i="23"/>
  <c r="D141" i="23"/>
  <c r="D970" i="23"/>
  <c r="D4010" i="23"/>
  <c r="D3590" i="23"/>
  <c r="D3448" i="23"/>
  <c r="D2543" i="23"/>
  <c r="D597" i="23"/>
  <c r="D2544" i="23"/>
  <c r="D3983" i="23"/>
  <c r="D1776" i="23"/>
  <c r="D2031" i="23"/>
  <c r="D2615" i="23"/>
  <c r="D4720" i="23"/>
  <c r="D419" i="23"/>
  <c r="D2095" i="23"/>
  <c r="D1933" i="23"/>
  <c r="D3270" i="23"/>
  <c r="D1805" i="23"/>
  <c r="D1588" i="23"/>
  <c r="D4055" i="23"/>
  <c r="D3184" i="23"/>
  <c r="D3226" i="23"/>
  <c r="D1939" i="23"/>
  <c r="D4455" i="23"/>
  <c r="D3304" i="23"/>
  <c r="D1857" i="23"/>
  <c r="D3807" i="23"/>
  <c r="D4597" i="23"/>
  <c r="D3591" i="23"/>
  <c r="D1614" i="23"/>
  <c r="D4138" i="23"/>
  <c r="D3627" i="23"/>
  <c r="D3412" i="23"/>
  <c r="D641" i="23"/>
  <c r="D718" i="23"/>
  <c r="D2806" i="23"/>
  <c r="D4660" i="23"/>
  <c r="D4686" i="23"/>
  <c r="D1419" i="23"/>
  <c r="D2429" i="23"/>
  <c r="D2727" i="23"/>
  <c r="D1509" i="23"/>
  <c r="D1986" i="23"/>
  <c r="D1127" i="23"/>
  <c r="D612" i="23"/>
  <c r="D3142" i="23"/>
  <c r="D2315" i="23"/>
  <c r="D953" i="23"/>
  <c r="D3236" i="23"/>
  <c r="D3975" i="23"/>
  <c r="D978" i="23"/>
  <c r="D3265" i="23"/>
  <c r="D3470" i="23"/>
  <c r="D3370" i="23"/>
  <c r="D1940" i="23"/>
  <c r="D1225" i="23"/>
  <c r="D473" i="23"/>
  <c r="D3242" i="23"/>
  <c r="D3845" i="23"/>
  <c r="D3949" i="23"/>
  <c r="D2242" i="23"/>
  <c r="D2906" i="23"/>
  <c r="D4805" i="23"/>
  <c r="D99" i="23"/>
  <c r="D3624" i="23"/>
  <c r="D3618" i="23"/>
  <c r="D256" i="23"/>
  <c r="D4425" i="23"/>
  <c r="D2545" i="23"/>
  <c r="D1470" i="23"/>
  <c r="D3009" i="23"/>
  <c r="D2313" i="23"/>
  <c r="D1802" i="23"/>
  <c r="D2449" i="23"/>
  <c r="D2510" i="23"/>
  <c r="D2448" i="23"/>
  <c r="D1595" i="23"/>
  <c r="D3334" i="23"/>
  <c r="D3012" i="23"/>
  <c r="D902" i="23"/>
  <c r="D3245" i="23"/>
  <c r="D843" i="23"/>
  <c r="D3375" i="23"/>
  <c r="D4783" i="23"/>
  <c r="D265" i="23"/>
  <c r="D1671" i="23"/>
  <c r="D3451" i="23"/>
  <c r="D283" i="23"/>
  <c r="D886" i="23"/>
  <c r="D4413" i="23"/>
  <c r="D740" i="23"/>
  <c r="D3972" i="23"/>
  <c r="D2346" i="23"/>
  <c r="D3297" i="23"/>
  <c r="D866" i="23"/>
  <c r="D4148" i="23"/>
  <c r="D617" i="23"/>
  <c r="D1228" i="23"/>
  <c r="D2883" i="23"/>
  <c r="D3882" i="23"/>
  <c r="D4668" i="23"/>
  <c r="D2523" i="23"/>
  <c r="D502" i="23"/>
  <c r="D1801" i="23"/>
  <c r="D4040" i="23"/>
  <c r="D3871" i="23"/>
  <c r="D227" i="23"/>
  <c r="D4310" i="23"/>
  <c r="D2877" i="23"/>
  <c r="D3789" i="23"/>
  <c r="D606" i="23"/>
  <c r="D390" i="23"/>
  <c r="D2015" i="23"/>
  <c r="D58" i="23"/>
  <c r="D664" i="23"/>
  <c r="D4664" i="23"/>
  <c r="D1570" i="23"/>
  <c r="D2030" i="23"/>
  <c r="D199" i="23"/>
  <c r="D1987" i="23"/>
  <c r="D2442" i="23"/>
  <c r="D4407" i="23"/>
  <c r="D3154" i="23"/>
  <c r="D411" i="23"/>
  <c r="D2527" i="23"/>
  <c r="D722" i="23"/>
  <c r="D3989" i="23"/>
  <c r="D4345" i="23"/>
  <c r="D4057" i="23"/>
  <c r="D1607" i="23"/>
  <c r="D4816" i="23"/>
  <c r="D563" i="23"/>
  <c r="D503" i="23"/>
  <c r="D4281" i="23"/>
  <c r="D4123" i="23"/>
  <c r="D4382" i="23"/>
  <c r="D2501" i="23"/>
  <c r="D977" i="23"/>
  <c r="D266" i="23"/>
  <c r="D4277" i="23"/>
  <c r="D561" i="23"/>
  <c r="D1702" i="23"/>
  <c r="D4539" i="23"/>
  <c r="D2819" i="23"/>
  <c r="D4141" i="23"/>
  <c r="D4349" i="23"/>
  <c r="D371" i="23"/>
  <c r="D2116" i="23"/>
  <c r="D392" i="23"/>
  <c r="D3657" i="23"/>
  <c r="D3378" i="23"/>
  <c r="D2018" i="23"/>
  <c r="D4689" i="23"/>
  <c r="D480" i="23"/>
  <c r="D2019" i="23"/>
  <c r="D1778" i="23"/>
  <c r="D628" i="23"/>
  <c r="D4719" i="23"/>
  <c r="D1051" i="23"/>
  <c r="D695" i="23"/>
  <c r="D4077" i="23"/>
  <c r="D2720" i="23"/>
  <c r="D721" i="23"/>
  <c r="D3857" i="23"/>
  <c r="D3208" i="23"/>
  <c r="D4462" i="23"/>
  <c r="D10" i="23"/>
  <c r="D715" i="23"/>
  <c r="D681" i="23"/>
  <c r="D3278" i="23"/>
  <c r="D4593" i="23"/>
  <c r="D4559" i="23"/>
  <c r="D4319" i="23"/>
  <c r="D3003" i="23"/>
  <c r="D572" i="23"/>
  <c r="D794" i="23"/>
  <c r="D4735" i="23"/>
  <c r="D1015" i="23"/>
  <c r="D1759" i="23"/>
  <c r="D4830" i="23"/>
  <c r="D3998" i="23"/>
  <c r="D3822" i="23"/>
  <c r="D4728" i="23"/>
  <c r="D1571" i="23"/>
  <c r="D2624" i="23"/>
  <c r="D3595" i="23"/>
  <c r="D2804" i="23"/>
  <c r="D836" i="23"/>
  <c r="D1750" i="23"/>
  <c r="D609" i="23"/>
  <c r="D1066" i="23"/>
  <c r="D2206" i="23"/>
  <c r="D1458" i="23"/>
  <c r="D3730" i="23"/>
  <c r="D4363" i="23"/>
  <c r="D3196" i="23"/>
  <c r="D1806" i="23"/>
  <c r="D3968" i="23"/>
  <c r="D1820" i="23"/>
  <c r="D2229" i="23"/>
  <c r="D2984" i="23"/>
  <c r="D1464" i="23"/>
  <c r="D925" i="23"/>
  <c r="D4438" i="23"/>
  <c r="D4790" i="23"/>
  <c r="D2677" i="23"/>
  <c r="D3621" i="23"/>
  <c r="D2698" i="23"/>
  <c r="D1958" i="23"/>
  <c r="D1747" i="23"/>
  <c r="D3187" i="23"/>
  <c r="D1449" i="23"/>
  <c r="D1549" i="23"/>
  <c r="D1947" i="23"/>
  <c r="D4519" i="23"/>
  <c r="D221" i="23"/>
  <c r="D3976" i="23"/>
  <c r="D1943" i="23"/>
  <c r="D4039" i="23"/>
  <c r="D1320" i="23"/>
  <c r="D2977" i="23"/>
  <c r="D2672" i="23"/>
  <c r="D1004" i="23"/>
  <c r="D1376" i="23"/>
  <c r="D1955" i="23"/>
  <c r="D4957" i="23"/>
  <c r="D4606" i="23"/>
  <c r="D4427" i="23"/>
  <c r="D1294" i="23"/>
  <c r="D1120" i="23"/>
  <c r="D3331" i="23"/>
  <c r="D1844" i="23"/>
  <c r="D482" i="23"/>
  <c r="D3150" i="23"/>
  <c r="D4587" i="23"/>
  <c r="D4605" i="23"/>
  <c r="D1011" i="23"/>
  <c r="D3094" i="23"/>
  <c r="D189" i="23"/>
  <c r="D309" i="23"/>
  <c r="D4180" i="23"/>
  <c r="D3635" i="23"/>
  <c r="D4476" i="23"/>
  <c r="D730" i="23"/>
  <c r="D2280" i="23"/>
  <c r="D1872" i="23"/>
  <c r="D2144" i="23"/>
  <c r="D3581" i="23"/>
  <c r="D1468" i="23"/>
  <c r="D4908" i="23"/>
  <c r="D4268" i="23"/>
  <c r="D2882" i="23"/>
  <c r="D2780" i="23"/>
  <c r="D3324" i="23"/>
  <c r="D253" i="23"/>
  <c r="D2603" i="23"/>
  <c r="D3557" i="23"/>
  <c r="D1613" i="23"/>
  <c r="D2822" i="23"/>
  <c r="D757" i="23"/>
  <c r="D2529" i="23"/>
  <c r="D1227" i="23"/>
  <c r="D3689" i="23"/>
  <c r="D951" i="23"/>
  <c r="D4661" i="23"/>
  <c r="D948" i="23"/>
  <c r="D100" i="23"/>
  <c r="D2179" i="23"/>
  <c r="D2567" i="23"/>
  <c r="D298" i="23"/>
  <c r="D1994" i="23"/>
  <c r="D3942" i="23"/>
  <c r="D489" i="23"/>
  <c r="D969" i="23"/>
  <c r="D3549" i="23"/>
  <c r="D4067" i="23"/>
  <c r="D4142" i="23"/>
  <c r="D781" i="23"/>
  <c r="D1024" i="23"/>
  <c r="D2600" i="23"/>
  <c r="D2348" i="23"/>
  <c r="D3043" i="23"/>
  <c r="D1811" i="23"/>
  <c r="D2824" i="23"/>
  <c r="D4042" i="23"/>
  <c r="D3832" i="23"/>
  <c r="D2598" i="23"/>
  <c r="D799" i="23"/>
  <c r="D4788" i="23"/>
  <c r="D3404" i="23"/>
  <c r="D1923" i="23"/>
  <c r="D323" i="23"/>
  <c r="D3588" i="23"/>
  <c r="D2702" i="23"/>
  <c r="D4814" i="23"/>
  <c r="D1889" i="23"/>
  <c r="D110" i="23"/>
  <c r="D1590" i="23"/>
  <c r="D3524" i="23"/>
  <c r="D3139" i="23"/>
  <c r="D1678" i="23"/>
  <c r="D2751" i="23"/>
  <c r="D3956" i="23"/>
  <c r="D2953" i="23"/>
  <c r="D3988" i="23"/>
  <c r="D3373" i="23"/>
  <c r="D4390" i="23"/>
  <c r="D1669" i="23"/>
  <c r="D3291" i="23"/>
  <c r="D660" i="23"/>
  <c r="D192" i="23"/>
  <c r="D108" i="23"/>
  <c r="D4656" i="23"/>
  <c r="D2792" i="23"/>
  <c r="D3846" i="23"/>
  <c r="D2827" i="23"/>
  <c r="D2228" i="23"/>
  <c r="D2003" i="23"/>
  <c r="D4627" i="23"/>
  <c r="D3381" i="23"/>
  <c r="D888" i="23"/>
  <c r="D975" i="23"/>
  <c r="D1709" i="23"/>
  <c r="D3626" i="23"/>
  <c r="D766" i="23"/>
  <c r="D2880" i="23"/>
  <c r="D3644" i="23"/>
  <c r="D4212" i="23"/>
  <c r="D3045" i="23"/>
  <c r="D1323" i="23"/>
  <c r="D2244" i="23"/>
  <c r="D1831" i="23"/>
  <c r="D3287" i="23"/>
  <c r="D672" i="23"/>
  <c r="D1597" i="23"/>
  <c r="D4229" i="23"/>
  <c r="D3188" i="23"/>
  <c r="D2980" i="23"/>
  <c r="D904" i="23"/>
  <c r="D616" i="23"/>
  <c r="D1167" i="23"/>
  <c r="D2129" i="23"/>
  <c r="D1516" i="23"/>
  <c r="D2294" i="23"/>
  <c r="D2053" i="23"/>
  <c r="D2270" i="23"/>
  <c r="D4190" i="23"/>
  <c r="D2263" i="23"/>
  <c r="D4109" i="23"/>
  <c r="D2525" i="23"/>
  <c r="D1312" i="23"/>
  <c r="D3840" i="23"/>
  <c r="D4912" i="23"/>
  <c r="D4896" i="23"/>
  <c r="D770" i="23"/>
  <c r="D625" i="23"/>
  <c r="D1031" i="23"/>
  <c r="D1038" i="23"/>
  <c r="D3799" i="23"/>
  <c r="D4872" i="23"/>
  <c r="D1726" i="23"/>
  <c r="D4202" i="23"/>
  <c r="D2836" i="23"/>
  <c r="D2770" i="23"/>
  <c r="D498" i="23"/>
  <c r="D1745" i="23"/>
  <c r="D3883" i="23"/>
  <c r="D1095" i="23"/>
  <c r="D3563" i="23"/>
  <c r="D3261" i="23"/>
  <c r="D669" i="23"/>
  <c r="D917" i="23"/>
  <c r="D4673" i="23"/>
  <c r="D4082" i="23"/>
  <c r="D349" i="23"/>
  <c r="D4454" i="23"/>
  <c r="D4757" i="23"/>
  <c r="D4594" i="23"/>
  <c r="D3816" i="23"/>
  <c r="D653" i="23"/>
  <c r="D3119" i="23"/>
  <c r="D1892" i="23"/>
  <c r="D2521" i="23"/>
  <c r="D4767" i="23"/>
  <c r="D1775" i="23"/>
  <c r="D4200" i="23"/>
  <c r="D1213" i="23"/>
  <c r="D855" i="23"/>
  <c r="D2798" i="23"/>
  <c r="D2133" i="23"/>
  <c r="D680" i="23"/>
  <c r="D2738" i="23"/>
  <c r="D312" i="23"/>
  <c r="D494" i="23"/>
  <c r="D3329" i="23"/>
  <c r="D195" i="23"/>
  <c r="D4305" i="23"/>
  <c r="D4178" i="23"/>
  <c r="D2450" i="23"/>
  <c r="D2935" i="23"/>
  <c r="D2580" i="23"/>
  <c r="D4452" i="23"/>
  <c r="D3899" i="23"/>
  <c r="D3908" i="23"/>
  <c r="D883" i="23"/>
  <c r="D4064" i="23"/>
  <c r="D4585" i="23"/>
  <c r="D336" i="23"/>
  <c r="D2717" i="23"/>
  <c r="D2451" i="23"/>
  <c r="D4644" i="23"/>
  <c r="D1663" i="23"/>
  <c r="D1432" i="23"/>
  <c r="D3292" i="23"/>
  <c r="D4924" i="23"/>
  <c r="D4961" i="23"/>
  <c r="D3284" i="23"/>
  <c r="D3930" i="23"/>
  <c r="D1184" i="23"/>
  <c r="D865" i="23"/>
  <c r="D4266" i="23"/>
  <c r="D638" i="23"/>
  <c r="D3933" i="23"/>
  <c r="D1264" i="23"/>
  <c r="D213" i="23"/>
  <c r="D479" i="23"/>
  <c r="D2854" i="23"/>
  <c r="D2026" i="23"/>
  <c r="D1710" i="23"/>
  <c r="D4287" i="23"/>
  <c r="D983" i="23"/>
  <c r="D2002" i="23"/>
  <c r="D1897" i="23"/>
  <c r="D780" i="23"/>
  <c r="D4598" i="23"/>
  <c r="D3222" i="23"/>
  <c r="D435" i="23"/>
  <c r="D1647" i="23"/>
  <c r="D212" i="23"/>
  <c r="D3071" i="23"/>
  <c r="D3413" i="23"/>
  <c r="D4921" i="23"/>
  <c r="D158" i="23"/>
  <c r="D3098" i="23"/>
  <c r="D1630" i="23"/>
  <c r="D237" i="23"/>
  <c r="D4835" i="23"/>
  <c r="D1617" i="23"/>
  <c r="D2128" i="23"/>
  <c r="D4301" i="23"/>
  <c r="D331" i="23"/>
  <c r="D4491" i="23"/>
  <c r="D4709" i="23"/>
  <c r="D1942" i="23"/>
  <c r="D2060" i="23"/>
  <c r="D3190" i="23"/>
  <c r="D2377" i="23"/>
  <c r="D3186" i="23"/>
  <c r="D1755" i="23"/>
  <c r="D3859" i="23"/>
  <c r="D3788" i="23"/>
  <c r="D2297" i="23"/>
  <c r="D821" i="23"/>
  <c r="D4359" i="23"/>
  <c r="D1400" i="23"/>
  <c r="D4652" i="23"/>
  <c r="D4793" i="23"/>
  <c r="D3701" i="23"/>
  <c r="D2884" i="23"/>
  <c r="D1921" i="23"/>
  <c r="D2273" i="23"/>
  <c r="D3780" i="23"/>
  <c r="D697" i="23"/>
  <c r="D450" i="23"/>
  <c r="D48" i="23"/>
  <c r="D3579" i="23"/>
  <c r="D2036" i="23"/>
  <c r="D1930" i="23"/>
  <c r="D1526" i="23"/>
  <c r="D3668" i="23"/>
  <c r="D403" i="23"/>
  <c r="D4931" i="23"/>
  <c r="D3021" i="23"/>
  <c r="D693" i="23"/>
  <c r="D1648" i="23"/>
  <c r="D3526" i="23"/>
  <c r="D2532" i="23"/>
  <c r="D2119" i="23"/>
  <c r="D2174" i="23"/>
  <c r="D3015" i="23"/>
  <c r="D787" i="23"/>
  <c r="D4566" i="23"/>
  <c r="D72" i="23"/>
  <c r="D3892" i="23"/>
  <c r="D1150" i="23"/>
  <c r="D2433" i="23"/>
  <c r="D2417" i="23"/>
  <c r="D2340" i="23"/>
  <c r="D993" i="23"/>
  <c r="D2267" i="23"/>
  <c r="D2911" i="23"/>
  <c r="D1924" i="23"/>
  <c r="D3555" i="23"/>
  <c r="D2838" i="23"/>
  <c r="D3372" i="23"/>
  <c r="D1891" i="23"/>
  <c r="D735" i="23"/>
  <c r="D3929" i="23"/>
  <c r="D3611" i="23"/>
  <c r="D4831" i="23"/>
  <c r="D2637" i="23"/>
  <c r="D1409" i="23"/>
  <c r="D3108" i="23"/>
  <c r="D4381" i="23"/>
  <c r="D1089" i="23"/>
  <c r="D4293" i="23"/>
  <c r="D4166" i="23"/>
  <c r="D2799" i="23"/>
  <c r="D645" i="23"/>
  <c r="D2533" i="23"/>
  <c r="D196" i="23"/>
  <c r="D2221" i="23"/>
  <c r="D1093" i="23"/>
  <c r="D1847" i="23"/>
  <c r="D1910" i="23"/>
  <c r="D4015" i="23"/>
  <c r="D966" i="23"/>
  <c r="D2475" i="23"/>
  <c r="D4550" i="23"/>
  <c r="D1014" i="23"/>
  <c r="D1315" i="23"/>
  <c r="D2362" i="23"/>
  <c r="D1887" i="23"/>
  <c r="D4368" i="23"/>
  <c r="D1029" i="23"/>
  <c r="D4185" i="23"/>
  <c r="D1374" i="23"/>
  <c r="D2601" i="23"/>
  <c r="D1304" i="23"/>
  <c r="D696" i="23"/>
  <c r="D3612" i="23"/>
  <c r="D2011" i="23"/>
  <c r="D3961" i="23"/>
  <c r="D3430" i="23"/>
  <c r="D4434" i="23"/>
  <c r="D2746" i="23"/>
  <c r="D224" i="23"/>
  <c r="D2841" i="23"/>
  <c r="D2913" i="23"/>
  <c r="D1578" i="23"/>
  <c r="D2455" i="23"/>
  <c r="D4760" i="23"/>
  <c r="D1893" i="23"/>
  <c r="D845" i="23"/>
  <c r="D4472" i="23"/>
  <c r="D3809" i="23"/>
  <c r="D1670" i="23"/>
  <c r="D2591" i="23"/>
  <c r="D2155" i="23"/>
  <c r="D1429" i="23"/>
  <c r="D2208" i="23"/>
  <c r="D1343" i="23"/>
  <c r="D674" i="23"/>
  <c r="D2618" i="23"/>
  <c r="D2530" i="23"/>
  <c r="D1713" i="23"/>
  <c r="D3654" i="23"/>
  <c r="D2964" i="23"/>
  <c r="D1105" i="23"/>
  <c r="D2232" i="23"/>
  <c r="D663" i="23"/>
  <c r="D2088" i="23"/>
  <c r="D1894" i="23"/>
  <c r="D1625" i="23"/>
  <c r="D1636" i="23"/>
  <c r="D957" i="23"/>
  <c r="D2471" i="23"/>
  <c r="D684" i="23"/>
  <c r="D1098" i="23"/>
  <c r="D2441" i="23"/>
  <c r="D4213" i="23"/>
  <c r="D621" i="23"/>
  <c r="D4950" i="23"/>
  <c r="D2817" i="23"/>
  <c r="D1201" i="23"/>
  <c r="D3849" i="23"/>
  <c r="D2621" i="23"/>
  <c r="D1117" i="23"/>
  <c r="D3220" i="23"/>
  <c r="D2152" i="23"/>
  <c r="D4090" i="23"/>
  <c r="D2830" i="23"/>
  <c r="D1976" i="23"/>
  <c r="D1326" i="23"/>
  <c r="D1370" i="23"/>
  <c r="D3625" i="23"/>
  <c r="D3885" i="23"/>
  <c r="D4286" i="23"/>
  <c r="D2870" i="23"/>
  <c r="D2714" i="23"/>
  <c r="D2966" i="23"/>
  <c r="D2919" i="23"/>
  <c r="D1846" i="23"/>
  <c r="D3682" i="23"/>
  <c r="D1002" i="23"/>
  <c r="D2163" i="23"/>
  <c r="D1406" i="23"/>
  <c r="D4934" i="23"/>
  <c r="D4794" i="23"/>
  <c r="D1551" i="23"/>
  <c r="D908" i="23"/>
  <c r="D1817" i="23"/>
  <c r="D106" i="23"/>
  <c r="D1202" i="23"/>
  <c r="D4150" i="23"/>
  <c r="D3116" i="23"/>
  <c r="D1253" i="23"/>
  <c r="D928" i="23"/>
  <c r="D2794" i="23"/>
  <c r="D2325" i="23"/>
  <c r="D3293" i="23"/>
  <c r="D3191" i="23"/>
  <c r="D4751" i="23"/>
  <c r="D1533" i="23"/>
  <c r="D3643" i="23"/>
  <c r="D2476" i="23"/>
  <c r="D475" i="23"/>
  <c r="D779" i="23"/>
  <c r="D3638" i="23"/>
  <c r="D2713" i="23"/>
  <c r="D4066" i="23"/>
  <c r="D1511" i="23"/>
  <c r="D2211" i="23"/>
  <c r="D3057" i="23"/>
  <c r="D1851" i="23"/>
  <c r="D4608" i="23"/>
  <c r="D2921" i="23"/>
  <c r="D4332" i="23"/>
  <c r="D3161" i="23"/>
  <c r="D2154" i="23"/>
  <c r="D3952" i="23"/>
  <c r="D1655" i="23"/>
  <c r="D1072" i="23"/>
  <c r="D3014" i="23"/>
  <c r="D1729" i="23"/>
  <c r="D3992" i="23"/>
  <c r="D1128" i="23"/>
  <c r="D330" i="23"/>
  <c r="D1097" i="23"/>
  <c r="D1531" i="23"/>
  <c r="D470" i="23"/>
  <c r="D3268" i="23"/>
  <c r="D3649" i="23"/>
  <c r="D1122" i="23"/>
  <c r="D1970" i="23"/>
  <c r="D1780" i="23"/>
  <c r="D1486" i="23"/>
  <c r="D1819" i="23"/>
  <c r="D3054" i="23"/>
  <c r="D462" i="23"/>
  <c r="D1656" i="23"/>
  <c r="D1448" i="23"/>
  <c r="D586" i="23"/>
  <c r="D4302" i="23"/>
  <c r="D2673" i="23"/>
  <c r="D3917" i="23"/>
  <c r="D2402" i="23"/>
  <c r="D1289" i="23"/>
  <c r="D4034" i="23"/>
  <c r="D4224" i="23"/>
  <c r="D2492" i="23"/>
  <c r="D1807" i="23"/>
  <c r="D3063" i="23"/>
  <c r="D626" i="23"/>
  <c r="D4474" i="23"/>
  <c r="D820" i="23"/>
  <c r="D4279" i="23"/>
  <c r="D2290" i="23"/>
  <c r="D2742" i="23"/>
  <c r="D3300" i="23"/>
  <c r="D1476" i="23"/>
  <c r="D2568" i="23"/>
  <c r="D4248" i="23"/>
  <c r="D1795" i="23"/>
  <c r="D3325" i="23"/>
  <c r="D3080" i="23"/>
  <c r="D691" i="23"/>
  <c r="D2850" i="23"/>
  <c r="D3938" i="23"/>
  <c r="D895" i="23"/>
  <c r="D3013" i="23"/>
  <c r="D1331" i="23"/>
  <c r="D421" i="23"/>
  <c r="D3144" i="23"/>
  <c r="D2467" i="23"/>
  <c r="D2029" i="23"/>
  <c r="D2108" i="23"/>
  <c r="D2651" i="23"/>
  <c r="D4653" i="23"/>
  <c r="D2255" i="23"/>
  <c r="D2823" i="23"/>
  <c r="D2569" i="23"/>
  <c r="D1547" i="23"/>
  <c r="D1972" i="23"/>
  <c r="D2625" i="23"/>
  <c r="D962" i="23"/>
  <c r="D1789" i="23"/>
  <c r="D3457" i="23"/>
  <c r="D2422" i="23"/>
  <c r="D1417" i="23"/>
  <c r="D3697" i="23"/>
  <c r="D3255" i="23"/>
  <c r="D4127" i="23"/>
  <c r="D1272" i="23"/>
  <c r="D752" i="23"/>
  <c r="D1598" i="23"/>
  <c r="D1484" i="23"/>
  <c r="D4162" i="23"/>
  <c r="D4544" i="23"/>
  <c r="D3602" i="23"/>
  <c r="D2014" i="23"/>
  <c r="D428" i="23"/>
  <c r="D2858" i="23"/>
  <c r="D1107" i="23"/>
  <c r="D4424" i="23"/>
  <c r="D352" i="23"/>
  <c r="D4192" i="23"/>
  <c r="D4675" i="23"/>
  <c r="D3765" i="23"/>
  <c r="D3698" i="23"/>
  <c r="D137" i="23"/>
  <c r="D2400" i="23"/>
  <c r="D4465" i="23"/>
  <c r="D1168" i="23"/>
  <c r="D3826" i="23"/>
  <c r="D2969" i="23"/>
  <c r="D1700" i="23"/>
  <c r="D2703" i="23"/>
  <c r="D4849" i="23"/>
  <c r="D1445" i="23"/>
  <c r="D4576" i="23"/>
  <c r="D1674" i="23"/>
  <c r="D727" i="23"/>
  <c r="D2579" i="23"/>
  <c r="D4854" i="23"/>
  <c r="D3691" i="23"/>
  <c r="D2028" i="23"/>
  <c r="D2520" i="23"/>
  <c r="D3836" i="23"/>
  <c r="D4754" i="23"/>
  <c r="D299" i="23"/>
  <c r="D713" i="23"/>
  <c r="D2440" i="23"/>
  <c r="D3586" i="23"/>
  <c r="D4246" i="23"/>
  <c r="D3151" i="23"/>
  <c r="D2141" i="23"/>
  <c r="D414" i="23"/>
  <c r="D2453" i="23"/>
  <c r="D2046" i="23"/>
  <c r="D4110" i="23"/>
  <c r="D1467" i="23"/>
  <c r="D4604" i="23"/>
  <c r="D3156" i="23"/>
  <c r="D918" i="23"/>
  <c r="D4092" i="23"/>
  <c r="D2937" i="23"/>
  <c r="D4313" i="23"/>
  <c r="D2616" i="23"/>
  <c r="D155" i="23"/>
  <c r="D825" i="23"/>
  <c r="D835" i="23"/>
  <c r="D1439" i="23"/>
  <c r="D4309" i="23"/>
  <c r="D513" i="23"/>
  <c r="D4457" i="23"/>
  <c r="D31" i="23"/>
  <c r="D891" i="23"/>
  <c r="D95" i="23"/>
  <c r="D2975" i="23"/>
  <c r="D4949" i="23"/>
  <c r="D125" i="23"/>
  <c r="D1164" i="23"/>
  <c r="D342" i="23"/>
  <c r="D2386" i="23"/>
  <c r="D4810" i="23"/>
  <c r="D3032" i="23"/>
  <c r="D2246" i="23"/>
  <c r="D377" i="23"/>
  <c r="D4915" i="23"/>
  <c r="D1860" i="23"/>
  <c r="D4561" i="23"/>
  <c r="D4907" i="23"/>
  <c r="D2227" i="23"/>
  <c r="D3197" i="23"/>
  <c r="D193" i="23"/>
  <c r="D1188" i="23"/>
  <c r="D4682" i="23"/>
  <c r="D4318" i="23"/>
  <c r="D1491" i="23"/>
  <c r="D4503" i="23"/>
  <c r="D3559" i="23"/>
  <c r="D4694" i="23"/>
  <c r="D4573" i="23"/>
  <c r="D4752" i="23"/>
  <c r="D311" i="23"/>
  <c r="D4914" i="23"/>
  <c r="D2534" i="23"/>
  <c r="D559" i="23"/>
  <c r="D2658" i="23"/>
  <c r="D2378" i="23"/>
  <c r="D2419" i="23"/>
  <c r="D388" i="23"/>
  <c r="D461" i="23"/>
  <c r="D1673" i="23"/>
  <c r="D3696" i="23"/>
  <c r="D398" i="23"/>
  <c r="D3363" i="23"/>
  <c r="D2198" i="23"/>
  <c r="D1020" i="23"/>
  <c r="D1096" i="23"/>
  <c r="D119" i="23"/>
  <c r="D1828" i="23"/>
  <c r="D3061" i="23"/>
  <c r="D1783" i="23"/>
  <c r="D1392" i="23"/>
  <c r="D3128" i="23"/>
  <c r="D1180" i="23"/>
  <c r="D667" i="23"/>
  <c r="D4681" i="23"/>
  <c r="D2724" i="23"/>
  <c r="D4616" i="23"/>
  <c r="D2674" i="23"/>
  <c r="D3308" i="23"/>
  <c r="D2500" i="23"/>
  <c r="D813" i="23"/>
  <c r="D4095" i="23"/>
  <c r="D3921" i="23"/>
  <c r="D3692" i="23"/>
  <c r="D1256" i="23"/>
  <c r="D3016" i="23"/>
  <c r="D2126" i="23"/>
  <c r="D3903" i="23"/>
  <c r="D1975" i="23"/>
  <c r="D4027" i="23"/>
  <c r="D4900" i="23"/>
  <c r="D165" i="23"/>
  <c r="D1446" i="23"/>
  <c r="D592" i="23"/>
  <c r="D1006" i="23"/>
  <c r="D3679" i="23"/>
  <c r="D3829" i="23"/>
  <c r="D882" i="23"/>
  <c r="D3997" i="23"/>
  <c r="D2666" i="23"/>
  <c r="D3493" i="23"/>
  <c r="D4346" i="23"/>
  <c r="D522" i="23"/>
  <c r="D2528" i="23"/>
  <c r="D4928" i="23"/>
  <c r="D2101" i="23"/>
  <c r="D329" i="23"/>
  <c r="D1777" i="23"/>
  <c r="D413" i="23"/>
  <c r="D257" i="23"/>
  <c r="D4193" i="23"/>
  <c r="D3768" i="23"/>
  <c r="D828" i="23"/>
  <c r="D941" i="23"/>
  <c r="D603" i="23"/>
  <c r="D3004" i="23"/>
  <c r="D1520" i="23"/>
  <c r="D2236" i="23"/>
  <c r="D1717" i="23"/>
  <c r="D1530" i="23"/>
  <c r="D676" i="23"/>
  <c r="D281" i="23"/>
  <c r="D364" i="23"/>
  <c r="D282" i="23"/>
  <c r="D2283" i="23"/>
  <c r="D3726" i="23"/>
  <c r="D4521" i="23"/>
  <c r="D1730" i="23"/>
  <c r="D4749" i="23"/>
  <c r="D4716" i="23"/>
  <c r="D2303" i="23"/>
  <c r="D2570" i="23"/>
  <c r="D3617" i="23"/>
  <c r="D1185" i="23"/>
  <c r="D929" i="23"/>
  <c r="D3958" i="23"/>
  <c r="D2220" i="23"/>
  <c r="D3605" i="23"/>
  <c r="D2090" i="23"/>
  <c r="D1562" i="23"/>
  <c r="D1447" i="23"/>
  <c r="D2546" i="23"/>
  <c r="D2416" i="23"/>
  <c r="D1262" i="23"/>
  <c r="D1871" i="23"/>
  <c r="D2632" i="23"/>
  <c r="D595" i="23"/>
  <c r="D579" i="23"/>
  <c r="D4499" i="23"/>
  <c r="D2486" i="23"/>
  <c r="D1890" i="23"/>
  <c r="D4089" i="23"/>
  <c r="D2547" i="23"/>
  <c r="D892" i="23"/>
  <c r="D3473" i="23"/>
  <c r="D2184" i="23"/>
  <c r="D4325" i="23"/>
  <c r="D4031" i="23"/>
  <c r="D3361" i="23"/>
  <c r="D1859" i="23"/>
  <c r="D2705" i="23"/>
  <c r="D2630" i="23"/>
  <c r="D2334" i="23"/>
  <c r="D2390" i="23"/>
  <c r="D2080" i="23"/>
  <c r="D3781" i="23"/>
  <c r="D3652" i="23"/>
  <c r="D2944" i="23"/>
  <c r="D1430" i="23"/>
  <c r="D4331" i="23"/>
  <c r="D3580" i="23"/>
  <c r="D1676" i="23"/>
  <c r="D1075" i="23"/>
  <c r="D3017" i="23"/>
  <c r="D803" i="23"/>
  <c r="D2035" i="23"/>
  <c r="D1454" i="23"/>
  <c r="D719" i="23"/>
  <c r="D984" i="23"/>
  <c r="D3729" i="23"/>
  <c r="D838" i="23"/>
  <c r="D1473" i="23"/>
  <c r="D1839" i="23"/>
  <c r="D2610" i="23"/>
  <c r="D417" i="23"/>
  <c r="D689" i="23"/>
  <c r="D4738" i="23"/>
  <c r="D1728" i="23"/>
  <c r="D4612" i="23"/>
  <c r="D370" i="23"/>
  <c r="D4075" i="23"/>
  <c r="D3167" i="23"/>
  <c r="D3532" i="23"/>
  <c r="D3516" i="23"/>
  <c r="D2292" i="23"/>
  <c r="D3818" i="23"/>
  <c r="D2013" i="23"/>
  <c r="D3610" i="23"/>
  <c r="D1013" i="23"/>
  <c r="D2548" i="23"/>
  <c r="D2571" i="23"/>
  <c r="D3951" i="23"/>
  <c r="D3943" i="23"/>
  <c r="D2524" i="23"/>
  <c r="D3901" i="23"/>
  <c r="D2160" i="23"/>
  <c r="D4847" i="23"/>
  <c r="D1337" i="23"/>
  <c r="D1862" i="23"/>
  <c r="D2296" i="23"/>
  <c r="D2462" i="23"/>
  <c r="D1054" i="23"/>
  <c r="D1271" i="23"/>
  <c r="D3058" i="23"/>
  <c r="D3693" i="23"/>
  <c r="D2271" i="23"/>
  <c r="D956" i="23"/>
  <c r="D339" i="23"/>
  <c r="D2253" i="23"/>
  <c r="D3735" i="23"/>
  <c r="D1182" i="23"/>
  <c r="D518" i="23"/>
  <c r="D3170" i="23"/>
  <c r="D317" i="23"/>
  <c r="D3528" i="23"/>
  <c r="D4717" i="23"/>
  <c r="D2493" i="23"/>
  <c r="D4295" i="23"/>
  <c r="D2997" i="23"/>
  <c r="D3036" i="23"/>
  <c r="D2115" i="23"/>
  <c r="D2258" i="23"/>
  <c r="D545" i="23"/>
  <c r="D857" i="23"/>
  <c r="D4043" i="23"/>
  <c r="D3362" i="23"/>
  <c r="D4250" i="23"/>
  <c r="D1375" i="23"/>
  <c r="D4596" i="23"/>
  <c r="D1525" i="23"/>
  <c r="D4194" i="23"/>
  <c r="D4062" i="23"/>
  <c r="D496" i="23"/>
  <c r="D1052" i="23"/>
  <c r="D1612" i="23"/>
  <c r="D2719" i="23"/>
  <c r="D1067" i="23"/>
  <c r="D2549" i="23"/>
  <c r="D1319" i="23"/>
  <c r="D2020" i="23"/>
  <c r="D1391" i="23"/>
  <c r="D1460" i="23"/>
  <c r="D2345" i="23"/>
  <c r="D570" i="23"/>
  <c r="D4004" i="23"/>
  <c r="D2066" i="23"/>
  <c r="D490" i="23"/>
  <c r="D1022" i="23"/>
  <c r="D1060" i="23"/>
  <c r="D540" i="23"/>
  <c r="D4623" i="23"/>
  <c r="D504" i="23"/>
  <c r="D1321" i="23"/>
  <c r="D2120" i="23"/>
  <c r="D4937" i="23"/>
  <c r="D3328" i="23"/>
  <c r="D2320" i="23"/>
  <c r="D1482" i="23"/>
  <c r="D1192" i="23"/>
  <c r="D1784" i="23"/>
  <c r="D2171" i="23"/>
  <c r="D1335" i="23"/>
  <c r="D4743" i="23"/>
  <c r="D1822" i="23"/>
  <c r="D3178" i="23"/>
  <c r="D2573" i="23"/>
  <c r="D4000" i="23"/>
  <c r="D1827" i="23"/>
  <c r="D1852" i="23"/>
  <c r="D1137" i="23"/>
  <c r="D2425" i="23"/>
  <c r="D2027" i="23"/>
  <c r="D1198" i="23"/>
  <c r="D2017" i="23"/>
  <c r="D3313" i="23"/>
  <c r="D812" i="23"/>
  <c r="D4852" i="23"/>
  <c r="D2023" i="23"/>
  <c r="D3027" i="23"/>
  <c r="D1405" i="23"/>
  <c r="D753" i="23"/>
  <c r="D2392" i="23"/>
  <c r="D1088" i="23"/>
  <c r="D3103" i="23"/>
  <c r="D3707" i="23"/>
  <c r="D1275" i="23"/>
  <c r="D2004" i="23"/>
  <c r="D2585" i="23"/>
  <c r="D955" i="23"/>
  <c r="D425" i="23"/>
  <c r="D4581" i="23"/>
  <c r="D613" i="23"/>
  <c r="D2081" i="23"/>
  <c r="D4157" i="23"/>
  <c r="D3286" i="23"/>
  <c r="D3044" i="23"/>
  <c r="D2874" i="23"/>
  <c r="D885" i="23"/>
  <c r="D3439" i="23"/>
  <c r="D1506" i="23"/>
  <c r="D3500" i="23"/>
  <c r="D4535" i="23"/>
  <c r="D274" i="23"/>
  <c r="D3202" i="23"/>
  <c r="D1360" i="23"/>
  <c r="D602" i="23"/>
  <c r="D2781" i="23"/>
  <c r="D4235" i="23"/>
  <c r="D4837" i="23"/>
  <c r="D214" i="23"/>
  <c r="D848" i="23"/>
  <c r="D2075" i="23"/>
  <c r="D4086" i="23"/>
  <c r="D2832" i="23"/>
  <c r="D3097" i="23"/>
  <c r="D437" i="23"/>
  <c r="D4187" i="23"/>
  <c r="D319" i="23"/>
  <c r="D4523" i="23"/>
  <c r="D901" i="23"/>
  <c r="D2122" i="23"/>
  <c r="D1912" i="23"/>
  <c r="D879" i="23"/>
  <c r="D2176" i="23"/>
  <c r="D1009" i="23"/>
  <c r="D1463" i="23"/>
  <c r="D118" i="23"/>
  <c r="D4473" i="23"/>
  <c r="D4353" i="23"/>
  <c r="D524" i="23"/>
  <c r="D4006" i="23"/>
  <c r="D1880" i="23"/>
  <c r="D4447" i="23"/>
  <c r="D878" i="23"/>
  <c r="D3514" i="23"/>
  <c r="D1523" i="23"/>
  <c r="D3221" i="23"/>
  <c r="D3819" i="23"/>
  <c r="D4530" i="23"/>
  <c r="D487" i="23"/>
  <c r="D180" i="23"/>
  <c r="D4315" i="23"/>
  <c r="D4329" i="23"/>
  <c r="D2384" i="23"/>
  <c r="D4583" i="23"/>
  <c r="D2958" i="23"/>
  <c r="D43" i="23"/>
  <c r="D4894" i="23"/>
  <c r="D3647" i="23"/>
  <c r="D4273" i="23"/>
  <c r="D4072" i="23"/>
  <c r="D3107" i="23"/>
  <c r="D3394" i="23"/>
  <c r="D1855" i="23"/>
  <c r="D4158" i="23"/>
  <c r="D971" i="23"/>
  <c r="D1988" i="23"/>
  <c r="D2351" i="23"/>
  <c r="D2839" i="23"/>
  <c r="D1815" i="23"/>
  <c r="D1249" i="23"/>
  <c r="D4468" i="23"/>
  <c r="D454" i="23"/>
  <c r="D491" i="23"/>
  <c r="D1604" i="23"/>
  <c r="D436" i="23"/>
  <c r="D2262" i="23"/>
  <c r="D376" i="23"/>
  <c r="D4271" i="23"/>
  <c r="D2326" i="23"/>
  <c r="D2438" i="23"/>
  <c r="D2502" i="23"/>
  <c r="D1146" i="23"/>
  <c r="D3910" i="23"/>
  <c r="D2032" i="23"/>
  <c r="D776" i="23"/>
  <c r="D2363" i="23"/>
  <c r="D981" i="23"/>
  <c r="D4487" i="23"/>
  <c r="D2374" i="23"/>
  <c r="D849" i="23"/>
  <c r="D500" i="23"/>
  <c r="D154" i="23"/>
  <c r="D4405" i="23"/>
  <c r="D686" i="23"/>
  <c r="D1115" i="23"/>
  <c r="D3576" i="23"/>
  <c r="D3717" i="23"/>
  <c r="D2869" i="23"/>
  <c r="D692" i="23"/>
  <c r="D1226" i="23"/>
  <c r="D2735" i="23"/>
  <c r="D3670" i="23"/>
  <c r="D3124" i="23"/>
  <c r="D4256" i="23"/>
  <c r="D3659" i="23"/>
  <c r="D872" i="23"/>
  <c r="D1959" i="23"/>
  <c r="D2507" i="23"/>
  <c r="D1698" i="23"/>
  <c r="D1245" i="23"/>
  <c r="D1504" i="23"/>
  <c r="D1941" i="23"/>
  <c r="D2086" i="23"/>
  <c r="D2759" i="23"/>
  <c r="D3280" i="23"/>
  <c r="D2635" i="23"/>
  <c r="D2947" i="23"/>
  <c r="D3349" i="23"/>
  <c r="D745" i="23"/>
  <c r="D1342" i="23"/>
  <c r="D1414" i="23"/>
  <c r="D4126" i="23"/>
  <c r="D4044" i="23"/>
  <c r="D751" i="23"/>
  <c r="D3252" i="23"/>
  <c r="D4575" i="23"/>
  <c r="D2474" i="23"/>
  <c r="D1574" i="23"/>
  <c r="D700" i="23"/>
  <c r="D4875" i="23"/>
  <c r="D2986" i="23"/>
  <c r="D1563" i="23"/>
  <c r="D3046" i="23"/>
  <c r="D1212" i="23"/>
  <c r="D1158" i="23"/>
  <c r="D1411" i="23"/>
  <c r="D3823" i="23"/>
  <c r="D744" i="23"/>
  <c r="D2260" i="23"/>
  <c r="D2871" i="23"/>
  <c r="D1064" i="23"/>
  <c r="D2337" i="23"/>
  <c r="D3152" i="23"/>
  <c r="D1364" i="23"/>
  <c r="D4161" i="23"/>
  <c r="D2093" i="23"/>
  <c r="D3545" i="23"/>
  <c r="D4267" i="23"/>
  <c r="D2460" i="23"/>
  <c r="D1823" i="23"/>
  <c r="D2358" i="23"/>
  <c r="D1481" i="23"/>
  <c r="D829" i="23"/>
  <c r="D1238" i="23"/>
  <c r="D1354" i="23"/>
  <c r="D4504" i="23"/>
  <c r="D2743" i="23"/>
  <c r="D964" i="23"/>
  <c r="D1550" i="23"/>
  <c r="D3423" i="23"/>
  <c r="D3863" i="23"/>
  <c r="D4780" i="23"/>
  <c r="D1944" i="23"/>
  <c r="D4036" i="23"/>
  <c r="D856" i="23"/>
  <c r="D801" i="23"/>
  <c r="D841" i="23"/>
  <c r="D1495" i="23"/>
  <c r="D431" i="23"/>
  <c r="D2604" i="23"/>
  <c r="D3320" i="23"/>
  <c r="D4275" i="23"/>
  <c r="D4369" i="23"/>
  <c r="D4049" i="23"/>
  <c r="D4775" i="23"/>
  <c r="D4641" i="23"/>
  <c r="D1277" i="23"/>
  <c r="D3169" i="23"/>
  <c r="D3354" i="23"/>
  <c r="D2074" i="23"/>
  <c r="D1672" i="23"/>
  <c r="D2194" i="23"/>
  <c r="D2435" i="23"/>
  <c r="D1922" i="23"/>
  <c r="D1769" i="23"/>
  <c r="D4642" i="23"/>
  <c r="D3999" i="23"/>
  <c r="D746" i="23"/>
  <c r="D1712" i="23"/>
  <c r="D514" i="23"/>
  <c r="D816" i="23"/>
  <c r="D3319" i="23"/>
  <c r="D3909" i="23"/>
  <c r="D864" i="23"/>
  <c r="D3614" i="23"/>
  <c r="D2130" i="23"/>
  <c r="D702" i="23"/>
  <c r="D3946" i="23"/>
  <c r="D418" i="23"/>
  <c r="D2972" i="23"/>
  <c r="D1812" i="23"/>
  <c r="D304" i="23"/>
  <c r="D958" i="23"/>
  <c r="D4214" i="23"/>
  <c r="D4481" i="23"/>
  <c r="D4588" i="23"/>
  <c r="D301" i="23"/>
  <c r="D557" i="23"/>
  <c r="D297" i="23"/>
  <c r="D4375" i="23"/>
  <c r="D1978" i="23"/>
  <c r="D4829" i="23"/>
  <c r="D3230" i="23"/>
  <c r="D714" i="23"/>
  <c r="D4160" i="23"/>
  <c r="D3616" i="23"/>
  <c r="D2602" i="23"/>
  <c r="D1001" i="23"/>
  <c r="D1869" i="23"/>
  <c r="D3623" i="23"/>
  <c r="D3656" i="23"/>
  <c r="D3216" i="23"/>
  <c r="D4195" i="23"/>
  <c r="D2499" i="23"/>
  <c r="D2922" i="23"/>
  <c r="D705" i="23"/>
  <c r="D3886" i="23"/>
  <c r="D307" i="23"/>
  <c r="D4741" i="23"/>
  <c r="D2217" i="23"/>
  <c r="D3479" i="23"/>
  <c r="D1659" i="23"/>
  <c r="D850" i="23"/>
  <c r="D4643" i="23"/>
  <c r="D2851" i="23"/>
  <c r="D568" i="23"/>
  <c r="D976" i="23"/>
  <c r="D3111" i="23"/>
  <c r="D1382" i="23"/>
  <c r="D4177" i="23"/>
  <c r="D350" i="23"/>
  <c r="D3594" i="23"/>
  <c r="D4461" i="23"/>
  <c r="D4826" i="23"/>
  <c r="D1169" i="23"/>
  <c r="D4543" i="23"/>
  <c r="D2135" i="23"/>
  <c r="D1170" i="23"/>
  <c r="D285" i="23"/>
  <c r="D2550" i="23"/>
  <c r="D4619" i="23"/>
  <c r="D3890" i="23"/>
  <c r="D2307" i="23"/>
  <c r="D1581" i="23"/>
  <c r="D1412" i="23"/>
  <c r="D1005" i="23"/>
  <c r="D2620" i="23"/>
  <c r="D3480" i="23"/>
  <c r="D3279" i="23"/>
  <c r="D1055" i="23"/>
  <c r="D3239" i="23"/>
  <c r="D1178" i="23"/>
  <c r="D4226" i="23"/>
  <c r="D164" i="23"/>
  <c r="D1731" i="23"/>
  <c r="D4327" i="23"/>
  <c r="D4217" i="23"/>
  <c r="D3574" i="23"/>
  <c r="D655" i="23"/>
  <c r="D229" i="23"/>
  <c r="D2350" i="23"/>
  <c r="D3663" i="23"/>
  <c r="D550" i="23"/>
  <c r="D167" i="23"/>
  <c r="D2234" i="23"/>
  <c r="D3773" i="23"/>
  <c r="D4750" i="23"/>
  <c r="D4048" i="23"/>
  <c r="D2675" i="23"/>
  <c r="D2285" i="23"/>
  <c r="D758" i="23"/>
  <c r="D3140" i="23"/>
  <c r="D4420" i="23"/>
  <c r="D2498" i="23"/>
  <c r="D1519" i="23"/>
  <c r="D1946" i="23"/>
  <c r="D3056" i="23"/>
  <c r="D3876" i="23"/>
  <c r="D1475" i="23"/>
  <c r="D2139" i="23"/>
  <c r="D210" i="23"/>
  <c r="D3608" i="23"/>
  <c r="D1141" i="23"/>
  <c r="D4021" i="23"/>
  <c r="D1058" i="23"/>
  <c r="D4411" i="23"/>
  <c r="D526" i="23"/>
  <c r="D4175" i="23"/>
  <c r="D2466" i="23"/>
  <c r="D1661" i="23"/>
  <c r="D1260" i="23"/>
  <c r="D4312" i="23"/>
  <c r="D250" i="23"/>
  <c r="D4199" i="23"/>
  <c r="D1916" i="23"/>
  <c r="D1623" i="23"/>
  <c r="D1835" i="23"/>
  <c r="D1643" i="23"/>
  <c r="D4648" i="23"/>
  <c r="D2588" i="23"/>
  <c r="D4634" i="23"/>
  <c r="D3495" i="23"/>
  <c r="D2138" i="23"/>
  <c r="D3852" i="23"/>
  <c r="D1152" i="23"/>
  <c r="D1494" i="23"/>
  <c r="D2457" i="23"/>
  <c r="D2905" i="23"/>
  <c r="D682" i="23"/>
  <c r="D4239" i="23"/>
  <c r="D3571" i="23"/>
  <c r="D1493" i="23"/>
  <c r="D263" i="23"/>
  <c r="D1558" i="23"/>
  <c r="D1579" i="23"/>
  <c r="D2878" i="23"/>
  <c r="D3568" i="23"/>
  <c r="D3086" i="23"/>
  <c r="D944" i="23"/>
  <c r="D2180" i="23"/>
  <c r="D322" i="23"/>
  <c r="D3842" i="23"/>
  <c r="D2077" i="23"/>
  <c r="D1527" i="23"/>
  <c r="D313" i="23"/>
  <c r="D1640" i="23"/>
  <c r="D1090" i="23"/>
  <c r="D949" i="23"/>
  <c r="D2596" i="23"/>
  <c r="D2654" i="23"/>
  <c r="D4479" i="23"/>
  <c r="D1596" i="23"/>
  <c r="D4518" i="23"/>
  <c r="D996" i="23"/>
  <c r="D2489" i="23"/>
  <c r="D2945" i="23"/>
  <c r="D2747" i="23"/>
  <c r="D3158" i="23"/>
  <c r="D2299" i="23"/>
  <c r="D3554" i="23"/>
  <c r="D2595" i="23"/>
  <c r="D270" i="23"/>
  <c r="D17" i="23"/>
  <c r="D130" i="23"/>
  <c r="D4815" i="23"/>
  <c r="D3589" i="23"/>
  <c r="D3873" i="23"/>
  <c r="D736" i="23"/>
  <c r="D4410" i="23"/>
  <c r="D1208" i="23"/>
  <c r="D2753" i="23"/>
  <c r="D2936" i="23"/>
  <c r="D747" i="23"/>
  <c r="D3565" i="23"/>
  <c r="D805" i="23"/>
  <c r="D4232" i="23"/>
  <c r="D3506" i="23"/>
  <c r="D277" i="23"/>
  <c r="D4897" i="23"/>
  <c r="D2105" i="23"/>
  <c r="D3120" i="23"/>
  <c r="D4482" i="23"/>
  <c r="D4824" i="23"/>
  <c r="D2192" i="23"/>
  <c r="D2755" i="23"/>
  <c r="D3534" i="23"/>
  <c r="D2349" i="23"/>
  <c r="D4358" i="23"/>
  <c r="D4611" i="23"/>
  <c r="D3141" i="23"/>
  <c r="D348" i="23"/>
  <c r="D1396" i="23"/>
  <c r="D4288" i="23"/>
  <c r="D3081" i="23"/>
  <c r="D449" i="23"/>
  <c r="D2996" i="23"/>
  <c r="D4009" i="23"/>
  <c r="D4856" i="23"/>
  <c r="D3301" i="23"/>
  <c r="D934" i="23"/>
  <c r="D754" i="23"/>
  <c r="D2426" i="23"/>
  <c r="D2447" i="23"/>
  <c r="D2219" i="23"/>
  <c r="D630" i="23"/>
  <c r="D1362" i="23"/>
  <c r="D2694" i="23"/>
  <c r="D605" i="23"/>
  <c r="D3005" i="23"/>
  <c r="D2288" i="23"/>
  <c r="D2359" i="23"/>
  <c r="D3536" i="23"/>
  <c r="D1611" i="23"/>
  <c r="D3743" i="23"/>
  <c r="D1479" i="23"/>
  <c r="D4486" i="23"/>
  <c r="D607" i="23"/>
  <c r="D2044" i="23"/>
  <c r="D3778" i="23"/>
  <c r="D3295" i="23"/>
  <c r="D4164" i="23"/>
  <c r="D2173" i="23"/>
  <c r="D2994" i="23"/>
  <c r="D2991" i="23"/>
  <c r="D525" i="23"/>
  <c r="D1681" i="23"/>
  <c r="D4097" i="23"/>
  <c r="D4651" i="23"/>
  <c r="D1536" i="23"/>
  <c r="D4517" i="23"/>
  <c r="D239" i="23"/>
  <c r="D3435" i="23"/>
  <c r="D1032" i="23"/>
  <c r="D4786" i="23"/>
  <c r="D1474" i="23"/>
  <c r="D3776" i="23"/>
  <c r="D3854" i="23"/>
  <c r="D3224" i="23"/>
  <c r="D999" i="23"/>
  <c r="D3756" i="23"/>
  <c r="D2415" i="23"/>
  <c r="D1394" i="23"/>
  <c r="D988" i="23"/>
  <c r="D1299" i="23"/>
  <c r="D1965" i="23"/>
  <c r="D341" i="23"/>
  <c r="D3266" i="23"/>
  <c r="D4638" i="23"/>
  <c r="D761" i="23"/>
  <c r="D4083" i="23"/>
  <c r="D4469" i="23"/>
  <c r="D127" i="23"/>
  <c r="D4265" i="23"/>
  <c r="D3478" i="23"/>
  <c r="D2903" i="23"/>
  <c r="D4449" i="23"/>
  <c r="D2593" i="23"/>
  <c r="D355" i="23"/>
  <c r="D4050" i="23"/>
  <c r="D2096" i="23"/>
  <c r="D2047" i="23"/>
  <c r="D3429" i="23"/>
  <c r="D3312" i="23"/>
  <c r="D3731" i="23"/>
  <c r="D4507" i="23"/>
  <c r="D2226" i="23"/>
  <c r="D271" i="23"/>
  <c r="D4732" i="23"/>
  <c r="D2551" i="23"/>
  <c r="D3254" i="23"/>
  <c r="D748" i="23"/>
  <c r="D1162" i="23"/>
  <c r="D1026" i="23"/>
  <c r="D4637" i="23"/>
  <c r="D60" i="23"/>
  <c r="D1677" i="23"/>
  <c r="D2789" i="23"/>
  <c r="D792" i="23"/>
  <c r="D992" i="23"/>
  <c r="D1751" i="23"/>
  <c r="D4073" i="23"/>
  <c r="D4038" i="23"/>
  <c r="D2156" i="23"/>
  <c r="D1100" i="23"/>
  <c r="D3804" i="23"/>
  <c r="D846" i="23"/>
  <c r="D2552" i="23"/>
  <c r="D360" i="23"/>
  <c r="D4065" i="23"/>
  <c r="D4379" i="23"/>
  <c r="D457" i="23"/>
  <c r="D1918" i="23"/>
  <c r="D2190" i="23"/>
  <c r="D4531" i="23"/>
  <c r="D4340" i="23"/>
  <c r="D649" i="23"/>
  <c r="D577" i="23"/>
  <c r="D1399" i="23"/>
  <c r="D959" i="23"/>
  <c r="D443" i="23"/>
  <c r="D4149" i="23"/>
  <c r="D4261" i="23"/>
  <c r="D3980" i="23"/>
  <c r="D2324" i="23"/>
  <c r="D556" i="23"/>
  <c r="D2052" i="23"/>
  <c r="D1660" i="23"/>
  <c r="D4136" i="23"/>
  <c r="D922" i="23"/>
  <c r="D3205" i="23"/>
  <c r="D1316" i="23"/>
  <c r="D1173" i="23"/>
  <c r="D1767" i="23"/>
  <c r="D2006" i="23"/>
  <c r="D909" i="23"/>
  <c r="D596" i="23"/>
  <c r="D2064" i="23"/>
  <c r="D2496" i="23"/>
  <c r="D4662" i="23"/>
  <c r="D3426" i="23"/>
  <c r="D1724" i="23"/>
  <c r="D2852" i="23"/>
  <c r="D2976" i="23"/>
  <c r="D2767" i="23"/>
  <c r="D3851" i="23"/>
  <c r="D1962" i="23"/>
  <c r="D2989" i="23"/>
  <c r="D2153" i="23"/>
  <c r="D2764" i="23"/>
  <c r="D2801" i="23"/>
  <c r="D3703" i="23"/>
  <c r="D207" i="23"/>
  <c r="D3203" i="23"/>
  <c r="D4124" i="23"/>
  <c r="D4233" i="23"/>
  <c r="D1243" i="23"/>
  <c r="D2007" i="23"/>
  <c r="D1309" i="23"/>
  <c r="D827" i="23"/>
  <c r="D2024" i="23"/>
  <c r="D1165" i="23"/>
  <c r="D2955" i="23"/>
  <c r="D529" i="23"/>
  <c r="D710" i="23"/>
  <c r="D1720" i="23"/>
  <c r="D1336" i="23"/>
  <c r="D4903" i="23"/>
  <c r="D1543" i="23"/>
  <c r="D3990" i="23"/>
  <c r="D569" i="23"/>
  <c r="D778" i="23"/>
  <c r="D3462" i="23"/>
  <c r="D2656" i="23"/>
  <c r="D2553" i="23"/>
  <c r="D293" i="23"/>
  <c r="D325" i="23"/>
  <c r="D176" i="23"/>
  <c r="D4765" i="23"/>
  <c r="D4088" i="23"/>
  <c r="D166" i="23"/>
  <c r="D989" i="23"/>
  <c r="D4850" i="23"/>
  <c r="D1259" i="23"/>
  <c r="D3648" i="23"/>
  <c r="D1621" i="23"/>
  <c r="D1707" i="23"/>
  <c r="D460" i="23"/>
  <c r="D3764" i="23"/>
  <c r="D1166" i="23"/>
  <c r="D2490" i="23"/>
  <c r="D4074" i="23"/>
  <c r="D2646" i="23"/>
  <c r="D3922" i="23"/>
  <c r="D3039" i="23"/>
  <c r="D3277" i="23"/>
  <c r="D3954" i="23"/>
  <c r="D2308" i="23"/>
  <c r="D1416" i="23"/>
  <c r="D2265" i="23"/>
  <c r="D1161" i="23"/>
  <c r="D1560" i="23"/>
  <c r="D2985" i="23"/>
  <c r="D3476" i="23"/>
  <c r="D4341" i="23"/>
  <c r="D361" i="23"/>
  <c r="D4613" i="23"/>
  <c r="D3940" i="23"/>
  <c r="D1424" i="23"/>
  <c r="D1684" i="23"/>
  <c r="D3511" i="23"/>
  <c r="D1016" i="23"/>
  <c r="D1706" i="23"/>
  <c r="D2068" i="23"/>
  <c r="D1997" i="23"/>
  <c r="D4603" i="23"/>
  <c r="D2748" i="23"/>
  <c r="D598" i="23"/>
  <c r="D2777" i="23"/>
  <c r="D809" i="23"/>
  <c r="D2912" i="23"/>
  <c r="D2382" i="23"/>
  <c r="D2506" i="23"/>
  <c r="D3464" i="23"/>
  <c r="D1040" i="23"/>
  <c r="D2251" i="23"/>
  <c r="D2005" i="23"/>
  <c r="D1106" i="23"/>
  <c r="D1708" i="23"/>
  <c r="D960" i="23"/>
  <c r="D2665" i="23"/>
  <c r="D291" i="23"/>
  <c r="D3336" i="23"/>
  <c r="D1232" i="23"/>
  <c r="D1514" i="23"/>
  <c r="D89" i="23"/>
  <c r="D4951" i="23"/>
  <c r="D2590" i="23"/>
  <c r="D3519" i="23"/>
  <c r="D1565" i="23"/>
  <c r="D3102" i="23"/>
  <c r="D2395" i="23"/>
  <c r="D4215" i="23"/>
  <c r="D1602" i="23"/>
  <c r="D2043" i="23"/>
  <c r="D1318" i="23"/>
  <c r="D912" i="23"/>
  <c r="D2554" i="23"/>
  <c r="D3441" i="23"/>
  <c r="D3991" i="23"/>
  <c r="D2744" i="23"/>
  <c r="D4538" i="23"/>
  <c r="D2084" i="23"/>
  <c r="D170" i="23"/>
  <c r="D3772" i="23"/>
  <c r="D4264" i="23"/>
  <c r="D4360" i="23"/>
  <c r="D3527" i="23"/>
  <c r="D2054" i="23"/>
  <c r="D362" i="23"/>
  <c r="D566" i="23"/>
  <c r="D3963" i="23"/>
  <c r="D4024" i="23"/>
  <c r="D2923" i="23"/>
  <c r="D3792" i="23"/>
  <c r="D581" i="23"/>
  <c r="D3019" i="23"/>
  <c r="D3218" i="23"/>
  <c r="D4697" i="23"/>
  <c r="D2469" i="23"/>
  <c r="D2200" i="23"/>
  <c r="D3022" i="23"/>
  <c r="D2157" i="23"/>
  <c r="D1209" i="23"/>
  <c r="D1069" i="23"/>
  <c r="D2485" i="23"/>
  <c r="D4600" i="23"/>
  <c r="D2335" i="23"/>
  <c r="D1317" i="23"/>
  <c r="D223" i="23"/>
  <c r="D1658" i="23"/>
  <c r="D3813" i="23"/>
  <c r="D3817" i="23"/>
  <c r="D2649" i="23"/>
  <c r="D3720" i="23"/>
  <c r="D2083" i="23"/>
  <c r="D3716" i="23"/>
  <c r="D3406" i="23"/>
  <c r="D3841" i="23"/>
  <c r="D3695" i="23"/>
  <c r="D784" i="23"/>
  <c r="D3632" i="23"/>
  <c r="D1799" i="23"/>
  <c r="D3453" i="23"/>
  <c r="D3173" i="23"/>
  <c r="D1971" i="23"/>
  <c r="D2073" i="23"/>
  <c r="D4509" i="23"/>
  <c r="D4766" i="23"/>
  <c r="D542" i="23"/>
  <c r="D4492" i="23"/>
  <c r="D159" i="23"/>
  <c r="D963" i="23"/>
  <c r="D3721" i="23"/>
  <c r="D716" i="23"/>
  <c r="D3118" i="23"/>
  <c r="D1868" i="23"/>
  <c r="D1638" i="23"/>
  <c r="D4297" i="23"/>
  <c r="D2895" i="23"/>
  <c r="D3481" i="23"/>
  <c r="D97" i="23"/>
  <c r="D4156" i="23"/>
  <c r="D3880" i="23"/>
  <c r="D354" i="23"/>
  <c r="D4677" i="23"/>
  <c r="D4429" i="23"/>
  <c r="D2436" i="23"/>
  <c r="D3403" i="23"/>
  <c r="D4324" i="23"/>
  <c r="D647" i="23"/>
  <c r="D59" i="23"/>
  <c r="D656" i="23"/>
  <c r="D4733" i="23"/>
  <c r="D2587" i="23"/>
  <c r="D3645" i="23"/>
  <c r="D4326" i="23"/>
  <c r="D3805" i="23"/>
  <c r="D2338" i="23"/>
  <c r="D151" i="23"/>
  <c r="D3217" i="23"/>
  <c r="D374" i="23"/>
  <c r="D3962" i="23"/>
  <c r="D126" i="23"/>
  <c r="D316" i="23"/>
  <c r="D2859" i="23"/>
  <c r="D3321" i="23"/>
  <c r="D3026" i="23"/>
  <c r="D1138" i="23"/>
  <c r="D1322" i="23"/>
  <c r="D4100" i="23"/>
  <c r="D248" i="23"/>
  <c r="D3739" i="23"/>
  <c r="D3902" i="23"/>
  <c r="D1345" i="23"/>
  <c r="D389" i="23"/>
  <c r="D4231" i="23"/>
  <c r="D3769" i="23"/>
  <c r="D1301" i="23"/>
  <c r="D3599" i="23"/>
  <c r="D3955" i="23"/>
  <c r="D3874" i="23"/>
  <c r="D247" i="23"/>
  <c r="D3359" i="23"/>
  <c r="D3843" i="23"/>
  <c r="D3064" i="23"/>
  <c r="D4667" i="23"/>
  <c r="D4201" i="23"/>
  <c r="D1966" i="23"/>
  <c r="D3494" i="23"/>
  <c r="D2178" i="23"/>
  <c r="D65" i="23"/>
  <c r="D668" i="23"/>
  <c r="D1160" i="23"/>
  <c r="D3725" i="23"/>
  <c r="D1236" i="23"/>
  <c r="D4933" i="23"/>
  <c r="D4478" i="23"/>
  <c r="D56" i="23"/>
  <c r="D1237" i="23"/>
  <c r="D1657" i="23"/>
  <c r="D4645" i="23"/>
  <c r="D4511" i="23"/>
  <c r="D4887" i="23"/>
  <c r="D4019" i="23"/>
  <c r="D3551" i="23"/>
  <c r="D3179" i="23"/>
  <c r="D280" i="23"/>
  <c r="D467" i="23"/>
  <c r="D4206" i="23"/>
  <c r="D1295" i="23"/>
  <c r="D244" i="23"/>
  <c r="D1129" i="23"/>
  <c r="D51" i="23"/>
  <c r="D3653" i="23"/>
  <c r="D4707" i="23"/>
  <c r="D4384" i="23"/>
  <c r="D49" i="23"/>
  <c r="D2456" i="23"/>
  <c r="D399" i="23"/>
  <c r="D1483" i="23"/>
  <c r="D2364" i="23"/>
  <c r="D4168" i="23"/>
  <c r="D558" i="23"/>
  <c r="D3733" i="23"/>
  <c r="D25" i="23"/>
  <c r="D200" i="23"/>
  <c r="D2555" i="23"/>
  <c r="D2213" i="23"/>
  <c r="D2104" i="23"/>
  <c r="D4307" i="23"/>
  <c r="D4300" i="23"/>
  <c r="D594" i="23"/>
  <c r="D4763" i="23"/>
  <c r="D1546" i="23"/>
  <c r="D4774" i="23"/>
  <c r="D927" i="23"/>
  <c r="D132" i="23"/>
  <c r="D2892" i="23"/>
  <c r="D4680" i="23"/>
  <c r="D1653" i="23"/>
  <c r="D1883" i="23"/>
  <c r="D3260" i="23"/>
  <c r="D1039" i="23"/>
  <c r="D379" i="23"/>
  <c r="D109" i="23"/>
  <c r="D4899" i="23"/>
  <c r="D4938" i="23"/>
  <c r="D2879" i="23"/>
  <c r="D44" i="23"/>
  <c r="D2721" i="23"/>
  <c r="D68" i="23"/>
  <c r="D2769" i="23"/>
  <c r="D2730" i="23"/>
  <c r="D2491" i="23"/>
  <c r="D4792" i="23"/>
  <c r="D168" i="23"/>
  <c r="D1426" i="23"/>
  <c r="D4647" i="23"/>
  <c r="D4591" i="23"/>
  <c r="D4960" i="23"/>
  <c r="D9" i="23"/>
  <c r="D3164" i="23"/>
  <c r="D3539" i="23"/>
  <c r="D4430" i="23"/>
  <c r="D599" i="23"/>
  <c r="D2908" i="23"/>
  <c r="D3982" i="23"/>
  <c r="D4002" i="23"/>
  <c r="D4724" i="23"/>
  <c r="D4878" i="23"/>
  <c r="D13" i="23"/>
  <c r="D1512" i="23"/>
  <c r="D4800" i="23"/>
  <c r="D749" i="23"/>
  <c r="D2103" i="23"/>
  <c r="D2956" i="23"/>
  <c r="D1204" i="23"/>
  <c r="D452" i="23"/>
  <c r="D4551" i="23"/>
  <c r="D4398" i="23"/>
  <c r="D147" i="23"/>
  <c r="D3920" i="23"/>
  <c r="D2680" i="23"/>
  <c r="D4234" i="23"/>
  <c r="D46" i="23"/>
  <c r="D4785" i="23"/>
  <c r="D1768" i="23"/>
  <c r="D2941" i="23"/>
  <c r="D171" i="23"/>
  <c r="D4893" i="23"/>
  <c r="D1605" i="23"/>
  <c r="D91" i="23"/>
  <c r="D720" i="23"/>
  <c r="D2063" i="23"/>
  <c r="D208" i="23"/>
  <c r="D3024" i="23"/>
  <c r="D2408" i="23"/>
  <c r="D4621" i="23"/>
  <c r="D528" i="23"/>
  <c r="D243" i="23"/>
  <c r="D442" i="23"/>
  <c r="D424" i="23"/>
  <c r="D4873" i="23"/>
  <c r="D4289" i="23"/>
  <c r="D4879" i="23"/>
  <c r="D1234" i="23"/>
  <c r="D4881" i="23"/>
  <c r="D4632" i="23"/>
  <c r="D3357" i="23"/>
  <c r="D1037" i="23"/>
  <c r="D1498" i="23"/>
  <c r="D2188" i="23"/>
  <c r="D3248" i="23"/>
  <c r="D1697" i="23"/>
  <c r="D2982" i="23"/>
  <c r="D3051" i="23"/>
  <c r="D1144" i="23"/>
  <c r="D1693" i="23"/>
  <c r="D3966" i="23"/>
  <c r="D2685" i="23"/>
  <c r="D4311" i="23"/>
  <c r="D2037" i="23"/>
  <c r="D1557" i="23"/>
  <c r="D2165" i="23"/>
  <c r="D2556" i="23"/>
  <c r="D773" i="23"/>
  <c r="D3967" i="23"/>
  <c r="D292" i="23"/>
  <c r="D2718" i="23"/>
  <c r="D252" i="23"/>
  <c r="D2148" i="23"/>
  <c r="D2750" i="23"/>
  <c r="D3127" i="23"/>
  <c r="D2001" i="23"/>
  <c r="D2557" i="23"/>
  <c r="D3501" i="23"/>
  <c r="D539" i="23"/>
  <c r="D4146" i="23"/>
  <c r="D1034" i="23"/>
  <c r="D439" i="23"/>
  <c r="D4729" i="23"/>
  <c r="D1269" i="23"/>
  <c r="D4864" i="23"/>
  <c r="D1380" i="23"/>
  <c r="D3800" i="23"/>
  <c r="D687" i="23"/>
  <c r="D2574" i="23"/>
  <c r="D2803" i="23"/>
  <c r="D1866" i="23"/>
  <c r="D2057" i="23"/>
  <c r="D3905" i="23"/>
  <c r="D4799" i="23"/>
  <c r="D4079" i="23"/>
  <c r="D1770" i="23"/>
  <c r="D3377" i="23"/>
  <c r="D76" i="23"/>
  <c r="D4665" i="23"/>
  <c r="D623" i="23"/>
  <c r="D1616" i="23"/>
  <c r="D1487" i="23"/>
  <c r="D1834" i="23"/>
  <c r="D2127" i="23"/>
  <c r="D2051" i="23"/>
  <c r="D4731" i="23"/>
  <c r="D194" i="23"/>
  <c r="D3344" i="23"/>
  <c r="D296" i="23"/>
  <c r="D4918" i="23"/>
  <c r="D1556" i="23"/>
  <c r="D412" i="23"/>
  <c r="D4563" i="23"/>
  <c r="D897" i="23"/>
  <c r="D198" i="23"/>
  <c r="D2963" i="23"/>
  <c r="D267" i="23"/>
  <c r="D4742" i="23"/>
  <c r="D4705" i="23"/>
  <c r="D2949" i="23"/>
  <c r="D4280" i="23"/>
  <c r="D2284" i="23"/>
  <c r="D4189" i="23"/>
  <c r="D148" i="23"/>
  <c r="D3513" i="23"/>
  <c r="D3400" i="23"/>
  <c r="D24" i="23"/>
  <c r="D218" i="23"/>
  <c r="D903" i="23"/>
  <c r="D4236" i="23"/>
  <c r="D84" i="23"/>
  <c r="D4952" i="23"/>
  <c r="D4943" i="23"/>
  <c r="D4145" i="23"/>
  <c r="D1156" i="23"/>
  <c r="D378" i="23"/>
  <c r="D104" i="23"/>
  <c r="D4432" i="23"/>
  <c r="D1585" i="23"/>
  <c r="D4920" i="23"/>
  <c r="D3538" i="23"/>
  <c r="D96" i="23"/>
  <c r="D4274" i="23"/>
  <c r="D4923" i="23"/>
  <c r="D4798" i="23"/>
  <c r="D4936" i="23"/>
  <c r="D3939" i="23"/>
  <c r="D384" i="23"/>
  <c r="D4431" i="23"/>
  <c r="D3323" i="23"/>
  <c r="D394" i="23"/>
  <c r="D4711" i="23"/>
  <c r="D3112" i="23"/>
  <c r="D3531" i="23"/>
  <c r="D476" i="23"/>
  <c r="D236" i="23"/>
  <c r="D1792" i="23"/>
  <c r="D4922" i="23"/>
  <c r="D408" i="23"/>
  <c r="D3522" i="23"/>
  <c r="D2784" i="23"/>
  <c r="D4428" i="23"/>
  <c r="D2191" i="23"/>
  <c r="D3889" i="23"/>
  <c r="D152" i="23"/>
  <c r="D1932" i="23"/>
  <c r="D4734" i="23"/>
  <c r="D961" i="23"/>
  <c r="D648" i="23"/>
  <c r="D251" i="23"/>
  <c r="D2917" i="23"/>
  <c r="D3303" i="23"/>
  <c r="D1766" i="23"/>
  <c r="D1240" i="23"/>
  <c r="D2572" i="23"/>
  <c r="D3181" i="23"/>
  <c r="D2973" i="23"/>
  <c r="D4592" i="23"/>
  <c r="D4515" i="23"/>
  <c r="D4526" i="23"/>
  <c r="D3125" i="23"/>
  <c r="D1215" i="23"/>
  <c r="D527" i="23"/>
  <c r="D3893" i="23"/>
  <c r="D1119" i="23"/>
  <c r="D2760" i="23"/>
  <c r="D980" i="23"/>
  <c r="D1980" i="23"/>
  <c r="D2277" i="23"/>
  <c r="D3705" i="23"/>
  <c r="D3570" i="23"/>
  <c r="D3379" i="23"/>
  <c r="D1421" i="23"/>
  <c r="D3600" i="23"/>
  <c r="D3402" i="23"/>
  <c r="D1279" i="23"/>
  <c r="D36" i="23"/>
  <c r="D673" i="23"/>
  <c r="D52" i="23"/>
  <c r="D217" i="23"/>
  <c r="D1027" i="23"/>
  <c r="D4919" i="23"/>
  <c r="D4833" i="23"/>
  <c r="D4702" i="23"/>
  <c r="D4703" i="23"/>
  <c r="D22" i="23"/>
  <c r="D4832" i="23"/>
  <c r="D115" i="23"/>
  <c r="D1085" i="23"/>
  <c r="D4945" i="23"/>
  <c r="D4406" i="23"/>
  <c r="D4698" i="23"/>
  <c r="D415" i="23"/>
  <c r="D4904" i="23"/>
  <c r="D246" i="23"/>
  <c r="D4722" i="23"/>
  <c r="D4548" i="23"/>
  <c r="D4304" i="23"/>
  <c r="D4858" i="23"/>
  <c r="D2669" i="23"/>
  <c r="D906" i="23"/>
  <c r="D1346" i="23"/>
  <c r="D666" i="23"/>
  <c r="D3825" i="23"/>
  <c r="D2177" i="23"/>
  <c r="D3936" i="23"/>
  <c r="D4761" i="23"/>
  <c r="D4771" i="23"/>
  <c r="D4901" i="23"/>
  <c r="D204" i="23"/>
  <c r="D4493" i="23"/>
  <c r="D2597" i="23"/>
  <c r="D1183" i="23"/>
  <c r="D1377" i="23"/>
  <c r="D4737" i="23"/>
  <c r="D32" i="23"/>
  <c r="D635" i="23"/>
  <c r="D4876" i="23"/>
  <c r="D4909" i="23"/>
  <c r="D4590" i="23"/>
  <c r="D1118" i="23"/>
  <c r="D3449" i="23"/>
  <c r="D1926" i="23"/>
  <c r="D2614" i="23"/>
  <c r="D1903" i="23"/>
  <c r="D1532" i="23"/>
  <c r="D366" i="23"/>
  <c r="D699" i="23"/>
  <c r="D4927" i="23"/>
  <c r="D1413" i="23"/>
  <c r="D574" i="23"/>
  <c r="D2706" i="23"/>
  <c r="D1808" i="23"/>
  <c r="D144" i="23"/>
  <c r="D2041" i="23"/>
  <c r="D3468" i="23"/>
  <c r="D851" i="23"/>
  <c r="D3850" i="23"/>
  <c r="D3533" i="23"/>
  <c r="D346" i="23"/>
  <c r="D4320" i="23"/>
  <c r="D1545" i="23"/>
  <c r="D1177" i="23"/>
  <c r="D564" i="23"/>
  <c r="D4121" i="23"/>
  <c r="D3101" i="23"/>
  <c r="D3371" i="23"/>
  <c r="D3777" i="23"/>
  <c r="D64" i="23"/>
  <c r="D4857" i="23"/>
  <c r="D2526" i="23"/>
  <c r="D4108" i="23"/>
  <c r="D468" i="23"/>
  <c r="D2732" i="23"/>
  <c r="D188" i="23"/>
  <c r="D345" i="23"/>
  <c r="D521" i="23"/>
  <c r="D2212" i="23"/>
  <c r="D485" i="23"/>
  <c r="D386" i="23"/>
  <c r="D4254" i="23"/>
  <c r="D4804" i="23"/>
  <c r="D178" i="23"/>
  <c r="D4712" i="23"/>
  <c r="D3833" i="23"/>
  <c r="D1575" i="23"/>
  <c r="D2343" i="23"/>
  <c r="D4528" i="23"/>
  <c r="D55" i="23"/>
  <c r="D4889" i="23"/>
  <c r="D4925" i="23"/>
  <c r="D2143" i="23"/>
  <c r="D2619" i="23"/>
  <c r="D1875" i="23"/>
  <c r="D2846" i="23"/>
  <c r="D1369" i="23"/>
  <c r="D3428" i="23"/>
  <c r="D3007" i="23"/>
  <c r="D4401" i="23"/>
  <c r="D4582" i="23"/>
  <c r="D161" i="23"/>
  <c r="D604" i="23"/>
  <c r="D760" i="23"/>
  <c r="D42" i="23"/>
  <c r="D2421" i="23"/>
  <c r="D4955" i="23"/>
  <c r="D211" i="23"/>
  <c r="D4886" i="23"/>
  <c r="D4778" i="23"/>
  <c r="D1691" i="23"/>
  <c r="D2810" i="23"/>
  <c r="D61" i="23"/>
  <c r="D4506" i="23"/>
  <c r="D3837" i="23"/>
  <c r="D327" i="23"/>
  <c r="D4013" i="23"/>
  <c r="D38" i="23"/>
  <c r="D4874" i="23"/>
  <c r="D27" i="23"/>
  <c r="D4963" i="23"/>
  <c r="D4926" i="23"/>
  <c r="D4659" i="23"/>
  <c r="D85" i="23"/>
  <c r="D4838" i="23"/>
  <c r="D4866" i="23"/>
  <c r="D582" i="23"/>
  <c r="D2097" i="23"/>
  <c r="D4863" i="23"/>
  <c r="D4132" i="23"/>
  <c r="D2766" i="23"/>
  <c r="D50" i="23"/>
  <c r="D397" i="23"/>
  <c r="D4791" i="23"/>
  <c r="D717" i="23"/>
  <c r="D113" i="23"/>
  <c r="D854" i="23"/>
  <c r="D788" i="23"/>
  <c r="D587" i="23"/>
  <c r="D1288" i="23"/>
  <c r="D1440" i="23"/>
  <c r="D4354" i="23"/>
  <c r="D1103" i="23"/>
  <c r="D474" i="23"/>
  <c r="D4859" i="23"/>
  <c r="D423" i="23"/>
  <c r="D145" i="23"/>
  <c r="D1080" i="23"/>
  <c r="D1898" i="23"/>
  <c r="D3665" i="23"/>
  <c r="D4704" i="23"/>
  <c r="D2214" i="23"/>
  <c r="D2159" i="23"/>
  <c r="D2062" i="23"/>
  <c r="D622" i="23"/>
  <c r="D863" i="23"/>
  <c r="D3613" i="23"/>
  <c r="D1628" i="23"/>
  <c r="D3862" i="23"/>
  <c r="D688" i="23"/>
  <c r="D2915" i="23"/>
  <c r="D2812" i="23"/>
  <c r="D4941" i="23"/>
  <c r="D3984" i="23"/>
  <c r="D4801" i="23"/>
  <c r="D16" i="23"/>
  <c r="D138" i="23"/>
  <c r="D284" i="23"/>
  <c r="D3258" i="23"/>
  <c r="D37" i="23"/>
  <c r="D3744" i="23"/>
  <c r="D2979" i="23"/>
  <c r="D4441" i="23"/>
  <c r="D791" i="23"/>
  <c r="D4629" i="23"/>
  <c r="D510" i="23"/>
  <c r="D4895" i="23"/>
  <c r="D3110" i="23"/>
  <c r="D4387" i="23"/>
  <c r="D930" i="23"/>
  <c r="D4257" i="23"/>
  <c r="D3646" i="23"/>
  <c r="D3352" i="23"/>
  <c r="D74" i="23"/>
  <c r="D1548" i="23"/>
  <c r="D4882" i="23"/>
  <c r="D3572" i="23"/>
  <c r="D3797" i="23"/>
  <c r="D3365" i="23"/>
  <c r="D1257" i="23"/>
  <c r="D4615" i="23"/>
  <c r="D226" i="23"/>
  <c r="D3192" i="23"/>
  <c r="D124" i="23"/>
  <c r="D3060" i="23"/>
  <c r="D4862" i="23"/>
  <c r="D3957" i="23"/>
  <c r="D1407" i="23"/>
  <c r="D4568" i="23"/>
  <c r="D382" i="23"/>
  <c r="D1790" i="23"/>
  <c r="D4227" i="23"/>
  <c r="D2932" i="23"/>
  <c r="D4412" i="23"/>
  <c r="D4380" i="23"/>
  <c r="D143" i="23"/>
  <c r="D107" i="23"/>
  <c r="D3053" i="23"/>
  <c r="D2629" i="23"/>
  <c r="D1108" i="23"/>
  <c r="D3299" i="23"/>
  <c r="D4602" i="23"/>
  <c r="D3235" i="23"/>
  <c r="D116" i="23"/>
  <c r="D701" i="23"/>
  <c r="D671" i="23"/>
  <c r="D3157" i="23"/>
  <c r="D3461" i="23"/>
  <c r="D633" i="23"/>
  <c r="D3233" i="23"/>
  <c r="D601" i="23"/>
  <c r="D1593" i="23"/>
  <c r="D833" i="23"/>
  <c r="D448" i="23"/>
  <c r="D1452" i="23"/>
  <c r="D894" i="23"/>
  <c r="D102" i="23"/>
  <c r="D4718" i="23"/>
  <c r="D610" i="23"/>
  <c r="D4706" i="23"/>
  <c r="D4913" i="23"/>
  <c r="D2370" i="23"/>
  <c r="D1347" i="23"/>
  <c r="D3084" i="23"/>
  <c r="D4572" i="23"/>
  <c r="D2123" i="23"/>
  <c r="D4820" i="23"/>
  <c r="D685" i="23"/>
  <c r="D1045" i="23"/>
  <c r="D1849" i="23"/>
  <c r="D4654" i="23"/>
  <c r="D466" i="23"/>
  <c r="D4776" i="23"/>
  <c r="D254" i="23"/>
  <c r="D1112" i="23"/>
  <c r="D11" i="23"/>
  <c r="D3847" i="23"/>
  <c r="D3307" i="23"/>
  <c r="D2091" i="23"/>
  <c r="D2710" i="23"/>
  <c r="D3944" i="23"/>
  <c r="D1263" i="23"/>
  <c r="D3607" i="23"/>
  <c r="D709" i="23"/>
  <c r="D2189" i="23"/>
  <c r="D3636" i="23"/>
  <c r="D4113" i="23"/>
  <c r="D2396" i="23"/>
  <c r="D2709" i="23"/>
  <c r="D4270" i="23"/>
  <c r="D1172" i="23"/>
  <c r="D763" i="23"/>
  <c r="D3223" i="23"/>
  <c r="D2924" i="23"/>
  <c r="D1239" i="23"/>
  <c r="D3088" i="23"/>
  <c r="D2558" i="23"/>
  <c r="D2393" i="23"/>
  <c r="D2927" i="23"/>
  <c r="D3194" i="23"/>
  <c r="D920" i="23"/>
  <c r="D2511" i="23"/>
  <c r="D1937" i="23"/>
  <c r="D1722" i="23"/>
  <c r="D3006" i="23"/>
  <c r="D4063" i="23"/>
  <c r="D2584" i="23"/>
  <c r="D434" i="23"/>
  <c r="D4758" i="23"/>
  <c r="D4488" i="23"/>
  <c r="D4685" i="23"/>
  <c r="D4484" i="23"/>
  <c r="D367" i="23"/>
  <c r="D4404" i="23"/>
  <c r="D1273" i="23"/>
  <c r="D4365" i="23"/>
  <c r="D3763" i="23"/>
  <c r="D2897" i="23"/>
  <c r="D1901" i="23"/>
  <c r="D2696" i="23"/>
  <c r="D4713" i="23"/>
  <c r="D2691" i="23"/>
  <c r="D407" i="23"/>
  <c r="D1010" i="23"/>
  <c r="D1136" i="23"/>
  <c r="D1358" i="23"/>
  <c r="D2611" i="23"/>
  <c r="D2641" i="23"/>
  <c r="D3872" i="23"/>
  <c r="D575" i="23"/>
  <c r="D1877" i="23"/>
  <c r="D3483" i="23"/>
  <c r="D2582" i="23"/>
  <c r="D3247" i="23"/>
  <c r="D1110" i="23"/>
  <c r="D3114" i="23"/>
  <c r="D3391" i="23"/>
  <c r="D2800" i="23"/>
  <c r="D162" i="23"/>
  <c r="D2399" i="23"/>
  <c r="D4701" i="23"/>
  <c r="D1401" i="23"/>
  <c r="D853" i="23"/>
  <c r="D1714" i="23"/>
  <c r="D4321" i="23"/>
  <c r="D179" i="23"/>
  <c r="D4459" i="23"/>
  <c r="D4723" i="23"/>
  <c r="D1934" i="23"/>
  <c r="D230" i="23"/>
  <c r="D66" i="23"/>
  <c r="D2681" i="23"/>
  <c r="D3690" i="23"/>
  <c r="D580" i="23"/>
  <c r="D4777" i="23"/>
  <c r="D245" i="23"/>
  <c r="D332" i="23"/>
  <c r="D1438" i="23"/>
  <c r="D4172" i="23"/>
  <c r="D4846" i="23"/>
  <c r="D177" i="23"/>
  <c r="D287" i="23"/>
  <c r="D3715" i="23"/>
  <c r="D4589" i="23"/>
  <c r="D4316" i="23"/>
  <c r="D206" i="23"/>
  <c r="D4898" i="23"/>
  <c r="D2181" i="23"/>
  <c r="D4860" i="23"/>
  <c r="D4865" i="23"/>
  <c r="D1099" i="23"/>
  <c r="D4666" i="23"/>
  <c r="D2642" i="23"/>
  <c r="D4745" i="23"/>
  <c r="D4828" i="23"/>
  <c r="D1818" i="23"/>
  <c r="D111" i="23"/>
  <c r="D4789" i="23"/>
  <c r="D531" i="23"/>
  <c r="D4905" i="23"/>
  <c r="D2559" i="23"/>
  <c r="D3694" i="23"/>
  <c r="D1386" i="23"/>
  <c r="D2412" i="23"/>
  <c r="D2254" i="23"/>
  <c r="D1874" i="23"/>
  <c r="D4102" i="23"/>
  <c r="D3452" i="23"/>
  <c r="D2608" i="23"/>
  <c r="D1885" i="23"/>
  <c r="D1990" i="23"/>
  <c r="D4244" i="23"/>
  <c r="D2142" i="23"/>
  <c r="D924" i="23"/>
  <c r="D2314" i="23"/>
  <c r="D658" i="23"/>
  <c r="D4843" i="23"/>
  <c r="D2904" i="23"/>
  <c r="D1666" i="23"/>
  <c r="D3881" i="23"/>
  <c r="D549" i="23"/>
  <c r="D515" i="23"/>
  <c r="D731" i="23"/>
  <c r="D4117" i="23"/>
  <c r="D2845" i="23"/>
  <c r="D1764" i="23"/>
  <c r="D1084" i="23"/>
  <c r="D134" i="23"/>
  <c r="D1566" i="23"/>
  <c r="D3133" i="23"/>
  <c r="D4335" i="23"/>
  <c r="D4609" i="23"/>
  <c r="D4870" i="23"/>
  <c r="D3785" i="23"/>
  <c r="D1761" i="23"/>
  <c r="D3935" i="23"/>
  <c r="D1738" i="23"/>
  <c r="D875" i="23"/>
  <c r="D234" i="23"/>
  <c r="D3560" i="23"/>
  <c r="D2199" i="23"/>
  <c r="D1030" i="23"/>
  <c r="D4819" i="23"/>
  <c r="D3074" i="23"/>
  <c r="D4105" i="23"/>
  <c r="D534" i="23"/>
  <c r="D2522" i="23"/>
  <c r="D4867" i="23"/>
  <c r="D4759" i="23"/>
  <c r="D3824" i="23"/>
  <c r="D3706" i="23"/>
  <c r="D3985" i="23"/>
  <c r="D1743" i="23"/>
  <c r="D1363" i="23"/>
  <c r="D824" i="23"/>
  <c r="D1788" i="23"/>
  <c r="D314" i="23"/>
  <c r="D3606" i="23"/>
  <c r="D1515" i="23"/>
  <c r="D2186" i="23"/>
  <c r="D4068" i="23"/>
  <c r="D4196" i="23"/>
  <c r="D201" i="23"/>
  <c r="D4514" i="23"/>
  <c r="D4542" i="23"/>
  <c r="D2811" i="23"/>
  <c r="D1330" i="23"/>
  <c r="D3640" i="23"/>
  <c r="D2939" i="23"/>
  <c r="D3398" i="23"/>
  <c r="D1355" i="23"/>
  <c r="D4475" i="23"/>
  <c r="D4106" i="23"/>
  <c r="D471" i="23"/>
  <c r="D3463" i="23"/>
  <c r="D4101" i="23"/>
  <c r="D1886" i="23"/>
  <c r="D896" i="23"/>
  <c r="D2762" i="23"/>
  <c r="D532" i="23"/>
  <c r="D3231" i="23"/>
  <c r="D4527" i="23"/>
  <c r="D991" i="23"/>
  <c r="D4636" i="23"/>
  <c r="D4562" i="23"/>
  <c r="D1848" i="23"/>
  <c r="D3244" i="23"/>
  <c r="D202" i="23"/>
  <c r="D806" i="23"/>
  <c r="D2094" i="23"/>
  <c r="D2202" i="23"/>
  <c r="D2224" i="23"/>
  <c r="D2365" i="23"/>
  <c r="D4237" i="23"/>
  <c r="D1056" i="23"/>
  <c r="D4285" i="23"/>
  <c r="D2424" i="23"/>
  <c r="D578" i="23"/>
  <c r="D3620" i="23"/>
  <c r="D1157" i="23"/>
  <c r="D3115" i="23"/>
  <c r="D4498" i="23"/>
  <c r="D4218" i="23"/>
  <c r="D611" i="23"/>
  <c r="D643" i="23"/>
  <c r="D4392" i="23"/>
  <c r="D295" i="23"/>
  <c r="D3078" i="23"/>
  <c r="D2330" i="23"/>
  <c r="D1573" i="23"/>
  <c r="D2918" i="23"/>
  <c r="D4809" i="23"/>
  <c r="D1126" i="23"/>
  <c r="D4385" i="23"/>
  <c r="D1490" i="23"/>
  <c r="D4139" i="23"/>
  <c r="D2056" i="23"/>
  <c r="D3941" i="23"/>
  <c r="D420" i="23"/>
  <c r="D810" i="23"/>
  <c r="D324" i="23"/>
  <c r="D2606" i="23"/>
  <c r="D2437" i="23"/>
  <c r="D1544" i="23"/>
  <c r="D4415" i="23"/>
  <c r="D1591" i="23"/>
  <c r="D1696" i="23"/>
  <c r="D3641" i="23"/>
  <c r="D2361" i="23"/>
  <c r="D933" i="23"/>
  <c r="D555" i="23"/>
  <c r="D3454" i="23"/>
  <c r="D4223" i="23"/>
  <c r="D123" i="23"/>
  <c r="D396" i="23"/>
  <c r="D2347" i="23"/>
  <c r="D4622" i="23"/>
  <c r="D3747" i="23"/>
  <c r="D344" i="23"/>
  <c r="D1104" i="23"/>
  <c r="D639" i="23"/>
  <c r="D4255" i="23"/>
  <c r="D3496" i="23"/>
  <c r="D373" i="23"/>
  <c r="D2796" i="23"/>
  <c r="D4450" i="23"/>
  <c r="D4911" i="23"/>
  <c r="D71" i="23"/>
  <c r="D4134" i="23"/>
  <c r="D4240" i="23"/>
  <c r="D4690" i="23"/>
  <c r="D4696" i="23"/>
  <c r="D2818" i="23"/>
  <c r="D205" i="23"/>
  <c r="D1754" i="23"/>
  <c r="D2560" i="23"/>
  <c r="D4853" i="23"/>
  <c r="D4396" i="23"/>
  <c r="D185" i="23"/>
  <c r="D4822" i="23"/>
  <c r="D837" i="23"/>
  <c r="D129" i="23"/>
  <c r="D3603" i="23"/>
  <c r="D1609" i="23"/>
  <c r="D40" i="23"/>
  <c r="D4813" i="23"/>
  <c r="D1703" i="23"/>
  <c r="D2575" i="23"/>
  <c r="D990" i="23"/>
  <c r="D79" i="23"/>
  <c r="D4444" i="23"/>
  <c r="D1403" i="23"/>
  <c r="D62" i="23"/>
  <c r="D45" i="23"/>
  <c r="D1485" i="23"/>
  <c r="D4932" i="23"/>
  <c r="D4877" i="23"/>
  <c r="D14" i="23"/>
  <c r="D4746" i="23"/>
  <c r="D3288" i="23"/>
  <c r="D4917" i="23"/>
  <c r="D4726" i="23"/>
  <c r="D286" i="23"/>
  <c r="D4812" i="23"/>
  <c r="D4953" i="23"/>
  <c r="D3718" i="23"/>
  <c r="D4773" i="23"/>
  <c r="D1197" i="23"/>
  <c r="D86" i="23"/>
  <c r="D4618" i="23"/>
  <c r="D131" i="23"/>
  <c r="D4916" i="23"/>
  <c r="D4946" i="23"/>
  <c r="D4956" i="23"/>
  <c r="D63" i="23"/>
  <c r="D508" i="23"/>
  <c r="D4930" i="23"/>
  <c r="D4014" i="23"/>
  <c r="D3504" i="23"/>
  <c r="D3497" i="23"/>
  <c r="D3578" i="23"/>
  <c r="D3023" i="23"/>
  <c r="D3219" i="23"/>
  <c r="D2170" i="23"/>
  <c r="D1554" i="23"/>
  <c r="D591" i="23"/>
  <c r="D832" i="23"/>
  <c r="D3869" i="23"/>
  <c r="D1631" i="23"/>
  <c r="D445" i="23"/>
  <c r="D4797" i="23"/>
  <c r="D750" i="23"/>
  <c r="D2695" i="23"/>
  <c r="D1082" i="23"/>
  <c r="D2117" i="23"/>
  <c r="D328" i="23"/>
  <c r="D440" i="23"/>
  <c r="D4437" i="23"/>
  <c r="D4845" i="23"/>
  <c r="D2961" i="23"/>
  <c r="D4802" i="23"/>
  <c r="D1252" i="23"/>
  <c r="D363" i="23"/>
  <c r="D469" i="23"/>
  <c r="D4739" i="23"/>
  <c r="D121" i="23"/>
  <c r="D2403" i="23"/>
  <c r="D2495" i="23"/>
  <c r="D103" i="23"/>
  <c r="D133" i="23"/>
  <c r="D1081" i="23"/>
  <c r="D3856" i="23"/>
  <c r="D1461" i="23"/>
  <c r="D1254" i="23"/>
  <c r="D1079" i="23"/>
  <c r="D4173" i="23"/>
  <c r="D1825" i="23"/>
  <c r="D4364" i="23"/>
  <c r="D258" i="23"/>
  <c r="D3153" i="23"/>
  <c r="D4630" i="23"/>
  <c r="D3028" i="23"/>
  <c r="D369" i="23"/>
  <c r="D4210" i="23"/>
  <c r="D704" i="23"/>
  <c r="D1397" i="23"/>
  <c r="D122" i="23"/>
  <c r="D728" i="23"/>
  <c r="D4296" i="23"/>
  <c r="D795" i="23"/>
  <c r="D3166" i="23"/>
  <c r="D1344" i="23"/>
  <c r="D1589" i="23"/>
  <c r="D4736" i="23"/>
  <c r="D4727" i="23"/>
  <c r="D75" i="23"/>
  <c r="D2033" i="23"/>
  <c r="D2640" i="23"/>
  <c r="D347" i="23"/>
  <c r="D3964" i="23"/>
  <c r="D278" i="23"/>
  <c r="D255" i="23"/>
  <c r="D4586" i="23"/>
  <c r="D1915" i="23"/>
  <c r="D2248" i="23"/>
  <c r="D2995" i="23"/>
  <c r="D2775" i="23"/>
  <c r="D4258" i="23"/>
  <c r="D520" i="23"/>
  <c r="D583" i="23"/>
  <c r="D174" i="23"/>
  <c r="D262" i="23"/>
  <c r="D986" i="23"/>
  <c r="D3686" i="23"/>
  <c r="D4099" i="23"/>
  <c r="D3814" i="23"/>
  <c r="D1619" i="23"/>
  <c r="D994" i="23"/>
  <c r="D4423" i="23"/>
  <c r="D2650" i="23"/>
  <c r="D2508" i="23"/>
  <c r="D3960" i="23"/>
  <c r="D273" i="23"/>
  <c r="D455" i="23"/>
  <c r="D4225" i="23"/>
  <c r="D544" i="23"/>
  <c r="D1540" i="23"/>
  <c r="D4524" i="23"/>
  <c r="D288" i="23"/>
  <c r="D4151" i="23"/>
  <c r="D4508" i="23"/>
  <c r="D2085" i="23"/>
  <c r="D4125" i="23"/>
  <c r="D3870" i="23"/>
  <c r="D294" i="23"/>
  <c r="D1721" i="23"/>
  <c r="D4715" i="23"/>
  <c r="D659" i="23"/>
  <c r="D381" i="23"/>
  <c r="D1046" i="23"/>
  <c r="D1073" i="23"/>
  <c r="D2829" i="23"/>
  <c r="D785" i="23"/>
  <c r="D3256" i="23"/>
  <c r="D4670" i="23"/>
  <c r="D967" i="23"/>
  <c r="D1233" i="23"/>
  <c r="D4446" i="23"/>
  <c r="D4402" i="23"/>
  <c r="D409" i="23"/>
  <c r="D3090" i="23"/>
  <c r="D938" i="23"/>
  <c r="D81" i="23"/>
  <c r="D160" i="23"/>
  <c r="D4140" i="23"/>
  <c r="D4808" i="23"/>
  <c r="D1829" i="23"/>
  <c r="D2928" i="23"/>
  <c r="D640" i="23"/>
  <c r="D4216" i="23"/>
  <c r="D523" i="23"/>
  <c r="D3811" i="23"/>
  <c r="D677" i="23"/>
  <c r="D1960" i="23"/>
  <c r="D1453" i="23"/>
  <c r="D191" i="23"/>
  <c r="D1246" i="23"/>
  <c r="D94" i="23"/>
  <c r="D2863" i="23"/>
  <c r="D3525" i="23"/>
  <c r="D4247" i="23"/>
  <c r="D1365" i="23"/>
  <c r="D4839" i="23"/>
  <c r="D93" i="23"/>
  <c r="D4807" i="23"/>
  <c r="D4844" i="23"/>
  <c r="D1906" i="23"/>
  <c r="D3838" i="23"/>
  <c r="D4683" i="23"/>
  <c r="D1679" i="23"/>
  <c r="D3810" i="23"/>
  <c r="D560" i="23"/>
  <c r="D3932" i="23"/>
  <c r="D4779" i="23"/>
  <c r="D4891" i="23"/>
  <c r="D2473" i="23"/>
  <c r="D2369" i="23"/>
  <c r="D4084" i="23"/>
  <c r="D4366" i="23"/>
  <c r="D3664" i="23"/>
  <c r="D3875" i="23"/>
  <c r="D98" i="23"/>
  <c r="D1601" i="23"/>
  <c r="D4691" i="23"/>
  <c r="D12" i="23"/>
  <c r="D3350" i="23"/>
  <c r="D175" i="23"/>
  <c r="D2740" i="23"/>
  <c r="D965" i="23"/>
  <c r="D4569" i="23"/>
  <c r="D877" i="23"/>
  <c r="D427" i="23"/>
  <c r="D1704" i="23"/>
  <c r="D3189" i="23"/>
  <c r="D536" i="23"/>
  <c r="D153" i="23"/>
  <c r="D2503" i="23"/>
  <c r="D2561" i="23"/>
  <c r="D911" i="23"/>
  <c r="D1931" i="23"/>
  <c r="D3723" i="23"/>
  <c r="D1814" i="23"/>
  <c r="D1569" i="23"/>
  <c r="D2196" i="23"/>
  <c r="D2235" i="23"/>
  <c r="D2009" i="23"/>
  <c r="D3474" i="23"/>
  <c r="D3820" i="23"/>
  <c r="D1692" i="23"/>
  <c r="D1804" i="23"/>
  <c r="D4533" i="23"/>
  <c r="D3455" i="23"/>
  <c r="D444" i="23"/>
  <c r="D4197" i="23"/>
  <c r="D3867" i="23"/>
  <c r="D2162" i="23"/>
  <c r="D1195" i="23"/>
  <c r="D249" i="23"/>
  <c r="D1793" i="23"/>
  <c r="D4069" i="23"/>
  <c r="D3393" i="23"/>
  <c r="D2679" i="23"/>
  <c r="D670" i="23"/>
  <c r="D919" i="23"/>
  <c r="D1742" i="23"/>
  <c r="D4639" i="23"/>
  <c r="D4284" i="23"/>
  <c r="D4646" i="23"/>
  <c r="D4370" i="23"/>
  <c r="D2287" i="23"/>
  <c r="D477" i="23"/>
  <c r="D3770" i="23"/>
  <c r="D401" i="23"/>
  <c r="D1845" i="23"/>
  <c r="D1171" i="23"/>
  <c r="D2124" i="23"/>
  <c r="D2276" i="23"/>
  <c r="D3445" i="23"/>
  <c r="D1472" i="23"/>
  <c r="D1753" i="23"/>
  <c r="D228" i="23"/>
  <c r="D870" i="23"/>
  <c r="D4740" i="23"/>
  <c r="D459" i="23"/>
  <c r="D571" i="23"/>
  <c r="D2689" i="23"/>
  <c r="D426" i="23"/>
  <c r="D2000" i="23"/>
  <c r="D3587" i="23"/>
  <c r="D2856" i="23"/>
  <c r="D3878" i="23"/>
  <c r="D3163" i="23"/>
  <c r="D2690" i="23"/>
  <c r="D1639" i="23"/>
  <c r="D3742" i="23"/>
  <c r="D3069" i="23"/>
  <c r="D512" i="23"/>
  <c r="D4537" i="23"/>
  <c r="D2562" i="23"/>
  <c r="D2645" i="23"/>
  <c r="D871" i="23"/>
  <c r="D4522" i="23"/>
  <c r="D3271" i="23"/>
  <c r="D279" i="23"/>
  <c r="D3751" i="23"/>
  <c r="D321" i="23"/>
  <c r="D1143" i="23"/>
  <c r="D1302" i="23"/>
  <c r="D1538" i="23"/>
  <c r="D3136" i="23"/>
  <c r="D2648" i="23"/>
  <c r="D1332" i="23"/>
  <c r="D1837" i="23"/>
  <c r="D3414" i="23"/>
  <c r="D1794" i="23"/>
  <c r="D1314" i="23"/>
  <c r="D3472" i="23"/>
  <c r="D2114" i="23"/>
  <c r="D3622" i="23"/>
  <c r="D233" i="23"/>
  <c r="D650" i="23"/>
  <c r="D3582" i="23"/>
  <c r="D1311" i="23"/>
  <c r="D2050" i="23"/>
  <c r="D4541" i="23"/>
  <c r="D3794" i="23"/>
  <c r="D156" i="23"/>
  <c r="D772" i="23"/>
  <c r="D2942" i="23"/>
  <c r="D3529" i="23"/>
  <c r="D3129" i="23"/>
  <c r="D535" i="23"/>
  <c r="D2847" i="23"/>
  <c r="D3001" i="23"/>
  <c r="D2274" i="23"/>
  <c r="D4769" i="23"/>
  <c r="D1268" i="23"/>
  <c r="D1895" i="23"/>
  <c r="D2763" i="23"/>
  <c r="D600" i="23"/>
  <c r="D2038" i="23"/>
  <c r="D796" i="23"/>
  <c r="D2389" i="23"/>
  <c r="B2" i="27"/>
  <c r="C4" i="27"/>
  <c r="C8" i="27"/>
  <c r="D8" i="27"/>
  <c r="E8" i="27"/>
  <c r="F8" i="27"/>
  <c r="G8" i="27"/>
  <c r="J92" i="26"/>
  <c r="J93" i="26"/>
  <c r="I92" i="26"/>
  <c r="I93" i="26"/>
  <c r="H92" i="26"/>
  <c r="H93" i="26"/>
  <c r="G92" i="26"/>
  <c r="G93" i="26"/>
  <c r="F92" i="26"/>
  <c r="F93" i="26"/>
  <c r="E92" i="26"/>
  <c r="E93" i="26"/>
  <c r="D92" i="26"/>
  <c r="D93" i="26"/>
  <c r="D86" i="26"/>
  <c r="E86" i="26"/>
  <c r="F86" i="26"/>
  <c r="G86" i="26"/>
  <c r="H86" i="26"/>
  <c r="I86" i="26"/>
  <c r="J86" i="26"/>
  <c r="C86" i="26"/>
  <c r="B87" i="26"/>
  <c r="D81" i="26"/>
  <c r="E81" i="26"/>
  <c r="F81" i="26"/>
  <c r="G81" i="26"/>
  <c r="H81" i="26"/>
  <c r="I81" i="26"/>
  <c r="J81" i="26"/>
  <c r="C81" i="26"/>
  <c r="D80" i="26"/>
  <c r="E80" i="26"/>
  <c r="F80" i="26"/>
  <c r="G80" i="26"/>
  <c r="H80" i="26"/>
  <c r="I80" i="26"/>
  <c r="J80" i="26"/>
  <c r="C80" i="26"/>
  <c r="D63" i="26"/>
  <c r="D69" i="26"/>
  <c r="D87" i="26"/>
  <c r="E63" i="26"/>
  <c r="E69" i="26"/>
  <c r="E87" i="26"/>
  <c r="F63" i="26"/>
  <c r="F69" i="26"/>
  <c r="F87" i="26"/>
  <c r="G63" i="26"/>
  <c r="G69" i="26"/>
  <c r="G75" i="26"/>
  <c r="H63" i="26"/>
  <c r="H69" i="26"/>
  <c r="H75" i="26"/>
  <c r="I63" i="26"/>
  <c r="I69" i="26"/>
  <c r="I87" i="26"/>
  <c r="J63" i="26"/>
  <c r="J69" i="26"/>
  <c r="J87" i="26"/>
  <c r="C63" i="26"/>
  <c r="C69" i="26"/>
  <c r="C75" i="26"/>
  <c r="D62" i="26"/>
  <c r="E62" i="26"/>
  <c r="F62" i="26"/>
  <c r="G62" i="26"/>
  <c r="H62" i="26"/>
  <c r="I62" i="26"/>
  <c r="J62" i="26"/>
  <c r="C62" i="26"/>
  <c r="C64" i="26"/>
  <c r="J79" i="26"/>
  <c r="I79" i="26"/>
  <c r="H79" i="26"/>
  <c r="G79" i="26"/>
  <c r="F79" i="26"/>
  <c r="E79" i="26"/>
  <c r="D79" i="26"/>
  <c r="C79" i="26"/>
  <c r="J61" i="26"/>
  <c r="I61" i="26"/>
  <c r="H61" i="26"/>
  <c r="G61" i="26"/>
  <c r="F61" i="26"/>
  <c r="E61" i="26"/>
  <c r="D61" i="26"/>
  <c r="C61" i="26"/>
  <c r="B4" i="26"/>
  <c r="B2" i="26"/>
  <c r="B3" i="26"/>
  <c r="B3" i="24"/>
  <c r="B4" i="24"/>
  <c r="B90" i="24"/>
  <c r="D83" i="24"/>
  <c r="E83" i="24"/>
  <c r="F83" i="24"/>
  <c r="G83" i="24"/>
  <c r="H83" i="24"/>
  <c r="I83" i="24"/>
  <c r="J83" i="24"/>
  <c r="C83" i="24"/>
  <c r="B76" i="24"/>
  <c r="D72" i="24"/>
  <c r="D85" i="24"/>
  <c r="D95" i="24"/>
  <c r="E72" i="24"/>
  <c r="E85" i="24"/>
  <c r="F72" i="24"/>
  <c r="F85" i="24"/>
  <c r="G72" i="24"/>
  <c r="G75" i="24"/>
  <c r="H72" i="24"/>
  <c r="H85" i="24"/>
  <c r="H95" i="24"/>
  <c r="I72" i="24"/>
  <c r="I85" i="24"/>
  <c r="I95" i="24"/>
  <c r="J72" i="24"/>
  <c r="J85" i="24"/>
  <c r="J95" i="24"/>
  <c r="C72" i="24"/>
  <c r="C85" i="24"/>
  <c r="C95" i="24"/>
  <c r="D68" i="24"/>
  <c r="D91" i="24"/>
  <c r="D94" i="24"/>
  <c r="E68" i="24"/>
  <c r="E91" i="24"/>
  <c r="E94" i="24"/>
  <c r="F68" i="24"/>
  <c r="F91" i="24"/>
  <c r="F94" i="24"/>
  <c r="G68" i="24"/>
  <c r="G91" i="24"/>
  <c r="G94" i="24"/>
  <c r="H68" i="24"/>
  <c r="I68" i="24"/>
  <c r="J68" i="24"/>
  <c r="J91" i="24"/>
  <c r="J94" i="24"/>
  <c r="J96" i="24"/>
  <c r="C68" i="24"/>
  <c r="C91" i="24"/>
  <c r="B67" i="24"/>
  <c r="I62" i="24" a="1"/>
  <c r="I62" i="24"/>
  <c r="I76" i="24"/>
  <c r="H62" i="24" a="1"/>
  <c r="H62" i="24"/>
  <c r="G62" i="24" a="1"/>
  <c r="G62" i="24"/>
  <c r="G76" i="24"/>
  <c r="F62" i="24" a="1"/>
  <c r="F62" i="24"/>
  <c r="F76" i="24"/>
  <c r="E62" i="24" a="1"/>
  <c r="E62" i="24"/>
  <c r="E76" i="24"/>
  <c r="D62" i="24" a="1"/>
  <c r="D62" i="24"/>
  <c r="D76" i="24"/>
  <c r="C62" i="24" a="1"/>
  <c r="C62" i="24"/>
  <c r="C76" i="24"/>
  <c r="J62" i="24" a="1"/>
  <c r="J62" i="24"/>
  <c r="J76" i="24"/>
  <c r="D61" i="24"/>
  <c r="D90" i="24"/>
  <c r="E61" i="24"/>
  <c r="E67" i="24"/>
  <c r="F61" i="24"/>
  <c r="F67" i="24"/>
  <c r="G61" i="24"/>
  <c r="G67" i="24"/>
  <c r="H61" i="24"/>
  <c r="H90" i="24"/>
  <c r="I61" i="24"/>
  <c r="I84" i="24"/>
  <c r="J61" i="24"/>
  <c r="J84" i="24"/>
  <c r="C61" i="24"/>
  <c r="C84" i="24"/>
  <c r="I60" i="24"/>
  <c r="H60" i="24"/>
  <c r="G60" i="24"/>
  <c r="F60" i="24"/>
  <c r="E60" i="24"/>
  <c r="D60" i="24"/>
  <c r="C60" i="24"/>
  <c r="J60" i="24"/>
  <c r="I7" i="23"/>
  <c r="J27" i="23"/>
  <c r="J25" i="23"/>
  <c r="J26" i="23"/>
  <c r="J24" i="23"/>
  <c r="M14" i="23"/>
  <c r="M21" i="23"/>
  <c r="G13" i="17"/>
  <c r="H13" i="17"/>
  <c r="J13" i="17"/>
  <c r="K13" i="17"/>
  <c r="L13" i="17"/>
  <c r="K12" i="17"/>
  <c r="L12" i="17"/>
  <c r="J12" i="17"/>
  <c r="H12" i="17"/>
  <c r="G12" i="17"/>
  <c r="C13" i="17"/>
  <c r="D13" i="17"/>
  <c r="E13" i="17"/>
  <c r="B13" i="17"/>
  <c r="C12" i="17"/>
  <c r="D12" i="17"/>
  <c r="E12" i="17"/>
  <c r="B12" i="17"/>
  <c r="B14" i="17"/>
  <c r="C14" i="17"/>
  <c r="D14" i="17"/>
  <c r="E14" i="17"/>
  <c r="B15" i="17"/>
  <c r="C15" i="17"/>
  <c r="D15" i="17"/>
  <c r="E15" i="17"/>
  <c r="B16" i="17"/>
  <c r="C16" i="17"/>
  <c r="D16" i="17"/>
  <c r="E16" i="17"/>
  <c r="B17" i="17"/>
  <c r="C17" i="17"/>
  <c r="D17" i="17"/>
  <c r="E17" i="17"/>
  <c r="B18" i="17"/>
  <c r="C18" i="17"/>
  <c r="D18" i="17"/>
  <c r="E18" i="17"/>
  <c r="B19" i="17"/>
  <c r="C19" i="17"/>
  <c r="D19" i="17"/>
  <c r="E19" i="17"/>
  <c r="B20" i="17"/>
  <c r="C20" i="17"/>
  <c r="D20" i="17"/>
  <c r="E20" i="17"/>
  <c r="B21" i="17"/>
  <c r="C21" i="17"/>
  <c r="D21" i="17"/>
  <c r="E21" i="17"/>
  <c r="F15" i="22"/>
  <c r="K42" i="27"/>
  <c r="K46" i="27"/>
  <c r="D75" i="26"/>
  <c r="C87" i="26"/>
  <c r="C88" i="26"/>
  <c r="H87" i="26"/>
  <c r="G87" i="26"/>
  <c r="E75" i="26"/>
  <c r="I75" i="26"/>
  <c r="F75" i="26"/>
  <c r="J75" i="26"/>
  <c r="D82" i="26"/>
  <c r="E88" i="26"/>
  <c r="C82" i="26"/>
  <c r="E64" i="26"/>
  <c r="J88" i="26"/>
  <c r="D88" i="26"/>
  <c r="I88" i="26"/>
  <c r="F88" i="26"/>
  <c r="G82" i="26"/>
  <c r="J64" i="26"/>
  <c r="F64" i="26"/>
  <c r="G64" i="26"/>
  <c r="F82" i="26"/>
  <c r="I64" i="26"/>
  <c r="I82" i="26"/>
  <c r="H82" i="26"/>
  <c r="D64" i="26"/>
  <c r="J82" i="26"/>
  <c r="H64" i="26"/>
  <c r="D96" i="24"/>
  <c r="G69" i="24"/>
  <c r="I75" i="24"/>
  <c r="I77" i="24"/>
  <c r="H67" i="24"/>
  <c r="H69" i="24"/>
  <c r="D67" i="24"/>
  <c r="D69" i="24"/>
  <c r="D75" i="24"/>
  <c r="D77" i="24"/>
  <c r="G84" i="24"/>
  <c r="I86" i="24"/>
  <c r="F69" i="24"/>
  <c r="E69" i="24"/>
  <c r="G85" i="24"/>
  <c r="G95" i="24"/>
  <c r="G96" i="24"/>
  <c r="D92" i="24"/>
  <c r="F75" i="24"/>
  <c r="F77" i="24"/>
  <c r="C90" i="24"/>
  <c r="C92" i="24"/>
  <c r="H84" i="24"/>
  <c r="H86" i="24"/>
  <c r="I67" i="24"/>
  <c r="I69" i="24"/>
  <c r="E75" i="24"/>
  <c r="E77" i="24"/>
  <c r="E95" i="24"/>
  <c r="E96" i="24"/>
  <c r="C94" i="24"/>
  <c r="C96" i="24"/>
  <c r="H76" i="24"/>
  <c r="H63" i="24"/>
  <c r="C86" i="24"/>
  <c r="G77" i="24"/>
  <c r="J86" i="24"/>
  <c r="F95" i="24"/>
  <c r="F96" i="24"/>
  <c r="C63" i="24"/>
  <c r="C71" i="24"/>
  <c r="C73" i="24"/>
  <c r="J63" i="24"/>
  <c r="C67" i="24"/>
  <c r="C69" i="24"/>
  <c r="J71" i="24"/>
  <c r="J73" i="24"/>
  <c r="C75" i="24"/>
  <c r="C77" i="24"/>
  <c r="F84" i="24"/>
  <c r="F86" i="24"/>
  <c r="J90" i="24"/>
  <c r="J92" i="24"/>
  <c r="J98" i="24"/>
  <c r="I63" i="24"/>
  <c r="J67" i="24"/>
  <c r="J69" i="24"/>
  <c r="I71" i="24"/>
  <c r="I73" i="24"/>
  <c r="J75" i="24"/>
  <c r="J77" i="24"/>
  <c r="E84" i="24"/>
  <c r="E86" i="24"/>
  <c r="I90" i="24"/>
  <c r="I91" i="24"/>
  <c r="I94" i="24"/>
  <c r="I96" i="24"/>
  <c r="H71" i="24"/>
  <c r="H73" i="24"/>
  <c r="D84" i="24"/>
  <c r="D86" i="24"/>
  <c r="H91" i="24"/>
  <c r="G63" i="24"/>
  <c r="G71" i="24"/>
  <c r="G73" i="24"/>
  <c r="H75" i="24"/>
  <c r="G90" i="24"/>
  <c r="G92" i="24"/>
  <c r="F63" i="24"/>
  <c r="F71" i="24"/>
  <c r="F73" i="24"/>
  <c r="F90" i="24"/>
  <c r="F92" i="24"/>
  <c r="E63" i="24"/>
  <c r="E71" i="24"/>
  <c r="E73" i="24"/>
  <c r="E90" i="24"/>
  <c r="E92" i="24"/>
  <c r="D63" i="24"/>
  <c r="D71" i="24"/>
  <c r="D73" i="24"/>
  <c r="E49" i="20"/>
  <c r="F49" i="20"/>
  <c r="G49" i="20"/>
  <c r="H49" i="20"/>
  <c r="I49" i="20"/>
  <c r="D49" i="20"/>
  <c r="D26" i="20"/>
  <c r="E26" i="20"/>
  <c r="F26" i="20"/>
  <c r="G26" i="20"/>
  <c r="H26" i="20"/>
  <c r="I26" i="20"/>
  <c r="D27" i="20"/>
  <c r="E27" i="20"/>
  <c r="F27" i="20"/>
  <c r="G27" i="20"/>
  <c r="H27" i="20"/>
  <c r="I27" i="20"/>
  <c r="D28" i="20"/>
  <c r="E28" i="20"/>
  <c r="F28" i="20"/>
  <c r="G28" i="20"/>
  <c r="H28" i="20"/>
  <c r="I28" i="20"/>
  <c r="D29" i="20"/>
  <c r="E29" i="20"/>
  <c r="F29" i="20"/>
  <c r="G29" i="20"/>
  <c r="H29" i="20"/>
  <c r="I29" i="20"/>
  <c r="D30" i="20"/>
  <c r="E30" i="20"/>
  <c r="F30" i="20"/>
  <c r="G30" i="20"/>
  <c r="H30" i="20"/>
  <c r="I30" i="20"/>
  <c r="D31" i="20"/>
  <c r="E31" i="20"/>
  <c r="F31" i="20"/>
  <c r="G31" i="20"/>
  <c r="H31" i="20"/>
  <c r="I31" i="20"/>
  <c r="D32" i="20"/>
  <c r="E32" i="20"/>
  <c r="F32" i="20"/>
  <c r="G32" i="20"/>
  <c r="H32" i="20"/>
  <c r="I32" i="20"/>
  <c r="D33" i="20"/>
  <c r="E33" i="20"/>
  <c r="F33" i="20"/>
  <c r="G33" i="20"/>
  <c r="H33" i="20"/>
  <c r="I33" i="20"/>
  <c r="G4" i="15"/>
  <c r="J4" i="15"/>
  <c r="G3" i="15"/>
  <c r="J3" i="15"/>
  <c r="G5" i="15"/>
  <c r="J5" i="15"/>
  <c r="G6" i="15"/>
  <c r="J6" i="15"/>
  <c r="G7" i="15"/>
  <c r="J7" i="15"/>
  <c r="G8" i="15"/>
  <c r="J8" i="15"/>
  <c r="G9" i="15"/>
  <c r="J9" i="15"/>
  <c r="G10" i="15"/>
  <c r="J10" i="15"/>
  <c r="G11" i="15"/>
  <c r="J11" i="15"/>
  <c r="G12" i="15"/>
  <c r="J12" i="15"/>
  <c r="C109" i="7"/>
  <c r="D109" i="7"/>
  <c r="E109" i="7"/>
  <c r="F109" i="7"/>
  <c r="G109" i="7"/>
  <c r="H109" i="7"/>
  <c r="I109" i="7"/>
  <c r="J109" i="7"/>
  <c r="K109" i="7"/>
  <c r="L109" i="7"/>
  <c r="C110" i="7"/>
  <c r="D110" i="7"/>
  <c r="E110" i="7"/>
  <c r="F110" i="7"/>
  <c r="G110" i="7"/>
  <c r="H110" i="7"/>
  <c r="I110" i="7"/>
  <c r="J110" i="7"/>
  <c r="K110" i="7"/>
  <c r="L110" i="7"/>
  <c r="C111" i="7"/>
  <c r="D111" i="7"/>
  <c r="E111" i="7"/>
  <c r="F111" i="7"/>
  <c r="G111" i="7"/>
  <c r="H111" i="7"/>
  <c r="I111" i="7"/>
  <c r="J111" i="7"/>
  <c r="K111" i="7"/>
  <c r="L111" i="7"/>
  <c r="C112" i="7"/>
  <c r="D112" i="7"/>
  <c r="E112" i="7"/>
  <c r="F112" i="7"/>
  <c r="G112" i="7"/>
  <c r="H112" i="7"/>
  <c r="I112" i="7"/>
  <c r="J112" i="7"/>
  <c r="K112" i="7"/>
  <c r="L112" i="7"/>
  <c r="C113" i="7"/>
  <c r="D113" i="7"/>
  <c r="E113" i="7"/>
  <c r="F113" i="7"/>
  <c r="G113" i="7"/>
  <c r="H113" i="7"/>
  <c r="I113" i="7"/>
  <c r="J113" i="7"/>
  <c r="K113" i="7"/>
  <c r="L113" i="7"/>
  <c r="C114" i="7"/>
  <c r="D114" i="7"/>
  <c r="E114" i="7"/>
  <c r="F114" i="7"/>
  <c r="G114" i="7"/>
  <c r="H114" i="7"/>
  <c r="I114" i="7"/>
  <c r="J114" i="7"/>
  <c r="K114" i="7"/>
  <c r="L114" i="7"/>
  <c r="D108" i="7"/>
  <c r="E108" i="7"/>
  <c r="F108" i="7"/>
  <c r="G108" i="7"/>
  <c r="H108" i="7"/>
  <c r="I108" i="7"/>
  <c r="J108" i="7"/>
  <c r="K108" i="7"/>
  <c r="L108" i="7"/>
  <c r="C108" i="7"/>
  <c r="C96" i="7"/>
  <c r="D96" i="7"/>
  <c r="E96" i="7"/>
  <c r="F96" i="7"/>
  <c r="G96" i="7"/>
  <c r="H96" i="7"/>
  <c r="I96" i="7"/>
  <c r="J96" i="7"/>
  <c r="K96" i="7"/>
  <c r="L96" i="7"/>
  <c r="C97" i="7"/>
  <c r="D97" i="7"/>
  <c r="E97" i="7"/>
  <c r="F97" i="7"/>
  <c r="G97" i="7"/>
  <c r="H97" i="7"/>
  <c r="I97" i="7"/>
  <c r="J97" i="7"/>
  <c r="K97" i="7"/>
  <c r="L97" i="7"/>
  <c r="C98" i="7"/>
  <c r="D98" i="7"/>
  <c r="E98" i="7"/>
  <c r="F98" i="7"/>
  <c r="G98" i="7"/>
  <c r="H98" i="7"/>
  <c r="I98" i="7"/>
  <c r="J98" i="7"/>
  <c r="K98" i="7"/>
  <c r="L98" i="7"/>
  <c r="C99" i="7"/>
  <c r="D99" i="7"/>
  <c r="E99" i="7"/>
  <c r="F99" i="7"/>
  <c r="G99" i="7"/>
  <c r="H99" i="7"/>
  <c r="I99" i="7"/>
  <c r="J99" i="7"/>
  <c r="K99" i="7"/>
  <c r="L99" i="7"/>
  <c r="C100" i="7"/>
  <c r="D100" i="7"/>
  <c r="E100" i="7"/>
  <c r="F100" i="7"/>
  <c r="G100" i="7"/>
  <c r="H100" i="7"/>
  <c r="I100" i="7"/>
  <c r="J100" i="7"/>
  <c r="K100" i="7"/>
  <c r="L100" i="7"/>
  <c r="C101" i="7"/>
  <c r="D101" i="7"/>
  <c r="E101" i="7"/>
  <c r="F101" i="7"/>
  <c r="G101" i="7"/>
  <c r="H101" i="7"/>
  <c r="I101" i="7"/>
  <c r="J101" i="7"/>
  <c r="K101" i="7"/>
  <c r="L101" i="7"/>
  <c r="C102" i="7"/>
  <c r="D102" i="7"/>
  <c r="E102" i="7"/>
  <c r="F102" i="7"/>
  <c r="G102" i="7"/>
  <c r="H102" i="7"/>
  <c r="I102" i="7"/>
  <c r="J102" i="7"/>
  <c r="K102" i="7"/>
  <c r="L102" i="7"/>
  <c r="C103" i="7"/>
  <c r="D103" i="7"/>
  <c r="E103" i="7"/>
  <c r="F103" i="7"/>
  <c r="G103" i="7"/>
  <c r="H103" i="7"/>
  <c r="I103" i="7"/>
  <c r="J103" i="7"/>
  <c r="K103" i="7"/>
  <c r="L103" i="7"/>
  <c r="C104" i="7"/>
  <c r="D104" i="7"/>
  <c r="E104" i="7"/>
  <c r="F104" i="7"/>
  <c r="G104" i="7"/>
  <c r="H104" i="7"/>
  <c r="I104" i="7"/>
  <c r="J104" i="7"/>
  <c r="K104" i="7"/>
  <c r="L104" i="7"/>
  <c r="D95" i="7"/>
  <c r="E95" i="7"/>
  <c r="F95" i="7"/>
  <c r="G95" i="7"/>
  <c r="H95" i="7"/>
  <c r="I95" i="7"/>
  <c r="J95" i="7"/>
  <c r="K95" i="7"/>
  <c r="L95" i="7"/>
  <c r="C95" i="7"/>
  <c r="C87" i="7"/>
  <c r="D87" i="7"/>
  <c r="E87" i="7"/>
  <c r="F87" i="7"/>
  <c r="G87" i="7"/>
  <c r="H87" i="7"/>
  <c r="I87" i="7"/>
  <c r="J87" i="7"/>
  <c r="K87" i="7"/>
  <c r="L87" i="7"/>
  <c r="C88" i="7"/>
  <c r="D88" i="7"/>
  <c r="E88" i="7"/>
  <c r="F88" i="7"/>
  <c r="G88" i="7"/>
  <c r="H88" i="7"/>
  <c r="I88" i="7"/>
  <c r="J88" i="7"/>
  <c r="K88" i="7"/>
  <c r="L88" i="7"/>
  <c r="C89" i="7"/>
  <c r="D89" i="7"/>
  <c r="E89" i="7"/>
  <c r="F89" i="7"/>
  <c r="G89" i="7"/>
  <c r="H89" i="7"/>
  <c r="I89" i="7"/>
  <c r="J89" i="7"/>
  <c r="K89" i="7"/>
  <c r="L89" i="7"/>
  <c r="C90" i="7"/>
  <c r="D90" i="7"/>
  <c r="E90" i="7"/>
  <c r="F90" i="7"/>
  <c r="G90" i="7"/>
  <c r="H90" i="7"/>
  <c r="I90" i="7"/>
  <c r="J90" i="7"/>
  <c r="K90" i="7"/>
  <c r="L90" i="7"/>
  <c r="C91" i="7"/>
  <c r="D91" i="7"/>
  <c r="E91" i="7"/>
  <c r="F91" i="7"/>
  <c r="G91" i="7"/>
  <c r="H91" i="7"/>
  <c r="I91" i="7"/>
  <c r="J91" i="7"/>
  <c r="K91" i="7"/>
  <c r="L91" i="7"/>
  <c r="C86" i="7"/>
  <c r="D86" i="7"/>
  <c r="E86" i="7"/>
  <c r="F86" i="7"/>
  <c r="G86" i="7"/>
  <c r="H86" i="7"/>
  <c r="I86" i="7"/>
  <c r="J86" i="7"/>
  <c r="K86" i="7"/>
  <c r="L86" i="7"/>
  <c r="M10" i="23"/>
  <c r="M12" i="23"/>
  <c r="K27" i="23"/>
  <c r="L27" i="23"/>
  <c r="M27" i="23"/>
  <c r="K24" i="23"/>
  <c r="L24" i="23"/>
  <c r="M24" i="23"/>
  <c r="M13" i="23"/>
  <c r="K26" i="23"/>
  <c r="L26" i="23"/>
  <c r="M26" i="23"/>
  <c r="M11" i="23"/>
  <c r="K25" i="23"/>
  <c r="L25" i="23"/>
  <c r="M25" i="23"/>
  <c r="G88" i="26"/>
  <c r="E82" i="26"/>
  <c r="H88" i="26"/>
  <c r="D98" i="24"/>
  <c r="G98" i="24"/>
  <c r="H77" i="24"/>
  <c r="H79" i="24"/>
  <c r="G86" i="24"/>
  <c r="E79" i="24"/>
  <c r="E98" i="24"/>
  <c r="F98" i="24"/>
  <c r="F79" i="24"/>
  <c r="G79" i="24"/>
  <c r="H92" i="24"/>
  <c r="H94" i="24"/>
  <c r="H96" i="24"/>
  <c r="I92" i="24"/>
  <c r="I98" i="24"/>
  <c r="I79" i="24"/>
  <c r="D79" i="24"/>
  <c r="C79" i="24"/>
  <c r="J79" i="24"/>
  <c r="C98" i="24"/>
  <c r="E92" i="7"/>
  <c r="I92" i="7"/>
  <c r="I115" i="7"/>
  <c r="H115" i="7"/>
  <c r="G105" i="7"/>
  <c r="H105" i="7"/>
  <c r="I105" i="7"/>
  <c r="G92" i="7"/>
  <c r="L92" i="7"/>
  <c r="D92" i="7"/>
  <c r="K92" i="7"/>
  <c r="J115" i="7"/>
  <c r="D115" i="7"/>
  <c r="J105" i="7"/>
  <c r="F92" i="7"/>
  <c r="H92" i="7"/>
  <c r="J92" i="7"/>
  <c r="F115" i="7"/>
  <c r="F105" i="7"/>
  <c r="L105" i="7"/>
  <c r="E115" i="7"/>
  <c r="L115" i="7"/>
  <c r="D105" i="7"/>
  <c r="K115" i="7"/>
  <c r="C115" i="7"/>
  <c r="G115" i="7"/>
  <c r="K105" i="7"/>
  <c r="C105" i="7"/>
  <c r="E105" i="7"/>
  <c r="C92" i="7"/>
  <c r="G506" i="23"/>
  <c r="G1008" i="23"/>
  <c r="G1660" i="23"/>
  <c r="G383" i="23"/>
  <c r="G2267" i="23"/>
  <c r="G185" i="23"/>
  <c r="G315" i="23"/>
  <c r="G223" i="23"/>
  <c r="G2432" i="23"/>
  <c r="G2553" i="23"/>
  <c r="G3675" i="23"/>
  <c r="G3422" i="23"/>
  <c r="G2919" i="23"/>
  <c r="G3027" i="23"/>
  <c r="G23" i="23"/>
  <c r="G652" i="23"/>
  <c r="G2400" i="23"/>
  <c r="G169" i="23"/>
  <c r="G3290" i="23"/>
  <c r="G262" i="23"/>
  <c r="G4654" i="23"/>
  <c r="G854" i="23"/>
  <c r="G3536" i="23"/>
  <c r="G4851" i="23"/>
  <c r="G1357" i="23"/>
  <c r="G3877" i="23"/>
  <c r="G4790" i="23"/>
  <c r="G432" i="23"/>
  <c r="G1988" i="23"/>
  <c r="G736" i="23"/>
  <c r="G732" i="23"/>
  <c r="G2644" i="23"/>
  <c r="G895" i="23"/>
  <c r="G222" i="23"/>
  <c r="G2002" i="23"/>
  <c r="G1500" i="23"/>
  <c r="G2392" i="23"/>
  <c r="G4748" i="23"/>
  <c r="G4814" i="23"/>
  <c r="G4626" i="23"/>
  <c r="G4753" i="23"/>
  <c r="G911" i="23"/>
  <c r="G637" i="23"/>
  <c r="G285" i="23"/>
  <c r="G2801" i="23"/>
  <c r="G3961" i="23"/>
  <c r="G4556" i="23"/>
  <c r="G3426" i="23"/>
  <c r="G4229" i="23"/>
  <c r="G1559" i="23"/>
  <c r="G479" i="23"/>
  <c r="G2937" i="23"/>
  <c r="G3811" i="23"/>
  <c r="G2915" i="23"/>
  <c r="G2128" i="23"/>
  <c r="G842" i="23"/>
  <c r="G4591" i="23"/>
  <c r="G540" i="23"/>
  <c r="G2303" i="23"/>
  <c r="G4402" i="23"/>
  <c r="G2074" i="23"/>
  <c r="G3067" i="23"/>
  <c r="G234" i="23"/>
  <c r="G2614" i="23"/>
  <c r="G1449" i="23"/>
  <c r="G2861" i="23"/>
  <c r="G900" i="23"/>
  <c r="G352" i="23"/>
  <c r="G4936" i="23"/>
  <c r="G417" i="23"/>
  <c r="G2083" i="23"/>
  <c r="G3754" i="23"/>
  <c r="G1253" i="23"/>
  <c r="G4719" i="23"/>
  <c r="G1980" i="23"/>
  <c r="G4160" i="23"/>
  <c r="G2809" i="23"/>
  <c r="G3706" i="23"/>
  <c r="G2424" i="23"/>
  <c r="G2818" i="23"/>
  <c r="G420" i="23"/>
  <c r="G726" i="23"/>
  <c r="G270" i="23"/>
  <c r="G1157" i="23"/>
  <c r="G2640" i="23"/>
  <c r="G1187" i="23"/>
  <c r="G1915" i="23"/>
  <c r="G3871" i="23"/>
  <c r="G2743" i="23"/>
  <c r="G1366" i="23"/>
  <c r="G561" i="23"/>
  <c r="G1152" i="23"/>
  <c r="G3817" i="23"/>
  <c r="G1851" i="23"/>
  <c r="G717" i="23"/>
  <c r="G3073" i="23"/>
  <c r="G626" i="23"/>
  <c r="G812" i="23"/>
  <c r="G997" i="23"/>
  <c r="G1343" i="23"/>
  <c r="G870" i="23"/>
  <c r="G2934" i="23"/>
  <c r="G2912" i="23"/>
  <c r="G3818" i="23"/>
  <c r="G289" i="23"/>
  <c r="G3527" i="23"/>
  <c r="G1445" i="23"/>
  <c r="G245" i="23"/>
  <c r="G881" i="23"/>
  <c r="G891" i="23"/>
  <c r="G3794" i="23"/>
  <c r="G4011" i="23"/>
  <c r="G4174" i="23"/>
  <c r="G98" i="23"/>
  <c r="G3870" i="23"/>
  <c r="G754" i="23"/>
  <c r="G2664" i="23"/>
  <c r="G960" i="23"/>
  <c r="G2327" i="23"/>
  <c r="G1358" i="23"/>
  <c r="G2613" i="23"/>
  <c r="G1428" i="23"/>
  <c r="G1203" i="23"/>
  <c r="G427" i="23"/>
  <c r="G4261" i="23"/>
  <c r="G4026" i="23"/>
  <c r="G1055" i="23"/>
  <c r="G2160" i="23"/>
  <c r="G1108" i="23"/>
  <c r="G703" i="23"/>
  <c r="G3698" i="23"/>
  <c r="G3589" i="23"/>
  <c r="G286" i="23"/>
  <c r="G3970" i="23"/>
  <c r="G2984" i="23"/>
  <c r="G1489" i="23"/>
  <c r="G136" i="23"/>
  <c r="G284" i="23"/>
  <c r="G4652" i="23"/>
  <c r="G3201" i="23"/>
  <c r="G3531" i="23"/>
  <c r="G4637" i="23"/>
  <c r="G956" i="23"/>
  <c r="G4819" i="23"/>
  <c r="G212" i="23"/>
  <c r="G2446" i="23"/>
  <c r="G3120" i="23"/>
  <c r="G2105" i="23"/>
  <c r="G554" i="23"/>
  <c r="G4283" i="23"/>
  <c r="G2232" i="23"/>
  <c r="G4919" i="23"/>
  <c r="G840" i="23"/>
  <c r="G3571" i="23"/>
  <c r="G4339" i="23"/>
  <c r="G977" i="23"/>
  <c r="G1413" i="23"/>
  <c r="G1784" i="23"/>
  <c r="G4821" i="23"/>
  <c r="G3779" i="23"/>
  <c r="G204" i="23"/>
  <c r="G2294" i="23"/>
  <c r="G328" i="23"/>
  <c r="G2178" i="23"/>
  <c r="G2921" i="23"/>
  <c r="G2315" i="23"/>
  <c r="G1191" i="23"/>
  <c r="G299" i="23"/>
  <c r="G1864" i="23"/>
  <c r="G3184" i="23"/>
  <c r="G1690" i="23"/>
  <c r="G3684" i="23"/>
  <c r="G2811" i="23"/>
  <c r="G1665" i="23"/>
  <c r="G1717" i="23"/>
  <c r="G2368" i="23"/>
  <c r="G2033" i="23"/>
  <c r="G3292" i="23"/>
  <c r="G3664" i="23"/>
  <c r="G4275" i="23"/>
  <c r="G1600" i="23"/>
  <c r="G4921" i="23"/>
  <c r="G1027" i="23"/>
  <c r="G264" i="23"/>
  <c r="G3359" i="23"/>
  <c r="G4769" i="23"/>
  <c r="G2779" i="23"/>
  <c r="G4267" i="23"/>
  <c r="G321" i="23"/>
  <c r="G4680" i="23"/>
  <c r="G524" i="23"/>
  <c r="G4575" i="23"/>
  <c r="G1307" i="23"/>
  <c r="G1035" i="23"/>
  <c r="G528" i="23"/>
  <c r="G4019" i="23"/>
  <c r="G581" i="23"/>
  <c r="G3257" i="23"/>
  <c r="G2164" i="23"/>
  <c r="G2187" i="23"/>
  <c r="G3043" i="23"/>
  <c r="G1370" i="23"/>
  <c r="G3340" i="23"/>
  <c r="G4892" i="23"/>
  <c r="G3683" i="23"/>
  <c r="G598" i="23"/>
  <c r="G4798" i="23"/>
  <c r="G1756" i="23"/>
  <c r="G2810" i="23"/>
  <c r="G2691" i="23"/>
  <c r="G2747" i="23"/>
  <c r="G3603" i="23"/>
  <c r="G2151" i="23"/>
  <c r="G4513" i="23"/>
  <c r="G520" i="23"/>
  <c r="G2393" i="23"/>
  <c r="G2717" i="23"/>
  <c r="G2667" i="23"/>
  <c r="G325" i="23"/>
  <c r="G3770" i="23"/>
  <c r="G1117" i="23"/>
  <c r="G4567" i="23"/>
  <c r="G1503" i="23"/>
  <c r="G2954" i="23"/>
  <c r="G2014" i="23"/>
  <c r="G4063" i="23"/>
  <c r="G3368" i="23"/>
  <c r="G2225" i="23"/>
  <c r="G1441" i="23"/>
  <c r="G993" i="23"/>
  <c r="G2163" i="23"/>
  <c r="G1007" i="23"/>
  <c r="G3823" i="23"/>
  <c r="G550" i="23"/>
  <c r="G135" i="23"/>
  <c r="G2051" i="23"/>
  <c r="G674" i="23"/>
  <c r="G4385" i="23"/>
  <c r="G4396" i="23"/>
  <c r="G1932" i="23"/>
  <c r="G868" i="23"/>
  <c r="G55" i="23"/>
  <c r="G2774" i="23"/>
  <c r="G152" i="23"/>
  <c r="G3046" i="23"/>
  <c r="G1761" i="23"/>
  <c r="G928" i="23"/>
  <c r="G2403" i="23"/>
  <c r="G123" i="23"/>
  <c r="G3372" i="23"/>
  <c r="G1377" i="23"/>
  <c r="G837" i="23"/>
  <c r="G1368" i="23"/>
  <c r="G2841" i="23"/>
  <c r="G2621" i="23"/>
  <c r="G190" i="23"/>
  <c r="G3976" i="23"/>
  <c r="G1651" i="23"/>
  <c r="G3796" i="23"/>
  <c r="G255" i="23"/>
  <c r="G2852" i="23"/>
  <c r="G1910" i="23"/>
  <c r="G4025" i="23"/>
  <c r="G1266" i="23"/>
  <c r="G2075" i="23"/>
  <c r="G2503" i="23"/>
  <c r="G2054" i="23"/>
  <c r="G1129" i="23"/>
  <c r="G497" i="23"/>
  <c r="G4060" i="23"/>
  <c r="G1758" i="23"/>
  <c r="G2845" i="23"/>
  <c r="G845" i="23"/>
  <c r="G4688" i="23"/>
  <c r="G2233" i="23"/>
  <c r="G4095" i="23"/>
  <c r="G4728" i="23"/>
  <c r="G4666" i="23"/>
  <c r="G3013" i="23"/>
  <c r="G644" i="23"/>
  <c r="G2515" i="23"/>
  <c r="G2773" i="23"/>
  <c r="G3179" i="23"/>
  <c r="G3011" i="23"/>
  <c r="G4089" i="23"/>
  <c r="G1585" i="23"/>
  <c r="G1043" i="23"/>
  <c r="G3183" i="23"/>
  <c r="G1285" i="23"/>
  <c r="G689" i="23"/>
  <c r="G2981" i="23"/>
  <c r="G3424" i="23"/>
  <c r="G512" i="23"/>
  <c r="G4398" i="23"/>
  <c r="G1306" i="23"/>
  <c r="G1991" i="23"/>
  <c r="G4896" i="23"/>
  <c r="G4563" i="23"/>
  <c r="G4872" i="23"/>
  <c r="G1672" i="23"/>
  <c r="G2026" i="23"/>
  <c r="G79" i="23"/>
  <c r="G2069" i="23"/>
  <c r="G588" i="23"/>
  <c r="G3742" i="23"/>
  <c r="G3161" i="23"/>
  <c r="G3926" i="23"/>
  <c r="G779" i="23"/>
  <c r="G1707" i="23"/>
  <c r="G2670" i="23"/>
  <c r="G4177" i="23"/>
  <c r="G2029" i="23"/>
  <c r="G107" i="23"/>
  <c r="G201" i="23"/>
  <c r="G4909" i="23"/>
  <c r="G2207" i="23"/>
  <c r="G1989" i="23"/>
  <c r="G1106" i="23"/>
  <c r="G4020" i="23"/>
  <c r="G1404" i="23"/>
  <c r="G249" i="23"/>
  <c r="G449" i="23"/>
  <c r="G2501" i="23"/>
  <c r="G831" i="23"/>
  <c r="G14" i="23"/>
  <c r="G1172" i="23"/>
  <c r="G4150" i="23"/>
  <c r="G1484" i="23"/>
  <c r="G3382" i="23"/>
  <c r="G1802" i="23"/>
  <c r="G3255" i="23"/>
  <c r="G3349" i="23"/>
  <c r="G2803" i="23"/>
  <c r="G2704" i="23"/>
  <c r="G3149" i="23"/>
  <c r="G530" i="23"/>
  <c r="G24" i="23"/>
  <c r="G1516" i="23"/>
  <c r="G2455" i="23"/>
  <c r="G2084" i="23"/>
  <c r="G1982" i="23"/>
  <c r="G1581" i="23"/>
  <c r="G1668" i="23"/>
  <c r="G2405" i="23"/>
  <c r="G1866" i="23"/>
  <c r="G517" i="23"/>
  <c r="G1523" i="23"/>
  <c r="G4273" i="23"/>
  <c r="G269" i="23"/>
  <c r="G1723" i="23"/>
  <c r="G4616" i="23"/>
  <c r="G672" i="23"/>
  <c r="G1657" i="23"/>
  <c r="G410" i="23"/>
  <c r="G4744" i="23"/>
  <c r="G3732" i="23"/>
  <c r="G2916" i="23"/>
  <c r="G3966" i="23"/>
  <c r="G4201" i="23"/>
  <c r="G2702" i="23"/>
  <c r="G3731" i="23"/>
  <c r="G3980" i="23"/>
  <c r="G814" i="23"/>
  <c r="G4099" i="23"/>
  <c r="G4757" i="23"/>
  <c r="G3018" i="23"/>
  <c r="G415" i="23"/>
  <c r="G3481" i="23"/>
  <c r="G621" i="23"/>
  <c r="G668" i="23"/>
  <c r="G2522" i="23"/>
  <c r="G1774" i="23"/>
  <c r="G4566" i="23"/>
  <c r="G3110" i="23"/>
  <c r="G97" i="23"/>
  <c r="G4705" i="23"/>
  <c r="G241" i="23"/>
  <c r="G4630" i="23"/>
  <c r="G2941" i="23"/>
  <c r="G4837" i="23"/>
  <c r="G3437" i="23"/>
  <c r="G4519" i="23"/>
  <c r="G1060" i="23"/>
  <c r="G4433" i="23"/>
  <c r="G4933" i="23"/>
  <c r="G1149" i="23"/>
  <c r="G2244" i="23"/>
  <c r="G1453" i="23"/>
  <c r="G282" i="23"/>
  <c r="G443" i="23"/>
  <c r="G1740" i="23"/>
  <c r="G628" i="23"/>
  <c r="G2946" i="23"/>
  <c r="G897" i="23"/>
  <c r="G1276" i="23"/>
  <c r="G1992" i="23"/>
  <c r="G3771" i="23"/>
  <c r="G4922" i="23"/>
  <c r="G1564" i="23"/>
  <c r="G2322" i="23"/>
  <c r="G2633" i="23"/>
  <c r="G685" i="23"/>
  <c r="G1135" i="23"/>
  <c r="G4532" i="23"/>
  <c r="G953" i="23"/>
  <c r="G2826" i="23"/>
  <c r="G4332" i="23"/>
  <c r="G4889" i="23"/>
  <c r="G3503" i="23"/>
  <c r="G2901" i="23"/>
  <c r="G724" i="23"/>
  <c r="G4794" i="23"/>
  <c r="G4810" i="23"/>
  <c r="G2254" i="23"/>
  <c r="G697" i="23"/>
  <c r="G1737" i="23"/>
  <c r="G3725" i="23"/>
  <c r="G3629" i="23"/>
  <c r="G3431" i="23"/>
  <c r="G1853" i="23"/>
  <c r="G4576" i="23"/>
  <c r="G663" i="23"/>
  <c r="G749" i="23"/>
  <c r="G4331" i="23"/>
  <c r="G562" i="23"/>
  <c r="G3108" i="23"/>
  <c r="G3366" i="23"/>
  <c r="G53" i="23"/>
  <c r="G1973" i="23"/>
  <c r="G4429" i="23"/>
  <c r="G10" i="23"/>
  <c r="G4479" i="23"/>
  <c r="G2824" i="23"/>
  <c r="G1289" i="23"/>
  <c r="G1783" i="23"/>
  <c r="G2686" i="23"/>
  <c r="G1770" i="23"/>
  <c r="G3737" i="23"/>
  <c r="G227" i="23"/>
  <c r="G719" i="23"/>
  <c r="G3433" i="23"/>
  <c r="G2730" i="23"/>
  <c r="G2829" i="23"/>
  <c r="G4660" i="23"/>
  <c r="G3132" i="23"/>
  <c r="G3507" i="23"/>
  <c r="G3198" i="23"/>
  <c r="G4192" i="23"/>
  <c r="G3546" i="23"/>
  <c r="G2067" i="23"/>
  <c r="G2399" i="23"/>
  <c r="G4493" i="23"/>
  <c r="G1972" i="23"/>
  <c r="G3317" i="23"/>
  <c r="G3797" i="23"/>
  <c r="G3858" i="23"/>
  <c r="G3658" i="23"/>
  <c r="G2235" i="23"/>
  <c r="G4876" i="23"/>
  <c r="G2192" i="23"/>
  <c r="G2947" i="23"/>
  <c r="G1708" i="23"/>
  <c r="G2763" i="23"/>
  <c r="G1542" i="23"/>
  <c r="G4358" i="23"/>
  <c r="G3303" i="23"/>
  <c r="G3679" i="23"/>
  <c r="G1287" i="23"/>
  <c r="G679" i="23"/>
  <c r="G1432" i="23"/>
  <c r="G2304" i="23"/>
  <c r="G4306" i="23"/>
  <c r="G3835" i="23"/>
  <c r="G1298" i="23"/>
  <c r="G4217" i="23"/>
  <c r="G3409" i="23"/>
  <c r="G2217" i="23"/>
  <c r="G1480" i="23"/>
  <c r="G1684" i="23"/>
  <c r="G4371" i="23"/>
  <c r="G2122" i="23"/>
  <c r="G2913" i="23"/>
  <c r="G1256" i="23"/>
  <c r="G3309" i="23"/>
  <c r="G1075" i="23"/>
  <c r="G32" i="23"/>
  <c r="G2733" i="23"/>
  <c r="G2639" i="23"/>
  <c r="G2195" i="23"/>
  <c r="G73" i="23"/>
  <c r="G1400" i="23"/>
  <c r="G2524" i="23"/>
  <c r="G3619" i="23"/>
  <c r="G2174" i="23"/>
  <c r="G3478" i="23"/>
  <c r="G1011" i="23"/>
  <c r="G4632" i="23"/>
  <c r="G4352" i="23"/>
  <c r="G2100" i="23"/>
  <c r="G1456" i="23"/>
  <c r="G2519" i="23"/>
  <c r="G4262" i="23"/>
  <c r="G3306" i="23"/>
  <c r="G2601" i="23"/>
  <c r="G511" i="23"/>
  <c r="G1661" i="23"/>
  <c r="G653" i="23"/>
  <c r="G4304" i="23"/>
  <c r="G1054" i="23"/>
  <c r="G3572" i="23"/>
  <c r="G4091" i="23"/>
  <c r="G2844" i="23"/>
  <c r="G2197" i="23"/>
  <c r="G3430" i="23"/>
  <c r="G793" i="23"/>
  <c r="G2879" i="23"/>
  <c r="G1652" i="23"/>
  <c r="G832" i="23"/>
  <c r="G1226" i="23"/>
  <c r="G1629" i="23"/>
  <c r="G4783" i="23"/>
  <c r="G791" i="23"/>
  <c r="G4807" i="23"/>
  <c r="G2297" i="23"/>
  <c r="G4772" i="23"/>
  <c r="G4300" i="23"/>
  <c r="G1664" i="23"/>
  <c r="G4240" i="23"/>
  <c r="G1568" i="23"/>
  <c r="G2194" i="23"/>
  <c r="G173" i="23"/>
  <c r="G2768" i="23"/>
  <c r="G1111" i="23"/>
  <c r="G423" i="23"/>
  <c r="G4745" i="23"/>
  <c r="G3412" i="23"/>
  <c r="G3196" i="23"/>
  <c r="G3999" i="23"/>
  <c r="G2540" i="23"/>
  <c r="G2284" i="23"/>
  <c r="G4874" i="23"/>
  <c r="G4447" i="23"/>
  <c r="G4034" i="23"/>
  <c r="G680" i="23"/>
  <c r="G2525" i="23"/>
  <c r="G1033" i="23"/>
  <c r="G3691" i="23"/>
  <c r="G1047" i="23"/>
  <c r="G1993" i="23"/>
  <c r="G3672" i="23"/>
  <c r="G373" i="23"/>
  <c r="G607" i="23"/>
  <c r="G3233" i="23"/>
  <c r="G4935" i="23"/>
  <c r="G2918" i="23"/>
  <c r="G1824" i="23"/>
  <c r="G4135" i="23"/>
  <c r="G4188" i="23"/>
  <c r="G345" i="23"/>
  <c r="G630" i="23"/>
  <c r="G4662" i="23"/>
  <c r="G4016" i="23"/>
  <c r="G1247" i="23"/>
  <c r="G221" i="23"/>
  <c r="G4239" i="23"/>
  <c r="G193" i="23"/>
  <c r="G273" i="23"/>
  <c r="G1124" i="23"/>
  <c r="G1809" i="23"/>
  <c r="G3362" i="23"/>
  <c r="G4852" i="23"/>
  <c r="G3847" i="23"/>
  <c r="G965" i="23"/>
  <c r="G4035" i="23"/>
  <c r="G4334" i="23"/>
  <c r="G4052" i="23"/>
  <c r="G4259" i="23"/>
  <c r="G2812" i="23"/>
  <c r="G1101" i="23"/>
  <c r="G1817" i="23"/>
  <c r="G4522" i="23"/>
  <c r="G3483" i="23"/>
  <c r="G4058" i="23"/>
  <c r="G3885" i="23"/>
  <c r="G798" i="23"/>
  <c r="G2615" i="23"/>
  <c r="G4952" i="23"/>
  <c r="G959" i="23"/>
  <c r="G514" i="23"/>
  <c r="G1384" i="23"/>
  <c r="G4469" i="23"/>
  <c r="G313" i="23"/>
  <c r="G438" i="23"/>
  <c r="G2369" i="23"/>
  <c r="G4412" i="23"/>
  <c r="G1504" i="23"/>
  <c r="G2251" i="23"/>
  <c r="G1855" i="23"/>
  <c r="G3228" i="23"/>
  <c r="G825" i="23"/>
  <c r="G174" i="23"/>
  <c r="G3059" i="23"/>
  <c r="G4902" i="23"/>
  <c r="G4047" i="23"/>
  <c r="G862" i="23"/>
  <c r="G388" i="23"/>
  <c r="G3453" i="23"/>
  <c r="G4057" i="23"/>
  <c r="G416" i="23"/>
  <c r="G28" i="23"/>
  <c r="G1044" i="23"/>
  <c r="G1681" i="23"/>
  <c r="G1212" i="23"/>
  <c r="G4860" i="23"/>
  <c r="G990" i="23"/>
  <c r="G127" i="23"/>
  <c r="G1844" i="23"/>
  <c r="G3800" i="23"/>
  <c r="G3969" i="23"/>
  <c r="G4017" i="23"/>
  <c r="G4354" i="23"/>
  <c r="G3051" i="23"/>
  <c r="G3351" i="23"/>
  <c r="G3558" i="23"/>
  <c r="G4915" i="23"/>
  <c r="G3793" i="23"/>
  <c r="G2793" i="23"/>
  <c r="G3525" i="23"/>
  <c r="G2927" i="23"/>
  <c r="G2892" i="23"/>
  <c r="G4950" i="23"/>
  <c r="G515" i="23"/>
  <c r="G1272" i="23"/>
  <c r="G961" i="23"/>
  <c r="G633" i="23"/>
  <c r="G457" i="23"/>
  <c r="G1056" i="23"/>
  <c r="G1434" i="23"/>
  <c r="G4805" i="23"/>
  <c r="G3125" i="23"/>
  <c r="G4007" i="23"/>
  <c r="G260" i="23"/>
  <c r="G765" i="23"/>
  <c r="G1897" i="23"/>
  <c r="G414" i="23"/>
  <c r="G2095" i="23"/>
  <c r="G2135" i="23"/>
  <c r="G3601" i="23"/>
  <c r="G4655" i="23"/>
  <c r="G543" i="23"/>
  <c r="G447" i="23"/>
  <c r="G2996" i="23"/>
  <c r="G1540" i="23"/>
  <c r="G1271" i="23"/>
  <c r="G3076" i="23"/>
  <c r="G3996" i="23"/>
  <c r="G2502" i="23"/>
  <c r="G1083" i="23"/>
  <c r="G758" i="23"/>
  <c r="G4003" i="23"/>
  <c r="G2461" i="23"/>
  <c r="G4257" i="23"/>
  <c r="G1645" i="23"/>
  <c r="G2010" i="23"/>
  <c r="G2203" i="23"/>
  <c r="G3921" i="23"/>
  <c r="G4735" i="23"/>
  <c r="G232" i="23"/>
  <c r="G981" i="23"/>
  <c r="G4597" i="23"/>
  <c r="G2061" i="23"/>
  <c r="G4254" i="23"/>
  <c r="G2208" i="23"/>
  <c r="G3482" i="23"/>
  <c r="G2672" i="23"/>
  <c r="G1735" i="23"/>
  <c r="G3906" i="23"/>
  <c r="G1150" i="23"/>
  <c r="G2511" i="23"/>
  <c r="G3873" i="23"/>
  <c r="G4022" i="23"/>
  <c r="G4649" i="23"/>
  <c r="G3515" i="23"/>
  <c r="G1328" i="23"/>
  <c r="G4189" i="23"/>
  <c r="G1644" i="23"/>
  <c r="G213" i="23"/>
  <c r="G1088" i="23"/>
  <c r="G3565" i="23"/>
  <c r="G2444" i="23"/>
  <c r="G1029" i="23"/>
  <c r="G3880" i="23"/>
  <c r="G4659" i="23"/>
  <c r="G1637" i="23"/>
  <c r="G587" i="23"/>
  <c r="G4758" i="23"/>
  <c r="G4068" i="23"/>
  <c r="G841" i="23"/>
  <c r="G3071" i="23"/>
  <c r="G692" i="23"/>
  <c r="G1975" i="23"/>
  <c r="G3036" i="23"/>
  <c r="G4820" i="23"/>
  <c r="G537" i="23"/>
  <c r="G3610" i="23"/>
  <c r="G3506" i="23"/>
  <c r="G2572" i="23"/>
  <c r="G3768" i="23"/>
  <c r="G1085" i="23"/>
  <c r="G3647" i="23"/>
  <c r="G3688" i="23"/>
  <c r="G3801" i="23"/>
  <c r="G3173" i="23"/>
  <c r="G1501" i="23"/>
  <c r="G3230" i="23"/>
  <c r="G646" i="23"/>
  <c r="G2127" i="23"/>
  <c r="G4627" i="23"/>
  <c r="G2418" i="23"/>
  <c r="G659" i="23"/>
  <c r="G1098" i="23"/>
  <c r="G332" i="23"/>
  <c r="G3000" i="23"/>
  <c r="G1463" i="23"/>
  <c r="G739" i="23"/>
  <c r="G1372" i="23"/>
  <c r="G81" i="23"/>
  <c r="G1842" i="23"/>
  <c r="G1745" i="23"/>
  <c r="G713" i="23"/>
  <c r="G4944" i="23"/>
  <c r="G925" i="23"/>
  <c r="G2158" i="23"/>
  <c r="G592" i="23"/>
  <c r="G3605" i="23"/>
  <c r="G942" i="23"/>
  <c r="G2631" i="23"/>
  <c r="G2757" i="23"/>
  <c r="G4014" i="23"/>
  <c r="G764" i="23"/>
  <c r="G828" i="23"/>
  <c r="G2386" i="23"/>
  <c r="G4439" i="23"/>
  <c r="G1095" i="23"/>
  <c r="G258" i="23"/>
  <c r="G2994" i="23"/>
  <c r="G3170" i="23"/>
  <c r="G4487" i="23"/>
  <c r="G2612" i="23"/>
  <c r="G3214" i="23"/>
  <c r="G1465" i="23"/>
  <c r="G1614" i="23"/>
  <c r="G972" i="23"/>
  <c r="G3488" i="23"/>
  <c r="G4552" i="23"/>
  <c r="G4717" i="23"/>
  <c r="G1535" i="23"/>
  <c r="G4461" i="23"/>
  <c r="G3685" i="23"/>
  <c r="G1249" i="23"/>
  <c r="G2040" i="23"/>
  <c r="G2708" i="23"/>
  <c r="G1895" i="23"/>
  <c r="G3566" i="23"/>
  <c r="G357" i="23"/>
  <c r="G4931" i="23"/>
  <c r="G991" i="23"/>
  <c r="G3595" i="23"/>
  <c r="G1522" i="23"/>
  <c r="G3814" i="23"/>
  <c r="G64" i="23"/>
  <c r="G1917" i="23"/>
  <c r="G3655" i="23"/>
  <c r="G857" i="23"/>
  <c r="G4663" i="23"/>
  <c r="G468" i="23"/>
  <c r="G3302" i="23"/>
  <c r="G3456" i="23"/>
  <c r="G2724" i="23"/>
  <c r="G4330" i="23"/>
  <c r="G1146" i="23"/>
  <c r="G4184" i="23"/>
  <c r="G462" i="23"/>
  <c r="G2560" i="23"/>
  <c r="G4427" i="23"/>
  <c r="G2248" i="23"/>
  <c r="G296" i="23"/>
  <c r="G3168" i="23"/>
  <c r="G1518" i="23"/>
  <c r="G4032" i="23"/>
  <c r="G4843" i="23"/>
  <c r="G4471" i="23"/>
  <c r="G4045" i="23"/>
  <c r="G2786" i="23"/>
  <c r="G3669" i="23"/>
  <c r="G3537" i="23"/>
  <c r="G2694" i="23"/>
  <c r="G2252" i="23"/>
  <c r="G1738" i="23"/>
  <c r="G3760" i="23"/>
  <c r="G2391" i="23"/>
  <c r="G2622" i="23"/>
  <c r="G2930" i="23"/>
  <c r="G158" i="23"/>
  <c r="G521" i="23"/>
  <c r="G165" i="23"/>
  <c r="G2188" i="23"/>
  <c r="G3924" i="23"/>
  <c r="G1409" i="23"/>
  <c r="G2687" i="23"/>
  <c r="G3583" i="23"/>
  <c r="G496" i="23"/>
  <c r="G967" i="23"/>
  <c r="G3830" i="23"/>
  <c r="G1017" i="23"/>
  <c r="G1263" i="23"/>
  <c r="G2931" i="23"/>
  <c r="G4111" i="23"/>
  <c r="G2226" i="23"/>
  <c r="G2345" i="23"/>
  <c r="G4793" i="23"/>
  <c r="G3803" i="23"/>
  <c r="G1509" i="23"/>
  <c r="G2000" i="23"/>
  <c r="G3171" i="23"/>
  <c r="G1628" i="23"/>
  <c r="G3690" i="23"/>
  <c r="G1956" i="23"/>
  <c r="G2321" i="23"/>
  <c r="G1880" i="23"/>
  <c r="G3657" i="23"/>
  <c r="G2212" i="23"/>
  <c r="G4554" i="23"/>
  <c r="G3680" i="23"/>
  <c r="G2361" i="23"/>
  <c r="G1437" i="23"/>
  <c r="G4743" i="23"/>
  <c r="G487" i="23"/>
  <c r="G616" i="23"/>
  <c r="G2262" i="23"/>
  <c r="G1236" i="23"/>
  <c r="G4767" i="23"/>
  <c r="G2404" i="23"/>
  <c r="G4039" i="23"/>
  <c r="G1976" i="23"/>
  <c r="G2213" i="23"/>
  <c r="G2736" i="23"/>
  <c r="G4549" i="23"/>
  <c r="G3750" i="23"/>
  <c r="G3833" i="23"/>
  <c r="G1953" i="23"/>
  <c r="G3092" i="23"/>
  <c r="G2857" i="23"/>
  <c r="G2987" i="23"/>
  <c r="G4777" i="23"/>
  <c r="G2908" i="23"/>
  <c r="G3520" i="23"/>
  <c r="G2019" i="23"/>
  <c r="G4483" i="23"/>
  <c r="G492" i="23"/>
  <c r="G3530" i="23"/>
  <c r="G2006" i="23"/>
  <c r="G2955" i="23"/>
  <c r="G1663" i="23"/>
  <c r="G1773" i="23"/>
  <c r="G4372" i="23"/>
  <c r="G2802" i="23"/>
  <c r="G523" i="23"/>
  <c r="G1742" i="23"/>
  <c r="G4186" i="23"/>
  <c r="G202" i="23"/>
  <c r="G4579" i="23"/>
  <c r="G454" i="23"/>
  <c r="G4408" i="23"/>
  <c r="G4149" i="23"/>
  <c r="G1156" i="23"/>
  <c r="G610" i="23"/>
  <c r="G4955" i="23"/>
  <c r="G2555" i="23"/>
  <c r="G1553" i="23"/>
  <c r="G3315" i="23"/>
  <c r="G3650" i="23"/>
  <c r="G1810" i="23"/>
  <c r="G3347" i="23"/>
  <c r="G3236" i="23"/>
  <c r="G969" i="23"/>
  <c r="G1250" i="23"/>
  <c r="G3320" i="23"/>
  <c r="G1283" i="23"/>
  <c r="G2782" i="23"/>
  <c r="G4737" i="23"/>
  <c r="G1699" i="23"/>
  <c r="G4760" i="23"/>
  <c r="G271" i="23"/>
  <c r="G25" i="23"/>
  <c r="G3111" i="23"/>
  <c r="G4438" i="23"/>
  <c r="G4475" i="23"/>
  <c r="G3935" i="23"/>
  <c r="G134" i="23"/>
  <c r="G4496" i="23"/>
  <c r="G2775" i="23"/>
  <c r="G452" i="23"/>
  <c r="G1396" i="23"/>
  <c r="G2106" i="23"/>
  <c r="G3386" i="23"/>
  <c r="G4868" i="23"/>
  <c r="G3663" i="23"/>
  <c r="G2273" i="23"/>
  <c r="G2964" i="23"/>
  <c r="G3614" i="23"/>
  <c r="G3977" i="23"/>
  <c r="G808" i="23"/>
  <c r="G4336" i="23"/>
  <c r="G1009" i="23"/>
  <c r="G3268" i="23"/>
  <c r="G4641" i="23"/>
  <c r="G2023" i="23"/>
  <c r="G1835" i="23"/>
  <c r="G2101" i="23"/>
  <c r="G3217" i="23"/>
  <c r="G364" i="23"/>
  <c r="G544" i="23"/>
  <c r="G2578" i="23"/>
  <c r="G4629" i="23"/>
  <c r="G3374" i="23"/>
  <c r="G3689" i="23"/>
  <c r="G439" i="23"/>
  <c r="G4349" i="23"/>
  <c r="G3222" i="23"/>
  <c r="G2292" i="23"/>
  <c r="G2897" i="23"/>
  <c r="G1452" i="23"/>
  <c r="G2997" i="23"/>
  <c r="G589" i="23"/>
  <c r="G3146" i="23"/>
  <c r="G2557" i="23"/>
  <c r="G4072" i="23"/>
  <c r="G2507" i="23"/>
  <c r="G4920" i="23"/>
  <c r="G3809" i="23"/>
  <c r="G2858" i="23"/>
  <c r="G3323" i="23"/>
  <c r="G463" i="23"/>
  <c r="G741" i="23"/>
  <c r="G2224" i="23"/>
  <c r="G489" i="23"/>
  <c r="G167" i="23"/>
  <c r="G1767" i="23"/>
  <c r="G1120" i="23"/>
  <c r="G2181" i="23"/>
  <c r="G4906" i="23"/>
  <c r="G459" i="23"/>
  <c r="G4516" i="23"/>
  <c r="G4344" i="23"/>
  <c r="G3436" i="23"/>
  <c r="G2340" i="23"/>
  <c r="G3304" i="23"/>
  <c r="G3947" i="23"/>
  <c r="G2087" i="23"/>
  <c r="G2434" i="23"/>
  <c r="G2053" i="23"/>
  <c r="G746" i="23"/>
  <c r="G331" i="23"/>
  <c r="G2288" i="23"/>
  <c r="G1331" i="23"/>
  <c r="G2296" i="23"/>
  <c r="G4707" i="23"/>
  <c r="G2427" i="23"/>
  <c r="G4226" i="23"/>
  <c r="G2665" i="23"/>
  <c r="G1546" i="23"/>
  <c r="G3645" i="23"/>
  <c r="G2407" i="23"/>
  <c r="G1877" i="23"/>
  <c r="G3616" i="23"/>
  <c r="G4307" i="23"/>
  <c r="G1727" i="23"/>
  <c r="G1162" i="23"/>
  <c r="G1269" i="23"/>
  <c r="G3508" i="23"/>
  <c r="G1142" i="23"/>
  <c r="G4142" i="23"/>
  <c r="G1829" i="23"/>
  <c r="G210" i="23"/>
  <c r="G1499" i="23"/>
  <c r="G2440" i="23"/>
  <c r="G2972" i="23"/>
  <c r="G4092" i="23"/>
  <c r="G3112" i="23"/>
  <c r="G1403" i="23"/>
  <c r="G4548" i="23"/>
  <c r="G3834" i="23"/>
  <c r="G4140" i="23"/>
  <c r="G815" i="23"/>
  <c r="G3757" i="23"/>
  <c r="G4855" i="23"/>
  <c r="G3692" i="23"/>
  <c r="G2260" i="23"/>
  <c r="G2952" i="23"/>
  <c r="G2022" i="23"/>
  <c r="G2246" i="23"/>
  <c r="G4607" i="23"/>
  <c r="G3270" i="23"/>
  <c r="G3023" i="23"/>
  <c r="G3275" i="23"/>
  <c r="G2769" i="23"/>
  <c r="G2148" i="23"/>
  <c r="G2413" i="23"/>
  <c r="G2367" i="23"/>
  <c r="G1926" i="23"/>
  <c r="G3185" i="23"/>
  <c r="G1611" i="23"/>
  <c r="G552" i="23"/>
  <c r="G2953" i="23"/>
  <c r="G2635" i="23"/>
  <c r="G2508" i="23"/>
  <c r="G2543" i="23"/>
  <c r="G2099" i="23"/>
  <c r="G2729" i="23"/>
  <c r="G3733" i="23"/>
  <c r="G498" i="23"/>
  <c r="G121" i="23"/>
  <c r="G1569" i="23"/>
  <c r="G4196" i="23"/>
  <c r="G49" i="23"/>
  <c r="G1096" i="23"/>
  <c r="G4139" i="23"/>
  <c r="G1963" i="23"/>
  <c r="G181" i="23"/>
  <c r="G4943" i="23"/>
  <c r="G2210" i="23"/>
  <c r="G101" i="23"/>
  <c r="G3586" i="23"/>
  <c r="G151" i="23"/>
  <c r="G385" i="23"/>
  <c r="G2211" i="23"/>
  <c r="G2291" i="23"/>
  <c r="G3492" i="23"/>
  <c r="G4543" i="23"/>
  <c r="G763" i="23"/>
  <c r="G3638" i="23"/>
  <c r="G938" i="23"/>
  <c r="G1385" i="23"/>
  <c r="G1909" i="23"/>
  <c r="G1312" i="23"/>
  <c r="G2969" i="23"/>
  <c r="G3808" i="23"/>
  <c r="G4901" i="23"/>
  <c r="G162" i="23"/>
  <c r="G2183" i="23"/>
  <c r="G2265" i="23"/>
  <c r="G2107" i="23"/>
  <c r="G759" i="23"/>
  <c r="G2689" i="23"/>
  <c r="G2145" i="23"/>
  <c r="G2253" i="23"/>
  <c r="G2172" i="23"/>
  <c r="G3063" i="23"/>
  <c r="G2196" i="23"/>
  <c r="G4780" i="23"/>
  <c r="G4568" i="23"/>
  <c r="G4864" i="23"/>
  <c r="G323" i="23"/>
  <c r="G3028" i="23"/>
  <c r="G166" i="23"/>
  <c r="G478" i="23"/>
  <c r="G4594" i="23"/>
  <c r="G4684" i="23"/>
  <c r="G1177" i="23"/>
  <c r="G3193" i="23"/>
  <c r="G2745" i="23"/>
  <c r="G435" i="23"/>
  <c r="G861" i="23"/>
  <c r="G214" i="23"/>
  <c r="G3781" i="23"/>
  <c r="G1128" i="23"/>
  <c r="G1813" i="23"/>
  <c r="G3448" i="23"/>
  <c r="G461" i="23"/>
  <c r="G3864" i="23"/>
  <c r="G1945" i="23"/>
  <c r="G1291" i="23"/>
  <c r="G2272" i="23"/>
  <c r="G3285" i="23"/>
  <c r="G1713" i="23"/>
  <c r="G4269" i="23"/>
  <c r="G4736" i="23"/>
  <c r="G4166" i="23"/>
  <c r="G161" i="23"/>
  <c r="G2039" i="23"/>
  <c r="G3260" i="23"/>
  <c r="G1243" i="23"/>
  <c r="G52" i="23"/>
  <c r="G4296" i="23"/>
  <c r="G59" i="23"/>
  <c r="G893" i="23"/>
  <c r="G509" i="23"/>
  <c r="G3044" i="23"/>
  <c r="G4818" i="23"/>
  <c r="G4266" i="23"/>
  <c r="G1063" i="23"/>
  <c r="G3899" i="23"/>
  <c r="G2721" i="23"/>
  <c r="G806" i="23"/>
  <c r="G3512" i="23"/>
  <c r="G600" i="23"/>
  <c r="G4504" i="23"/>
  <c r="G577" i="23"/>
  <c r="G2624" i="23"/>
  <c r="G2441" i="23"/>
  <c r="G4083" i="23"/>
  <c r="G4403" i="23"/>
  <c r="G4763" i="23"/>
  <c r="G3914" i="23"/>
  <c r="G1650" i="23"/>
  <c r="G2963" i="23"/>
  <c r="G499" i="23"/>
  <c r="G3848" i="23"/>
  <c r="G2692" i="23"/>
  <c r="G4870" i="23"/>
  <c r="G4633" i="23"/>
  <c r="G2499" i="23"/>
  <c r="G1741" i="23"/>
  <c r="G1889" i="23"/>
  <c r="G2380" i="23"/>
  <c r="G4366" i="23"/>
  <c r="G2785" i="23"/>
  <c r="G4000" i="23"/>
  <c r="G3514" i="23"/>
  <c r="G4282" i="23"/>
  <c r="G3445" i="23"/>
  <c r="G2573" i="23"/>
  <c r="G4588" i="23"/>
  <c r="G2258" i="23"/>
  <c r="G114" i="23"/>
  <c r="G4606" i="23"/>
  <c r="G1969" i="23"/>
  <c r="G2959" i="23"/>
  <c r="G2469" i="23"/>
  <c r="G494" i="23"/>
  <c r="G122" i="23"/>
  <c r="G3815" i="23"/>
  <c r="G2657" i="23"/>
  <c r="G1468" i="23"/>
  <c r="G143" i="23"/>
  <c r="G2009" i="23"/>
  <c r="G2093" i="23"/>
  <c r="G707" i="23"/>
  <c r="G2869" i="23"/>
  <c r="G4395" i="23"/>
  <c r="G39" i="23"/>
  <c r="G3958" i="23"/>
  <c r="G2241" i="23"/>
  <c r="G3451" i="23"/>
  <c r="G2582" i="23"/>
  <c r="G2527" i="23"/>
  <c r="G469" i="23"/>
  <c r="G751" i="23"/>
  <c r="G2671" i="23"/>
  <c r="G4274" i="23"/>
  <c r="G4507" i="23"/>
  <c r="G1799" i="23"/>
  <c r="G3822" i="23"/>
  <c r="G4768" i="23"/>
  <c r="G869" i="23"/>
  <c r="G2118" i="23"/>
  <c r="G1251" i="23"/>
  <c r="G1482" i="23"/>
  <c r="G1807" i="23"/>
  <c r="G3748" i="23"/>
  <c r="G2544" i="23"/>
  <c r="G3625" i="23"/>
  <c r="G4465" i="23"/>
  <c r="G2068" i="23"/>
  <c r="G572" i="23"/>
  <c r="G4268" i="23"/>
  <c r="G4787" i="23"/>
  <c r="G3891" i="23"/>
  <c r="G2175" i="23"/>
  <c r="G4747" i="23"/>
  <c r="G3094" i="23"/>
  <c r="G1294" i="23"/>
  <c r="G2849" i="23"/>
  <c r="G76" i="23"/>
  <c r="G1311" i="23"/>
  <c r="G3449" i="23"/>
  <c r="G1948" i="23"/>
  <c r="G1970" i="23"/>
  <c r="G3300" i="23"/>
  <c r="G1789" i="23"/>
  <c r="G666" i="23"/>
  <c r="G3104" i="23"/>
  <c r="G4865" i="23"/>
  <c r="G4078" i="23"/>
  <c r="G4038" i="23"/>
  <c r="G3860" i="23"/>
  <c r="G2017" i="23"/>
  <c r="G3905" i="23"/>
  <c r="G3025" i="23"/>
  <c r="G3291" i="23"/>
  <c r="G2152" i="23"/>
  <c r="G2231" i="23"/>
  <c r="G16" i="23"/>
  <c r="G4279" i="23"/>
  <c r="G239" i="23"/>
  <c r="G4075" i="23"/>
  <c r="G2447" i="23"/>
  <c r="G1034" i="23"/>
  <c r="G4904" i="23"/>
  <c r="G1873" i="23"/>
  <c r="G3220" i="23"/>
  <c r="G1602" i="23"/>
  <c r="G743" i="23"/>
  <c r="G3623" i="23"/>
  <c r="G2415" i="23"/>
  <c r="G2339" i="23"/>
  <c r="G2726" i="23"/>
  <c r="G4251" i="23"/>
  <c r="G4966" i="23"/>
  <c r="G3244" i="23"/>
  <c r="G1280" i="23"/>
  <c r="G1550" i="23"/>
  <c r="G971" i="23"/>
  <c r="G1387" i="23"/>
  <c r="G2642" i="23"/>
  <c r="G1787" i="23"/>
  <c r="G172" i="23"/>
  <c r="G4614" i="23"/>
  <c r="G1885" i="23"/>
  <c r="G360" i="23"/>
  <c r="G4264" i="23"/>
  <c r="G1257" i="23"/>
  <c r="G4665" i="23"/>
  <c r="G1754" i="23"/>
  <c r="G4289" i="23"/>
  <c r="G2021" i="23"/>
  <c r="G1107" i="23"/>
  <c r="G2411" i="23"/>
  <c r="G2488" i="23"/>
  <c r="G3250" i="23"/>
  <c r="G1218" i="23"/>
  <c r="G3169" i="23"/>
  <c r="G3219" i="23"/>
  <c r="G1961" i="23"/>
  <c r="G4428" i="23"/>
  <c r="G292" i="23"/>
  <c r="G3119" i="23"/>
  <c r="G2371" i="23"/>
  <c r="G834" i="23"/>
  <c r="G2966" i="23"/>
  <c r="G4148" i="23"/>
  <c r="G3466" i="23"/>
  <c r="G2012" i="23"/>
  <c r="G3333" i="23"/>
  <c r="G1288" i="23"/>
  <c r="G2695" i="23"/>
  <c r="G949" i="23"/>
  <c r="G4762" i="23"/>
  <c r="G4284" i="23"/>
  <c r="G2649" i="23"/>
  <c r="G3671" i="23"/>
  <c r="G3648" i="23"/>
  <c r="G4934" i="23"/>
  <c r="G661" i="23"/>
  <c r="G3903" i="23"/>
  <c r="G1840" i="23"/>
  <c r="G361" i="23"/>
  <c r="G2991" i="23"/>
  <c r="G3204" i="23"/>
  <c r="G1575" i="23"/>
  <c r="G531" i="23"/>
  <c r="G3042" i="23"/>
  <c r="G4260" i="23"/>
  <c r="G4928" i="23"/>
  <c r="G1458" i="23"/>
  <c r="G2016" i="23"/>
  <c r="G1566" i="23"/>
  <c r="G4375" i="23"/>
  <c r="G2595" i="23"/>
  <c r="G4856" i="23"/>
  <c r="G3876" i="23"/>
  <c r="G2305" i="23"/>
  <c r="G2133" i="23"/>
  <c r="G431" i="23"/>
  <c r="G4303" i="23"/>
  <c r="G256" i="23"/>
  <c r="G50" i="23"/>
  <c r="G1270" i="23"/>
  <c r="G4114" i="23"/>
  <c r="G2778" i="23"/>
  <c r="G96" i="23"/>
  <c r="G2833" i="23"/>
  <c r="G4155" i="23"/>
  <c r="G2112" i="23"/>
  <c r="G225" i="23"/>
  <c r="G1625" i="23"/>
  <c r="G3578" i="23"/>
  <c r="G4776" i="23"/>
  <c r="G4854" i="23"/>
  <c r="G3644" i="23"/>
  <c r="G4010" i="23"/>
  <c r="G886" i="23"/>
  <c r="G1906" i="23"/>
  <c r="G2634" i="23"/>
  <c r="G156" i="23"/>
  <c r="G4501" i="23"/>
  <c r="G2330" i="23"/>
  <c r="G2222" i="23"/>
  <c r="G3919" i="23"/>
  <c r="G100" i="23"/>
  <c r="G4638" i="23"/>
  <c r="G1462" i="23"/>
  <c r="G761" i="23"/>
  <c r="G2917" i="23"/>
  <c r="G3420" i="23"/>
  <c r="G1304" i="23"/>
  <c r="G3212" i="23"/>
  <c r="G753" i="23"/>
  <c r="G2752" i="23"/>
  <c r="G1176" i="23"/>
  <c r="G2015" i="23"/>
  <c r="G2161" i="23"/>
  <c r="G137" i="23"/>
  <c r="G3666" i="23"/>
  <c r="G488" i="23"/>
  <c r="G182" i="23"/>
  <c r="G2144" i="23"/>
  <c r="G2831" i="23"/>
  <c r="G1211" i="23"/>
  <c r="G1902" i="23"/>
  <c r="G3148" i="23"/>
  <c r="G218" i="23"/>
  <c r="G1595" i="23"/>
  <c r="G1264" i="23"/>
  <c r="G700" i="23"/>
  <c r="G1731" i="23"/>
  <c r="G4050" i="23"/>
  <c r="G2911" i="23"/>
  <c r="G3215" i="23"/>
  <c r="G2357" i="23"/>
  <c r="G3600" i="23"/>
  <c r="G1169" i="23"/>
  <c r="G3693" i="23"/>
  <c r="G1928" i="23"/>
  <c r="G1903" i="23"/>
  <c r="G799" i="23"/>
  <c r="G4228" i="23"/>
  <c r="G419" i="23"/>
  <c r="G1795" i="23"/>
  <c r="G2968" i="23"/>
  <c r="G2837" i="23"/>
  <c r="G4364" i="23"/>
  <c r="G1908" i="23"/>
  <c r="G529" i="23"/>
  <c r="G1483" i="23"/>
  <c r="G4337" i="23"/>
  <c r="G4431" i="23"/>
  <c r="G3373" i="23"/>
  <c r="G2230" i="23"/>
  <c r="G4562" i="23"/>
  <c r="G3130" i="23"/>
  <c r="G3414" i="23"/>
  <c r="G3756" i="23"/>
  <c r="G1821" i="23"/>
  <c r="G716" i="23"/>
  <c r="G3029" i="23"/>
  <c r="G3761" i="23"/>
  <c r="G1359" i="23"/>
  <c r="G4826" i="23"/>
  <c r="G4730" i="23"/>
  <c r="G4145" i="23"/>
  <c r="G437" i="23"/>
  <c r="G910" i="23"/>
  <c r="G538" i="23"/>
  <c r="G3936" i="23"/>
  <c r="G1612" i="23"/>
  <c r="G922" i="23"/>
  <c r="G4353" i="23"/>
  <c r="G3258" i="23"/>
  <c r="G2042" i="23"/>
  <c r="G1297" i="23"/>
  <c r="G2509" i="23"/>
  <c r="G138" i="23"/>
  <c r="G3705" i="23"/>
  <c r="G1747" i="23"/>
  <c r="G1666" i="23"/>
  <c r="G2130" i="23"/>
  <c r="G3724" i="23"/>
  <c r="G2758" i="23"/>
  <c r="G4055" i="23"/>
  <c r="G4197" i="23"/>
  <c r="G1570" i="23"/>
  <c r="G4559" i="23"/>
  <c r="G1245" i="23"/>
  <c r="G2414" i="23"/>
  <c r="G948" i="23"/>
  <c r="G2948" i="23"/>
  <c r="G1491" i="23"/>
  <c r="G4494" i="23"/>
  <c r="G399" i="23"/>
  <c r="G4619" i="23"/>
  <c r="G3032" i="23"/>
  <c r="G4512" i="23"/>
  <c r="G2586" i="23"/>
  <c r="G2420" i="23"/>
  <c r="G3549" i="23"/>
  <c r="G2780" i="23"/>
  <c r="G594" i="23"/>
  <c r="G1216" i="23"/>
  <c r="G2632" i="23"/>
  <c r="G3682" i="23"/>
  <c r="G702" i="23"/>
  <c r="G2416" i="23"/>
  <c r="G4341" i="23"/>
  <c r="G2360" i="23"/>
  <c r="G4417" i="23"/>
  <c r="G4200" i="23"/>
  <c r="G2379" i="23"/>
  <c r="G3191" i="23"/>
  <c r="G3301" i="23"/>
  <c r="G4636" i="23"/>
  <c r="G3744" i="23"/>
  <c r="G2352" i="23"/>
  <c r="G566" i="23"/>
  <c r="G1231" i="23"/>
  <c r="G3910" i="23"/>
  <c r="G848" i="23"/>
  <c r="G3890" i="23"/>
  <c r="G171" i="23"/>
  <c r="G2753" i="23"/>
  <c r="G290" i="23"/>
  <c r="G2727" i="23"/>
  <c r="G4833" i="23"/>
  <c r="G4199" i="23"/>
  <c r="G3396" i="23"/>
  <c r="G2650" i="23"/>
  <c r="G4319" i="23"/>
  <c r="G363" i="23"/>
  <c r="G4528" i="23"/>
  <c r="G4392" i="23"/>
  <c r="G2445" i="23"/>
  <c r="G1720" i="23"/>
  <c r="G3101" i="23"/>
  <c r="G1907" i="23"/>
  <c r="G1438" i="23"/>
  <c r="G1825" i="23"/>
  <c r="G4097" i="23"/>
  <c r="G277" i="23"/>
  <c r="G3828" i="23"/>
  <c r="G145" i="23"/>
  <c r="G4639" i="23"/>
  <c r="G3129" i="23"/>
  <c r="G4374" i="23"/>
  <c r="G821" i="23"/>
  <c r="G1295" i="23"/>
  <c r="G2868" i="23"/>
  <c r="G2111" i="23"/>
  <c r="G4086" i="23"/>
  <c r="G3928" i="23"/>
  <c r="G677" i="23"/>
  <c r="G1023" i="23"/>
  <c r="G2715" i="23"/>
  <c r="G4361" i="23"/>
  <c r="G377" i="23"/>
  <c r="G599" i="23"/>
  <c r="G3845" i="23"/>
  <c r="G347" i="23"/>
  <c r="G4645" i="23"/>
  <c r="G1633" i="23"/>
  <c r="G4093" i="23"/>
  <c r="G1081" i="23"/>
  <c r="G4873" i="23"/>
  <c r="G823" i="23"/>
  <c r="G2751" i="23"/>
  <c r="G1883" i="23"/>
  <c r="G3606" i="23"/>
  <c r="G384" i="23"/>
  <c r="G2684" i="23"/>
  <c r="G4693" i="23"/>
  <c r="G300" i="23"/>
  <c r="G2682" i="23"/>
  <c r="G1916" i="23"/>
  <c r="G712" i="23"/>
  <c r="G557" i="23"/>
  <c r="G3002" i="23"/>
  <c r="G1605" i="23"/>
  <c r="G3239" i="23"/>
  <c r="G624" i="23"/>
  <c r="G1414" i="23"/>
  <c r="G3182" i="23"/>
  <c r="G2271" i="23"/>
  <c r="G4437" i="23"/>
  <c r="G394" i="23"/>
  <c r="G2792" i="23"/>
  <c r="G3649" i="23"/>
  <c r="G1143" i="23"/>
  <c r="G3755" i="23"/>
  <c r="G2078" i="23"/>
  <c r="G3651" i="23"/>
  <c r="G2076" i="23"/>
  <c r="G2308" i="23"/>
  <c r="G3532" i="23"/>
  <c r="G4389" i="23"/>
  <c r="G1791" i="23"/>
  <c r="G2863" i="23"/>
  <c r="G4258" i="23"/>
  <c r="G3882" i="23"/>
  <c r="G2362" i="23"/>
  <c r="G1901" i="23"/>
  <c r="G2974" i="23"/>
  <c r="G4531" i="23"/>
  <c r="G3518" i="23"/>
  <c r="G2139" i="23"/>
  <c r="G1919" i="23"/>
  <c r="G4956" i="23"/>
  <c r="G3989" i="23"/>
  <c r="G4156" i="23"/>
  <c r="G1140" i="23"/>
  <c r="G3365" i="23"/>
  <c r="G1371" i="23"/>
  <c r="G4754" i="23"/>
  <c r="G1292" i="23"/>
  <c r="G3767" i="23"/>
  <c r="G1557" i="23"/>
  <c r="G1322" i="23"/>
  <c r="G1954" i="23"/>
  <c r="G102" i="23"/>
  <c r="G3469" i="23"/>
  <c r="G2423" i="23"/>
  <c r="G2335" i="23"/>
  <c r="G1137" i="23"/>
  <c r="G2776" i="23"/>
  <c r="G1592" i="23"/>
  <c r="G1242" i="23"/>
  <c r="G1461" i="23"/>
  <c r="G4482" i="23"/>
  <c r="G4835" i="23"/>
  <c r="G4546" i="23"/>
  <c r="G2971" i="23"/>
  <c r="G4030" i="23"/>
  <c r="G4541" i="23"/>
  <c r="G4015" i="23"/>
  <c r="G2132" i="23"/>
  <c r="G1935" i="23"/>
  <c r="G1520" i="23"/>
  <c r="G1220" i="23"/>
  <c r="G4815" i="23"/>
  <c r="G2052" i="23"/>
  <c r="G3318" i="23"/>
  <c r="G2855" i="23"/>
  <c r="G2529" i="23"/>
  <c r="G3946" i="23"/>
  <c r="G1493" i="23"/>
  <c r="G3190" i="23"/>
  <c r="G2596" i="23"/>
  <c r="G3489" i="23"/>
  <c r="G2749" i="23"/>
  <c r="G2562" i="23"/>
  <c r="G3569" i="23"/>
  <c r="G3913" i="23"/>
  <c r="G1753" i="23"/>
  <c r="G2372" i="23"/>
  <c r="G1219" i="23"/>
  <c r="G954" i="23"/>
  <c r="G4600" i="23"/>
  <c r="G4391" i="23"/>
  <c r="G56" i="23"/>
  <c r="G3157" i="23"/>
  <c r="G2815" i="23"/>
  <c r="G3039" i="23"/>
  <c r="G4602" i="23"/>
  <c r="G2073" i="23"/>
  <c r="G3588" i="23"/>
  <c r="G602" i="23"/>
  <c r="G4839" i="23"/>
  <c r="G362" i="23"/>
  <c r="G3522" i="23"/>
  <c r="G2240" i="23"/>
  <c r="G3375" i="23"/>
  <c r="G4167" i="23"/>
  <c r="G4117" i="23"/>
  <c r="G1049" i="23"/>
  <c r="G2958" i="23"/>
  <c r="G170" i="23"/>
  <c r="G1968" i="23"/>
  <c r="G3773" i="23"/>
  <c r="G4246" i="23"/>
  <c r="G1221" i="23"/>
  <c r="G4727" i="23"/>
  <c r="G958" i="23"/>
  <c r="G4927" i="23"/>
  <c r="G693" i="23"/>
  <c r="G3784" i="23"/>
  <c r="G3404" i="23"/>
  <c r="G3065" i="23"/>
  <c r="G4312" i="23"/>
  <c r="G2138" i="23"/>
  <c r="G4211" i="23"/>
  <c r="G1290" i="23"/>
  <c r="G2706" i="23"/>
  <c r="G2425" i="23"/>
  <c r="G4321" i="23"/>
  <c r="G3075" i="23"/>
  <c r="G2324" i="23"/>
  <c r="G2925" i="23"/>
  <c r="G1225" i="23"/>
  <c r="G464" i="23"/>
  <c r="G738" i="23"/>
  <c r="G3495" i="23"/>
  <c r="G819" i="23"/>
  <c r="G1822" i="23"/>
  <c r="G3937" i="23"/>
  <c r="G1955" i="23"/>
  <c r="G425" i="23"/>
  <c r="G1459" i="23"/>
  <c r="G4686" i="23"/>
  <c r="G1622" i="23"/>
  <c r="G1310" i="23"/>
  <c r="G1517" i="23"/>
  <c r="G1361" i="23"/>
  <c r="G1486" i="23"/>
  <c r="G3105" i="23"/>
  <c r="G2853" i="23"/>
  <c r="G351" i="23"/>
  <c r="G426" i="23"/>
  <c r="G85" i="23"/>
  <c r="G2709" i="23"/>
  <c r="G3263" i="23"/>
  <c r="G2003" i="23"/>
  <c r="G1765" i="23"/>
  <c r="G317" i="23"/>
  <c r="G2001" i="23"/>
  <c r="G2421" i="23"/>
  <c r="G2156" i="23"/>
  <c r="G2928" i="23"/>
  <c r="G903" i="23"/>
  <c r="G4079" i="23"/>
  <c r="G1479" i="23"/>
  <c r="G316" i="23"/>
  <c r="G2990" i="23"/>
  <c r="G4455" i="23"/>
  <c r="G3934" i="23"/>
  <c r="G3820" i="23"/>
  <c r="G3895" i="23"/>
  <c r="G36" i="23"/>
  <c r="G1924" i="23"/>
  <c r="G879" i="23"/>
  <c r="G3264" i="23"/>
  <c r="G15" i="23"/>
  <c r="G3421" i="23"/>
  <c r="G2597" i="23"/>
  <c r="G3189" i="23"/>
  <c r="G3584" i="23"/>
  <c r="G4692" i="23"/>
  <c r="G2032" i="23"/>
  <c r="G3012" i="23"/>
  <c r="G4291" i="23"/>
  <c r="G4051" i="23"/>
  <c r="G2890" i="23"/>
  <c r="G709" i="23"/>
  <c r="G2450" i="23"/>
  <c r="G455" i="23"/>
  <c r="G3763" i="23"/>
  <c r="G2147" i="23"/>
  <c r="G2707" i="23"/>
  <c r="G4120" i="23"/>
  <c r="G1381" i="23"/>
  <c r="G2611" i="23"/>
  <c r="G1857" i="23"/>
  <c r="G287" i="23"/>
  <c r="G4413" i="23"/>
  <c r="G3576" i="23"/>
  <c r="G935" i="23"/>
  <c r="G4770" i="23"/>
  <c r="G1683" i="23"/>
  <c r="G4219" i="23"/>
  <c r="G3951" i="23"/>
  <c r="G3741" i="23"/>
  <c r="G711" i="23"/>
  <c r="G4521" i="23"/>
  <c r="G3670" i="23"/>
  <c r="G3500" i="23"/>
  <c r="G3636" i="23"/>
  <c r="G78" i="23"/>
  <c r="G22" i="23"/>
  <c r="G4220" i="23"/>
  <c r="G2929" i="23"/>
  <c r="G4464" i="23"/>
  <c r="G1391" i="23"/>
  <c r="G2738" i="23"/>
  <c r="G2932" i="23"/>
  <c r="G3472" i="23"/>
  <c r="G1051" i="23"/>
  <c r="G4098" i="23"/>
  <c r="G1875" i="23"/>
  <c r="G1026" i="23"/>
  <c r="G1410" i="23"/>
  <c r="G3152" i="23"/>
  <c r="G3100" i="23"/>
  <c r="G3968" i="23"/>
  <c r="G2705" i="23"/>
  <c r="G836" i="23"/>
  <c r="G337" i="23"/>
  <c r="G1246" i="23"/>
  <c r="G3955" i="23"/>
  <c r="G4959" i="23"/>
  <c r="G1252" i="23"/>
  <c r="G1466" i="23"/>
  <c r="G3884" i="23"/>
  <c r="G1068" i="23"/>
  <c r="G3632" i="23"/>
  <c r="G647" i="23"/>
  <c r="G650" i="23"/>
  <c r="G4658" i="23"/>
  <c r="G2013" i="23"/>
  <c r="G2274" i="23"/>
  <c r="G1097" i="23"/>
  <c r="G4785" i="23"/>
  <c r="G2628" i="23"/>
  <c r="G1192" i="23"/>
  <c r="G760" i="23"/>
  <c r="G1626" i="23"/>
  <c r="G4335" i="23"/>
  <c r="G641" i="23"/>
  <c r="G4176" i="23"/>
  <c r="G2957" i="23"/>
  <c r="G1786" i="23"/>
  <c r="G3502" i="23"/>
  <c r="G2539" i="23"/>
  <c r="G4683" i="23"/>
  <c r="G3965" i="23"/>
  <c r="G4964" i="23"/>
  <c r="G1020" i="23"/>
  <c r="G849" i="23"/>
  <c r="G4963" i="23"/>
  <c r="G130" i="23"/>
  <c r="G2636" i="23"/>
  <c r="G3915" i="23"/>
  <c r="G1580" i="23"/>
  <c r="G3389" i="23"/>
  <c r="G2417" i="23"/>
  <c r="G3395" i="23"/>
  <c r="G4419" i="23"/>
  <c r="G483" i="23"/>
  <c r="G1223" i="23"/>
  <c r="G786" i="23"/>
  <c r="G1894" i="23"/>
  <c r="G947" i="23"/>
  <c r="G3945" i="23"/>
  <c r="G1119" i="23"/>
  <c r="G4782" i="23"/>
  <c r="G1826" i="23"/>
  <c r="G4891" i="23"/>
  <c r="G597" i="23"/>
  <c r="G4421" i="23"/>
  <c r="G4301" i="23"/>
  <c r="G390" i="23"/>
  <c r="G3229" i="23"/>
  <c r="G3978" i="23"/>
  <c r="G519" i="23"/>
  <c r="G2933" i="23"/>
  <c r="G4961" i="23"/>
  <c r="G4287" i="23"/>
  <c r="G3348" i="23"/>
  <c r="G2171" i="23"/>
  <c r="G4577" i="23"/>
  <c r="G4731" i="23"/>
  <c r="G2394" i="23"/>
  <c r="G2825" i="23"/>
  <c r="G612" i="23"/>
  <c r="G4224" i="23"/>
  <c r="G1074" i="23"/>
  <c r="G1084" i="23"/>
  <c r="G125" i="23"/>
  <c r="G4294" i="23"/>
  <c r="G1623" i="23"/>
  <c r="G2956" i="23"/>
  <c r="G2227" i="23"/>
  <c r="G4842" i="23"/>
  <c r="G200" i="23"/>
  <c r="G4292" i="23"/>
  <c r="G4243" i="23"/>
  <c r="G3390" i="23"/>
  <c r="G4741" i="23"/>
  <c r="G3284" i="23"/>
  <c r="G3703" i="23"/>
  <c r="G975" i="23"/>
  <c r="G1655" i="23"/>
  <c r="G2698" i="23"/>
  <c r="G3274" i="23"/>
  <c r="G3231" i="23"/>
  <c r="G2800" i="23"/>
  <c r="G1881" i="23"/>
  <c r="G1308" i="23"/>
  <c r="G3164" i="23"/>
  <c r="G3726" i="23"/>
  <c r="G154" i="23"/>
  <c r="G2094" i="23"/>
  <c r="G4508" i="23"/>
  <c r="G2891" i="23"/>
  <c r="G4373" i="23"/>
  <c r="G279" i="23"/>
  <c r="G275" i="23"/>
  <c r="G3997" i="23"/>
  <c r="G30" i="23"/>
  <c r="G481" i="23"/>
  <c r="G4954" i="23"/>
  <c r="G1757" i="23"/>
  <c r="G2574" i="23"/>
  <c r="G1173" i="23"/>
  <c r="G1021" i="23"/>
  <c r="G2435" i="23"/>
  <c r="G1222" i="23"/>
  <c r="G3555" i="23"/>
  <c r="G1433" i="23"/>
  <c r="G329" i="23"/>
  <c r="G542" i="23"/>
  <c r="G3160" i="23"/>
  <c r="G3356" i="23"/>
  <c r="G1610" i="23"/>
  <c r="G1127" i="23"/>
  <c r="G1210" i="23"/>
  <c r="G4673" i="23"/>
  <c r="G1238" i="23"/>
  <c r="G1214" i="23"/>
  <c r="G1464" i="23"/>
  <c r="G919" i="23"/>
  <c r="G3109" i="23"/>
  <c r="G4801" i="23"/>
  <c r="G1224" i="23"/>
  <c r="G3288" i="23"/>
  <c r="G3729" i="23"/>
  <c r="G943" i="23"/>
  <c r="G209" i="23"/>
  <c r="G1693" i="23"/>
  <c r="G2378" i="23"/>
  <c r="G1865" i="23"/>
  <c r="G3806" i="23"/>
  <c r="G4185" i="23"/>
  <c r="G3540" i="23"/>
  <c r="G1890" i="23"/>
  <c r="G3573" i="23"/>
  <c r="G2408" i="23"/>
  <c r="G3892" i="23"/>
  <c r="G2070" i="23"/>
  <c r="G3681" i="23"/>
  <c r="G780" i="23"/>
  <c r="G710" i="23"/>
  <c r="G1036" i="23"/>
  <c r="G1561" i="23"/>
  <c r="G1417" i="23"/>
  <c r="G2497" i="23"/>
  <c r="G3113" i="23"/>
  <c r="G568" i="23"/>
  <c r="G1040" i="23"/>
  <c r="G1552" i="23"/>
  <c r="G705" i="23"/>
  <c r="G3098" i="23"/>
  <c r="G1259" i="23"/>
  <c r="G295" i="23"/>
  <c r="G822" i="23"/>
  <c r="G2902" i="23"/>
  <c r="G3894" i="23"/>
  <c r="G4580" i="23"/>
  <c r="G2129" i="23"/>
  <c r="G1382" i="23"/>
  <c r="G2887" i="23"/>
  <c r="G3543" i="23"/>
  <c r="G474" i="23"/>
  <c r="G188" i="23"/>
  <c r="G3377" i="23"/>
  <c r="G532" i="23"/>
  <c r="G333" i="23"/>
  <c r="G4406" i="23"/>
  <c r="G796" i="23"/>
  <c r="G1030" i="23"/>
  <c r="G2681" i="23"/>
  <c r="G1918" i="23"/>
  <c r="G3787" i="23"/>
  <c r="G3114" i="23"/>
  <c r="G579" i="23"/>
  <c r="G973" i="23"/>
  <c r="G2781" i="23"/>
  <c r="G267" i="23"/>
  <c r="G2309" i="23"/>
  <c r="G2290" i="23"/>
  <c r="G1984" i="23"/>
  <c r="G109" i="23"/>
  <c r="G3804" i="23"/>
  <c r="G110" i="23"/>
  <c r="G2086" i="23"/>
  <c r="G3207" i="23"/>
  <c r="G4324" i="23"/>
  <c r="G4369" i="23"/>
  <c r="G2813" i="23"/>
  <c r="G4551" i="23"/>
  <c r="G1635" i="23"/>
  <c r="G2239" i="23"/>
  <c r="G379" i="23"/>
  <c r="G3735" i="23"/>
  <c r="G3457" i="23"/>
  <c r="G1418" i="23"/>
  <c r="G4824" i="23"/>
  <c r="G1874" i="23"/>
  <c r="G1329" i="23"/>
  <c r="G4739" i="23"/>
  <c r="G1848" i="23"/>
  <c r="G3854" i="23"/>
  <c r="G2119" i="23"/>
  <c r="G873" i="23"/>
  <c r="G950" i="23"/>
  <c r="G3783" i="23"/>
  <c r="G1045" i="23"/>
  <c r="G495" i="23"/>
  <c r="G4726" i="23"/>
  <c r="G2962" i="23"/>
  <c r="G2842" i="23"/>
  <c r="G3328" i="23"/>
  <c r="G2575" i="23"/>
  <c r="G2594" i="23"/>
  <c r="G2390" i="23"/>
  <c r="G1914" i="23"/>
  <c r="G4656" i="23"/>
  <c r="G4887" i="23"/>
  <c r="G486" i="23"/>
  <c r="G2377" i="23"/>
  <c r="G2587" i="23"/>
  <c r="G4418" i="23"/>
  <c r="G2114" i="23"/>
  <c r="G3721" i="23"/>
  <c r="G4526" i="23"/>
  <c r="G2193" i="23"/>
  <c r="G2256" i="23"/>
  <c r="G476" i="23"/>
  <c r="G3360" i="23"/>
  <c r="G1701" i="23"/>
  <c r="G3208" i="23"/>
  <c r="G835" i="23"/>
  <c r="G3465" i="23"/>
  <c r="G3985" i="23"/>
  <c r="G2115" i="23"/>
  <c r="G3516" i="23"/>
  <c r="G3128" i="23"/>
  <c r="G4558" i="23"/>
  <c r="G1467" i="23"/>
  <c r="G3713" i="23"/>
  <c r="G2097" i="23"/>
  <c r="G593" i="23"/>
  <c r="G1724" i="23"/>
  <c r="G4405" i="23"/>
  <c r="G2866" i="23"/>
  <c r="G1529" i="23"/>
  <c r="G4459" i="23"/>
  <c r="G2784" i="23"/>
  <c r="G2924" i="23"/>
  <c r="G2787" i="23"/>
  <c r="G740" i="23"/>
  <c r="G3062" i="23"/>
  <c r="G2347" i="23"/>
  <c r="G2737" i="23"/>
  <c r="G1938" i="23"/>
  <c r="G3247" i="23"/>
  <c r="G722" i="23"/>
  <c r="G1555" i="23"/>
  <c r="G3442" i="23"/>
  <c r="G2872" i="23"/>
  <c r="G1032" i="23"/>
  <c r="G1121" i="23"/>
  <c r="G2744" i="23"/>
  <c r="G1003" i="23"/>
  <c r="G3831" i="23"/>
  <c r="G2655" i="23"/>
  <c r="G192" i="23"/>
  <c r="G3273" i="23"/>
  <c r="G1416" i="23"/>
  <c r="G4394" i="23"/>
  <c r="G3526" i="23"/>
  <c r="G2647" i="23"/>
  <c r="G2064" i="23"/>
  <c r="G591" i="23"/>
  <c r="G1733" i="23"/>
  <c r="G1100" i="23"/>
  <c r="G4592" i="23"/>
  <c r="G1147" i="23"/>
  <c r="G1199" i="23"/>
  <c r="G1702" i="23"/>
  <c r="G4907" i="23"/>
  <c r="G574" i="23"/>
  <c r="G1839" i="23"/>
  <c r="G3840" i="23"/>
  <c r="G1685" i="23"/>
  <c r="G2528" i="23"/>
  <c r="G2024" i="23"/>
  <c r="G2079" i="23"/>
  <c r="G756" i="23"/>
  <c r="G4905" i="23"/>
  <c r="G159" i="23"/>
  <c r="G309" i="23"/>
  <c r="G932" i="23"/>
  <c r="G1591" i="23"/>
  <c r="G3535" i="23"/>
  <c r="G2830" i="23"/>
  <c r="G1018" i="23"/>
  <c r="G1425" i="23"/>
  <c r="G2711" i="23"/>
  <c r="G1931" i="23"/>
  <c r="G1896" i="23"/>
  <c r="G3948" i="23"/>
  <c r="G3991" i="23"/>
  <c r="G4143" i="23"/>
  <c r="G4377" i="23"/>
  <c r="G3841" i="23"/>
  <c r="G3072" i="23"/>
  <c r="G291" i="23"/>
  <c r="G3992" i="23"/>
  <c r="G4786" i="23"/>
  <c r="G2306" i="23"/>
  <c r="G974" i="23"/>
  <c r="G818" i="23"/>
  <c r="G3199" i="23"/>
  <c r="G634" i="23"/>
  <c r="G2741" i="23"/>
  <c r="G2149" i="23"/>
  <c r="G2057" i="23"/>
  <c r="G4182" i="23"/>
  <c r="G548" i="23"/>
  <c r="G4615" i="23"/>
  <c r="G3438" i="23"/>
  <c r="G2376" i="23"/>
  <c r="G4797" i="23"/>
  <c r="G3175" i="23"/>
  <c r="G1373" i="23"/>
  <c r="G3313" i="23"/>
  <c r="G2510" i="23"/>
  <c r="G2840" i="23"/>
  <c r="G1594" i="23"/>
  <c r="G308" i="23"/>
  <c r="G2823" i="23"/>
  <c r="G4648" i="23"/>
  <c r="G2113" i="23"/>
  <c r="G638" i="23"/>
  <c r="G4862" i="23"/>
  <c r="G4040" i="23"/>
  <c r="G2856" i="23"/>
  <c r="G1050" i="23"/>
  <c r="G1184" i="23"/>
  <c r="G1229" i="23"/>
  <c r="G595" i="23"/>
  <c r="G985" i="23"/>
  <c r="G4013" i="23"/>
  <c r="G3353" i="23"/>
  <c r="G133" i="23"/>
  <c r="G4059" i="23"/>
  <c r="G129" i="23"/>
  <c r="G2374" i="23"/>
  <c r="G1631" i="23"/>
  <c r="G3716" i="23"/>
  <c r="G1827" i="23"/>
  <c r="G1405" i="23"/>
  <c r="G3312" i="23"/>
  <c r="G4484" i="23"/>
  <c r="G3752" i="23"/>
  <c r="G3494" i="23"/>
  <c r="G907" i="23"/>
  <c r="G44" i="23"/>
  <c r="G4853" i="23"/>
  <c r="G3916" i="23"/>
  <c r="G1206" i="23"/>
  <c r="G4062" i="23"/>
  <c r="G1052" i="23"/>
  <c r="G4288" i="23"/>
  <c r="G904" i="23"/>
  <c r="G569" i="23"/>
  <c r="G71" i="23"/>
  <c r="G1087" i="23"/>
  <c r="G1674" i="23"/>
  <c r="G2442" i="23"/>
  <c r="G2935" i="23"/>
  <c r="G4107" i="23"/>
  <c r="G1715" i="23"/>
  <c r="G1344" i="23"/>
  <c r="G2569" i="23"/>
  <c r="G1166" i="23"/>
  <c r="G4158" i="23"/>
  <c r="G4491" i="23"/>
  <c r="G3775" i="23"/>
  <c r="G2250" i="23"/>
  <c r="G375" i="23"/>
  <c r="G1022" i="23"/>
  <c r="G3418" i="23"/>
  <c r="G596" i="23"/>
  <c r="G2530" i="23"/>
  <c r="G3607" i="23"/>
  <c r="G451" i="23"/>
  <c r="G2504" i="23"/>
  <c r="G1427" i="23"/>
  <c r="G4250" i="23"/>
  <c r="G2605" i="23"/>
  <c r="G725" i="23"/>
  <c r="G4153" i="23"/>
  <c r="G2228" i="23"/>
  <c r="G160" i="23"/>
  <c r="G1286" i="23"/>
  <c r="G3995" i="23"/>
  <c r="G112" i="23"/>
  <c r="G4795" i="23"/>
  <c r="G99" i="23"/>
  <c r="G4621" i="23"/>
  <c r="G4913" i="23"/>
  <c r="G1364" i="23"/>
  <c r="G1711" i="23"/>
  <c r="G669" i="23"/>
  <c r="G4534" i="23"/>
  <c r="G1868" i="23"/>
  <c r="G2678" i="23"/>
  <c r="G2198" i="23"/>
  <c r="G541" i="23"/>
  <c r="G124" i="23"/>
  <c r="G1541" i="23"/>
  <c r="G2452" i="23"/>
  <c r="G4105" i="23"/>
  <c r="G4190" i="23"/>
  <c r="G3287" i="23"/>
  <c r="G797" i="23"/>
  <c r="G1305" i="23"/>
  <c r="G3554" i="23"/>
  <c r="G3836" i="23"/>
  <c r="G148" i="23"/>
  <c r="G1967" i="23"/>
  <c r="G4809" i="23"/>
  <c r="G1662" i="23"/>
  <c r="G3746" i="23"/>
  <c r="G2993" i="23"/>
  <c r="G2131" i="23"/>
  <c r="G3462" i="23"/>
  <c r="G2731" i="23"/>
  <c r="G2354" i="23"/>
  <c r="G4702" i="23"/>
  <c r="G559" i="23"/>
  <c r="G3963" i="23"/>
  <c r="G305" i="23"/>
  <c r="G320" i="23"/>
  <c r="G195" i="23"/>
  <c r="G1691" i="23"/>
  <c r="G2481" i="23"/>
  <c r="G2189" i="23"/>
  <c r="G1436" i="23"/>
  <c r="G1820" i="23"/>
  <c r="G4716" i="23"/>
  <c r="G3643" i="23"/>
  <c r="G1638" i="23"/>
  <c r="G1615" i="23"/>
  <c r="G4703" i="23"/>
  <c r="G3281" i="23"/>
  <c r="G4582" i="23"/>
  <c r="G3397" i="23"/>
  <c r="G1209" i="23"/>
  <c r="G945" i="23"/>
  <c r="G1558" i="23"/>
  <c r="G4073" i="23"/>
  <c r="G3844" i="23"/>
  <c r="G1073" i="23"/>
  <c r="G1230" i="23"/>
  <c r="G1676" i="23"/>
  <c r="G3153" i="23"/>
  <c r="G3159" i="23"/>
  <c r="G4884" i="23"/>
  <c r="G4314" i="23"/>
  <c r="G4382" i="23"/>
  <c r="G1781" i="23"/>
  <c r="G2873" i="23"/>
  <c r="G3875" i="23"/>
  <c r="G2546" i="23"/>
  <c r="G1682" i="23"/>
  <c r="G3083" i="23"/>
  <c r="G116" i="23"/>
  <c r="G2568" i="23"/>
  <c r="G2482" i="23"/>
  <c r="G2881" i="23"/>
  <c r="G3782" i="23"/>
  <c r="G2817" i="23"/>
  <c r="G4888" i="23"/>
  <c r="G1233" i="23"/>
  <c r="G490" i="23"/>
  <c r="G387" i="23"/>
  <c r="G946" i="23"/>
  <c r="G429" i="23"/>
  <c r="G3821" i="23"/>
  <c r="G1325" i="23"/>
  <c r="G4948" i="23"/>
  <c r="G1261" i="23"/>
  <c r="G865" i="23"/>
  <c r="G501" i="23"/>
  <c r="G3305" i="23"/>
  <c r="G1750" i="23"/>
  <c r="G3570" i="23"/>
  <c r="G606" i="23"/>
  <c r="G2630" i="23"/>
  <c r="G3429" i="23"/>
  <c r="G3134" i="23"/>
  <c r="G1167" i="23"/>
  <c r="G1771" i="23"/>
  <c r="G1962" i="23"/>
  <c r="G2874" i="23"/>
  <c r="G3322" i="23"/>
  <c r="G1521" i="23"/>
  <c r="G1446" i="23"/>
  <c r="G731" i="23"/>
  <c r="G4256" i="23"/>
  <c r="G2880" i="23"/>
  <c r="G3660" i="23"/>
  <c r="G4245" i="23"/>
  <c r="G1547" i="23"/>
  <c r="G2489" i="23"/>
  <c r="G3898" i="23"/>
  <c r="G1159" i="23"/>
  <c r="G2538" i="23"/>
  <c r="G3837" i="23"/>
  <c r="G3498" i="23"/>
  <c r="G2358" i="23"/>
  <c r="G2658" i="23"/>
  <c r="G3241" i="23"/>
  <c r="G2676" i="23"/>
  <c r="G2674" i="23"/>
  <c r="G2460" i="23"/>
  <c r="G4069" i="23"/>
  <c r="G48" i="23"/>
  <c r="G3325" i="23"/>
  <c r="G4941" i="23"/>
  <c r="G1037" i="23"/>
  <c r="G3524" i="23"/>
  <c r="G4181" i="23"/>
  <c r="G4348" i="23"/>
  <c r="G686" i="23"/>
  <c r="G1497" i="23"/>
  <c r="G4231" i="23"/>
  <c r="G986" i="23"/>
  <c r="G966" i="23"/>
  <c r="G4617" i="23"/>
  <c r="G4216" i="23"/>
  <c r="G4209" i="23"/>
  <c r="G1126" i="23"/>
  <c r="G3127" i="23"/>
  <c r="G1806" i="23"/>
  <c r="G2365" i="23"/>
  <c r="G4436" i="23"/>
  <c r="G1170" i="23"/>
  <c r="G2060" i="23"/>
  <c r="G3575" i="23"/>
  <c r="G2992" i="23"/>
  <c r="G847" i="23"/>
  <c r="G2098" i="23"/>
  <c r="G4953" i="23"/>
  <c r="G1609" i="23"/>
  <c r="G1641" i="23"/>
  <c r="G4006" i="23"/>
  <c r="G1317" i="23"/>
  <c r="G2566" i="23"/>
  <c r="G688" i="23"/>
  <c r="G374" i="23"/>
  <c r="G4939" i="23"/>
  <c r="G1241" i="23"/>
  <c r="G3408" i="23"/>
  <c r="G1067" i="23"/>
  <c r="G1947" i="23"/>
  <c r="G3346" i="23"/>
  <c r="G4859" i="23"/>
  <c r="G1282" i="23"/>
  <c r="G4553" i="23"/>
  <c r="G2836" i="23"/>
  <c r="G4133" i="23"/>
  <c r="G4285" i="23"/>
  <c r="G2299" i="23"/>
  <c r="G1099" i="23"/>
  <c r="G2397" i="23"/>
  <c r="G3654" i="23"/>
  <c r="G3592" i="23"/>
  <c r="G1038" i="23"/>
  <c r="G2123" i="23"/>
  <c r="G278" i="23"/>
  <c r="G2696" i="23"/>
  <c r="G4123" i="23"/>
  <c r="G3521" i="23"/>
  <c r="G2534" i="23"/>
  <c r="G2871" i="23"/>
  <c r="G2373" i="23"/>
  <c r="G2999" i="23"/>
  <c r="G4740" i="23"/>
  <c r="G392" i="23"/>
  <c r="G2165" i="23"/>
  <c r="G1078" i="23"/>
  <c r="G573" i="23"/>
  <c r="G4387" i="23"/>
  <c r="G4640" i="23"/>
  <c r="G656" i="23"/>
  <c r="G4028" i="23"/>
  <c r="G3311" i="23"/>
  <c r="G3380" i="23"/>
  <c r="G526" i="23"/>
  <c r="G1706" i="23"/>
  <c r="G2652" i="23"/>
  <c r="G1588" i="23"/>
  <c r="G236" i="23"/>
  <c r="G297" i="23"/>
  <c r="G3091" i="23"/>
  <c r="G1888" i="23"/>
  <c r="G3248" i="23"/>
  <c r="G2237" i="23"/>
  <c r="G4462" i="23"/>
  <c r="G3048" i="23"/>
  <c r="G3077" i="23"/>
  <c r="G3580" i="23"/>
  <c r="G1475" i="23"/>
  <c r="G2492" i="23"/>
  <c r="G896" i="23"/>
  <c r="G4362" i="23"/>
  <c r="G4569" i="23"/>
  <c r="G1751" i="23"/>
  <c r="G2038" i="23"/>
  <c r="G3893" i="23"/>
  <c r="G4255" i="23"/>
  <c r="G4136" i="23"/>
  <c r="G2398" i="23"/>
  <c r="G4442" i="23"/>
  <c r="G1125" i="23"/>
  <c r="G2675" i="23"/>
  <c r="G141" i="23"/>
  <c r="G1490" i="23"/>
  <c r="G783" i="23"/>
  <c r="G3959" i="23"/>
  <c r="G3630" i="23"/>
  <c r="G3534" i="23"/>
  <c r="G4506" i="23"/>
  <c r="G3278" i="23"/>
  <c r="G1746" i="23"/>
  <c r="G657" i="23"/>
  <c r="G1447" i="23"/>
  <c r="G29" i="23"/>
  <c r="G926" i="23"/>
  <c r="G4625" i="23"/>
  <c r="G4667" i="23"/>
  <c r="G51" i="23"/>
  <c r="G2960" i="23"/>
  <c r="G1719" i="23"/>
  <c r="G1164" i="23"/>
  <c r="G4187" i="23"/>
  <c r="G3613" i="23"/>
  <c r="G1455" i="23"/>
  <c r="G1273" i="23"/>
  <c r="G3931" i="23"/>
  <c r="G144" i="23"/>
  <c r="G4574" i="23"/>
  <c r="G3751" i="23"/>
  <c r="G4613" i="23"/>
  <c r="G718" i="23"/>
  <c r="G1440" i="23"/>
  <c r="G4694" i="23"/>
  <c r="G4646" i="23"/>
  <c r="G551" i="23"/>
  <c r="G3517" i="23"/>
  <c r="G855" i="23"/>
  <c r="G3740" i="23"/>
  <c r="G4422" i="23"/>
  <c r="G3172" i="23"/>
  <c r="G2218" i="23"/>
  <c r="G1260" i="23"/>
  <c r="G4214" i="23"/>
  <c r="G1444" i="23"/>
  <c r="G782" i="23"/>
  <c r="G2656" i="23"/>
  <c r="G3016" i="23"/>
  <c r="G4087" i="23"/>
  <c r="G3344" i="23"/>
  <c r="G4578" i="23"/>
  <c r="G2103" i="23"/>
  <c r="G1983" i="23"/>
  <c r="G1748" i="23"/>
  <c r="G2120" i="23"/>
  <c r="G3454" i="23"/>
  <c r="G1994" i="23"/>
  <c r="G3764" i="23"/>
  <c r="G378" i="23"/>
  <c r="G1144" i="23"/>
  <c r="G4004" i="23"/>
  <c r="G4799" i="23"/>
  <c r="G2301" i="23"/>
  <c r="G340" i="23"/>
  <c r="G371" i="23"/>
  <c r="G2877" i="23"/>
  <c r="G1012" i="23"/>
  <c r="G1861" i="23"/>
  <c r="G2563" i="23"/>
  <c r="G2761" i="23"/>
  <c r="G77" i="23"/>
  <c r="G3470" i="23"/>
  <c r="G4277" i="23"/>
  <c r="G288" i="23"/>
  <c r="G86" i="23"/>
  <c r="G3673" i="23"/>
  <c r="G3792" i="23"/>
  <c r="G4351" i="23"/>
  <c r="G2102" i="23"/>
  <c r="G3762" i="23"/>
  <c r="G3714" i="23"/>
  <c r="G4720" i="23"/>
  <c r="G3131" i="23"/>
  <c r="G1556" i="23"/>
  <c r="G324" i="23"/>
  <c r="G3475" i="23"/>
  <c r="G13" i="23"/>
  <c r="G183" i="23"/>
  <c r="G4586" i="23"/>
  <c r="G4723" i="23"/>
  <c r="G3699" i="23"/>
  <c r="G3261" i="23"/>
  <c r="G1091" i="23"/>
  <c r="G2673" i="23"/>
  <c r="G1065" i="23"/>
  <c r="G448" i="23"/>
  <c r="G2661" i="23"/>
  <c r="G1237" i="23"/>
  <c r="G3056" i="23"/>
  <c r="G1139" i="23"/>
  <c r="G1718" i="23"/>
  <c r="G60" i="23"/>
  <c r="G2453" i="23"/>
  <c r="G1227" i="23"/>
  <c r="G2179" i="23"/>
  <c r="G1332" i="23"/>
  <c r="G643" i="23"/>
  <c r="G2516" i="23"/>
  <c r="G649" i="23"/>
  <c r="G4237" i="23"/>
  <c r="G1419" i="23"/>
  <c r="G3307" i="23"/>
  <c r="G878" i="23"/>
  <c r="G4066" i="23"/>
  <c r="G3162" i="23"/>
  <c r="G2050" i="23"/>
  <c r="G2603" i="23"/>
  <c r="G1279" i="23"/>
  <c r="G1323" i="23"/>
  <c r="G1790" i="23"/>
  <c r="G513" i="23"/>
  <c r="G2081" i="23"/>
  <c r="G1728" i="23"/>
  <c r="G549" i="23"/>
  <c r="G4488" i="23"/>
  <c r="G4446" i="23"/>
  <c r="G4866" i="23"/>
  <c r="G2608" i="23"/>
  <c r="G238" i="23"/>
  <c r="G1190" i="23"/>
  <c r="G3354" i="23"/>
  <c r="G1194" i="23"/>
  <c r="G4151" i="23"/>
  <c r="G1782" i="23"/>
  <c r="G3107" i="23"/>
  <c r="G1197" i="23"/>
  <c r="G2249" i="23"/>
  <c r="G1299" i="23"/>
  <c r="G4530" i="23"/>
  <c r="G2063" i="23"/>
  <c r="G4523" i="23"/>
  <c r="G1284" i="23"/>
  <c r="G882" i="23"/>
  <c r="G1604" i="23"/>
  <c r="G401" i="23"/>
  <c r="G4691" i="23"/>
  <c r="G3656" i="23"/>
  <c r="G1255" i="23"/>
  <c r="G2588" i="23"/>
  <c r="G2314" i="23"/>
  <c r="G3529" i="23"/>
  <c r="G4435" i="23"/>
  <c r="G2951" i="23"/>
  <c r="G4443" i="23"/>
  <c r="G2967" i="23"/>
  <c r="G2759" i="23"/>
  <c r="G2214" i="23"/>
  <c r="G3477" i="23"/>
  <c r="G2150" i="23"/>
  <c r="G3538" i="23"/>
  <c r="G4018" i="23"/>
  <c r="G631" i="23"/>
  <c r="G294" i="23"/>
  <c r="G2077" i="23"/>
  <c r="G2402" i="23"/>
  <c r="G4789" i="23"/>
  <c r="G74" i="23"/>
  <c r="G4404" i="23"/>
  <c r="G1431" i="23"/>
  <c r="G312" i="23"/>
  <c r="G1421" i="23"/>
  <c r="G224" i="23"/>
  <c r="G4674" i="23"/>
  <c r="G4914" i="23"/>
  <c r="G445" i="23"/>
  <c r="G737" i="23"/>
  <c r="G4297" i="23"/>
  <c r="G3135" i="23"/>
  <c r="G1966" i="23"/>
  <c r="G4065" i="23"/>
  <c r="G2547" i="23"/>
  <c r="G2466" i="23"/>
  <c r="G2653" i="23"/>
  <c r="G1755" i="23"/>
  <c r="G1534" i="23"/>
  <c r="G4571" i="23"/>
  <c r="G2889" i="23"/>
  <c r="G4252" i="23"/>
  <c r="G458" i="23"/>
  <c r="G2643" i="23"/>
  <c r="G3568" i="23"/>
  <c r="G2355" i="23"/>
  <c r="G2629" i="23"/>
  <c r="G1115" i="23"/>
  <c r="G994" i="23"/>
  <c r="G4518" i="23"/>
  <c r="G877" i="23"/>
  <c r="G4498" i="23"/>
  <c r="G3060" i="23"/>
  <c r="G2659" i="23"/>
  <c r="G3234" i="23"/>
  <c r="G1760" i="23"/>
  <c r="G2471" i="23"/>
  <c r="G3918" i="23"/>
  <c r="G1193" i="23"/>
  <c r="G1847" i="23"/>
  <c r="G2159" i="23"/>
  <c r="G1995" i="23"/>
  <c r="G3200" i="23"/>
  <c r="G281" i="23"/>
  <c r="G2847" i="23"/>
  <c r="G408" i="23"/>
  <c r="G3954" i="23"/>
  <c r="G3005" i="23"/>
  <c r="G1057" i="23"/>
  <c r="G1301" i="23"/>
  <c r="G584" i="23"/>
  <c r="G1692" i="23"/>
  <c r="G2289" i="23"/>
  <c r="G1346" i="23"/>
  <c r="G2748" i="23"/>
  <c r="G3983" i="23"/>
  <c r="G3123" i="23"/>
  <c r="G2922" i="23"/>
  <c r="G1832" i="23"/>
  <c r="G3856" i="23"/>
  <c r="G1941" i="23"/>
  <c r="G2143" i="23"/>
  <c r="G1739" i="23"/>
  <c r="G1505" i="23"/>
  <c r="G2623" i="23"/>
  <c r="G398" i="23"/>
  <c r="G3897" i="23"/>
  <c r="G3298" i="23"/>
  <c r="G807" i="23"/>
  <c r="G4930" i="23"/>
  <c r="G2820" i="23"/>
  <c r="G3788" i="23"/>
  <c r="G2215" i="23"/>
  <c r="G2808" i="23"/>
  <c r="G4861" i="23"/>
  <c r="G4611" i="23"/>
  <c r="G3812" i="23"/>
  <c r="G120" i="23"/>
  <c r="G757" i="23"/>
  <c r="G2604" i="23"/>
  <c r="G3053" i="23"/>
  <c r="G3165" i="23"/>
  <c r="G4893" i="23"/>
  <c r="G4812" i="23"/>
  <c r="G617" i="23"/>
  <c r="G1649" i="23"/>
  <c r="G1858" i="23"/>
  <c r="G3332" i="23"/>
  <c r="G1376" i="23"/>
  <c r="G3631" i="23"/>
  <c r="G4502" i="23"/>
  <c r="G3371" i="23"/>
  <c r="G3336" i="23"/>
  <c r="G774" i="23"/>
  <c r="G2846" i="23"/>
  <c r="G3147" i="23"/>
  <c r="G664" i="23"/>
  <c r="G2245" i="23"/>
  <c r="G813" i="23"/>
  <c r="G1859" i="23"/>
  <c r="G3938" i="23"/>
  <c r="G1423" i="23"/>
  <c r="G2804" i="23"/>
  <c r="G2545" i="23"/>
  <c r="G951" i="23"/>
  <c r="G4492" i="23"/>
  <c r="G2201" i="23"/>
  <c r="G1379" i="23"/>
  <c r="G604" i="23"/>
  <c r="G2401" i="23"/>
  <c r="G4949" i="23"/>
  <c r="G901" i="23"/>
  <c r="G4169" i="23"/>
  <c r="G4701" i="23"/>
  <c r="G1696" i="23"/>
  <c r="G4689" i="23"/>
  <c r="G3766" i="23"/>
  <c r="G3259" i="23"/>
  <c r="G775" i="23"/>
  <c r="G4161" i="23"/>
  <c r="G2512" i="23"/>
  <c r="G3476" i="23"/>
  <c r="G205" i="23"/>
  <c r="G1549" i="23"/>
  <c r="G1808" i="23"/>
  <c r="G3611" i="23"/>
  <c r="G1010" i="23"/>
  <c r="G3256" i="23"/>
  <c r="G3523" i="23"/>
  <c r="G539" i="23"/>
  <c r="G1042" i="23"/>
  <c r="G2700" i="23"/>
  <c r="G3598" i="23"/>
  <c r="G11" i="23"/>
  <c r="G4863" i="23"/>
  <c r="G4159" i="23"/>
  <c r="G3720" i="23"/>
  <c r="G421" i="23"/>
  <c r="G3050" i="23"/>
  <c r="G3384" i="23"/>
  <c r="G3652" i="23"/>
  <c r="G3816" i="23"/>
  <c r="G2287" i="23"/>
  <c r="G1905" i="23"/>
  <c r="G2834" i="23"/>
  <c r="G4722" i="23"/>
  <c r="G2609" i="23"/>
  <c r="G2286" i="23"/>
  <c r="G248" i="23"/>
  <c r="G1830" i="23"/>
  <c r="G45" i="23"/>
  <c r="G2945" i="23"/>
  <c r="G3940" i="23"/>
  <c r="G2998" i="23"/>
  <c r="G3547" i="23"/>
  <c r="G1430" i="23"/>
  <c r="G1573" i="23"/>
  <c r="G4524" i="23"/>
  <c r="G4368" i="23"/>
  <c r="G4397" i="23"/>
  <c r="G2344" i="23"/>
  <c r="G4434" i="23"/>
  <c r="G571" i="23"/>
  <c r="G4755" i="23"/>
  <c r="G95" i="23"/>
  <c r="G3712" i="23"/>
  <c r="G3047" i="23"/>
  <c r="G1548" i="23"/>
  <c r="G3350" i="23"/>
  <c r="G4699" i="23"/>
  <c r="G247" i="23"/>
  <c r="G2980" i="23"/>
  <c r="G3089" i="23"/>
  <c r="G2478" i="23"/>
  <c r="G3901" i="23"/>
  <c r="G4002" i="23"/>
  <c r="G4191" i="23"/>
  <c r="G2486" i="23"/>
  <c r="G4890" i="23"/>
  <c r="G4122" i="23"/>
  <c r="G829" i="23"/>
  <c r="G4242" i="23"/>
  <c r="G4451" i="23"/>
  <c r="G4370" i="23"/>
  <c r="G446" i="23"/>
  <c r="G2493" i="23"/>
  <c r="G1315" i="23"/>
  <c r="G3116" i="23"/>
  <c r="G184" i="23"/>
  <c r="G4480" i="23"/>
  <c r="G1393" i="23"/>
  <c r="G4009" i="23"/>
  <c r="G54" i="23"/>
  <c r="G2939" i="23"/>
  <c r="G335" i="23"/>
  <c r="G4803" i="23"/>
  <c r="G853" i="23"/>
  <c r="G609" i="23"/>
  <c r="G1439" i="23"/>
  <c r="G2663" i="23"/>
  <c r="G3674" i="23"/>
  <c r="G2366" i="23"/>
  <c r="G4440" i="23"/>
  <c r="G4138" i="23"/>
  <c r="G730" i="23"/>
  <c r="G1960" i="23"/>
  <c r="G635" i="23"/>
  <c r="G3115" i="23"/>
  <c r="G3886" i="23"/>
  <c r="G913" i="23"/>
  <c r="G2089" i="23"/>
  <c r="G618" i="23"/>
  <c r="G859" i="23"/>
  <c r="G4806" i="23"/>
  <c r="G4882" i="23"/>
  <c r="G67" i="23"/>
  <c r="G1477" i="23"/>
  <c r="G999" i="23"/>
  <c r="G3432" i="23"/>
  <c r="G968" i="23"/>
  <c r="G4918" i="23"/>
  <c r="G1196" i="23"/>
  <c r="G3452" i="23"/>
  <c r="G4587" i="23"/>
  <c r="G3020" i="23"/>
  <c r="G1394" i="23"/>
  <c r="G3626" i="23"/>
  <c r="G816" i="23"/>
  <c r="G1330" i="23"/>
  <c r="G3364" i="23"/>
  <c r="G4834" i="23"/>
  <c r="G1186" i="23"/>
  <c r="G3759" i="23"/>
  <c r="G1700" i="23"/>
  <c r="G3594" i="23"/>
  <c r="G3962" i="23"/>
  <c r="G3238" i="23"/>
  <c r="G1112" i="23"/>
  <c r="G887" i="23"/>
  <c r="G2142" i="23"/>
  <c r="G4778" i="23"/>
  <c r="G2589" i="23"/>
  <c r="G1946" i="23"/>
  <c r="G2864" i="23"/>
  <c r="G1316" i="23"/>
  <c r="G3464" i="23"/>
  <c r="G2520" i="23"/>
  <c r="G1796" i="23"/>
  <c r="G2443" i="23"/>
  <c r="G2723" i="23"/>
  <c r="G1411" i="23"/>
  <c r="G3277" i="23"/>
  <c r="G871" i="23"/>
  <c r="G1648" i="23"/>
  <c r="G4367" i="23"/>
  <c r="G197" i="23"/>
  <c r="G211" i="23"/>
  <c r="G3345" i="23"/>
  <c r="G2385" i="23"/>
  <c r="G795" i="23"/>
  <c r="G748" i="23"/>
  <c r="G639" i="23"/>
  <c r="G3400" i="23"/>
  <c r="G4679" i="23"/>
  <c r="G4560" i="23"/>
  <c r="G3972" i="23"/>
  <c r="G1267" i="23"/>
  <c r="G2979" i="23"/>
  <c r="G4589" i="23"/>
  <c r="G720" i="23"/>
  <c r="G4634" i="23"/>
  <c r="G4376" i="23"/>
  <c r="G1086" i="23"/>
  <c r="G2088" i="23"/>
  <c r="G3187" i="23"/>
  <c r="G3471" i="23"/>
  <c r="G715" i="23"/>
  <c r="G4238" i="23"/>
  <c r="G1695" i="23"/>
  <c r="G2285" i="23"/>
  <c r="G311" i="23"/>
  <c r="G1155" i="23"/>
  <c r="G4042" i="23"/>
  <c r="G4533" i="23"/>
  <c r="G3399" i="23"/>
  <c r="G1254" i="23"/>
  <c r="G4916" i="23"/>
  <c r="G1632" i="23"/>
  <c r="G1426" i="23"/>
  <c r="G2319" i="23"/>
  <c r="G4838" i="23"/>
  <c r="G3188" i="23"/>
  <c r="G4792" i="23"/>
  <c r="G582" i="23"/>
  <c r="G4664" i="23"/>
  <c r="G3941" i="23"/>
  <c r="G931" i="23"/>
  <c r="G228" i="23"/>
  <c r="G4557" i="23"/>
  <c r="G734" i="23"/>
  <c r="G1492" i="23"/>
  <c r="G4118" i="23"/>
  <c r="G1958" i="23"/>
  <c r="G1341" i="23"/>
  <c r="G1689" i="23"/>
  <c r="G3017" i="23"/>
  <c r="G2580" i="23"/>
  <c r="G3425" i="23"/>
  <c r="G613" i="23"/>
  <c r="G789" i="23"/>
  <c r="G4134" i="23"/>
  <c r="G3080" i="23"/>
  <c r="G1752" i="23"/>
  <c r="G3933" i="23"/>
  <c r="G4545" i="23"/>
  <c r="G4962" i="23"/>
  <c r="G115" i="23"/>
  <c r="G327" i="23"/>
  <c r="G778" i="23"/>
  <c r="G149" i="23"/>
  <c r="G176" i="23"/>
  <c r="G3574" i="23"/>
  <c r="G2740" i="23"/>
  <c r="G4827" i="23"/>
  <c r="G2085" i="23"/>
  <c r="G1846" i="23"/>
  <c r="G3662" i="23"/>
  <c r="G4031" i="23"/>
  <c r="G2982" i="23"/>
  <c r="G752" i="23"/>
  <c r="G2679" i="23"/>
  <c r="G4537" i="23"/>
  <c r="G605" i="23"/>
  <c r="G2827" i="23"/>
  <c r="G3953" i="23"/>
  <c r="G810" i="23"/>
  <c r="G1079" i="23"/>
  <c r="G4295" i="23"/>
  <c r="G804" i="23"/>
  <c r="G3203" i="23"/>
  <c r="G4311" i="23"/>
  <c r="G314" i="23"/>
  <c r="G4388" i="23"/>
  <c r="G1113" i="23"/>
  <c r="G2124" i="23"/>
  <c r="G3450" i="23"/>
  <c r="G1732" i="23"/>
  <c r="G3661" i="23"/>
  <c r="G4223" i="23"/>
  <c r="G4356" i="23"/>
  <c r="G3719" i="23"/>
  <c r="G1420" i="23"/>
  <c r="G4130" i="23"/>
  <c r="G4878" i="23"/>
  <c r="G934" i="23"/>
  <c r="G2030" i="23"/>
  <c r="G2363" i="23"/>
  <c r="G61" i="23"/>
  <c r="G4895" i="23"/>
  <c r="G2334" i="23"/>
  <c r="G1854" i="23"/>
  <c r="G1321" i="23"/>
  <c r="G453" i="23"/>
  <c r="G2876" i="23"/>
  <c r="G467" i="23"/>
  <c r="G348" i="23"/>
  <c r="G3618" i="23"/>
  <c r="G3717" i="23"/>
  <c r="G4347" i="23"/>
  <c r="G2336" i="23"/>
  <c r="G2326" i="23"/>
  <c r="G3068" i="23"/>
  <c r="G341" i="23"/>
  <c r="G4162" i="23"/>
  <c r="G1653" i="23"/>
  <c r="G2513" i="23"/>
  <c r="G2125" i="23"/>
  <c r="G2896" i="23"/>
  <c r="G4241" i="23"/>
  <c r="G4309" i="23"/>
  <c r="G536" i="23"/>
  <c r="G283" i="23"/>
  <c r="G2317" i="23"/>
  <c r="G4657" i="23"/>
  <c r="G2598" i="23"/>
  <c r="G1182" i="23"/>
  <c r="G3646" i="23"/>
  <c r="G3789" i="23"/>
  <c r="G4724" i="23"/>
  <c r="G1334" i="23"/>
  <c r="G4791" i="23"/>
  <c r="G1442" i="23"/>
  <c r="G3620" i="23"/>
  <c r="G366" i="23"/>
  <c r="G91" i="23"/>
  <c r="G3176" i="23"/>
  <c r="G4555" i="23"/>
  <c r="G3021" i="23"/>
  <c r="G304" i="23"/>
  <c r="G257" i="23"/>
  <c r="G2620" i="23"/>
  <c r="G1838" i="23"/>
  <c r="G4180" i="23"/>
  <c r="G4317" i="23"/>
  <c r="G1729" i="23"/>
  <c r="G555" i="23"/>
  <c r="G1974" i="23"/>
  <c r="G2342" i="23"/>
  <c r="G696" i="23"/>
  <c r="G472" i="23"/>
  <c r="G4830" i="23"/>
  <c r="G3499" i="23"/>
  <c r="G87" i="23"/>
  <c r="G106" i="23"/>
  <c r="G565" i="23"/>
  <c r="G1778" i="23"/>
  <c r="G2282" i="23"/>
  <c r="G3262" i="23"/>
  <c r="G2798" i="23"/>
  <c r="G4844" i="23"/>
  <c r="G2219" i="23"/>
  <c r="G651" i="23"/>
  <c r="G2893" i="23"/>
  <c r="G4411" i="23"/>
  <c r="G2318" i="23"/>
  <c r="G1705" i="23"/>
  <c r="G4836" i="23"/>
  <c r="G4342" i="23"/>
  <c r="G1814" i="23"/>
  <c r="G4152" i="23"/>
  <c r="G3942" i="23"/>
  <c r="G1262" i="23"/>
  <c r="G1930" i="23"/>
  <c r="G698" i="23"/>
  <c r="G424" i="23"/>
  <c r="G1618" i="23"/>
  <c r="G979" i="23"/>
  <c r="G2472" i="23"/>
  <c r="G3505" i="23"/>
  <c r="G3639" i="23"/>
  <c r="G941" i="23"/>
  <c r="G3677" i="23"/>
  <c r="G2191" i="23"/>
  <c r="G1015" i="23"/>
  <c r="G83" i="23"/>
  <c r="G2375" i="23"/>
  <c r="G3642" i="23"/>
  <c r="G850" i="23"/>
  <c r="G3209" i="23"/>
  <c r="G3141" i="23"/>
  <c r="G4509" i="23"/>
  <c r="G4572" i="23"/>
  <c r="G556" i="23"/>
  <c r="G207" i="23"/>
  <c r="G4476" i="23"/>
  <c r="G3057" i="23"/>
  <c r="G4605" i="23"/>
  <c r="G1863" i="23"/>
  <c r="G1763" i="23"/>
  <c r="G1201" i="23"/>
  <c r="G3474" i="23"/>
  <c r="G2593" i="23"/>
  <c r="G3079" i="23"/>
  <c r="G3622" i="23"/>
  <c r="G126" i="23"/>
  <c r="G4489" i="23"/>
  <c r="G2771" i="23"/>
  <c r="G3133" i="23"/>
  <c r="G982" i="23"/>
  <c r="G2904" i="23"/>
  <c r="G2186" i="23"/>
  <c r="G3178" i="23"/>
  <c r="G1996" i="23"/>
  <c r="G1621" i="23"/>
  <c r="G2018" i="23"/>
  <c r="G3024" i="23"/>
  <c r="G3786" i="23"/>
  <c r="G94" i="23"/>
  <c r="G2494" i="23"/>
  <c r="G1512" i="23"/>
  <c r="G4708" i="23"/>
  <c r="G1862" i="23"/>
  <c r="G4054" i="23"/>
  <c r="G1407" i="23"/>
  <c r="G3739" i="23"/>
  <c r="G88" i="23"/>
  <c r="G1680" i="23"/>
  <c r="G4053" i="23"/>
  <c r="G3986" i="23"/>
  <c r="G2346" i="23"/>
  <c r="G168" i="23"/>
  <c r="G4221" i="23"/>
  <c r="G1624" i="23"/>
  <c r="G1454" i="23"/>
  <c r="G2255" i="23"/>
  <c r="G2697" i="23"/>
  <c r="G1118" i="23"/>
  <c r="G1562" i="23"/>
  <c r="G2046" i="23"/>
  <c r="G93" i="23"/>
  <c r="G4305" i="23"/>
  <c r="G856" i="23"/>
  <c r="G3711" i="23"/>
  <c r="G4700" i="23"/>
  <c r="G4157" i="23"/>
  <c r="G3904" i="23"/>
  <c r="G2832" i="23"/>
  <c r="G3973" i="23"/>
  <c r="G4565" i="23"/>
  <c r="G4590" i="23"/>
  <c r="G465" i="23"/>
  <c r="G2965" i="23"/>
  <c r="G564" i="23"/>
  <c r="G1933" i="23"/>
  <c r="G785" i="23"/>
  <c r="G1554" i="23"/>
  <c r="G189" i="23"/>
  <c r="G319" i="23"/>
  <c r="G322" i="23"/>
  <c r="G527" i="23"/>
  <c r="G880" i="23"/>
  <c r="G802" i="23"/>
  <c r="G2859" i="23"/>
  <c r="G500" i="23"/>
  <c r="G4218" i="23"/>
  <c r="G4316" i="23"/>
  <c r="G4841" i="23"/>
  <c r="G1175" i="23"/>
  <c r="G1072" i="23"/>
  <c r="G1399" i="23"/>
  <c r="G1239" i="23"/>
  <c r="G1185" i="23"/>
  <c r="G1560" i="23"/>
  <c r="G3269" i="23"/>
  <c r="G1627" i="23"/>
  <c r="G4116" i="23"/>
  <c r="G3519" i="23"/>
  <c r="G1347" i="23"/>
  <c r="G906" i="23"/>
  <c r="G298" i="23"/>
  <c r="G3361" i="23"/>
  <c r="G2005" i="23"/>
  <c r="G914" i="23"/>
  <c r="G2531" i="23"/>
  <c r="G4108" i="23"/>
  <c r="G2754" i="23"/>
  <c r="G3334" i="23"/>
  <c r="G20" i="23"/>
  <c r="G1478" i="23"/>
  <c r="G330" i="23"/>
  <c r="G1006" i="23"/>
  <c r="G1498" i="23"/>
  <c r="G3743" i="23"/>
  <c r="G2025" i="23"/>
  <c r="G988" i="23"/>
  <c r="G470" i="23"/>
  <c r="G3406" i="23"/>
  <c r="G2641" i="23"/>
  <c r="G1634" i="23"/>
  <c r="G4290" i="23"/>
  <c r="G3923" i="23"/>
  <c r="G2184" i="23"/>
  <c r="G3559" i="23"/>
  <c r="G4585" i="23"/>
  <c r="G3310" i="23"/>
  <c r="G4527" i="23"/>
  <c r="G2396" i="23"/>
  <c r="G4670" i="23"/>
  <c r="G4628" i="23"/>
  <c r="G3668" i="23"/>
  <c r="G1812" i="23"/>
  <c r="G1860" i="23"/>
  <c r="G2430" i="23"/>
  <c r="G1105" i="23"/>
  <c r="G1959" i="23"/>
  <c r="G2851" i="23"/>
  <c r="G2719" i="23"/>
  <c r="G863" i="23"/>
  <c r="G3473" i="23"/>
  <c r="G1001" i="23"/>
  <c r="G3216" i="23"/>
  <c r="G3791" i="23"/>
  <c r="G1163" i="23"/>
  <c r="G2037" i="23"/>
  <c r="G620" i="23"/>
  <c r="G3087" i="23"/>
  <c r="G4415" i="23"/>
  <c r="G1094" i="23"/>
  <c r="G1845" i="23"/>
  <c r="G3509" i="23"/>
  <c r="G1258" i="23"/>
  <c r="G2202" i="23"/>
  <c r="G4900" i="23"/>
  <c r="G546" i="23"/>
  <c r="G1281" i="23"/>
  <c r="G2654" i="23"/>
  <c r="G21" i="23"/>
  <c r="G2264" i="23"/>
  <c r="G3026" i="23"/>
  <c r="G694" i="23"/>
  <c r="G4682" i="23"/>
  <c r="G2850" i="23"/>
  <c r="G3294" i="23"/>
  <c r="G4879" i="23"/>
  <c r="G4505" i="23"/>
  <c r="G217" i="23"/>
  <c r="G2791" i="23"/>
  <c r="G2788" i="23"/>
  <c r="G4478" i="23"/>
  <c r="G4500" i="23"/>
  <c r="G191" i="23"/>
  <c r="G927" i="23"/>
  <c r="G2348" i="23"/>
  <c r="G4690" i="23"/>
  <c r="G4049" i="23"/>
  <c r="G930" i="23"/>
  <c r="G3932" i="23"/>
  <c r="G2750" i="23"/>
  <c r="G1367" i="23"/>
  <c r="G4001" i="23"/>
  <c r="G2356" i="23"/>
  <c r="G1686" i="23"/>
  <c r="G4293" i="23"/>
  <c r="G477" i="23"/>
  <c r="G2431" i="23"/>
  <c r="G681" i="23"/>
  <c r="G1986" i="23"/>
  <c r="G590" i="23"/>
  <c r="G1577" i="23"/>
  <c r="G728" i="23"/>
  <c r="G839" i="23"/>
  <c r="G898" i="23"/>
  <c r="G1679" i="23"/>
  <c r="G2419" i="23"/>
  <c r="G4005" i="23"/>
  <c r="G908" i="23"/>
  <c r="G1412" i="23"/>
  <c r="G2838" i="23"/>
  <c r="G4399" i="23"/>
  <c r="G1386" i="23"/>
  <c r="G3289" i="23"/>
  <c r="G1300" i="23"/>
  <c r="G2269" i="23"/>
  <c r="G3321" i="23"/>
  <c r="G2437" i="23"/>
  <c r="G2498" i="23"/>
  <c r="G4822" i="23"/>
  <c r="G2685" i="23"/>
  <c r="G4697" i="23"/>
  <c r="G3722" i="23"/>
  <c r="G2238" i="23"/>
  <c r="G3331" i="23"/>
  <c r="G4877" i="23"/>
  <c r="G400" i="23"/>
  <c r="G1870" i="23"/>
  <c r="G3297" i="23"/>
  <c r="G4631" i="23"/>
  <c r="G3045" i="23"/>
  <c r="G1082" i="23"/>
  <c r="G1145" i="23"/>
  <c r="G4472" i="23"/>
  <c r="G1841" i="23"/>
  <c r="G4112" i="23"/>
  <c r="G771" i="23"/>
  <c r="G2080" i="23"/>
  <c r="G846" i="23"/>
  <c r="G2302" i="23"/>
  <c r="G3855" i="23"/>
  <c r="G3839" i="23"/>
  <c r="G4383" i="23"/>
  <c r="G3849" i="23"/>
  <c r="G614" i="23"/>
  <c r="G1510" i="23"/>
  <c r="G240" i="23"/>
  <c r="G3861" i="23"/>
  <c r="G3832" i="23"/>
  <c r="G4561" i="23"/>
  <c r="G177" i="23"/>
  <c r="G3010" i="23"/>
  <c r="G4212" i="23"/>
  <c r="G2977" i="23"/>
  <c r="G4067" i="23"/>
  <c r="G1688" i="23"/>
  <c r="G2900" i="23"/>
  <c r="G3888" i="23"/>
  <c r="G3279" i="23"/>
  <c r="G242" i="23"/>
  <c r="G4885" i="23"/>
  <c r="G4595" i="23"/>
  <c r="G4781" i="23"/>
  <c r="G2395" i="23"/>
  <c r="G4903" i="23"/>
  <c r="G3552" i="23"/>
  <c r="G2108" i="23"/>
  <c r="G4400" i="23"/>
  <c r="G3245" i="23"/>
  <c r="G386" i="23"/>
  <c r="G670" i="23"/>
  <c r="G1429" i="23"/>
  <c r="G4021" i="23"/>
  <c r="G3859" i="23"/>
  <c r="G4845" i="23"/>
  <c r="G2295" i="23"/>
  <c r="G1819" i="23"/>
  <c r="G1318" i="23"/>
  <c r="G19" i="23"/>
  <c r="G1892" i="23"/>
  <c r="G3086" i="23"/>
  <c r="G4363" i="23"/>
  <c r="G42" i="23"/>
  <c r="G3852" i="23"/>
  <c r="G4340" i="23"/>
  <c r="G2883" i="23"/>
  <c r="G3070" i="23"/>
  <c r="G4222" i="23"/>
  <c r="G4584" i="23"/>
  <c r="G2701" i="23"/>
  <c r="G1922" i="23"/>
  <c r="G4390" i="23"/>
  <c r="G3069" i="23"/>
  <c r="G46" i="23"/>
  <c r="G627" i="23"/>
  <c r="G1578" i="23"/>
  <c r="G1837" i="23"/>
  <c r="G1900" i="23"/>
  <c r="G1797" i="23"/>
  <c r="G2072" i="23"/>
  <c r="G4164" i="23"/>
  <c r="G642" i="23"/>
  <c r="G2907" i="23"/>
  <c r="G140" i="23"/>
  <c r="G2770" i="23"/>
  <c r="G533" i="23"/>
  <c r="G4510" i="23"/>
  <c r="G1215" i="23"/>
  <c r="G4350" i="23"/>
  <c r="G1138" i="23"/>
  <c r="G3922" i="23"/>
  <c r="G1077" i="23"/>
  <c r="G4318" i="23"/>
  <c r="G2552" i="23"/>
  <c r="G2551" i="23"/>
  <c r="G4766" i="23"/>
  <c r="G436" i="23"/>
  <c r="G1942" i="23"/>
  <c r="G2875" i="23"/>
  <c r="G2126" i="23"/>
  <c r="G4881" i="23"/>
  <c r="G3687" i="23"/>
  <c r="G3093" i="23"/>
  <c r="G3556" i="23"/>
  <c r="G3896" i="23"/>
  <c r="G1867" i="23"/>
  <c r="G2638" i="23"/>
  <c r="G1616" i="23"/>
  <c r="G1563" i="23"/>
  <c r="G4938" i="23"/>
  <c r="G3842" i="23"/>
  <c r="G1943" i="23"/>
  <c r="G1248" i="23"/>
  <c r="G4811" i="23"/>
  <c r="G735" i="23"/>
  <c r="G1714" i="23"/>
  <c r="G3624" i="23"/>
  <c r="G2565" i="23"/>
  <c r="G708" i="23"/>
  <c r="G4225" i="23"/>
  <c r="G640" i="23"/>
  <c r="G1485" i="23"/>
  <c r="G2323" i="23"/>
  <c r="G1174" i="23"/>
  <c r="G899" i="23"/>
  <c r="G1776" i="23"/>
  <c r="G4746" i="23"/>
  <c r="G3676" i="23"/>
  <c r="G1116" i="23"/>
  <c r="G2765" i="23"/>
  <c r="G2331" i="23"/>
  <c r="G3370" i="23"/>
  <c r="G3327" i="23"/>
  <c r="G3585" i="23"/>
  <c r="G1198" i="23"/>
  <c r="G4460" i="23"/>
  <c r="G755" i="23"/>
  <c r="G434" i="23"/>
  <c r="G2617" i="23"/>
  <c r="G2283" i="23"/>
  <c r="G4345" i="23"/>
  <c r="G2457" i="23"/>
  <c r="G235" i="23"/>
  <c r="G1823" i="23"/>
  <c r="G3869" i="23"/>
  <c r="G3874" i="23"/>
  <c r="G1278" i="23"/>
  <c r="G3388" i="23"/>
  <c r="G2814" i="23"/>
  <c r="G1759" i="23"/>
  <c r="G2637" i="23"/>
  <c r="G4163" i="23"/>
  <c r="G4171" i="23"/>
  <c r="G4677" i="23"/>
  <c r="G2548" i="23"/>
  <c r="G441" i="23"/>
  <c r="G632" i="23"/>
  <c r="G1698" i="23"/>
  <c r="G4712" i="23"/>
  <c r="G2476" i="23"/>
  <c r="G964" i="23"/>
  <c r="G349" i="23"/>
  <c r="G2470" i="23"/>
  <c r="G3634" i="23"/>
  <c r="G2320" i="23"/>
  <c r="G4601" i="23"/>
  <c r="G2071" i="23"/>
  <c r="G4946" i="23"/>
  <c r="G3939" i="23"/>
  <c r="G4070" i="23"/>
  <c r="G2535" i="23"/>
  <c r="G2583" i="23"/>
  <c r="G1619" i="23"/>
  <c r="G2618" i="23"/>
  <c r="G359" i="23"/>
  <c r="G502" i="23"/>
  <c r="G4643" i="23"/>
  <c r="G957" i="23"/>
  <c r="G683" i="23"/>
  <c r="G687" i="23"/>
  <c r="G770" i="23"/>
  <c r="G3144" i="23"/>
  <c r="G118" i="23"/>
  <c r="G157" i="23"/>
  <c r="G3324" i="23"/>
  <c r="G1327" i="23"/>
  <c r="G72" i="23"/>
  <c r="G4357" i="23"/>
  <c r="G1470" i="23"/>
  <c r="G4886" i="23"/>
  <c r="G2134" i="23"/>
  <c r="G4883" i="23"/>
  <c r="G2549" i="23"/>
  <c r="G2438" i="23"/>
  <c r="G1709" i="23"/>
  <c r="G1217" i="23"/>
  <c r="G2567" i="23"/>
  <c r="G3829" i="23"/>
  <c r="G2878" i="23"/>
  <c r="G1131" i="23"/>
  <c r="G1076" i="23"/>
  <c r="G3867" i="23"/>
  <c r="G3659" i="23"/>
  <c r="G3267" i="23"/>
  <c r="G4474" i="23"/>
  <c r="G2483" i="23"/>
  <c r="G3927" i="23"/>
  <c r="G4081" i="23"/>
  <c r="G2537" i="23"/>
  <c r="G3405" i="23"/>
  <c r="G547" i="23"/>
  <c r="G3887" i="23"/>
  <c r="G1069" i="23"/>
  <c r="G4207" i="23"/>
  <c r="G3700" i="23"/>
  <c r="G3528" i="23"/>
  <c r="G976" i="23"/>
  <c r="G4115" i="23"/>
  <c r="G4202" i="23"/>
  <c r="G1537" i="23"/>
  <c r="G2772" i="23"/>
  <c r="G1070" i="23"/>
  <c r="G4485" i="23"/>
  <c r="G2909" i="23"/>
  <c r="G1154" i="23"/>
  <c r="G3635" i="23"/>
  <c r="G1511" i="23"/>
  <c r="G163" i="23"/>
  <c r="G1893" i="23"/>
  <c r="G3582" i="23"/>
  <c r="G2619" i="23"/>
  <c r="G342" i="23"/>
  <c r="G1811" i="23"/>
  <c r="G3447" i="23"/>
  <c r="G3213" i="23"/>
  <c r="G3227" i="23"/>
  <c r="G301" i="23"/>
  <c r="G820" i="23"/>
  <c r="G4858" i="23"/>
  <c r="G2899" i="23"/>
  <c r="G792" i="23"/>
  <c r="G57" i="23"/>
  <c r="G1532" i="23"/>
  <c r="G1801" i="23"/>
  <c r="G4286" i="23"/>
  <c r="G2645" i="23"/>
  <c r="G2216" i="23"/>
  <c r="G4880" i="23"/>
  <c r="G4173" i="23"/>
  <c r="G767" i="23"/>
  <c r="G4733" i="23"/>
  <c r="G2496" i="23"/>
  <c r="G1141" i="23"/>
  <c r="G4687" i="23"/>
  <c r="G923" i="23"/>
  <c r="G1019" i="23"/>
  <c r="G1110" i="23"/>
  <c r="G2341" i="23"/>
  <c r="G280" i="23"/>
  <c r="G1293" i="23"/>
  <c r="G3553" i="23"/>
  <c r="G491" i="23"/>
  <c r="G3074" i="23"/>
  <c r="G1997" i="23"/>
  <c r="G3824" i="23"/>
  <c r="G1350" i="23"/>
  <c r="G1059" i="23"/>
  <c r="G4714" i="23"/>
  <c r="G4481" i="23"/>
  <c r="G3484" i="23"/>
  <c r="G803" i="23"/>
  <c r="G1567" i="23"/>
  <c r="G2359" i="23"/>
  <c r="G3316" i="23"/>
  <c r="G747" i="23"/>
  <c r="G3064" i="23"/>
  <c r="G1204" i="23"/>
  <c r="G3137" i="23"/>
  <c r="G303" i="23"/>
  <c r="G4960" i="23"/>
  <c r="G164" i="23"/>
  <c r="G1785" i="23"/>
  <c r="G1481" i="23"/>
  <c r="G4759" i="23"/>
  <c r="G2168" i="23"/>
  <c r="G3140" i="23"/>
  <c r="G980" i="23"/>
  <c r="G3628" i="23"/>
  <c r="G306" i="23"/>
  <c r="G4208" i="23"/>
  <c r="G3034" i="23"/>
  <c r="G918" i="23"/>
  <c r="G909" i="23"/>
  <c r="G3218" i="23"/>
  <c r="G104" i="23"/>
  <c r="G3391" i="23"/>
  <c r="G2914" i="23"/>
  <c r="G4450" i="23"/>
  <c r="G4454" i="23"/>
  <c r="G4278" i="23"/>
  <c r="G1779" i="23"/>
  <c r="G4090" i="23"/>
  <c r="G1697" i="23"/>
  <c r="G3504" i="23"/>
  <c r="G3003" i="23"/>
  <c r="G442" i="23"/>
  <c r="G884" i="23"/>
  <c r="G2828" i="23"/>
  <c r="G302" i="23"/>
  <c r="G1092" i="23"/>
  <c r="G4788" i="23"/>
  <c r="G2716" i="23"/>
  <c r="G1911" i="23"/>
  <c r="G2885" i="23"/>
  <c r="G2950" i="23"/>
  <c r="G3180" i="23"/>
  <c r="G4466" i="23"/>
  <c r="G3621" i="23"/>
  <c r="G1987" i="23"/>
  <c r="G701" i="23"/>
  <c r="G916" i="23"/>
  <c r="G4194" i="23"/>
  <c r="G1582" i="23"/>
  <c r="G660" i="23"/>
  <c r="G3920" i="23"/>
  <c r="G4041" i="23"/>
  <c r="G1265" i="23"/>
  <c r="G4538" i="23"/>
  <c r="G2923" i="23"/>
  <c r="G4141" i="23"/>
  <c r="G4813" i="23"/>
  <c r="G318" i="23"/>
  <c r="G1339" i="23"/>
  <c r="G3753" i="23"/>
  <c r="G1836" i="23"/>
  <c r="G2058" i="23"/>
  <c r="G3798" i="23"/>
  <c r="G2961" i="23"/>
  <c r="G2384" i="23"/>
  <c r="G1772" i="23"/>
  <c r="G3251" i="23"/>
  <c r="G876" i="23"/>
  <c r="G3463" i="23"/>
  <c r="G2045" i="23"/>
  <c r="G1244" i="23"/>
  <c r="G252" i="23"/>
  <c r="G2884" i="23"/>
  <c r="G3678" i="23"/>
  <c r="G1207" i="23"/>
  <c r="G1235" i="23"/>
  <c r="G2662" i="23"/>
  <c r="G1025" i="23"/>
  <c r="G3998" i="23"/>
  <c r="G3993" i="23"/>
  <c r="G4817" i="23"/>
  <c r="G654" i="23"/>
  <c r="G4898" i="23"/>
  <c r="G3402" i="23"/>
  <c r="G1726" i="23"/>
  <c r="G1348" i="23"/>
  <c r="G2610" i="23"/>
  <c r="G3177" i="23"/>
  <c r="G4669" i="23"/>
  <c r="G675" i="23"/>
  <c r="G585" i="23"/>
  <c r="G4102" i="23"/>
  <c r="G1487" i="23"/>
  <c r="G179" i="23"/>
  <c r="G1388" i="23"/>
  <c r="G4124" i="23"/>
  <c r="G2055" i="23"/>
  <c r="G2805" i="23"/>
  <c r="G2903" i="23"/>
  <c r="G4620" i="23"/>
  <c r="G1524" i="23"/>
  <c r="G929" i="23"/>
  <c r="G3394" i="23"/>
  <c r="G1712" i="23"/>
  <c r="G230" i="23"/>
  <c r="G27" i="23"/>
  <c r="G4520" i="23"/>
  <c r="G1574" i="23"/>
  <c r="G4420" i="23"/>
  <c r="G2329" i="23"/>
  <c r="G4080" i="23"/>
  <c r="G3435" i="23"/>
  <c r="G2337" i="23"/>
  <c r="G1508" i="23"/>
  <c r="G2468" i="23"/>
  <c r="G3417" i="23"/>
  <c r="G178" i="23"/>
  <c r="G3577" i="23"/>
  <c r="G3562" i="23"/>
  <c r="G4675" i="23"/>
  <c r="G4671" i="23"/>
  <c r="G2766" i="23"/>
  <c r="G2096" i="23"/>
  <c r="G3810" i="23"/>
  <c r="G4511" i="23"/>
  <c r="G1460" i="23"/>
  <c r="G3381" i="23"/>
  <c r="G995" i="23"/>
  <c r="G1788" i="23"/>
  <c r="G2839" i="23"/>
  <c r="G2370" i="23"/>
  <c r="G824" i="23"/>
  <c r="G3446" i="23"/>
  <c r="G4706" i="23"/>
  <c r="G2718" i="23"/>
  <c r="G4650" i="23"/>
  <c r="G480" i="23"/>
  <c r="G978" i="23"/>
  <c r="G391" i="23"/>
  <c r="G3774" i="23"/>
  <c r="G108" i="23"/>
  <c r="G355" i="23"/>
  <c r="G3825" i="23"/>
  <c r="G3533" i="23"/>
  <c r="G2312" i="23"/>
  <c r="G2487" i="23"/>
  <c r="G1528" i="23"/>
  <c r="G3599" i="23"/>
  <c r="G344" i="23"/>
  <c r="G578" i="23"/>
  <c r="G3103" i="23"/>
  <c r="G3139" i="23"/>
  <c r="G3415" i="23"/>
  <c r="G2031" i="23"/>
  <c r="G2541" i="23"/>
  <c r="G921" i="23"/>
  <c r="G2436" i="23"/>
  <c r="G2199" i="23"/>
  <c r="G1949" i="23"/>
  <c r="G3329" i="23"/>
  <c r="G576" i="23"/>
  <c r="G3195" i="23"/>
  <c r="G601" i="23"/>
  <c r="G105" i="23"/>
  <c r="G1378" i="23"/>
  <c r="G3496" i="23"/>
  <c r="G745" i="23"/>
  <c r="G4401" i="23"/>
  <c r="G1904" i="23"/>
  <c r="G4265" i="23"/>
  <c r="G864" i="23"/>
  <c r="G1950" i="23"/>
  <c r="G1457" i="23"/>
  <c r="G1324" i="23"/>
  <c r="G714" i="23"/>
  <c r="G3982" i="23"/>
  <c r="G2278" i="23"/>
  <c r="G450" i="23"/>
  <c r="G4832" i="23"/>
  <c r="G4012" i="23"/>
  <c r="G4444" i="23"/>
  <c r="G3237" i="23"/>
  <c r="G3280" i="23"/>
  <c r="G4452" i="23"/>
  <c r="G406" i="23"/>
  <c r="G3710" i="23"/>
  <c r="G4869" i="23"/>
  <c r="G2949" i="23"/>
  <c r="G2034" i="23"/>
  <c r="G872" i="23"/>
  <c r="G2558" i="23"/>
  <c r="G2570" i="23"/>
  <c r="G2592" i="23"/>
  <c r="G3990" i="23"/>
  <c r="G1240" i="23"/>
  <c r="G2943" i="23"/>
  <c r="G2387" i="23"/>
  <c r="G1089" i="23"/>
  <c r="G1694" i="23"/>
  <c r="G4924" i="23"/>
  <c r="G2807" i="23"/>
  <c r="G196" i="23"/>
  <c r="G3358" i="23"/>
  <c r="G2310" i="23"/>
  <c r="G3383" i="23"/>
  <c r="G272" i="23"/>
  <c r="G2666" i="23"/>
  <c r="G90" i="23"/>
  <c r="G1130" i="23"/>
  <c r="G2008" i="23"/>
  <c r="G1805" i="23"/>
  <c r="G723" i="23"/>
  <c r="G3097" i="23"/>
  <c r="G4234" i="23"/>
  <c r="G2490" i="23"/>
  <c r="G128" i="23"/>
  <c r="G1834" i="23"/>
  <c r="G4023" i="23"/>
  <c r="G3186" i="23"/>
  <c r="G4583" i="23"/>
  <c r="G1957" i="23"/>
  <c r="G3486" i="23"/>
  <c r="G2796" i="23"/>
  <c r="G4463" i="23"/>
  <c r="G1039" i="23"/>
  <c r="G4432" i="23"/>
  <c r="G2865" i="23"/>
  <c r="G1654" i="23"/>
  <c r="G3615" i="23"/>
  <c r="G826" i="23"/>
  <c r="G1764" i="23"/>
  <c r="G2777" i="23"/>
  <c r="G2523" i="23"/>
  <c r="G2090" i="23"/>
  <c r="G2576" i="23"/>
  <c r="G2220" i="23"/>
  <c r="G563" i="23"/>
  <c r="G3952" i="23"/>
  <c r="G817" i="23"/>
  <c r="G699" i="23"/>
  <c r="G4168" i="23"/>
  <c r="G989" i="23"/>
  <c r="G3145" i="23"/>
  <c r="G4203" i="23"/>
  <c r="G31" i="23"/>
  <c r="G4101" i="23"/>
  <c r="G3846" i="23"/>
  <c r="G695" i="23"/>
  <c r="G382" i="23"/>
  <c r="G3206" i="23"/>
  <c r="G3510" i="23"/>
  <c r="G4732" i="23"/>
  <c r="G3826" i="23"/>
  <c r="G2985" i="23"/>
  <c r="G3708" i="23"/>
  <c r="G2506" i="23"/>
  <c r="G4709" i="23"/>
  <c r="G4315" i="23"/>
  <c r="G3460" i="23"/>
  <c r="G558" i="23"/>
  <c r="G35" i="23"/>
  <c r="G4828" i="23"/>
  <c r="G132" i="23"/>
  <c r="G3338" i="23"/>
  <c r="G2699" i="23"/>
  <c r="G2479" i="23"/>
  <c r="G1406" i="23"/>
  <c r="G3709" i="23"/>
  <c r="G1606" i="23"/>
  <c r="G1538" i="23"/>
  <c r="G4236" i="23"/>
  <c r="G2806" i="23"/>
  <c r="G603" i="23"/>
  <c r="G2940" i="23"/>
  <c r="G1749" i="23"/>
  <c r="G2281" i="23"/>
  <c r="G402" i="23"/>
  <c r="G243" i="23"/>
  <c r="G4247" i="23"/>
  <c r="G2848" i="23"/>
  <c r="G203" i="23"/>
  <c r="G742" i="23"/>
  <c r="G3282" i="23"/>
  <c r="G2388" i="23"/>
  <c r="G2307" i="23"/>
  <c r="G1985" i="23"/>
  <c r="G2677" i="23"/>
  <c r="G902" i="23"/>
  <c r="G1451" i="23"/>
  <c r="G354" i="23"/>
  <c r="G888" i="23"/>
  <c r="G4644" i="23"/>
  <c r="G1526" i="23"/>
  <c r="G933" i="23"/>
  <c r="G4653" i="23"/>
  <c r="G2409" i="23"/>
  <c r="G4172" i="23"/>
  <c r="G4816" i="23"/>
  <c r="G1469" i="23"/>
  <c r="G1158" i="23"/>
  <c r="G4926" i="23"/>
  <c r="G3544" i="23"/>
  <c r="G1673" i="23"/>
  <c r="G2571" i="23"/>
  <c r="G4742" i="23"/>
  <c r="G418" i="23"/>
  <c r="G1636" i="23"/>
  <c r="G2462" i="23"/>
  <c r="G3174" i="23"/>
  <c r="G2185" i="23"/>
  <c r="G505" i="23"/>
  <c r="G2703" i="23"/>
  <c r="G2056" i="23"/>
  <c r="G4942" i="23"/>
  <c r="G794" i="23"/>
  <c r="G4598" i="23"/>
  <c r="G788" i="23"/>
  <c r="G397" i="23"/>
  <c r="G4734" i="23"/>
  <c r="G1336" i="23"/>
  <c r="G1360" i="23"/>
  <c r="G1340" i="23"/>
  <c r="G3088" i="23"/>
  <c r="G4298" i="23"/>
  <c r="G3004" i="23"/>
  <c r="G1183" i="23"/>
  <c r="G1951" i="23"/>
  <c r="G3299" i="23"/>
  <c r="G4802" i="23"/>
  <c r="G153" i="23"/>
  <c r="G4033" i="23"/>
  <c r="G1090" i="23"/>
  <c r="G4685" i="23"/>
  <c r="G970" i="23"/>
  <c r="G4146" i="23"/>
  <c r="G962" i="23"/>
  <c r="G4384" i="23"/>
  <c r="G768" i="23"/>
  <c r="G2261" i="23"/>
  <c r="G199" i="23"/>
  <c r="G3561" i="23"/>
  <c r="G484" i="23"/>
  <c r="G2428" i="23"/>
  <c r="G2268" i="23"/>
  <c r="G4911" i="23"/>
  <c r="G2200" i="23"/>
  <c r="G608" i="23"/>
  <c r="G4074" i="23"/>
  <c r="G3355" i="23"/>
  <c r="G830" i="23"/>
  <c r="G2728" i="23"/>
  <c r="G3181" i="23"/>
  <c r="G1041" i="23"/>
  <c r="G1990" i="23"/>
  <c r="G2263" i="23"/>
  <c r="G1598" i="23"/>
  <c r="G3878" i="23"/>
  <c r="G2683" i="23"/>
  <c r="G4849" i="23"/>
  <c r="G1603" i="23"/>
  <c r="G3790" i="23"/>
  <c r="G2190" i="23"/>
  <c r="G3596" i="23"/>
  <c r="G3479" i="23"/>
  <c r="G4957" i="23"/>
  <c r="G3883" i="23"/>
  <c r="G3352" i="23"/>
  <c r="G3480" i="23"/>
  <c r="G1912" i="23"/>
  <c r="G3944" i="23"/>
  <c r="G1397" i="23"/>
  <c r="G1303" i="23"/>
  <c r="G3579" i="23"/>
  <c r="G4343" i="23"/>
  <c r="G3881" i="23"/>
  <c r="G4445" i="23"/>
  <c r="G2035" i="23"/>
  <c r="G4380" i="23"/>
  <c r="G493" i="23"/>
  <c r="G570" i="23"/>
  <c r="G2722" i="23"/>
  <c r="G3265" i="23"/>
  <c r="G4544" i="23"/>
  <c r="G3337" i="23"/>
  <c r="G3485" i="23"/>
  <c r="G852" i="23"/>
  <c r="G3925" i="23"/>
  <c r="G4024" i="23"/>
  <c r="G4129" i="23"/>
  <c r="G4132" i="23"/>
  <c r="G983" i="23"/>
  <c r="G356" i="23"/>
  <c r="G237" i="23"/>
  <c r="G1161" i="23"/>
  <c r="G4642" i="23"/>
  <c r="G2989" i="23"/>
  <c r="G750" i="23"/>
  <c r="G2459" i="23"/>
  <c r="G776" i="23"/>
  <c r="G368" i="23"/>
  <c r="G3392" i="23"/>
  <c r="G2048" i="23"/>
  <c r="G4715" i="23"/>
  <c r="G1879" i="23"/>
  <c r="G3286" i="23"/>
  <c r="G1667" i="23"/>
  <c r="G3917" i="23"/>
  <c r="G3971" i="23"/>
  <c r="G3909" i="23"/>
  <c r="G4751" i="23"/>
  <c r="G4593" i="23"/>
  <c r="G1630" i="23"/>
  <c r="G3339" i="23"/>
  <c r="G3407" i="23"/>
  <c r="G883" i="23"/>
  <c r="G1380" i="23"/>
  <c r="G405" i="23"/>
  <c r="G403" i="23"/>
  <c r="G1151" i="23"/>
  <c r="G4416" i="23"/>
  <c r="G4414" i="23"/>
  <c r="G3950" i="23"/>
  <c r="G4308" i="23"/>
  <c r="G1365" i="23"/>
  <c r="G4170" i="23"/>
  <c r="G3956" i="23"/>
  <c r="G851" i="23"/>
  <c r="G3078" i="23"/>
  <c r="G3747" i="23"/>
  <c r="G1123" i="23"/>
  <c r="G4940" i="23"/>
  <c r="G2473" i="23"/>
  <c r="G2180" i="23"/>
  <c r="G3163" i="23"/>
  <c r="G3226" i="23"/>
  <c r="G4668" i="23"/>
  <c r="G2906" i="23"/>
  <c r="G2978" i="23"/>
  <c r="G917" i="23"/>
  <c r="G2518" i="23"/>
  <c r="G3136" i="23"/>
  <c r="G2162" i="23"/>
  <c r="G2973" i="23"/>
  <c r="G1277" i="23"/>
  <c r="G3807" i="23"/>
  <c r="G3513" i="23"/>
  <c r="G3224" i="23"/>
  <c r="G2554" i="23"/>
  <c r="G2456" i="23"/>
  <c r="G4103" i="23"/>
  <c r="G3795" i="23"/>
  <c r="G3254" i="23"/>
  <c r="G4313" i="23"/>
  <c r="G2521" i="23"/>
  <c r="G1369" i="23"/>
  <c r="G1136" i="23"/>
  <c r="G3984" i="23"/>
  <c r="G3550" i="23"/>
  <c r="G1435" i="23"/>
  <c r="G4840" i="23"/>
  <c r="G4271" i="23"/>
  <c r="G3357" i="23"/>
  <c r="G2821" i="23"/>
  <c r="G890" i="23"/>
  <c r="G3223" i="23"/>
  <c r="G2104" i="23"/>
  <c r="G1940" i="23"/>
  <c r="G2043" i="23"/>
  <c r="G1586" i="23"/>
  <c r="G1710" i="23"/>
  <c r="G3718" i="23"/>
  <c r="G1766" i="23"/>
  <c r="G766" i="23"/>
  <c r="G3640" i="23"/>
  <c r="G1005" i="23"/>
  <c r="G33" i="23"/>
  <c r="G428" i="23"/>
  <c r="G1913" i="23"/>
  <c r="G274" i="23"/>
  <c r="G1058" i="23"/>
  <c r="G1828" i="23"/>
  <c r="G1496" i="23"/>
  <c r="G3090" i="23"/>
  <c r="G2065" i="23"/>
  <c r="G3205" i="23"/>
  <c r="G684" i="23"/>
  <c r="G1923" i="23"/>
  <c r="G648" i="23"/>
  <c r="G1792" i="23"/>
  <c r="G3548" i="23"/>
  <c r="G2047" i="23"/>
  <c r="G2332" i="23"/>
  <c r="G2406" i="23"/>
  <c r="G3210" i="23"/>
  <c r="G3439" i="23"/>
  <c r="G254" i="23"/>
  <c r="G2895" i="23"/>
  <c r="G3099" i="23"/>
  <c r="G3564" i="23"/>
  <c r="G874" i="23"/>
  <c r="G535" i="23"/>
  <c r="G4752" i="23"/>
  <c r="G1952" i="23"/>
  <c r="G733" i="23"/>
  <c r="G1876" i="23"/>
  <c r="G1148" i="23"/>
  <c r="G3819" i="23"/>
  <c r="G998" i="23"/>
  <c r="G3423" i="23"/>
  <c r="G1593" i="23"/>
  <c r="G4046" i="23"/>
  <c r="G3455" i="23"/>
  <c r="G3459" i="23"/>
  <c r="G336" i="23"/>
  <c r="G2789" i="23"/>
  <c r="G4449" i="23"/>
  <c r="G2169" i="23"/>
  <c r="G4624" i="23"/>
  <c r="G3597" i="23"/>
  <c r="G940" i="23"/>
  <c r="G4425" i="23"/>
  <c r="G772" i="23"/>
  <c r="G3014" i="23"/>
  <c r="G307" i="23"/>
  <c r="G2714" i="23"/>
  <c r="G1872" i="23"/>
  <c r="G3975" i="23"/>
  <c r="G3612" i="23"/>
  <c r="G1620" i="23"/>
  <c r="G2536" i="23"/>
  <c r="G34" i="23"/>
  <c r="G2970" i="23"/>
  <c r="G1647" i="23"/>
  <c r="G2725" i="23"/>
  <c r="G4831" i="23"/>
  <c r="G1153" i="23"/>
  <c r="G4036" i="23"/>
  <c r="G17" i="23"/>
  <c r="G3862" i="23"/>
  <c r="G208" i="23"/>
  <c r="G4713" i="23"/>
  <c r="G936" i="23"/>
  <c r="G4147" i="23"/>
  <c r="G3049" i="23"/>
  <c r="G3022" i="23"/>
  <c r="G3202" i="23"/>
  <c r="G2585" i="23"/>
  <c r="G2505" i="23"/>
  <c r="G4178" i="23"/>
  <c r="G4430" i="23"/>
  <c r="G3765" i="23"/>
  <c r="G80" i="23"/>
  <c r="G1544" i="23"/>
  <c r="G1450" i="23"/>
  <c r="G1589" i="23"/>
  <c r="G4064" i="23"/>
  <c r="G2448" i="23"/>
  <c r="G3194" i="23"/>
  <c r="G522" i="23"/>
  <c r="G2410" i="23"/>
  <c r="G473" i="23"/>
  <c r="G2514" i="23"/>
  <c r="G4775" i="23"/>
  <c r="G2986" i="23"/>
  <c r="G4470" i="23"/>
  <c r="G1234" i="23"/>
  <c r="G4453" i="23"/>
  <c r="G1794" i="23"/>
  <c r="G3545" i="23"/>
  <c r="G2236" i="23"/>
  <c r="G3314" i="23"/>
  <c r="G3907" i="23"/>
  <c r="G2550" i="23"/>
  <c r="G3587" i="23"/>
  <c r="G2313" i="23"/>
  <c r="G1583" i="23"/>
  <c r="G2259" i="23"/>
  <c r="G3736" i="23"/>
  <c r="G404" i="23"/>
  <c r="G4441" i="23"/>
  <c r="G3411" i="23"/>
  <c r="G3461" i="23"/>
  <c r="G2325" i="23"/>
  <c r="G1533" i="23"/>
  <c r="G4409" i="23"/>
  <c r="G3052" i="23"/>
  <c r="G4008" i="23"/>
  <c r="G3225" i="23"/>
  <c r="G3863" i="23"/>
  <c r="G4937" i="23"/>
  <c r="G3084" i="23"/>
  <c r="G4359" i="23"/>
  <c r="G4029" i="23"/>
  <c r="G1551" i="23"/>
  <c r="G389" i="23"/>
  <c r="G1565" i="23"/>
  <c r="G4280" i="23"/>
  <c r="G2542" i="23"/>
  <c r="G4477" i="23"/>
  <c r="G4910" i="23"/>
  <c r="G263" i="23"/>
  <c r="G2533" i="23"/>
  <c r="G838" i="23"/>
  <c r="G2279" i="23"/>
  <c r="G187" i="23"/>
  <c r="G645" i="23"/>
  <c r="G3033" i="23"/>
  <c r="G1363" i="23"/>
  <c r="G4048" i="23"/>
  <c r="G682" i="23"/>
  <c r="G413" i="23"/>
  <c r="G801" i="23"/>
  <c r="G2350" i="23"/>
  <c r="G516" i="23"/>
  <c r="G833" i="23"/>
  <c r="G1168" i="23"/>
  <c r="G206" i="23"/>
  <c r="G4800" i="23"/>
  <c r="G1642" i="23"/>
  <c r="G4711" i="23"/>
  <c r="G2790" i="23"/>
  <c r="G3879" i="23"/>
  <c r="G1472" i="23"/>
  <c r="G553" i="23"/>
  <c r="G1495" i="23"/>
  <c r="G1929" i="23"/>
  <c r="G3166" i="23"/>
  <c r="G3066" i="23"/>
  <c r="G4244" i="23"/>
  <c r="G4514" i="23"/>
  <c r="G1775" i="23"/>
  <c r="G1132" i="23"/>
  <c r="G3030" i="23"/>
  <c r="G369" i="23"/>
  <c r="G2167" i="23"/>
  <c r="G2059" i="23"/>
  <c r="G3019" i="23"/>
  <c r="G186" i="23"/>
  <c r="G3434" i="23"/>
  <c r="G2894" i="23"/>
  <c r="G3730" i="23"/>
  <c r="G567" i="23"/>
  <c r="G3560" i="23"/>
  <c r="G2280" i="23"/>
  <c r="G3701" i="23"/>
  <c r="G3872" i="23"/>
  <c r="G2243" i="23"/>
  <c r="G4110" i="23"/>
  <c r="G2627" i="23"/>
  <c r="G4423" i="23"/>
  <c r="G2066" i="23"/>
  <c r="G1527" i="23"/>
  <c r="G992" i="23"/>
  <c r="G40" i="23"/>
  <c r="G226" i="23"/>
  <c r="G4183" i="23"/>
  <c r="G2816" i="23"/>
  <c r="G3249" i="23"/>
  <c r="G4113" i="23"/>
  <c r="G3541" i="23"/>
  <c r="G3095" i="23"/>
  <c r="G1188" i="23"/>
  <c r="G3889" i="23"/>
  <c r="G2886" i="23"/>
  <c r="G259" i="23"/>
  <c r="G3398" i="23"/>
  <c r="G1080" i="23"/>
  <c r="G4570" i="23"/>
  <c r="G4829" i="23"/>
  <c r="G4458" i="23"/>
  <c r="G4302" i="23"/>
  <c r="G534" i="23"/>
  <c r="G2936" i="23"/>
  <c r="G4618" i="23"/>
  <c r="G4106" i="23"/>
  <c r="G4951" i="23"/>
  <c r="G3734" i="23"/>
  <c r="G2942" i="23"/>
  <c r="G3468" i="23"/>
  <c r="G667" i="23"/>
  <c r="G3487" i="23"/>
  <c r="G155" i="23"/>
  <c r="G3283" i="23"/>
  <c r="G2333" i="23"/>
  <c r="G2938" i="23"/>
  <c r="G1424" i="23"/>
  <c r="G3252" i="23"/>
  <c r="G2898" i="23"/>
  <c r="G2756" i="23"/>
  <c r="G2223" i="23"/>
  <c r="G1843" i="23"/>
  <c r="G3694" i="23"/>
  <c r="G1356" i="23"/>
  <c r="G3988" i="23"/>
  <c r="G1471" i="23"/>
  <c r="G4823" i="23"/>
  <c r="G525" i="23"/>
  <c r="G4249" i="23"/>
  <c r="G310" i="23"/>
  <c r="G1402" i="23"/>
  <c r="G1104" i="23"/>
  <c r="G3232" i="23"/>
  <c r="G1181" i="23"/>
  <c r="G2926" i="23"/>
  <c r="G4104" i="23"/>
  <c r="G619" i="23"/>
  <c r="G1171" i="23"/>
  <c r="G3379" i="23"/>
  <c r="G3813" i="23"/>
  <c r="G2275" i="23"/>
  <c r="G4710" i="23"/>
  <c r="G3308" i="23"/>
  <c r="G2458" i="23"/>
  <c r="G2429" i="23"/>
  <c r="G2495" i="23"/>
  <c r="G2735" i="23"/>
  <c r="G1313" i="23"/>
  <c r="G1349" i="23"/>
  <c r="G1133" i="23"/>
  <c r="G339" i="23"/>
  <c r="G3154" i="23"/>
  <c r="G3778" i="23"/>
  <c r="G2648" i="23"/>
  <c r="G4525" i="23"/>
  <c r="G2166" i="23"/>
  <c r="G1584" i="23"/>
  <c r="G4327" i="23"/>
  <c r="G4610" i="23"/>
  <c r="G3242" i="23"/>
  <c r="G4094" i="23"/>
  <c r="G4424" i="23"/>
  <c r="G2660" i="23"/>
  <c r="G3117" i="23"/>
  <c r="G2426" i="23"/>
  <c r="G2764" i="23"/>
  <c r="G4486" i="23"/>
  <c r="G3960" i="23"/>
  <c r="G1488" i="23"/>
  <c r="G1721" i="23"/>
  <c r="G1134" i="23"/>
  <c r="G3330" i="23"/>
  <c r="G3458" i="23"/>
  <c r="G2944" i="23"/>
  <c r="G1028" i="23"/>
  <c r="G673" i="23"/>
  <c r="G1476" i="23"/>
  <c r="G1515" i="23"/>
  <c r="G4779" i="23"/>
  <c r="G2141" i="23"/>
  <c r="G3266" i="23"/>
  <c r="G2920" i="23"/>
  <c r="G2606" i="23"/>
  <c r="G1016" i="23"/>
  <c r="G1531" i="23"/>
  <c r="G3427" i="23"/>
  <c r="G4784" i="23"/>
  <c r="G111" i="23"/>
  <c r="G1804" i="23"/>
  <c r="G1335" i="23"/>
  <c r="G3850" i="23"/>
  <c r="G1337" i="23"/>
  <c r="G4235" i="23"/>
  <c r="G1639" i="23"/>
  <c r="G3271" i="23"/>
  <c r="G4215" i="23"/>
  <c r="G2381" i="23"/>
  <c r="G545" i="23"/>
  <c r="G2584" i="23"/>
  <c r="G2300" i="23"/>
  <c r="G3590" i="23"/>
  <c r="G3591" i="23"/>
  <c r="G2027" i="23"/>
  <c r="G811" i="23"/>
  <c r="G26" i="23"/>
  <c r="G2293" i="23"/>
  <c r="G3633" i="23"/>
  <c r="G4608" i="23"/>
  <c r="G2110" i="23"/>
  <c r="G4027" i="23"/>
  <c r="G4468" i="23"/>
  <c r="G2117" i="23"/>
  <c r="G4599" i="23"/>
  <c r="G4897" i="23"/>
  <c r="G4137" i="23"/>
  <c r="G4947" i="23"/>
  <c r="G2364" i="23"/>
  <c r="G924" i="23"/>
  <c r="G1572" i="23"/>
  <c r="G4119" i="23"/>
  <c r="G1506" i="23"/>
  <c r="G2607" i="23"/>
  <c r="G944" i="23"/>
  <c r="G4227" i="23"/>
  <c r="G4846" i="23"/>
  <c r="G1730" i="23"/>
  <c r="G4623" i="23"/>
  <c r="G560" i="23"/>
  <c r="G963" i="23"/>
  <c r="G2209" i="23"/>
  <c r="G393" i="23"/>
  <c r="G2011" i="23"/>
  <c r="G4725" i="23"/>
  <c r="G365" i="23"/>
  <c r="G889" i="23"/>
  <c r="G4771" i="23"/>
  <c r="G3155" i="23"/>
  <c r="G3385" i="23"/>
  <c r="G1744" i="23"/>
  <c r="G4131" i="23"/>
  <c r="G4774" i="23"/>
  <c r="G4603" i="23"/>
  <c r="G2036" i="23"/>
  <c r="G4206" i="23"/>
  <c r="G2485" i="23"/>
  <c r="G1590" i="23"/>
  <c r="G1375" i="23"/>
  <c r="G175" i="23"/>
  <c r="G41" i="23"/>
  <c r="G1389" i="23"/>
  <c r="G1024" i="23"/>
  <c r="G4497" i="23"/>
  <c r="G4965" i="23"/>
  <c r="G2242" i="23"/>
  <c r="G2532" i="23"/>
  <c r="G1850" i="23"/>
  <c r="G586" i="23"/>
  <c r="G1053" i="23"/>
  <c r="G4695" i="23"/>
  <c r="G4871" i="23"/>
  <c r="G2028" i="23"/>
  <c r="G2109" i="23"/>
  <c r="G3551" i="23"/>
  <c r="G3341" i="23"/>
  <c r="G3929" i="23"/>
  <c r="G905" i="23"/>
  <c r="G727" i="23"/>
  <c r="G3696" i="23"/>
  <c r="G2734" i="23"/>
  <c r="G4378" i="23"/>
  <c r="G4329" i="23"/>
  <c r="G2755" i="23"/>
  <c r="G3235" i="23"/>
  <c r="G4325" i="23"/>
  <c r="G2157" i="23"/>
  <c r="G4076" i="23"/>
  <c r="G3853" i="23"/>
  <c r="G1934" i="23"/>
  <c r="G3838" i="23"/>
  <c r="G2590" i="23"/>
  <c r="G1448" i="23"/>
  <c r="G92" i="23"/>
  <c r="G4535" i="23"/>
  <c r="G787" i="23"/>
  <c r="G43" i="23"/>
  <c r="G433" i="23"/>
  <c r="G1519" i="23"/>
  <c r="G2004" i="23"/>
  <c r="G1882" i="23"/>
  <c r="G1354" i="23"/>
  <c r="G784" i="23"/>
  <c r="G2454" i="23"/>
  <c r="G1275" i="23"/>
  <c r="G3912" i="23"/>
  <c r="G2910" i="23"/>
  <c r="G3061" i="23"/>
  <c r="G939" i="23"/>
  <c r="G2625" i="23"/>
  <c r="G1014" i="23"/>
  <c r="G2500" i="23"/>
  <c r="G4355" i="23"/>
  <c r="G4894" i="23"/>
  <c r="G3081" i="23"/>
  <c r="G892" i="23"/>
  <c r="G3637" i="23"/>
  <c r="G2746" i="23"/>
  <c r="G2154" i="23"/>
  <c r="G3957" i="23"/>
  <c r="G2422" i="23"/>
  <c r="G1333" i="23"/>
  <c r="G1833" i="23"/>
  <c r="G246" i="23"/>
  <c r="G4850" i="23"/>
  <c r="G1944" i="23"/>
  <c r="G2182" i="23"/>
  <c r="G2316" i="23"/>
  <c r="G2449" i="23"/>
  <c r="G4596" i="23"/>
  <c r="G3441" i="23"/>
  <c r="G1800" i="23"/>
  <c r="G1345" i="23"/>
  <c r="G89" i="23"/>
  <c r="G1703" i="23"/>
  <c r="G1408" i="23"/>
  <c r="G233" i="23"/>
  <c r="G1338" i="23"/>
  <c r="G1514" i="23"/>
  <c r="G12" i="23"/>
  <c r="G1937" i="23"/>
  <c r="G1815" i="23"/>
  <c r="G4456" i="23"/>
  <c r="G215" i="23"/>
  <c r="G2277" i="23"/>
  <c r="G805" i="23"/>
  <c r="G636" i="23"/>
  <c r="G4056" i="23"/>
  <c r="G2343" i="23"/>
  <c r="G3777" i="23"/>
  <c r="G1374" i="23"/>
  <c r="G3604" i="23"/>
  <c r="G3641" i="23"/>
  <c r="G3058" i="23"/>
  <c r="G4773" i="23"/>
  <c r="G3686" i="23"/>
  <c r="G3319" i="23"/>
  <c r="G3167" i="23"/>
  <c r="G2082" i="23"/>
  <c r="G4276" i="23"/>
  <c r="G1048" i="23"/>
  <c r="G1965" i="23"/>
  <c r="G611" i="23"/>
  <c r="G4233" i="23"/>
  <c r="G3581" i="23"/>
  <c r="G4473" i="23"/>
  <c r="G219" i="23"/>
  <c r="G2044" i="23"/>
  <c r="G2710" i="23"/>
  <c r="G3994" i="23"/>
  <c r="G1576" i="23"/>
  <c r="G1066" i="23"/>
  <c r="G2720" i="23"/>
  <c r="G955" i="23"/>
  <c r="G1678" i="23"/>
  <c r="G265" i="23"/>
  <c r="G3376" i="23"/>
  <c r="G4765" i="23"/>
  <c r="G1777" i="23"/>
  <c r="G2007" i="23"/>
  <c r="G3557" i="23"/>
  <c r="G2206" i="23"/>
  <c r="G1392" i="23"/>
  <c r="G2451" i="23"/>
  <c r="G2234" i="23"/>
  <c r="G380" i="23"/>
  <c r="G1443" i="23"/>
  <c r="G1102" i="23"/>
  <c r="G3055" i="23"/>
  <c r="G4912" i="23"/>
  <c r="G2276" i="23"/>
  <c r="G422" i="23"/>
  <c r="G3009" i="23"/>
  <c r="G762" i="23"/>
  <c r="G2091" i="23"/>
  <c r="G2822" i="23"/>
  <c r="G2439" i="23"/>
  <c r="G3827" i="23"/>
  <c r="G3243" i="23"/>
  <c r="G1998" i="23"/>
  <c r="G4448" i="23"/>
  <c r="G4696" i="23"/>
  <c r="G1886" i="23"/>
  <c r="G4825" i="23"/>
  <c r="G1525" i="23"/>
  <c r="G1302" i="23"/>
  <c r="G706" i="23"/>
  <c r="G4365" i="23"/>
  <c r="G1601" i="23"/>
  <c r="G1981" i="23"/>
  <c r="G2338" i="23"/>
  <c r="G3440" i="23"/>
  <c r="G4490" i="23"/>
  <c r="G1109" i="23"/>
  <c r="G2795" i="23"/>
  <c r="G1513" i="23"/>
  <c r="G4503" i="23"/>
  <c r="G4096" i="23"/>
  <c r="G2049" i="23"/>
  <c r="G276" i="23"/>
  <c r="G1597" i="23"/>
  <c r="G4360" i="23"/>
  <c r="G2257" i="23"/>
  <c r="G1319" i="23"/>
  <c r="G844" i="23"/>
  <c r="G622" i="23"/>
  <c r="G2976" i="23"/>
  <c r="G2229" i="23"/>
  <c r="G952" i="23"/>
  <c r="G1891" i="23"/>
  <c r="G407" i="23"/>
  <c r="G2835" i="23"/>
  <c r="G430" i="23"/>
  <c r="G3949" i="23"/>
  <c r="G3246" i="23"/>
  <c r="G4253" i="23"/>
  <c r="G4037" i="23"/>
  <c r="G1545" i="23"/>
  <c r="G2688" i="23"/>
  <c r="G2556" i="23"/>
  <c r="G4061" i="23"/>
  <c r="G3403" i="23"/>
  <c r="G4573" i="23"/>
  <c r="G3335" i="23"/>
  <c r="G3041" i="23"/>
  <c r="G4179" i="23"/>
  <c r="G1587" i="23"/>
  <c r="G4635" i="23"/>
  <c r="G4761" i="23"/>
  <c r="G1268" i="23"/>
  <c r="G4581" i="23"/>
  <c r="G1658" i="23"/>
  <c r="G1179" i="23"/>
  <c r="G4622" i="23"/>
  <c r="G485" i="23"/>
  <c r="G4515" i="23"/>
  <c r="G3665" i="23"/>
  <c r="G3410" i="23"/>
  <c r="G1205" i="23"/>
  <c r="G2205" i="23"/>
  <c r="G4848" i="23"/>
  <c r="G1671" i="23"/>
  <c r="G4270" i="23"/>
  <c r="G4410" i="23"/>
  <c r="G996" i="23"/>
  <c r="G1180" i="23"/>
  <c r="G655" i="23"/>
  <c r="G1852" i="23"/>
  <c r="G3967" i="23"/>
  <c r="G3602" i="23"/>
  <c r="G2762" i="23"/>
  <c r="G4205" i="23"/>
  <c r="G2988" i="23"/>
  <c r="G4299" i="23"/>
  <c r="G1579" i="23"/>
  <c r="G3272" i="23"/>
  <c r="G4379" i="23"/>
  <c r="G4661" i="23"/>
  <c r="G1856" i="23"/>
  <c r="G1871" i="23"/>
  <c r="G3122" i="23"/>
  <c r="G1000" i="23"/>
  <c r="G2794" i="23"/>
  <c r="G4263" i="23"/>
  <c r="G3156" i="23"/>
  <c r="G2146" i="23"/>
  <c r="G4121" i="23"/>
  <c r="G3096" i="23"/>
  <c r="G3511" i="23"/>
  <c r="G3501" i="23"/>
  <c r="G691" i="23"/>
  <c r="G915" i="23"/>
  <c r="G4547" i="23"/>
  <c r="G4678" i="23"/>
  <c r="G4272" i="23"/>
  <c r="G1390" i="23"/>
  <c r="G2092" i="23"/>
  <c r="G3143" i="23"/>
  <c r="G2464" i="23"/>
  <c r="G180" i="23"/>
  <c r="G1543" i="23"/>
  <c r="G4333" i="23"/>
  <c r="G1869" i="23"/>
  <c r="G580" i="23"/>
  <c r="G3121" i="23"/>
  <c r="G3296" i="23"/>
  <c r="G504" i="23"/>
  <c r="G3443" i="23"/>
  <c r="G4908" i="23"/>
  <c r="G194" i="23"/>
  <c r="G4043" i="23"/>
  <c r="G1178" i="23"/>
  <c r="G4612" i="23"/>
  <c r="G4213" i="23"/>
  <c r="G4750" i="23"/>
  <c r="G3900" i="23"/>
  <c r="G615" i="23"/>
  <c r="G409" i="23"/>
  <c r="G2062" i="23"/>
  <c r="G4127" i="23"/>
  <c r="G3979" i="23"/>
  <c r="G358" i="23"/>
  <c r="G4109" i="23"/>
  <c r="G3295" i="23"/>
  <c r="G2136" i="23"/>
  <c r="G2173" i="23"/>
  <c r="G1004" i="23"/>
  <c r="G4698" i="23"/>
  <c r="G1232" i="23"/>
  <c r="G1046" i="23"/>
  <c r="G744" i="23"/>
  <c r="G1599" i="23"/>
  <c r="G4195" i="23"/>
  <c r="G885" i="23"/>
  <c r="G4681" i="23"/>
  <c r="G2626" i="23"/>
  <c r="G103" i="23"/>
  <c r="G1165" i="23"/>
  <c r="G1189" i="23"/>
  <c r="G3851" i="23"/>
  <c r="G4082" i="23"/>
  <c r="G4232" i="23"/>
  <c r="G3276" i="23"/>
  <c r="G3040" i="23"/>
  <c r="G2247" i="23"/>
  <c r="G4338" i="23"/>
  <c r="G244" i="23"/>
  <c r="G4071" i="23"/>
  <c r="G4857" i="23"/>
  <c r="G4945" i="23"/>
  <c r="G1415" i="23"/>
  <c r="G1617" i="23"/>
  <c r="G4539" i="23"/>
  <c r="G2153" i="23"/>
  <c r="G1722" i="23"/>
  <c r="G3911" i="23"/>
  <c r="G1002" i="23"/>
  <c r="G2843" i="23"/>
  <c r="G1114" i="23"/>
  <c r="G251" i="23"/>
  <c r="G370" i="23"/>
  <c r="G843" i="23"/>
  <c r="G1093" i="23"/>
  <c r="G721" i="23"/>
  <c r="G4604" i="23"/>
  <c r="G3151" i="23"/>
  <c r="G4044" i="23"/>
  <c r="G912" i="23"/>
  <c r="G1939" i="23"/>
  <c r="G1978" i="23"/>
  <c r="G2204" i="23"/>
  <c r="G3539" i="23"/>
  <c r="G1831" i="23"/>
  <c r="G2517" i="23"/>
  <c r="G3142" i="23"/>
  <c r="G1793" i="23"/>
  <c r="G4125" i="23"/>
  <c r="G518" i="23"/>
  <c r="G4346" i="23"/>
  <c r="G231" i="23"/>
  <c r="G1646" i="23"/>
  <c r="G2760" i="23"/>
  <c r="G346" i="23"/>
  <c r="G3197" i="23"/>
  <c r="G2559" i="23"/>
  <c r="G3785" i="23"/>
  <c r="G769" i="23"/>
  <c r="G1971" i="23"/>
  <c r="G3902" i="23"/>
  <c r="G4676" i="23"/>
  <c r="G1925" i="23"/>
  <c r="G773" i="23"/>
  <c r="G4729" i="23"/>
  <c r="G1530" i="23"/>
  <c r="G261" i="23"/>
  <c r="G2467" i="23"/>
  <c r="G62" i="23"/>
  <c r="G68" i="23"/>
  <c r="G1314" i="23"/>
  <c r="G4088" i="23"/>
  <c r="G1103" i="23"/>
  <c r="G1640" i="23"/>
  <c r="G3240" i="23"/>
  <c r="G3609" i="23"/>
  <c r="G2020" i="23"/>
  <c r="G3035" i="23"/>
  <c r="G395" i="23"/>
  <c r="G2116" i="23"/>
  <c r="G894" i="23"/>
  <c r="G38" i="23"/>
  <c r="G827" i="23"/>
  <c r="G678" i="23"/>
  <c r="G2491" i="23"/>
  <c r="G2480" i="23"/>
  <c r="G3401" i="23"/>
  <c r="G3031" i="23"/>
  <c r="G3542" i="23"/>
  <c r="G65" i="23"/>
  <c r="G1675" i="23"/>
  <c r="G2983" i="23"/>
  <c r="G2797" i="23"/>
  <c r="G3158" i="23"/>
  <c r="G3416" i="23"/>
  <c r="G3780" i="23"/>
  <c r="G150" i="23"/>
  <c r="G3563" i="23"/>
  <c r="G3192" i="23"/>
  <c r="G3015" i="23"/>
  <c r="G2860" i="23"/>
  <c r="G4210" i="23"/>
  <c r="G507" i="23"/>
  <c r="G4322" i="23"/>
  <c r="G858" i="23"/>
  <c r="G326" i="23"/>
  <c r="G2465" i="23"/>
  <c r="G3974" i="23"/>
  <c r="G1309" i="23"/>
  <c r="G3617" i="23"/>
  <c r="G1494" i="23"/>
  <c r="G119" i="23"/>
  <c r="G4564" i="23"/>
  <c r="G4651" i="23"/>
  <c r="G3776" i="23"/>
  <c r="G4517" i="23"/>
  <c r="G1613" i="23"/>
  <c r="G4499" i="23"/>
  <c r="G2270" i="23"/>
  <c r="G2561" i="23"/>
  <c r="G412" i="23"/>
  <c r="G1383" i="23"/>
  <c r="G338" i="23"/>
  <c r="G1878" i="23"/>
  <c r="G583" i="23"/>
  <c r="G1979" i="23"/>
  <c r="G2351" i="23"/>
  <c r="G4426" i="23"/>
  <c r="G2799" i="23"/>
  <c r="G800" i="23"/>
  <c r="G411" i="23"/>
  <c r="G690" i="23"/>
  <c r="G671" i="23"/>
  <c r="G2177" i="23"/>
  <c r="G396" i="23"/>
  <c r="G2389" i="23"/>
  <c r="G1704" i="23"/>
  <c r="G4875" i="23"/>
  <c r="G2382" i="23"/>
  <c r="G131" i="23"/>
  <c r="G1818" i="23"/>
  <c r="G3419" i="23"/>
  <c r="G2690" i="23"/>
  <c r="G3001" i="23"/>
  <c r="G3211" i="23"/>
  <c r="G4738" i="23"/>
  <c r="G1571" i="23"/>
  <c r="G2353" i="23"/>
  <c r="G1849" i="23"/>
  <c r="G146" i="23"/>
  <c r="G3363" i="23"/>
  <c r="G1013" i="23"/>
  <c r="G2713" i="23"/>
  <c r="G2600" i="23"/>
  <c r="G2995" i="23"/>
  <c r="G503" i="23"/>
  <c r="G2651" i="23"/>
  <c r="G142" i="23"/>
  <c r="G625" i="23"/>
  <c r="G2155" i="23"/>
  <c r="G4204" i="23"/>
  <c r="G1473" i="23"/>
  <c r="G1780" i="23"/>
  <c r="G1202" i="23"/>
  <c r="G440" i="23"/>
  <c r="G482" i="23"/>
  <c r="G82" i="23"/>
  <c r="G1200" i="23"/>
  <c r="G4929" i="23"/>
  <c r="G372" i="23"/>
  <c r="G3667" i="23"/>
  <c r="G4550" i="23"/>
  <c r="G2474" i="23"/>
  <c r="G2137" i="23"/>
  <c r="G3491" i="23"/>
  <c r="G1768" i="23"/>
  <c r="G2888" i="23"/>
  <c r="G3138" i="23"/>
  <c r="G662" i="23"/>
  <c r="G2870" i="23"/>
  <c r="G1769" i="23"/>
  <c r="G4198" i="23"/>
  <c r="G2170" i="23"/>
  <c r="G4764" i="23"/>
  <c r="G3221" i="23"/>
  <c r="G4248" i="23"/>
  <c r="G1643" i="23"/>
  <c r="G3749" i="23"/>
  <c r="G2328" i="23"/>
  <c r="G84" i="23"/>
  <c r="G1725" i="23"/>
  <c r="G867" i="23"/>
  <c r="G790" i="23"/>
  <c r="G253" i="23"/>
  <c r="G4899" i="23"/>
  <c r="G3085" i="23"/>
  <c r="G3695" i="23"/>
  <c r="G63" i="23"/>
  <c r="G466" i="23"/>
  <c r="G2140" i="23"/>
  <c r="G3758" i="23"/>
  <c r="G729" i="23"/>
  <c r="G1362" i="23"/>
  <c r="G1353" i="23"/>
  <c r="G4756" i="23"/>
  <c r="G508" i="23"/>
  <c r="G1355" i="23"/>
  <c r="G3704" i="23"/>
  <c r="G676" i="23"/>
  <c r="G198" i="23"/>
  <c r="G3943" i="23"/>
  <c r="G1884" i="23"/>
  <c r="G37" i="23"/>
  <c r="G3497" i="23"/>
  <c r="G3723" i="23"/>
  <c r="G1687" i="23"/>
  <c r="G984" i="23"/>
  <c r="G266" i="23"/>
  <c r="G3006" i="23"/>
  <c r="G1507" i="23"/>
  <c r="G1716" i="23"/>
  <c r="G3715" i="23"/>
  <c r="G3702" i="23"/>
  <c r="G2298" i="23"/>
  <c r="G1803" i="23"/>
  <c r="G2577" i="23"/>
  <c r="G343" i="23"/>
  <c r="G381" i="23"/>
  <c r="G4672" i="23"/>
  <c r="G1422" i="23"/>
  <c r="G4457" i="23"/>
  <c r="G4808" i="23"/>
  <c r="G1899" i="23"/>
  <c r="G1887" i="23"/>
  <c r="G2646" i="23"/>
  <c r="G3707" i="23"/>
  <c r="G4281" i="23"/>
  <c r="G2433" i="23"/>
  <c r="G2712" i="23"/>
  <c r="G3444" i="23"/>
  <c r="G334" i="23"/>
  <c r="G4804" i="23"/>
  <c r="G66" i="23"/>
  <c r="G1195" i="23"/>
  <c r="G2463" i="23"/>
  <c r="G1659" i="23"/>
  <c r="G250" i="23"/>
  <c r="G1608" i="23"/>
  <c r="G2526" i="23"/>
  <c r="G2882" i="23"/>
  <c r="G3367" i="23"/>
  <c r="G4326" i="23"/>
  <c r="G2783" i="23"/>
  <c r="G1352" i="23"/>
  <c r="G4084" i="23"/>
  <c r="G4796" i="23"/>
  <c r="G2599" i="23"/>
  <c r="G4126" i="23"/>
  <c r="G920" i="23"/>
  <c r="G70" i="23"/>
  <c r="G1734" i="23"/>
  <c r="G4540" i="23"/>
  <c r="G1474" i="23"/>
  <c r="G3805" i="23"/>
  <c r="G1743" i="23"/>
  <c r="G575" i="23"/>
  <c r="G3393" i="23"/>
  <c r="G4847" i="23"/>
  <c r="G4328" i="23"/>
  <c r="G1274" i="23"/>
  <c r="G460" i="23"/>
  <c r="G3054" i="23"/>
  <c r="G3490" i="23"/>
  <c r="G4867" i="23"/>
  <c r="G1999" i="23"/>
  <c r="G3293" i="23"/>
  <c r="G1964" i="23"/>
  <c r="G2484" i="23"/>
  <c r="G3964" i="23"/>
  <c r="G3857" i="23"/>
  <c r="G2121" i="23"/>
  <c r="G2739" i="23"/>
  <c r="G3008" i="23"/>
  <c r="G3567" i="23"/>
  <c r="G1607" i="23"/>
  <c r="G4609" i="23"/>
  <c r="G1398" i="23"/>
  <c r="G4128" i="23"/>
  <c r="G3799" i="23"/>
  <c r="G3608" i="23"/>
  <c r="G3118" i="23"/>
  <c r="G2266" i="23"/>
  <c r="G1669" i="23"/>
  <c r="G987" i="23"/>
  <c r="G3745" i="23"/>
  <c r="G1977" i="23"/>
  <c r="G2742" i="23"/>
  <c r="G1351" i="23"/>
  <c r="G1798" i="23"/>
  <c r="G293" i="23"/>
  <c r="G3865" i="23"/>
  <c r="G1296" i="23"/>
  <c r="G471" i="23"/>
  <c r="G1213" i="23"/>
  <c r="G510" i="23"/>
  <c r="G937" i="23"/>
  <c r="G2975" i="23"/>
  <c r="G4925" i="23"/>
  <c r="G3037" i="23"/>
  <c r="G3326" i="23"/>
  <c r="G2041" i="23"/>
  <c r="G2616" i="23"/>
  <c r="G1062" i="23"/>
  <c r="G2477" i="23"/>
  <c r="G1326" i="23"/>
  <c r="G220" i="23"/>
  <c r="G268" i="23"/>
  <c r="G2854" i="23"/>
  <c r="G4704" i="23"/>
  <c r="G2383" i="23"/>
  <c r="G2412" i="23"/>
  <c r="G1670" i="23"/>
  <c r="G3150" i="23"/>
  <c r="G3987" i="23"/>
  <c r="G4917" i="23"/>
  <c r="G1816" i="23"/>
  <c r="G4165" i="23"/>
  <c r="G3843" i="23"/>
  <c r="G4100" i="23"/>
  <c r="G866" i="23"/>
  <c r="G444" i="23"/>
  <c r="G2221" i="23"/>
  <c r="G475" i="23"/>
  <c r="G113" i="23"/>
  <c r="G1122" i="23"/>
  <c r="G2693" i="23"/>
  <c r="G3627" i="23"/>
  <c r="G2867" i="23"/>
  <c r="G3467" i="23"/>
  <c r="G18" i="23"/>
  <c r="G3728" i="23"/>
  <c r="G4381" i="23"/>
  <c r="G2669" i="23"/>
  <c r="G658" i="23"/>
  <c r="G1228" i="23"/>
  <c r="G3981" i="23"/>
  <c r="G58" i="23"/>
  <c r="G456" i="23"/>
  <c r="G367" i="23"/>
  <c r="G704" i="23"/>
  <c r="G4386" i="23"/>
  <c r="G1342" i="23"/>
  <c r="G1936" i="23"/>
  <c r="G2591" i="23"/>
  <c r="G2767" i="23"/>
  <c r="G4393" i="23"/>
  <c r="G4647" i="23"/>
  <c r="G353" i="23"/>
  <c r="G229" i="23"/>
  <c r="G2862" i="23"/>
  <c r="G3738" i="23"/>
  <c r="G1677" i="23"/>
  <c r="G2732" i="23"/>
  <c r="G3428" i="23"/>
  <c r="G1736" i="23"/>
  <c r="G1395" i="23"/>
  <c r="G3102" i="23"/>
  <c r="G2668" i="23"/>
  <c r="G4536" i="23"/>
  <c r="G3930" i="23"/>
  <c r="G809" i="23"/>
  <c r="G3007" i="23"/>
  <c r="G4320" i="23"/>
  <c r="G2176" i="23"/>
  <c r="G2602" i="23"/>
  <c r="G69" i="23"/>
  <c r="G1656" i="23"/>
  <c r="G3126" i="23"/>
  <c r="G3124" i="23"/>
  <c r="G1762" i="23"/>
  <c r="G4310" i="23"/>
  <c r="G1401" i="23"/>
  <c r="G2475" i="23"/>
  <c r="G1920" i="23"/>
  <c r="G3908" i="23"/>
  <c r="G1064" i="23"/>
  <c r="G4144" i="23"/>
  <c r="G4193" i="23"/>
  <c r="G350" i="23"/>
  <c r="G2349" i="23"/>
  <c r="G4323" i="23"/>
  <c r="G1031" i="23"/>
  <c r="G3369" i="23"/>
  <c r="G860" i="23"/>
  <c r="G4467" i="23"/>
  <c r="G777" i="23"/>
  <c r="G139" i="23"/>
  <c r="G216" i="23"/>
  <c r="G2564" i="23"/>
  <c r="G3038" i="23"/>
  <c r="G2581" i="23"/>
  <c r="G4407" i="23"/>
  <c r="G3342" i="23"/>
  <c r="G4749" i="23"/>
  <c r="G1898" i="23"/>
  <c r="G4529" i="23"/>
  <c r="G1596" i="23"/>
  <c r="G3727" i="23"/>
  <c r="G4154" i="23"/>
  <c r="G3769" i="23"/>
  <c r="G3387" i="23"/>
  <c r="G3868" i="23"/>
  <c r="G47" i="23"/>
  <c r="G75" i="23"/>
  <c r="G3802" i="23"/>
  <c r="G1160" i="23"/>
  <c r="G1208" i="23"/>
  <c r="G4495" i="23"/>
  <c r="G3593" i="23"/>
  <c r="G3106" i="23"/>
  <c r="G2905" i="23"/>
  <c r="G3413" i="23"/>
  <c r="G3493" i="23"/>
  <c r="G4721" i="23"/>
  <c r="G2311" i="23"/>
  <c r="G4175" i="23"/>
  <c r="G2819" i="23"/>
  <c r="G4085" i="23"/>
  <c r="G4230" i="23"/>
  <c r="G3343" i="23"/>
  <c r="G376" i="23"/>
  <c r="G1502" i="23"/>
  <c r="G781" i="23"/>
  <c r="G3866" i="23"/>
  <c r="G3253" i="23"/>
  <c r="G3653" i="23"/>
  <c r="G1536" i="23"/>
  <c r="G629" i="23"/>
  <c r="G4077" i="23"/>
  <c r="G147" i="23"/>
  <c r="G1539" i="23"/>
  <c r="G4923" i="23"/>
  <c r="G3697" i="23"/>
  <c r="G3378" i="23"/>
  <c r="G623" i="23"/>
  <c r="G9" i="23"/>
  <c r="G117" i="23"/>
  <c r="G4542" i="23"/>
  <c r="G2579" i="23"/>
  <c r="G4718" i="23"/>
  <c r="G3082" i="23"/>
  <c r="G1320" i="23"/>
  <c r="G1071" i="23"/>
  <c r="G4958" i="23"/>
  <c r="G3772" i="23"/>
  <c r="G1927" i="23"/>
  <c r="G4932" i="23"/>
  <c r="G875" i="23"/>
  <c r="G2680" i="23"/>
  <c r="G1921" i="23"/>
  <c r="G665" i="23"/>
  <c r="G1061" i="23"/>
  <c r="H98" i="24"/>
  <c r="L117" i="7"/>
  <c r="E117" i="7"/>
  <c r="I117" i="7"/>
  <c r="D117" i="7"/>
  <c r="G117" i="7"/>
  <c r="J117" i="7"/>
  <c r="H117" i="7"/>
  <c r="K117" i="7"/>
  <c r="F117" i="7"/>
  <c r="C117" i="7"/>
  <c r="M17" i="23"/>
  <c r="M19" i="23"/>
  <c r="M18" i="23"/>
  <c r="M20" i="23"/>
  <c r="D43" i="22"/>
  <c r="D38" i="22"/>
  <c r="D37" i="22"/>
  <c r="F10" i="22"/>
  <c r="G10" i="22"/>
  <c r="H10" i="22"/>
  <c r="I10" i="22"/>
  <c r="J10" i="22"/>
  <c r="E10" i="22"/>
  <c r="D27" i="22"/>
  <c r="G15" i="22"/>
  <c r="H15" i="22"/>
  <c r="I15" i="22"/>
  <c r="D54" i="20"/>
  <c r="B47" i="20"/>
  <c r="E36" i="20"/>
  <c r="F36" i="20"/>
  <c r="G36" i="20"/>
  <c r="H36" i="20"/>
  <c r="I36" i="20"/>
  <c r="D36" i="20"/>
  <c r="E18" i="20"/>
  <c r="F18" i="20"/>
  <c r="G18" i="20"/>
  <c r="H18" i="20"/>
  <c r="I18" i="20"/>
  <c r="D18" i="20"/>
  <c r="B18" i="20"/>
  <c r="E25" i="20"/>
  <c r="F25" i="20"/>
  <c r="G25" i="20"/>
  <c r="H25" i="20"/>
  <c r="I25" i="20"/>
  <c r="D25" i="20"/>
  <c r="B33" i="20"/>
  <c r="B26" i="20"/>
  <c r="B27" i="20"/>
  <c r="B28" i="20"/>
  <c r="B29" i="20"/>
  <c r="B30" i="20"/>
  <c r="B31" i="20"/>
  <c r="B32" i="20"/>
  <c r="B25" i="20"/>
  <c r="E19" i="20"/>
  <c r="F19" i="20"/>
  <c r="G19" i="20"/>
  <c r="H19" i="20"/>
  <c r="I19" i="20"/>
  <c r="D19" i="20"/>
  <c r="E17" i="20"/>
  <c r="F17" i="20"/>
  <c r="G17" i="20"/>
  <c r="H17" i="20"/>
  <c r="I17" i="20"/>
  <c r="B19" i="20"/>
  <c r="B17" i="20"/>
  <c r="D17" i="20"/>
  <c r="D13" i="20"/>
  <c r="E13" i="20"/>
  <c r="F13" i="20"/>
  <c r="G13" i="20"/>
  <c r="H13" i="20"/>
  <c r="I13" i="20"/>
  <c r="E12" i="20"/>
  <c r="F12" i="20"/>
  <c r="G12" i="20"/>
  <c r="H12" i="20"/>
  <c r="I12" i="20"/>
  <c r="D12" i="20"/>
  <c r="D11" i="20"/>
  <c r="E11" i="20"/>
  <c r="F11" i="20"/>
  <c r="G11" i="20"/>
  <c r="H11" i="20"/>
  <c r="I11" i="20"/>
  <c r="E10" i="20"/>
  <c r="F10" i="20"/>
  <c r="G10" i="20"/>
  <c r="H10" i="20"/>
  <c r="I10" i="20"/>
  <c r="D10" i="20"/>
  <c r="E7" i="20"/>
  <c r="E47" i="20"/>
  <c r="F7" i="20"/>
  <c r="F47" i="20"/>
  <c r="G7" i="20"/>
  <c r="G47" i="20"/>
  <c r="H7" i="20"/>
  <c r="H47" i="20"/>
  <c r="I7" i="20"/>
  <c r="I47" i="20"/>
  <c r="E7" i="22"/>
  <c r="F7" i="22"/>
  <c r="G7" i="22"/>
  <c r="H7" i="22"/>
  <c r="I7" i="22"/>
  <c r="J7" i="22"/>
  <c r="D7" i="20"/>
  <c r="D47" i="20"/>
  <c r="B13" i="20"/>
  <c r="B12" i="20"/>
  <c r="B11" i="20"/>
  <c r="B10" i="20"/>
  <c r="J15" i="22"/>
  <c r="F20" i="20"/>
  <c r="D20" i="20"/>
  <c r="I20" i="20"/>
  <c r="F14" i="20"/>
  <c r="H35" i="20"/>
  <c r="H38" i="20"/>
  <c r="H14" i="20"/>
  <c r="D14" i="20"/>
  <c r="F35" i="20"/>
  <c r="F38" i="20"/>
  <c r="G20" i="20"/>
  <c r="D35" i="20"/>
  <c r="D38" i="20"/>
  <c r="I14" i="20"/>
  <c r="E20" i="20"/>
  <c r="G14" i="20"/>
  <c r="E35" i="20"/>
  <c r="E38" i="20"/>
  <c r="E14" i="20"/>
  <c r="H20" i="20"/>
  <c r="G35" i="20"/>
  <c r="G38" i="20"/>
  <c r="I35" i="20"/>
  <c r="I38" i="20"/>
  <c r="I22" i="20"/>
  <c r="F22" i="20"/>
  <c r="H22" i="20"/>
  <c r="E22" i="20"/>
  <c r="D22" i="20"/>
  <c r="D40" i="20"/>
  <c r="G22" i="20"/>
  <c r="E50" i="20"/>
  <c r="E54" i="20"/>
  <c r="G50" i="20"/>
  <c r="G54" i="20"/>
  <c r="H40" i="20"/>
  <c r="H50" i="20"/>
  <c r="H54" i="20"/>
  <c r="F40" i="20"/>
  <c r="F50" i="20"/>
  <c r="I40" i="20"/>
  <c r="I50" i="20"/>
  <c r="I54" i="20"/>
  <c r="F54" i="20"/>
  <c r="E40" i="20"/>
  <c r="G40" i="20"/>
  <c r="D30" i="21"/>
  <c r="E30" i="21"/>
  <c r="F30" i="21"/>
  <c r="G30" i="21"/>
  <c r="H30" i="21"/>
  <c r="I30" i="21"/>
  <c r="J30" i="21"/>
  <c r="K30" i="21"/>
  <c r="L30" i="21"/>
  <c r="C30" i="21"/>
  <c r="N33" i="17"/>
  <c r="F13" i="17"/>
  <c r="G14" i="17"/>
  <c r="J14" i="17"/>
  <c r="K14" i="17"/>
  <c r="L14" i="17"/>
  <c r="F15" i="17"/>
  <c r="G15" i="17"/>
  <c r="J15" i="17"/>
  <c r="K15" i="17"/>
  <c r="L15" i="17"/>
  <c r="F16" i="17"/>
  <c r="G16" i="17"/>
  <c r="J16" i="17"/>
  <c r="K16" i="17"/>
  <c r="L16" i="17"/>
  <c r="F17" i="17"/>
  <c r="G17" i="17"/>
  <c r="J17" i="17"/>
  <c r="K17" i="17"/>
  <c r="L17" i="17"/>
  <c r="F18" i="17"/>
  <c r="G18" i="17"/>
  <c r="J18" i="17"/>
  <c r="K18" i="17"/>
  <c r="L18" i="17"/>
  <c r="G19" i="17"/>
  <c r="J19" i="17"/>
  <c r="K19" i="17"/>
  <c r="L19" i="17"/>
  <c r="G20" i="17"/>
  <c r="J20" i="17"/>
  <c r="K20" i="17"/>
  <c r="L20" i="17"/>
  <c r="G21" i="17"/>
  <c r="J21" i="17"/>
  <c r="K21" i="17"/>
  <c r="L21" i="17"/>
  <c r="N30" i="17"/>
  <c r="O30" i="17"/>
  <c r="P30" i="17"/>
  <c r="B11" i="16"/>
  <c r="C11" i="16"/>
  <c r="F11" i="16"/>
  <c r="G11" i="16"/>
  <c r="D31" i="16"/>
  <c r="B12" i="16"/>
  <c r="C12" i="16"/>
  <c r="F12" i="16"/>
  <c r="B13" i="16"/>
  <c r="C13" i="16"/>
  <c r="F13" i="16"/>
  <c r="G13" i="16"/>
  <c r="B14" i="16"/>
  <c r="C14" i="16"/>
  <c r="F14" i="16"/>
  <c r="B15" i="16"/>
  <c r="C15" i="16"/>
  <c r="F15" i="16"/>
  <c r="H17" i="16"/>
  <c r="K17" i="16"/>
  <c r="H18" i="16"/>
  <c r="K18" i="16"/>
  <c r="F24" i="16"/>
  <c r="L31" i="16"/>
  <c r="H14" i="17"/>
  <c r="G14" i="16"/>
  <c r="H15" i="17"/>
  <c r="G15" i="16"/>
  <c r="H16" i="17"/>
  <c r="H17" i="17"/>
  <c r="H18" i="17"/>
  <c r="H19" i="17"/>
  <c r="H20" i="17"/>
  <c r="H21" i="17"/>
  <c r="B1" i="11"/>
  <c r="P15" i="17"/>
  <c r="P18" i="17"/>
  <c r="P16" i="17"/>
  <c r="P13" i="17"/>
  <c r="N14" i="17"/>
  <c r="F21" i="17"/>
  <c r="P21" i="17"/>
  <c r="O21" i="17"/>
  <c r="N19" i="17"/>
  <c r="F19" i="17"/>
  <c r="P19" i="17"/>
  <c r="N13" i="17"/>
  <c r="N16" i="17"/>
  <c r="I15" i="16"/>
  <c r="L15" i="16"/>
  <c r="N18" i="17"/>
  <c r="O18" i="17"/>
  <c r="N12" i="17"/>
  <c r="O12" i="17"/>
  <c r="N20" i="17"/>
  <c r="O20" i="17"/>
  <c r="O17" i="17"/>
  <c r="N17" i="17"/>
  <c r="N15" i="17"/>
  <c r="O15" i="17"/>
  <c r="F12" i="17"/>
  <c r="P12" i="17"/>
  <c r="G12" i="16"/>
  <c r="I12" i="16"/>
  <c r="P33" i="17"/>
  <c r="F20" i="17"/>
  <c r="P20" i="17"/>
  <c r="P17" i="17"/>
  <c r="I14" i="16"/>
  <c r="L14" i="16"/>
  <c r="O33" i="17"/>
  <c r="F14" i="17"/>
  <c r="P14" i="17"/>
  <c r="I11" i="16"/>
  <c r="I13" i="16"/>
  <c r="L13" i="16"/>
  <c r="J14" i="16"/>
  <c r="J15" i="16"/>
  <c r="P35" i="17"/>
  <c r="O35" i="17"/>
  <c r="O13" i="17"/>
  <c r="N21" i="17"/>
  <c r="O16" i="17"/>
  <c r="O19" i="17"/>
  <c r="N35" i="17"/>
  <c r="O14" i="17"/>
  <c r="F23" i="16"/>
  <c r="F25" i="16"/>
  <c r="K38" i="16"/>
  <c r="J11" i="16"/>
  <c r="D30" i="16"/>
  <c r="J13" i="16"/>
  <c r="C42" i="14"/>
  <c r="D42" i="14"/>
  <c r="E42" i="14"/>
  <c r="F42" i="14"/>
  <c r="G42" i="14"/>
  <c r="H42" i="14"/>
  <c r="I42" i="14"/>
  <c r="J42" i="14"/>
  <c r="K42" i="14"/>
  <c r="L42" i="14"/>
  <c r="C43" i="14"/>
  <c r="D43" i="14"/>
  <c r="E43" i="14"/>
  <c r="F43" i="14"/>
  <c r="G43" i="14"/>
  <c r="H43" i="14"/>
  <c r="I43" i="14"/>
  <c r="J43" i="14"/>
  <c r="K43" i="14"/>
  <c r="L43" i="14"/>
  <c r="D41" i="14"/>
  <c r="E41" i="14"/>
  <c r="F41" i="14"/>
  <c r="G41" i="14"/>
  <c r="H41" i="14"/>
  <c r="I41" i="14"/>
  <c r="J41" i="14"/>
  <c r="K41" i="14"/>
  <c r="L41" i="14"/>
  <c r="C41" i="14"/>
  <c r="C38" i="14"/>
  <c r="D38" i="14"/>
  <c r="E38" i="14"/>
  <c r="F38" i="14"/>
  <c r="G38" i="14"/>
  <c r="H38" i="14"/>
  <c r="I38" i="14"/>
  <c r="J38" i="14"/>
  <c r="K38" i="14"/>
  <c r="L38" i="14"/>
  <c r="C39" i="14"/>
  <c r="D39" i="14"/>
  <c r="E39" i="14"/>
  <c r="F39" i="14"/>
  <c r="G39" i="14"/>
  <c r="H39" i="14"/>
  <c r="I39" i="14"/>
  <c r="J39" i="14"/>
  <c r="K39" i="14"/>
  <c r="L39" i="14"/>
  <c r="D37" i="14"/>
  <c r="E37" i="14"/>
  <c r="F37" i="14"/>
  <c r="G37" i="14"/>
  <c r="H37" i="14"/>
  <c r="I37" i="14"/>
  <c r="J37" i="14"/>
  <c r="K37" i="14"/>
  <c r="L37" i="14"/>
  <c r="C37" i="14"/>
  <c r="D36" i="14"/>
  <c r="E36" i="14"/>
  <c r="F36" i="14"/>
  <c r="G36" i="14"/>
  <c r="H36" i="14"/>
  <c r="I36" i="14"/>
  <c r="J36" i="14"/>
  <c r="K36" i="14"/>
  <c r="L36" i="14"/>
  <c r="C36" i="14"/>
  <c r="C32" i="14"/>
  <c r="D32" i="14"/>
  <c r="E32" i="14"/>
  <c r="F32" i="14"/>
  <c r="G32" i="14"/>
  <c r="H32" i="14"/>
  <c r="I32" i="14"/>
  <c r="J32" i="14"/>
  <c r="K32" i="14"/>
  <c r="L32" i="14"/>
  <c r="C33" i="14"/>
  <c r="D33" i="14"/>
  <c r="E33" i="14"/>
  <c r="F33" i="14"/>
  <c r="G33" i="14"/>
  <c r="H33" i="14"/>
  <c r="I33" i="14"/>
  <c r="J33" i="14"/>
  <c r="K33" i="14"/>
  <c r="L33" i="14"/>
  <c r="C34" i="14"/>
  <c r="D34" i="14"/>
  <c r="E34" i="14"/>
  <c r="F34" i="14"/>
  <c r="G34" i="14"/>
  <c r="H34" i="14"/>
  <c r="I34" i="14"/>
  <c r="J34" i="14"/>
  <c r="K34" i="14"/>
  <c r="L34" i="14"/>
  <c r="D31" i="14"/>
  <c r="E31" i="14"/>
  <c r="F31" i="14"/>
  <c r="G31" i="14"/>
  <c r="H31" i="14"/>
  <c r="I31" i="14"/>
  <c r="J31" i="14"/>
  <c r="K31" i="14"/>
  <c r="L31" i="14"/>
  <c r="C31" i="14"/>
  <c r="D30" i="14"/>
  <c r="E30" i="14"/>
  <c r="F30" i="14"/>
  <c r="G30" i="14"/>
  <c r="H30" i="14"/>
  <c r="I30" i="14"/>
  <c r="J30" i="14"/>
  <c r="K30" i="14"/>
  <c r="L30" i="14"/>
  <c r="C30" i="14"/>
  <c r="B37" i="14"/>
  <c r="B32" i="14"/>
  <c r="B33" i="14"/>
  <c r="B34" i="14"/>
  <c r="B38" i="14"/>
  <c r="B39" i="14"/>
  <c r="B40" i="14"/>
  <c r="B41" i="14"/>
  <c r="B42" i="14"/>
  <c r="B43" i="14"/>
  <c r="B31" i="14"/>
  <c r="B27" i="14"/>
  <c r="L28" i="14"/>
  <c r="K28" i="14"/>
  <c r="J28" i="14"/>
  <c r="I28" i="14"/>
  <c r="H28" i="14"/>
  <c r="G28" i="14"/>
  <c r="F28" i="14"/>
  <c r="E28" i="14"/>
  <c r="D28" i="14"/>
  <c r="C28" i="14"/>
  <c r="D8" i="14"/>
  <c r="E8" i="14"/>
  <c r="F8" i="14"/>
  <c r="G8" i="14"/>
  <c r="H8" i="14"/>
  <c r="I8" i="14"/>
  <c r="J8" i="14"/>
  <c r="K8" i="14"/>
  <c r="L8" i="14"/>
  <c r="C8" i="14"/>
  <c r="B7" i="14"/>
  <c r="C11" i="14"/>
  <c r="D11" i="14"/>
  <c r="E11" i="14"/>
  <c r="F11" i="14"/>
  <c r="G11" i="14"/>
  <c r="H11" i="14"/>
  <c r="I11" i="14"/>
  <c r="J11" i="14"/>
  <c r="K11" i="14"/>
  <c r="L11" i="14"/>
  <c r="C12" i="14"/>
  <c r="D12" i="14"/>
  <c r="E12" i="14"/>
  <c r="F12" i="14"/>
  <c r="G12" i="14"/>
  <c r="H12" i="14"/>
  <c r="I12" i="14"/>
  <c r="J12" i="14"/>
  <c r="K12" i="14"/>
  <c r="L12" i="14"/>
  <c r="C13" i="14"/>
  <c r="D13" i="14"/>
  <c r="E13" i="14"/>
  <c r="F13" i="14"/>
  <c r="G13" i="14"/>
  <c r="H13" i="14"/>
  <c r="I13" i="14"/>
  <c r="J13" i="14"/>
  <c r="K13" i="14"/>
  <c r="L13" i="14"/>
  <c r="C14" i="14"/>
  <c r="D14" i="14"/>
  <c r="E14" i="14"/>
  <c r="F14" i="14"/>
  <c r="G14" i="14"/>
  <c r="H14" i="14"/>
  <c r="I14" i="14"/>
  <c r="J14" i="14"/>
  <c r="K14" i="14"/>
  <c r="L14" i="14"/>
  <c r="C15" i="14"/>
  <c r="D15" i="14"/>
  <c r="E15" i="14"/>
  <c r="F15" i="14"/>
  <c r="G15" i="14"/>
  <c r="H15" i="14"/>
  <c r="I15" i="14"/>
  <c r="J15" i="14"/>
  <c r="K15" i="14"/>
  <c r="L15" i="14"/>
  <c r="C16" i="14"/>
  <c r="D16" i="14"/>
  <c r="E16" i="14"/>
  <c r="F16" i="14"/>
  <c r="G16" i="14"/>
  <c r="H16" i="14"/>
  <c r="I16" i="14"/>
  <c r="J16" i="14"/>
  <c r="K16" i="14"/>
  <c r="L16" i="14"/>
  <c r="C17" i="14"/>
  <c r="D17" i="14"/>
  <c r="E17" i="14"/>
  <c r="F17" i="14"/>
  <c r="G17" i="14"/>
  <c r="H17" i="14"/>
  <c r="I17" i="14"/>
  <c r="J17" i="14"/>
  <c r="K17" i="14"/>
  <c r="L17" i="14"/>
  <c r="C18" i="14"/>
  <c r="D18" i="14"/>
  <c r="E18" i="14"/>
  <c r="F18" i="14"/>
  <c r="G18" i="14"/>
  <c r="H18" i="14"/>
  <c r="I18" i="14"/>
  <c r="J18" i="14"/>
  <c r="K18" i="14"/>
  <c r="L18" i="14"/>
  <c r="C19" i="14"/>
  <c r="D19" i="14"/>
  <c r="E19" i="14"/>
  <c r="F19" i="14"/>
  <c r="G19" i="14"/>
  <c r="H19" i="14"/>
  <c r="I19" i="14"/>
  <c r="J19" i="14"/>
  <c r="K19" i="14"/>
  <c r="L19" i="14"/>
  <c r="C20" i="14"/>
  <c r="D20" i="14"/>
  <c r="E20" i="14"/>
  <c r="F20" i="14"/>
  <c r="G20" i="14"/>
  <c r="H20" i="14"/>
  <c r="I20" i="14"/>
  <c r="J20" i="14"/>
  <c r="K20" i="14"/>
  <c r="L20" i="14"/>
  <c r="C21" i="14"/>
  <c r="D21" i="14"/>
  <c r="E21" i="14"/>
  <c r="F21" i="14"/>
  <c r="G21" i="14"/>
  <c r="H21" i="14"/>
  <c r="I21" i="14"/>
  <c r="J21" i="14"/>
  <c r="K21" i="14"/>
  <c r="L21" i="14"/>
  <c r="C22" i="14"/>
  <c r="D22" i="14"/>
  <c r="E22" i="14"/>
  <c r="F22" i="14"/>
  <c r="G22" i="14"/>
  <c r="H22" i="14"/>
  <c r="I22" i="14"/>
  <c r="J22" i="14"/>
  <c r="K22" i="14"/>
  <c r="L22" i="14"/>
  <c r="C23" i="14"/>
  <c r="D23" i="14"/>
  <c r="E23" i="14"/>
  <c r="F23" i="14"/>
  <c r="G23" i="14"/>
  <c r="H23" i="14"/>
  <c r="I23" i="14"/>
  <c r="J23" i="14"/>
  <c r="K23" i="14"/>
  <c r="L23" i="14"/>
  <c r="C24" i="14"/>
  <c r="D24" i="14"/>
  <c r="E24" i="14"/>
  <c r="F24" i="14"/>
  <c r="G24" i="14"/>
  <c r="H24" i="14"/>
  <c r="I24" i="14"/>
  <c r="J24" i="14"/>
  <c r="K24" i="14"/>
  <c r="L24" i="14"/>
  <c r="D10" i="14"/>
  <c r="E10" i="14"/>
  <c r="F10" i="14"/>
  <c r="G10" i="14"/>
  <c r="H10" i="14"/>
  <c r="I10" i="14"/>
  <c r="J10" i="14"/>
  <c r="K10" i="14"/>
  <c r="L10" i="14"/>
  <c r="C10" i="14"/>
  <c r="B24" i="14"/>
  <c r="B21" i="14"/>
  <c r="B22" i="14"/>
  <c r="B23" i="14"/>
  <c r="B11" i="14"/>
  <c r="B12" i="14"/>
  <c r="B13" i="14"/>
  <c r="B14" i="14"/>
  <c r="B15" i="14"/>
  <c r="B16" i="14"/>
  <c r="B17" i="14"/>
  <c r="B18" i="14"/>
  <c r="B19" i="14"/>
  <c r="B20" i="14"/>
  <c r="B10" i="14"/>
  <c r="B7" i="12"/>
  <c r="L8" i="12"/>
  <c r="K8" i="12"/>
  <c r="J8" i="12"/>
  <c r="I8" i="12"/>
  <c r="H8" i="12"/>
  <c r="G8" i="12"/>
  <c r="F8" i="12"/>
  <c r="E8" i="12"/>
  <c r="D8" i="12"/>
  <c r="C8" i="12"/>
  <c r="D77" i="7"/>
  <c r="E77" i="7"/>
  <c r="F77" i="7"/>
  <c r="G77" i="7"/>
  <c r="H77" i="7"/>
  <c r="I77" i="7"/>
  <c r="J77" i="7"/>
  <c r="K77" i="7"/>
  <c r="L77" i="7"/>
  <c r="D78" i="7"/>
  <c r="E78" i="7"/>
  <c r="F78" i="7"/>
  <c r="G78" i="7"/>
  <c r="H78" i="7"/>
  <c r="I78" i="7"/>
  <c r="J78" i="7"/>
  <c r="K78" i="7"/>
  <c r="L78" i="7"/>
  <c r="D79" i="7"/>
  <c r="E79" i="7"/>
  <c r="F79" i="7"/>
  <c r="G79" i="7"/>
  <c r="H79" i="7"/>
  <c r="I79" i="7"/>
  <c r="J79" i="7"/>
  <c r="K79" i="7"/>
  <c r="L79" i="7"/>
  <c r="C78" i="7"/>
  <c r="C79" i="7"/>
  <c r="C77" i="7"/>
  <c r="D63" i="7"/>
  <c r="D40" i="14"/>
  <c r="E63" i="7"/>
  <c r="E40" i="14"/>
  <c r="F63" i="7"/>
  <c r="F40" i="14"/>
  <c r="G63" i="7"/>
  <c r="G40" i="14"/>
  <c r="H63" i="7"/>
  <c r="H40" i="14"/>
  <c r="I63" i="7"/>
  <c r="I40" i="14"/>
  <c r="J63" i="7"/>
  <c r="J40" i="14"/>
  <c r="K63" i="7"/>
  <c r="K40" i="14"/>
  <c r="L63" i="7"/>
  <c r="L40" i="14"/>
  <c r="C63" i="7"/>
  <c r="C40" i="14"/>
  <c r="D66" i="7"/>
  <c r="E66" i="7"/>
  <c r="F66" i="7"/>
  <c r="G66" i="7"/>
  <c r="H66" i="7"/>
  <c r="I66" i="7"/>
  <c r="J66" i="7"/>
  <c r="K66" i="7"/>
  <c r="L66" i="7"/>
  <c r="D67" i="7"/>
  <c r="E67" i="7"/>
  <c r="F67" i="7"/>
  <c r="G67" i="7"/>
  <c r="H67" i="7"/>
  <c r="I67" i="7"/>
  <c r="J67" i="7"/>
  <c r="K67" i="7"/>
  <c r="L67" i="7"/>
  <c r="D68" i="7"/>
  <c r="E68" i="7"/>
  <c r="F68" i="7"/>
  <c r="G68" i="7"/>
  <c r="H68" i="7"/>
  <c r="I68" i="7"/>
  <c r="J68" i="7"/>
  <c r="K68" i="7"/>
  <c r="L68" i="7"/>
  <c r="C67" i="7"/>
  <c r="C68" i="7"/>
  <c r="C66" i="7"/>
  <c r="D60" i="7"/>
  <c r="E60" i="7"/>
  <c r="F60" i="7"/>
  <c r="G60" i="7"/>
  <c r="H60" i="7"/>
  <c r="I60" i="7"/>
  <c r="J60" i="7"/>
  <c r="K60" i="7"/>
  <c r="L60" i="7"/>
  <c r="D61" i="7"/>
  <c r="E61" i="7"/>
  <c r="F61" i="7"/>
  <c r="G61" i="7"/>
  <c r="H61" i="7"/>
  <c r="I61" i="7"/>
  <c r="J61" i="7"/>
  <c r="K61" i="7"/>
  <c r="L61" i="7"/>
  <c r="D62" i="7"/>
  <c r="E62" i="7"/>
  <c r="F62" i="7"/>
  <c r="G62" i="7"/>
  <c r="H62" i="7"/>
  <c r="I62" i="7"/>
  <c r="J62" i="7"/>
  <c r="K62" i="7"/>
  <c r="L62" i="7"/>
  <c r="C61" i="7"/>
  <c r="C62" i="7"/>
  <c r="C60" i="7"/>
  <c r="D54" i="7"/>
  <c r="E54" i="7"/>
  <c r="F54" i="7"/>
  <c r="G54" i="7"/>
  <c r="H54" i="7"/>
  <c r="I54" i="7"/>
  <c r="J54" i="7"/>
  <c r="K54" i="7"/>
  <c r="L54" i="7"/>
  <c r="D55" i="7"/>
  <c r="E55" i="7"/>
  <c r="F55" i="7"/>
  <c r="G55" i="7"/>
  <c r="H55" i="7"/>
  <c r="I55" i="7"/>
  <c r="J55" i="7"/>
  <c r="K55" i="7"/>
  <c r="L55" i="7"/>
  <c r="D56" i="7"/>
  <c r="E56" i="7"/>
  <c r="F56" i="7"/>
  <c r="G56" i="7"/>
  <c r="H56" i="7"/>
  <c r="I56" i="7"/>
  <c r="J56" i="7"/>
  <c r="K56" i="7"/>
  <c r="L56" i="7"/>
  <c r="D57" i="7"/>
  <c r="E57" i="7"/>
  <c r="F57" i="7"/>
  <c r="G57" i="7"/>
  <c r="H57" i="7"/>
  <c r="I57" i="7"/>
  <c r="J57" i="7"/>
  <c r="K57" i="7"/>
  <c r="L57" i="7"/>
  <c r="C55" i="7"/>
  <c r="C56" i="7"/>
  <c r="C57" i="7"/>
  <c r="C54" i="7"/>
  <c r="D43" i="7"/>
  <c r="D48" i="7"/>
  <c r="E43" i="7"/>
  <c r="F43" i="7"/>
  <c r="G43" i="7"/>
  <c r="H43" i="7"/>
  <c r="H48" i="7"/>
  <c r="I43" i="7"/>
  <c r="J43" i="7"/>
  <c r="K43" i="7"/>
  <c r="L43" i="7"/>
  <c r="C43" i="7"/>
  <c r="C48" i="7"/>
  <c r="D37" i="7"/>
  <c r="E37" i="7"/>
  <c r="F37" i="7"/>
  <c r="G37" i="7"/>
  <c r="H37" i="7"/>
  <c r="I37" i="7"/>
  <c r="J37" i="7"/>
  <c r="K37" i="7"/>
  <c r="L37" i="7"/>
  <c r="C37" i="7"/>
  <c r="L28" i="7"/>
  <c r="K28" i="7"/>
  <c r="J28" i="7"/>
  <c r="I28" i="7"/>
  <c r="H28" i="7"/>
  <c r="G28" i="7"/>
  <c r="F28" i="7"/>
  <c r="E28" i="7"/>
  <c r="D28" i="7"/>
  <c r="C28" i="7"/>
  <c r="D25" i="7"/>
  <c r="E25" i="7"/>
  <c r="F25" i="7"/>
  <c r="G25" i="7"/>
  <c r="H25" i="7"/>
  <c r="I25" i="7"/>
  <c r="J25" i="7"/>
  <c r="K25" i="7"/>
  <c r="L25" i="7"/>
  <c r="C25" i="7"/>
  <c r="C19" i="7"/>
  <c r="D19" i="7"/>
  <c r="E19" i="7"/>
  <c r="F19" i="7"/>
  <c r="G19" i="7"/>
  <c r="H19" i="7"/>
  <c r="I19" i="7"/>
  <c r="J19" i="7"/>
  <c r="K19" i="7"/>
  <c r="L19" i="7"/>
  <c r="D13" i="7"/>
  <c r="E13" i="7"/>
  <c r="F13" i="7"/>
  <c r="G13" i="7"/>
  <c r="H13" i="7"/>
  <c r="I13" i="7"/>
  <c r="J13" i="7"/>
  <c r="K13" i="7"/>
  <c r="L13" i="7"/>
  <c r="C13" i="7"/>
  <c r="E10" i="7"/>
  <c r="E34" i="12"/>
  <c r="E40" i="12"/>
  <c r="F10" i="7"/>
  <c r="G10" i="7"/>
  <c r="G34" i="12"/>
  <c r="G40" i="12"/>
  <c r="H10" i="7"/>
  <c r="I10" i="7"/>
  <c r="I34" i="12"/>
  <c r="I40" i="12"/>
  <c r="J10" i="7"/>
  <c r="K10" i="7"/>
  <c r="L10" i="7"/>
  <c r="C10" i="7"/>
  <c r="D10" i="7"/>
  <c r="D35" i="12"/>
  <c r="D41" i="12"/>
  <c r="B7" i="7"/>
  <c r="D8" i="7"/>
  <c r="E8" i="7"/>
  <c r="F8" i="7"/>
  <c r="G8" i="7"/>
  <c r="H8" i="7"/>
  <c r="I8" i="7"/>
  <c r="J8" i="7"/>
  <c r="K8" i="7"/>
  <c r="L8" i="7"/>
  <c r="C8" i="7"/>
  <c r="B6" i="6"/>
  <c r="D40" i="22"/>
  <c r="E1" i="6"/>
  <c r="K36" i="12"/>
  <c r="C16" i="27"/>
  <c r="E48" i="7"/>
  <c r="E15" i="12"/>
  <c r="C46" i="12"/>
  <c r="G48" i="7"/>
  <c r="H15" i="12"/>
  <c r="F48" i="7"/>
  <c r="L48" i="7"/>
  <c r="G16" i="27"/>
  <c r="K48" i="7"/>
  <c r="F16" i="27"/>
  <c r="J48" i="7"/>
  <c r="E16" i="27"/>
  <c r="I48" i="7"/>
  <c r="D16" i="27"/>
  <c r="N28" i="17"/>
  <c r="O24" i="17"/>
  <c r="P26" i="17"/>
  <c r="P34" i="17"/>
  <c r="N24" i="17"/>
  <c r="P23" i="17"/>
  <c r="P27" i="17"/>
  <c r="O25" i="17"/>
  <c r="J46" i="12"/>
  <c r="L12" i="16"/>
  <c r="I18" i="16"/>
  <c r="F30" i="16"/>
  <c r="N27" i="17"/>
  <c r="N23" i="17"/>
  <c r="O28" i="17"/>
  <c r="N26" i="17"/>
  <c r="N32" i="17"/>
  <c r="N34" i="17"/>
  <c r="N37" i="17"/>
  <c r="N39" i="17"/>
  <c r="N25" i="17"/>
  <c r="P25" i="17"/>
  <c r="F33" i="12"/>
  <c r="F39" i="12"/>
  <c r="C36" i="12"/>
  <c r="P28" i="17"/>
  <c r="I17" i="16"/>
  <c r="P24" i="17"/>
  <c r="E35" i="12"/>
  <c r="E41" i="12"/>
  <c r="J12" i="16"/>
  <c r="J17" i="16"/>
  <c r="O27" i="17"/>
  <c r="L11" i="16"/>
  <c r="L18" i="16"/>
  <c r="L29" i="16"/>
  <c r="O23" i="17"/>
  <c r="O26" i="17"/>
  <c r="O32" i="17"/>
  <c r="O34" i="17"/>
  <c r="O37" i="17"/>
  <c r="O39" i="17"/>
  <c r="D32" i="16"/>
  <c r="H64" i="7"/>
  <c r="I58" i="7"/>
  <c r="G64" i="7"/>
  <c r="F44" i="12"/>
  <c r="E44" i="12"/>
  <c r="F58" i="7"/>
  <c r="L64" i="7"/>
  <c r="D64" i="7"/>
  <c r="I35" i="12"/>
  <c r="I41" i="12"/>
  <c r="D44" i="12"/>
  <c r="J37" i="12"/>
  <c r="I33" i="12"/>
  <c r="I39" i="12"/>
  <c r="H33" i="12"/>
  <c r="H39" i="12"/>
  <c r="I64" i="7"/>
  <c r="I44" i="12"/>
  <c r="C33" i="12"/>
  <c r="C39" i="12"/>
  <c r="H44" i="12"/>
  <c r="K35" i="12"/>
  <c r="K41" i="12"/>
  <c r="H58" i="7"/>
  <c r="F64" i="7"/>
  <c r="L35" i="12"/>
  <c r="L41" i="12"/>
  <c r="D34" i="12"/>
  <c r="D40" i="12"/>
  <c r="G58" i="7"/>
  <c r="E64" i="7"/>
  <c r="J35" i="12"/>
  <c r="J41" i="12"/>
  <c r="G44" i="12"/>
  <c r="G35" i="12"/>
  <c r="G41" i="12"/>
  <c r="K64" i="7"/>
  <c r="C34" i="12"/>
  <c r="C40" i="12"/>
  <c r="E33" i="12"/>
  <c r="E39" i="12"/>
  <c r="L58" i="7"/>
  <c r="D58" i="7"/>
  <c r="J64" i="7"/>
  <c r="L46" i="12"/>
  <c r="D46" i="12"/>
  <c r="I37" i="12"/>
  <c r="D33" i="12"/>
  <c r="D39" i="12"/>
  <c r="C37" i="12"/>
  <c r="K58" i="7"/>
  <c r="C64" i="7"/>
  <c r="C35" i="12"/>
  <c r="C41" i="12"/>
  <c r="G33" i="12"/>
  <c r="G39" i="12"/>
  <c r="K44" i="12"/>
  <c r="H37" i="12"/>
  <c r="E37" i="12"/>
  <c r="J58" i="7"/>
  <c r="J44" i="12"/>
  <c r="J36" i="12"/>
  <c r="K46" i="12"/>
  <c r="I36" i="12"/>
  <c r="K34" i="12"/>
  <c r="K40" i="12"/>
  <c r="L33" i="12"/>
  <c r="L39" i="12"/>
  <c r="L44" i="12"/>
  <c r="C58" i="7"/>
  <c r="E58" i="7"/>
  <c r="G37" i="12"/>
  <c r="H36" i="12"/>
  <c r="J34" i="12"/>
  <c r="J40" i="12"/>
  <c r="K33" i="12"/>
  <c r="K39" i="12"/>
  <c r="I46" i="12"/>
  <c r="F37" i="12"/>
  <c r="G36" i="12"/>
  <c r="H35" i="12"/>
  <c r="H41" i="12"/>
  <c r="J33" i="12"/>
  <c r="J39" i="12"/>
  <c r="H46" i="12"/>
  <c r="F36" i="12"/>
  <c r="H34" i="12"/>
  <c r="H40" i="12"/>
  <c r="C44" i="12"/>
  <c r="G46" i="12"/>
  <c r="L37" i="12"/>
  <c r="D37" i="12"/>
  <c r="E36" i="12"/>
  <c r="F35" i="12"/>
  <c r="F41" i="12"/>
  <c r="F46" i="12"/>
  <c r="L34" i="12"/>
  <c r="L40" i="12"/>
  <c r="C81" i="7"/>
  <c r="K37" i="12"/>
  <c r="L36" i="12"/>
  <c r="D36" i="12"/>
  <c r="F34" i="12"/>
  <c r="F40" i="12"/>
  <c r="E46" i="12"/>
  <c r="E81" i="7"/>
  <c r="L81" i="7"/>
  <c r="K81" i="7"/>
  <c r="D81" i="7"/>
  <c r="J81" i="7"/>
  <c r="I81" i="7"/>
  <c r="D15" i="12"/>
  <c r="H81" i="7"/>
  <c r="G81" i="7"/>
  <c r="F81" i="7"/>
  <c r="I69" i="7"/>
  <c r="G69" i="7"/>
  <c r="H69" i="7"/>
  <c r="J69" i="7"/>
  <c r="F69" i="7"/>
  <c r="C29" i="7"/>
  <c r="C24" i="12"/>
  <c r="K29" i="7"/>
  <c r="K24" i="12"/>
  <c r="E69" i="7"/>
  <c r="K69" i="7"/>
  <c r="L69" i="7"/>
  <c r="D69" i="7"/>
  <c r="C69" i="7"/>
  <c r="G16" i="7"/>
  <c r="J29" i="7"/>
  <c r="J24" i="12"/>
  <c r="L29" i="7"/>
  <c r="L24" i="12"/>
  <c r="E29" i="7"/>
  <c r="E24" i="12"/>
  <c r="F29" i="7"/>
  <c r="F24" i="12"/>
  <c r="C26" i="7"/>
  <c r="I29" i="7"/>
  <c r="I24" i="12"/>
  <c r="G26" i="7"/>
  <c r="G29" i="7"/>
  <c r="G24" i="12"/>
  <c r="D29" i="7"/>
  <c r="D24" i="12"/>
  <c r="I11" i="7"/>
  <c r="I10" i="12"/>
  <c r="D9" i="27"/>
  <c r="F26" i="7"/>
  <c r="H29" i="7"/>
  <c r="H24" i="12"/>
  <c r="G11" i="7"/>
  <c r="G10" i="12"/>
  <c r="E26" i="7"/>
  <c r="L16" i="7"/>
  <c r="H26" i="7"/>
  <c r="G14" i="7"/>
  <c r="D26" i="7"/>
  <c r="C14" i="7"/>
  <c r="E14" i="7"/>
  <c r="D16" i="7"/>
  <c r="J11" i="7"/>
  <c r="J10" i="12"/>
  <c r="E9" i="27"/>
  <c r="H11" i="7"/>
  <c r="H10" i="12"/>
  <c r="C9" i="27"/>
  <c r="F20" i="7"/>
  <c r="F23" i="12"/>
  <c r="L26" i="7"/>
  <c r="J26" i="7"/>
  <c r="H16" i="7"/>
  <c r="I26" i="7"/>
  <c r="D20" i="7"/>
  <c r="D23" i="12"/>
  <c r="K14" i="7"/>
  <c r="K26" i="7"/>
  <c r="C20" i="7"/>
  <c r="C23" i="12"/>
  <c r="J14" i="7"/>
  <c r="K20" i="7"/>
  <c r="K23" i="12"/>
  <c r="I14" i="7"/>
  <c r="H14" i="7"/>
  <c r="I20" i="7"/>
  <c r="I23" i="12"/>
  <c r="H20" i="7"/>
  <c r="H23" i="12"/>
  <c r="K16" i="7"/>
  <c r="L14" i="7"/>
  <c r="J20" i="7"/>
  <c r="J23" i="12"/>
  <c r="J16" i="7"/>
  <c r="D11" i="7"/>
  <c r="D10" i="12"/>
  <c r="E20" i="7"/>
  <c r="E23" i="12"/>
  <c r="F14" i="7"/>
  <c r="I16" i="7"/>
  <c r="G20" i="7"/>
  <c r="G23" i="12"/>
  <c r="L20" i="7"/>
  <c r="L23" i="12"/>
  <c r="F11" i="7"/>
  <c r="F10" i="12"/>
  <c r="E11" i="7"/>
  <c r="E10" i="12"/>
  <c r="L11" i="7"/>
  <c r="L10" i="12"/>
  <c r="G9" i="27"/>
  <c r="D14" i="7"/>
  <c r="F16" i="7"/>
  <c r="F25" i="14"/>
  <c r="K11" i="7"/>
  <c r="K10" i="12"/>
  <c r="F9" i="27"/>
  <c r="C16" i="7"/>
  <c r="C25" i="14"/>
  <c r="E16" i="7"/>
  <c r="E25" i="14"/>
  <c r="L15" i="12"/>
  <c r="F15" i="12"/>
  <c r="K15" i="12"/>
  <c r="J15" i="12"/>
  <c r="G15" i="12"/>
  <c r="I15" i="12"/>
  <c r="P32" i="17"/>
  <c r="P37" i="17"/>
  <c r="P39" i="17"/>
  <c r="L17" i="16"/>
  <c r="J18" i="16"/>
  <c r="E71" i="7"/>
  <c r="E45" i="12"/>
  <c r="C71" i="7"/>
  <c r="C45" i="12"/>
  <c r="E42" i="12"/>
  <c r="L71" i="7"/>
  <c r="L45" i="12"/>
  <c r="L42" i="12"/>
  <c r="D42" i="12"/>
  <c r="K71" i="7"/>
  <c r="K45" i="12"/>
  <c r="I71" i="7"/>
  <c r="I45" i="12"/>
  <c r="G42" i="12"/>
  <c r="C42" i="12"/>
  <c r="H42" i="12"/>
  <c r="E32" i="16"/>
  <c r="F32" i="16"/>
  <c r="F31" i="16"/>
  <c r="L39" i="16"/>
  <c r="E31" i="16"/>
  <c r="L38" i="16"/>
  <c r="E30" i="16"/>
  <c r="J71" i="7"/>
  <c r="J45" i="12"/>
  <c r="D71" i="7"/>
  <c r="D45" i="12"/>
  <c r="H71" i="7"/>
  <c r="H45" i="12"/>
  <c r="F42" i="12"/>
  <c r="I42" i="12"/>
  <c r="N39" i="12"/>
  <c r="N46" i="12"/>
  <c r="F71" i="7"/>
  <c r="F45" i="12"/>
  <c r="G71" i="7"/>
  <c r="G45" i="12"/>
  <c r="N36" i="12"/>
  <c r="O37" i="12"/>
  <c r="O46" i="12"/>
  <c r="N40" i="12"/>
  <c r="O36" i="12"/>
  <c r="O33" i="12"/>
  <c r="K42" i="12"/>
  <c r="O34" i="12"/>
  <c r="N24" i="12"/>
  <c r="O24" i="12"/>
  <c r="O39" i="12"/>
  <c r="G22" i="7"/>
  <c r="G25" i="14"/>
  <c r="N33" i="12"/>
  <c r="O40" i="12"/>
  <c r="N34" i="12"/>
  <c r="N23" i="12"/>
  <c r="O23" i="12"/>
  <c r="K22" i="7"/>
  <c r="K25" i="14"/>
  <c r="L22" i="7"/>
  <c r="L25" i="14"/>
  <c r="J17" i="7"/>
  <c r="J17" i="12"/>
  <c r="E10" i="27"/>
  <c r="J25" i="14"/>
  <c r="I22" i="7"/>
  <c r="I25" i="14"/>
  <c r="D17" i="7"/>
  <c r="D17" i="12"/>
  <c r="D25" i="14"/>
  <c r="N37" i="12"/>
  <c r="J42" i="12"/>
  <c r="N35" i="12"/>
  <c r="N44" i="12"/>
  <c r="O44" i="12"/>
  <c r="O35" i="12"/>
  <c r="O10" i="12"/>
  <c r="N10" i="12"/>
  <c r="H17" i="7"/>
  <c r="H17" i="12"/>
  <c r="C10" i="27"/>
  <c r="H25" i="14"/>
  <c r="N41" i="12"/>
  <c r="O41" i="12"/>
  <c r="G17" i="7"/>
  <c r="G17" i="12"/>
  <c r="C73" i="7"/>
  <c r="L17" i="7"/>
  <c r="L17" i="12"/>
  <c r="G10" i="27"/>
  <c r="D22" i="7"/>
  <c r="D8" i="28"/>
  <c r="D9" i="28"/>
  <c r="D22" i="27"/>
  <c r="J22" i="7"/>
  <c r="J8" i="28"/>
  <c r="J9" i="28"/>
  <c r="H22" i="7"/>
  <c r="H8" i="28"/>
  <c r="H9" i="28"/>
  <c r="K17" i="7"/>
  <c r="K17" i="12"/>
  <c r="F10" i="27"/>
  <c r="I17" i="7"/>
  <c r="I17" i="12"/>
  <c r="D10" i="27"/>
  <c r="E22" i="7"/>
  <c r="E8" i="28"/>
  <c r="E9" i="28"/>
  <c r="E22" i="27"/>
  <c r="E17" i="7"/>
  <c r="E17" i="12"/>
  <c r="C22" i="7"/>
  <c r="C8" i="28"/>
  <c r="C9" i="28"/>
  <c r="C22" i="27"/>
  <c r="C17" i="7"/>
  <c r="C17" i="12"/>
  <c r="F17" i="7"/>
  <c r="F17" i="12"/>
  <c r="F22" i="7"/>
  <c r="F8" i="28"/>
  <c r="F9" i="28"/>
  <c r="F22" i="27"/>
  <c r="N15" i="12"/>
  <c r="O15" i="12"/>
  <c r="G31" i="7"/>
  <c r="G31" i="12"/>
  <c r="G8" i="28"/>
  <c r="G9" i="28"/>
  <c r="G22" i="27"/>
  <c r="K23" i="7"/>
  <c r="K18" i="12"/>
  <c r="F11" i="27"/>
  <c r="K8" i="28"/>
  <c r="K9" i="28"/>
  <c r="L23" i="7"/>
  <c r="L18" i="12"/>
  <c r="G11" i="27"/>
  <c r="L8" i="28"/>
  <c r="L9" i="28"/>
  <c r="I34" i="7"/>
  <c r="I40" i="7"/>
  <c r="I29" i="12"/>
  <c r="D25" i="27"/>
  <c r="I8" i="28"/>
  <c r="I9" i="28"/>
  <c r="K73" i="7"/>
  <c r="F73" i="7"/>
  <c r="J73" i="7"/>
  <c r="E73" i="7"/>
  <c r="L73" i="7"/>
  <c r="D73" i="7"/>
  <c r="I73" i="7"/>
  <c r="K34" i="7"/>
  <c r="K38" i="7"/>
  <c r="N45" i="12"/>
  <c r="E34" i="16"/>
  <c r="F34" i="16"/>
  <c r="L30" i="16"/>
  <c r="L32" i="16"/>
  <c r="L24" i="16"/>
  <c r="L25" i="16"/>
  <c r="K39" i="16"/>
  <c r="L40" i="16"/>
  <c r="L34" i="7"/>
  <c r="L38" i="7"/>
  <c r="O45" i="12"/>
  <c r="H73" i="7"/>
  <c r="G73" i="7"/>
  <c r="G34" i="7"/>
  <c r="G38" i="7"/>
  <c r="K31" i="7"/>
  <c r="N42" i="12"/>
  <c r="L31" i="7"/>
  <c r="J74" i="26"/>
  <c r="J76" i="26"/>
  <c r="O42" i="12"/>
  <c r="L11" i="12"/>
  <c r="I11" i="12"/>
  <c r="O17" i="12"/>
  <c r="N17" i="12"/>
  <c r="I23" i="7"/>
  <c r="I18" i="12"/>
  <c r="D11" i="27"/>
  <c r="I31" i="7"/>
  <c r="G74" i="26"/>
  <c r="G76" i="26"/>
  <c r="G23" i="7"/>
  <c r="G18" i="12"/>
  <c r="J34" i="7"/>
  <c r="J11" i="12"/>
  <c r="J31" i="7"/>
  <c r="K11" i="12"/>
  <c r="D31" i="7"/>
  <c r="D34" i="7"/>
  <c r="C31" i="7"/>
  <c r="C34" i="7"/>
  <c r="E31" i="7"/>
  <c r="C74" i="26"/>
  <c r="C76" i="26"/>
  <c r="E11" i="12"/>
  <c r="E34" i="7"/>
  <c r="F11" i="12"/>
  <c r="F31" i="7"/>
  <c r="D74" i="26"/>
  <c r="D76" i="26"/>
  <c r="F34" i="7"/>
  <c r="H11" i="12"/>
  <c r="H31" i="7"/>
  <c r="H34" i="7"/>
  <c r="H40" i="7"/>
  <c r="G11" i="12"/>
  <c r="D11" i="12"/>
  <c r="C23" i="7"/>
  <c r="C18" i="12"/>
  <c r="E23" i="7"/>
  <c r="E18" i="12"/>
  <c r="F23" i="7"/>
  <c r="F18" i="12"/>
  <c r="H23" i="7"/>
  <c r="H18" i="12"/>
  <c r="C11" i="27"/>
  <c r="J23" i="7"/>
  <c r="J18" i="12"/>
  <c r="E11" i="27"/>
  <c r="D23" i="7"/>
  <c r="D18" i="12"/>
  <c r="D21" i="22"/>
  <c r="I16" i="22"/>
  <c r="D26" i="22"/>
  <c r="G27" i="12"/>
  <c r="G13" i="28"/>
  <c r="I38" i="7"/>
  <c r="J13" i="12"/>
  <c r="I35" i="7"/>
  <c r="I20" i="12"/>
  <c r="G32" i="7"/>
  <c r="G19" i="12"/>
  <c r="G25" i="12"/>
  <c r="E41" i="20"/>
  <c r="E43" i="20"/>
  <c r="E45" i="20"/>
  <c r="E64" i="20"/>
  <c r="F74" i="26"/>
  <c r="F76" i="26"/>
  <c r="H41" i="20"/>
  <c r="H43" i="20"/>
  <c r="H45" i="20"/>
  <c r="H64" i="20"/>
  <c r="I74" i="26"/>
  <c r="I76" i="26"/>
  <c r="L35" i="7"/>
  <c r="L20" i="12"/>
  <c r="G41" i="20"/>
  <c r="G51" i="20"/>
  <c r="H74" i="26"/>
  <c r="H76" i="26"/>
  <c r="D41" i="20"/>
  <c r="E74" i="26"/>
  <c r="E76" i="26"/>
  <c r="H13" i="12"/>
  <c r="K32" i="7"/>
  <c r="K19" i="12"/>
  <c r="G35" i="7"/>
  <c r="G20" i="12"/>
  <c r="K40" i="7"/>
  <c r="K29" i="12"/>
  <c r="F25" i="27"/>
  <c r="K35" i="7"/>
  <c r="K20" i="12"/>
  <c r="L12" i="12"/>
  <c r="L13" i="12"/>
  <c r="L40" i="7"/>
  <c r="L29" i="12"/>
  <c r="G25" i="27"/>
  <c r="K31" i="12"/>
  <c r="L32" i="7"/>
  <c r="L19" i="12"/>
  <c r="I41" i="20"/>
  <c r="K27" i="12"/>
  <c r="G40" i="7"/>
  <c r="G29" i="12"/>
  <c r="I32" i="7"/>
  <c r="I19" i="12"/>
  <c r="F41" i="20"/>
  <c r="N11" i="12"/>
  <c r="O11" i="12"/>
  <c r="C31" i="12"/>
  <c r="C27" i="12"/>
  <c r="C13" i="28"/>
  <c r="K12" i="12"/>
  <c r="J27" i="12"/>
  <c r="J31" i="12"/>
  <c r="I13" i="12"/>
  <c r="E31" i="12"/>
  <c r="E27" i="12"/>
  <c r="E13" i="28"/>
  <c r="N18" i="12"/>
  <c r="O18" i="12"/>
  <c r="H27" i="12"/>
  <c r="H31" i="12"/>
  <c r="D31" i="12"/>
  <c r="D27" i="12"/>
  <c r="D13" i="28"/>
  <c r="I27" i="12"/>
  <c r="I31" i="12"/>
  <c r="L31" i="12"/>
  <c r="L27" i="12"/>
  <c r="G12" i="12"/>
  <c r="F31" i="12"/>
  <c r="F27" i="12"/>
  <c r="F13" i="28"/>
  <c r="K13" i="12"/>
  <c r="F13" i="12"/>
  <c r="G13" i="12"/>
  <c r="D12" i="12"/>
  <c r="D32" i="7"/>
  <c r="D19" i="12"/>
  <c r="D25" i="12"/>
  <c r="H12" i="12"/>
  <c r="H32" i="7"/>
  <c r="H19" i="12"/>
  <c r="I12" i="12"/>
  <c r="J12" i="12"/>
  <c r="J32" i="7"/>
  <c r="J19" i="12"/>
  <c r="E13" i="12"/>
  <c r="F32" i="7"/>
  <c r="F19" i="12"/>
  <c r="F25" i="12"/>
  <c r="F12" i="12"/>
  <c r="E32" i="7"/>
  <c r="E19" i="12"/>
  <c r="E25" i="12"/>
  <c r="E12" i="12"/>
  <c r="C32" i="7"/>
  <c r="C19" i="12"/>
  <c r="D13" i="12"/>
  <c r="D40" i="7"/>
  <c r="D29" i="12"/>
  <c r="D35" i="7"/>
  <c r="D20" i="12"/>
  <c r="D38" i="7"/>
  <c r="E40" i="7"/>
  <c r="E29" i="12"/>
  <c r="E35" i="7"/>
  <c r="E20" i="12"/>
  <c r="E38" i="7"/>
  <c r="H35" i="7"/>
  <c r="H20" i="12"/>
  <c r="H38" i="7"/>
  <c r="F35" i="7"/>
  <c r="F20" i="12"/>
  <c r="F40" i="7"/>
  <c r="F38" i="7"/>
  <c r="I41" i="7"/>
  <c r="I21" i="12"/>
  <c r="D13" i="27"/>
  <c r="I45" i="7"/>
  <c r="J40" i="7"/>
  <c r="J35" i="7"/>
  <c r="J20" i="12"/>
  <c r="J38" i="7"/>
  <c r="C40" i="7"/>
  <c r="C29" i="12"/>
  <c r="C35" i="7"/>
  <c r="C20" i="12"/>
  <c r="C38" i="7"/>
  <c r="F16" i="22"/>
  <c r="J16" i="22"/>
  <c r="H16" i="22"/>
  <c r="G16" i="22"/>
  <c r="G43" i="20"/>
  <c r="G45" i="20"/>
  <c r="G64" i="20"/>
  <c r="K45" i="7"/>
  <c r="K14" i="28"/>
  <c r="F21" i="27"/>
  <c r="H51" i="20"/>
  <c r="H53" i="20"/>
  <c r="H56" i="20"/>
  <c r="H63" i="20"/>
  <c r="H66" i="20"/>
  <c r="K41" i="7"/>
  <c r="K21" i="12"/>
  <c r="F13" i="27"/>
  <c r="E51" i="20"/>
  <c r="F9" i="22"/>
  <c r="F11" i="22"/>
  <c r="D43" i="20"/>
  <c r="D45" i="20"/>
  <c r="D51" i="20"/>
  <c r="D26" i="27"/>
  <c r="I13" i="28"/>
  <c r="I25" i="12"/>
  <c r="D12" i="27"/>
  <c r="J25" i="12"/>
  <c r="E12" i="27"/>
  <c r="I14" i="28"/>
  <c r="D21" i="27"/>
  <c r="D14" i="27"/>
  <c r="C26" i="27"/>
  <c r="H13" i="28"/>
  <c r="F26" i="27"/>
  <c r="K13" i="28"/>
  <c r="K25" i="12"/>
  <c r="F12" i="27"/>
  <c r="H25" i="12"/>
  <c r="C12" i="27"/>
  <c r="J13" i="28"/>
  <c r="E26" i="27"/>
  <c r="F14" i="27"/>
  <c r="G26" i="27"/>
  <c r="L13" i="28"/>
  <c r="L25" i="12"/>
  <c r="G12" i="27"/>
  <c r="L41" i="7"/>
  <c r="L21" i="12"/>
  <c r="G13" i="27"/>
  <c r="L14" i="12"/>
  <c r="L45" i="7"/>
  <c r="G45" i="7"/>
  <c r="G41" i="7"/>
  <c r="G21" i="12"/>
  <c r="F51" i="20"/>
  <c r="F43" i="20"/>
  <c r="F45" i="20"/>
  <c r="F64" i="20"/>
  <c r="I43" i="20"/>
  <c r="I45" i="20"/>
  <c r="I64" i="20"/>
  <c r="I51" i="20"/>
  <c r="G53" i="20"/>
  <c r="G56" i="20"/>
  <c r="G63" i="20"/>
  <c r="H9" i="22"/>
  <c r="H11" i="22"/>
  <c r="H14" i="12"/>
  <c r="H29" i="12"/>
  <c r="C25" i="27"/>
  <c r="N12" i="12"/>
  <c r="O12" i="12"/>
  <c r="J14" i="12"/>
  <c r="J29" i="12"/>
  <c r="E25" i="27"/>
  <c r="O27" i="12"/>
  <c r="N27" i="12"/>
  <c r="N31" i="12"/>
  <c r="O31" i="12"/>
  <c r="N13" i="12"/>
  <c r="O13" i="12"/>
  <c r="N20" i="12"/>
  <c r="O20" i="12"/>
  <c r="G14" i="12"/>
  <c r="F29" i="12"/>
  <c r="C25" i="12"/>
  <c r="N19" i="12"/>
  <c r="O19" i="12"/>
  <c r="K14" i="12"/>
  <c r="E14" i="12"/>
  <c r="F14" i="12"/>
  <c r="I14" i="12"/>
  <c r="D14" i="12"/>
  <c r="I49" i="7"/>
  <c r="E45" i="7"/>
  <c r="E41" i="7"/>
  <c r="E21" i="12"/>
  <c r="F41" i="7"/>
  <c r="F21" i="12"/>
  <c r="F45" i="7"/>
  <c r="C45" i="7"/>
  <c r="C14" i="28"/>
  <c r="C41" i="7"/>
  <c r="C21" i="12"/>
  <c r="H45" i="7"/>
  <c r="H41" i="7"/>
  <c r="H21" i="12"/>
  <c r="C13" i="27"/>
  <c r="J45" i="7"/>
  <c r="J41" i="7"/>
  <c r="J21" i="12"/>
  <c r="E13" i="27"/>
  <c r="D41" i="7"/>
  <c r="D21" i="12"/>
  <c r="D45" i="7"/>
  <c r="D14" i="28"/>
  <c r="G66" i="20"/>
  <c r="E53" i="20"/>
  <c r="E56" i="20"/>
  <c r="E63" i="20"/>
  <c r="E66" i="20"/>
  <c r="L46" i="7"/>
  <c r="G15" i="27"/>
  <c r="I9" i="22"/>
  <c r="I11" i="22"/>
  <c r="K49" i="7"/>
  <c r="F17" i="27"/>
  <c r="I51" i="7"/>
  <c r="D17" i="27"/>
  <c r="G49" i="7"/>
  <c r="G51" i="7"/>
  <c r="G14" i="28"/>
  <c r="C14" i="27"/>
  <c r="H14" i="28"/>
  <c r="C21" i="27"/>
  <c r="H49" i="7"/>
  <c r="C17" i="27"/>
  <c r="K46" i="7"/>
  <c r="F15" i="27"/>
  <c r="E14" i="27"/>
  <c r="J14" i="28"/>
  <c r="E21" i="27"/>
  <c r="E14" i="28"/>
  <c r="L49" i="7"/>
  <c r="L14" i="28"/>
  <c r="G21" i="27"/>
  <c r="G14" i="27"/>
  <c r="F14" i="28"/>
  <c r="D53" i="20"/>
  <c r="E9" i="22"/>
  <c r="E11" i="22"/>
  <c r="I53" i="20"/>
  <c r="I56" i="20"/>
  <c r="I63" i="20"/>
  <c r="I66" i="20"/>
  <c r="J9" i="22"/>
  <c r="J11" i="22"/>
  <c r="F53" i="20"/>
  <c r="F56" i="20"/>
  <c r="F63" i="20"/>
  <c r="F66" i="20"/>
  <c r="G9" i="22"/>
  <c r="G11" i="22"/>
  <c r="N29" i="12"/>
  <c r="O25" i="12"/>
  <c r="N25" i="12"/>
  <c r="N14" i="12"/>
  <c r="O14" i="12"/>
  <c r="N21" i="12"/>
  <c r="O21" i="12"/>
  <c r="O29" i="12"/>
  <c r="H46" i="7"/>
  <c r="C15" i="27"/>
  <c r="H51" i="7"/>
  <c r="C49" i="7"/>
  <c r="C51" i="7"/>
  <c r="C28" i="12"/>
  <c r="D46" i="7"/>
  <c r="D49" i="7"/>
  <c r="D51" i="7"/>
  <c r="D28" i="12"/>
  <c r="D30" i="12"/>
  <c r="F46" i="7"/>
  <c r="F49" i="7"/>
  <c r="F51" i="7"/>
  <c r="F28" i="12"/>
  <c r="F30" i="12"/>
  <c r="G46" i="7"/>
  <c r="I46" i="7"/>
  <c r="D15" i="27"/>
  <c r="J46" i="7"/>
  <c r="E15" i="27"/>
  <c r="J49" i="7"/>
  <c r="E46" i="7"/>
  <c r="E49" i="7"/>
  <c r="E51" i="7"/>
  <c r="E28" i="12"/>
  <c r="E30" i="12"/>
  <c r="K51" i="7"/>
  <c r="K28" i="12"/>
  <c r="K30" i="12"/>
  <c r="G28" i="12"/>
  <c r="G30" i="12"/>
  <c r="E68" i="26"/>
  <c r="E70" i="26"/>
  <c r="C68" i="26"/>
  <c r="C70" i="26"/>
  <c r="C92" i="26"/>
  <c r="C93" i="26"/>
  <c r="D68" i="26"/>
  <c r="D70" i="26"/>
  <c r="J51" i="7"/>
  <c r="E17" i="27"/>
  <c r="L51" i="7"/>
  <c r="G17" i="27"/>
  <c r="I68" i="26"/>
  <c r="I70" i="26"/>
  <c r="I28" i="12"/>
  <c r="I30" i="12"/>
  <c r="G68" i="26"/>
  <c r="G70" i="26"/>
  <c r="H28" i="12"/>
  <c r="H30" i="12"/>
  <c r="F68" i="26"/>
  <c r="F70" i="26"/>
  <c r="I58" i="20"/>
  <c r="I59" i="20"/>
  <c r="I69" i="20"/>
  <c r="I68" i="20"/>
  <c r="C30" i="12"/>
  <c r="J28" i="12"/>
  <c r="J30" i="12"/>
  <c r="H68" i="26"/>
  <c r="H70" i="26"/>
  <c r="L28" i="12"/>
  <c r="L30" i="12"/>
  <c r="J68" i="26"/>
  <c r="J70" i="26"/>
  <c r="F12" i="22"/>
  <c r="F13" i="22"/>
  <c r="F18" i="22"/>
  <c r="G12" i="22"/>
  <c r="G13" i="22"/>
  <c r="G18" i="22"/>
  <c r="H12" i="22"/>
  <c r="H13" i="22"/>
  <c r="H18" i="22"/>
  <c r="I12" i="22"/>
  <c r="I13" i="22"/>
  <c r="I18" i="22"/>
  <c r="J12" i="22"/>
  <c r="J13" i="22"/>
  <c r="D25" i="22"/>
  <c r="E12" i="22"/>
  <c r="E13" i="22"/>
  <c r="N30" i="12"/>
  <c r="O30" i="12"/>
  <c r="N28" i="12"/>
  <c r="O28" i="12"/>
  <c r="J18" i="22"/>
  <c r="D33" i="22"/>
  <c r="D29" i="22"/>
  <c r="D34" i="22"/>
  <c r="D36" i="22"/>
  <c r="D39" i="22"/>
  <c r="D42" i="22"/>
  <c r="F28" i="22"/>
  <c r="D44" i="22"/>
  <c r="F39" i="22"/>
  <c r="B44" i="2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<sst xmlns="http://schemas.openxmlformats.org/spreadsheetml/2006/main" count="17222" uniqueCount="8694">
  <si>
    <t>COMPANY NAME</t>
  </si>
  <si>
    <t>Sales</t>
  </si>
  <si>
    <t>Expenses</t>
  </si>
  <si>
    <t>Operating Profit</t>
  </si>
  <si>
    <t>Other Income</t>
  </si>
  <si>
    <t>Depreciation</t>
  </si>
  <si>
    <t>Interest</t>
  </si>
  <si>
    <t>Profit before tax</t>
  </si>
  <si>
    <t>Tax</t>
  </si>
  <si>
    <t>Net profit</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</si>
  <si>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</si>
  <si>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</si>
  <si>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</si>
  <si>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</si>
  <si>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</si>
  <si>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</si>
  <si>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</si>
  <si>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</si>
  <si>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</si>
  <si>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</si>
  <si>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</si>
  <si>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</si>
  <si>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</si>
  <si>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</si>
  <si>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</si>
  <si>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</si>
  <si>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</si>
  <si>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</si>
  <si>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</si>
  <si>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Inventory</t>
  </si>
  <si>
    <t>EPS</t>
  </si>
  <si>
    <t>LATEST VERSION</t>
  </si>
  <si>
    <t>CURRENT VERSION</t>
  </si>
  <si>
    <t>ITC LTD</t>
  </si>
  <si>
    <t>META</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</si>
  <si>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</si>
  <si>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</si>
  <si>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</si>
  <si>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</si>
  <si>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</si>
  <si>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</si>
  <si>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</si>
  <si>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</si>
  <si>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</si>
  <si>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</si>
  <si>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</si>
  <si>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</si>
  <si>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</si>
  <si>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</si>
  <si>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</si>
  <si>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</si>
  <si>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</si>
  <si>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</si>
  <si>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</si>
  <si>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</si>
  <si>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 xml:space="preserve">Years </t>
  </si>
  <si>
    <t xml:space="preserve">Income Statement </t>
  </si>
  <si>
    <t>#</t>
  </si>
  <si>
    <t>Sales Growth %</t>
  </si>
  <si>
    <t>COGS</t>
  </si>
  <si>
    <t>-</t>
  </si>
  <si>
    <t xml:space="preserve">Gross Profit </t>
  </si>
  <si>
    <t xml:space="preserve">Selling &amp; General Expenses </t>
  </si>
  <si>
    <t xml:space="preserve">S&amp;G  Exp % of Sales  </t>
  </si>
  <si>
    <t>COGS % of Sales</t>
  </si>
  <si>
    <t xml:space="preserve">Gross Margins </t>
  </si>
  <si>
    <t>EBITDA</t>
  </si>
  <si>
    <t>EBITDA % of Sales</t>
  </si>
  <si>
    <t xml:space="preserve">Interest % of Sales </t>
  </si>
  <si>
    <t xml:space="preserve">Depriciation </t>
  </si>
  <si>
    <t>Depriciation % of Sales</t>
  </si>
  <si>
    <t xml:space="preserve">EBT </t>
  </si>
  <si>
    <t xml:space="preserve">Tax </t>
  </si>
  <si>
    <t xml:space="preserve">Effective Tax Rate </t>
  </si>
  <si>
    <t>Net Profit</t>
  </si>
  <si>
    <t>Net Margins</t>
  </si>
  <si>
    <t>Divided per Share</t>
  </si>
  <si>
    <t xml:space="preserve">No. of Equity Shares  </t>
  </si>
  <si>
    <t>EPS Growth %</t>
  </si>
  <si>
    <t>Retained Earnings</t>
  </si>
  <si>
    <t>Balance Sheet</t>
  </si>
  <si>
    <t>Total Liabilities</t>
  </si>
  <si>
    <t>Total Non-Current Assets</t>
  </si>
  <si>
    <t>Total Current Assets</t>
  </si>
  <si>
    <t>Total Assets</t>
  </si>
  <si>
    <t xml:space="preserve"> Check</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</si>
  <si>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</si>
  <si>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</si>
  <si>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</si>
  <si>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</si>
  <si>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</si>
  <si>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</si>
  <si>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</si>
  <si>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</si>
  <si>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</si>
  <si>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</si>
  <si>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</si>
  <si>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</si>
  <si>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</si>
  <si>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</si>
  <si>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</si>
  <si>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</si>
  <si>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</si>
  <si>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</si>
  <si>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</si>
  <si>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</si>
  <si>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</si>
  <si>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</si>
  <si>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 xml:space="preserve">Cash Flows Statement </t>
  </si>
  <si>
    <t xml:space="preserve">Cash Flow from Operating Activity </t>
  </si>
  <si>
    <t>Cash Generated from Operations</t>
  </si>
  <si>
    <t xml:space="preserve">Cash Flow from Investing Activity </t>
  </si>
  <si>
    <t>Cash from Investments</t>
  </si>
  <si>
    <t xml:space="preserve">Cash Flow from Financing Activity </t>
  </si>
  <si>
    <t>Cash from Financing</t>
  </si>
  <si>
    <t>Net Cash Flows</t>
  </si>
  <si>
    <r>
      <t xml:space="preserve">Cash Flows Statement </t>
    </r>
    <r>
      <rPr>
        <i/>
        <sz val="11"/>
        <color theme="1"/>
        <rFont val="Calibri"/>
        <family val="2"/>
        <scheme val="minor"/>
      </rPr>
      <t>(Expanded)</t>
    </r>
  </si>
  <si>
    <t xml:space="preserve">Sales Growth </t>
  </si>
  <si>
    <t>Gross Margin</t>
  </si>
  <si>
    <t>EBITDA Growth</t>
  </si>
  <si>
    <t xml:space="preserve">EBIT Growth </t>
  </si>
  <si>
    <t>Dividend Growth</t>
  </si>
  <si>
    <t>EBITA Margin</t>
  </si>
  <si>
    <t>EBIT Margin</t>
  </si>
  <si>
    <t>Net Profit Margin</t>
  </si>
  <si>
    <t>Sales Expenses % of sales</t>
  </si>
  <si>
    <t>Depriciation % of sales</t>
  </si>
  <si>
    <t xml:space="preserve">Operating Income % of sales </t>
  </si>
  <si>
    <t xml:space="preserve">Interest Coverage Ratio </t>
  </si>
  <si>
    <t>Debtor Turnover Ratio</t>
  </si>
  <si>
    <t>Creditor Turnover Ratio</t>
  </si>
  <si>
    <t>Inventory Turnover</t>
  </si>
  <si>
    <t>Fixed Asset Turnover</t>
  </si>
  <si>
    <t>Capital Turnover Ratio</t>
  </si>
  <si>
    <t>Debtor Days</t>
  </si>
  <si>
    <t>Payable Days</t>
  </si>
  <si>
    <t>Inventory Days</t>
  </si>
  <si>
    <t>CFO/Sales</t>
  </si>
  <si>
    <t>CFO/Total Assets</t>
  </si>
  <si>
    <t>CFO/Total Debt</t>
  </si>
  <si>
    <t>Net Profit Growth</t>
  </si>
  <si>
    <t>EBT Growth</t>
  </si>
  <si>
    <t>Dividend Payout Ratio</t>
  </si>
  <si>
    <t>EBT Margin</t>
  </si>
  <si>
    <t>EBIT</t>
  </si>
  <si>
    <t>EBIT % of Sales</t>
  </si>
  <si>
    <t>EBT % of Sales</t>
  </si>
  <si>
    <r>
      <t>Cash Conversion Cycle</t>
    </r>
    <r>
      <rPr>
        <b/>
        <i/>
        <sz val="11"/>
        <color theme="1"/>
        <rFont val="Calibri"/>
        <family val="2"/>
        <scheme val="minor"/>
      </rPr>
      <t xml:space="preserve"> (in days)</t>
    </r>
  </si>
  <si>
    <t>Mean</t>
  </si>
  <si>
    <t>Median</t>
  </si>
  <si>
    <t>Trend</t>
  </si>
  <si>
    <t xml:space="preserve">Particulars </t>
  </si>
  <si>
    <t xml:space="preserve">Total Liabilities </t>
  </si>
  <si>
    <t xml:space="preserve">Total Assets </t>
  </si>
  <si>
    <t>Particulars</t>
  </si>
  <si>
    <t>NP 12M Rs.Cr.</t>
  </si>
  <si>
    <t>Enterprise V.</t>
  </si>
  <si>
    <t>No. Eq. Shares Cr.</t>
  </si>
  <si>
    <t>Ticker</t>
  </si>
  <si>
    <t>Name</t>
  </si>
  <si>
    <t>S.No.</t>
  </si>
  <si>
    <t>Weighted Average Cost Of Capital</t>
  </si>
  <si>
    <t>3. Levered Beta = Unlevered Beta*(1+(1-Tax Rate)*Debt/Equity</t>
  </si>
  <si>
    <t>Equity</t>
  </si>
  <si>
    <t>3. Unlevered Beta = Levered Beta/(1+(1-Tax Rate)*Debt/Equity</t>
  </si>
  <si>
    <t>Debt</t>
  </si>
  <si>
    <t>2. Levered Beta is based on 2 years weekly data</t>
  </si>
  <si>
    <t>Total Weight</t>
  </si>
  <si>
    <t>Total Cost</t>
  </si>
  <si>
    <t xml:space="preserve">1. Tax Rate is Considered Marginal Tax Rate for the country </t>
  </si>
  <si>
    <t>Notes:</t>
  </si>
  <si>
    <t xml:space="preserve">Weighted Average Cost of Capital </t>
  </si>
  <si>
    <t>Debt / Equity</t>
  </si>
  <si>
    <t xml:space="preserve">Levered Beta </t>
  </si>
  <si>
    <t>Total Capital</t>
  </si>
  <si>
    <t xml:space="preserve">Tax Rate </t>
  </si>
  <si>
    <t xml:space="preserve">Target Debt / Equity </t>
  </si>
  <si>
    <t>Total Debt</t>
  </si>
  <si>
    <t xml:space="preserve">Comps Median Unlevered Beta </t>
  </si>
  <si>
    <t>Target</t>
  </si>
  <si>
    <t xml:space="preserve">Current </t>
  </si>
  <si>
    <t>Capital Structure</t>
  </si>
  <si>
    <t>Cost of Equity</t>
  </si>
  <si>
    <t xml:space="preserve">Post Tax Cost of Debt </t>
  </si>
  <si>
    <r>
      <t>Levered Beta</t>
    </r>
    <r>
      <rPr>
        <vertAlign val="superscript"/>
        <sz val="11"/>
        <color theme="1"/>
        <rFont val="Calibri"/>
        <family val="2"/>
        <scheme val="minor"/>
      </rPr>
      <t xml:space="preserve"> 4</t>
    </r>
  </si>
  <si>
    <t>Market Risk Premium</t>
  </si>
  <si>
    <t>Pre-Tax Cost of Debt</t>
  </si>
  <si>
    <t xml:space="preserve">Risk Free Rate </t>
  </si>
  <si>
    <t xml:space="preserve">Cost of Debt </t>
  </si>
  <si>
    <t xml:space="preserve">Average </t>
  </si>
  <si>
    <t xml:space="preserve">India </t>
  </si>
  <si>
    <t>Beta</t>
  </si>
  <si>
    <t xml:space="preserve">Beta </t>
  </si>
  <si>
    <t>Capital</t>
  </si>
  <si>
    <r>
      <t xml:space="preserve">Tax rate </t>
    </r>
    <r>
      <rPr>
        <vertAlign val="superscript"/>
        <sz val="11"/>
        <color theme="1"/>
        <rFont val="Calibri"/>
        <family val="2"/>
        <scheme val="minor"/>
      </rPr>
      <t>1</t>
    </r>
  </si>
  <si>
    <t>Total Equity</t>
  </si>
  <si>
    <t xml:space="preserve">Total Debt </t>
  </si>
  <si>
    <t>Country</t>
  </si>
  <si>
    <t>Name of the comp</t>
  </si>
  <si>
    <r>
      <t>Unlevered</t>
    </r>
    <r>
      <rPr>
        <vertAlign val="superscript"/>
        <sz val="11"/>
        <color theme="1"/>
        <rFont val="Calibri"/>
        <family val="2"/>
        <scheme val="minor"/>
      </rPr>
      <t xml:space="preserve"> 3</t>
    </r>
  </si>
  <si>
    <r>
      <t xml:space="preserve">Levered </t>
    </r>
    <r>
      <rPr>
        <vertAlign val="superscript"/>
        <sz val="11"/>
        <color theme="1"/>
        <rFont val="Calibri"/>
        <family val="2"/>
        <scheme val="minor"/>
      </rPr>
      <t>2</t>
    </r>
  </si>
  <si>
    <t>Debt /</t>
  </si>
  <si>
    <t xml:space="preserve">Peers comms </t>
  </si>
  <si>
    <t>Source: The Valuation School, Screener.in</t>
  </si>
  <si>
    <t>Implied Value Per Share</t>
  </si>
  <si>
    <t>Shares Outstanding</t>
  </si>
  <si>
    <t>Implied Market Value</t>
  </si>
  <si>
    <t xml:space="preserve">Net Debt </t>
  </si>
  <si>
    <t xml:space="preserve">Implied Enterprise Value </t>
  </si>
  <si>
    <t xml:space="preserve">Ambuja Cement Comparable Valuation </t>
  </si>
  <si>
    <t>Low</t>
  </si>
  <si>
    <r>
      <t>25</t>
    </r>
    <r>
      <rPr>
        <vertAlign val="superscript"/>
        <sz val="11"/>
        <color theme="1"/>
        <rFont val="Calibri"/>
        <family val="2"/>
        <scheme val="minor"/>
      </rPr>
      <t>th</t>
    </r>
    <r>
      <rPr>
        <sz val="11"/>
        <color theme="1"/>
        <rFont val="Calibri"/>
        <family val="2"/>
        <scheme val="minor"/>
      </rPr>
      <t xml:space="preserve"> Percentile </t>
    </r>
  </si>
  <si>
    <r>
      <t>75</t>
    </r>
    <r>
      <rPr>
        <vertAlign val="superscript"/>
        <sz val="11"/>
        <color theme="1"/>
        <rFont val="Calibri"/>
        <family val="2"/>
        <scheme val="minor"/>
      </rPr>
      <t>th</t>
    </r>
    <r>
      <rPr>
        <sz val="11"/>
        <color theme="1"/>
        <rFont val="Calibri"/>
        <family val="2"/>
        <scheme val="minor"/>
      </rPr>
      <t xml:space="preserve"> Percentile </t>
    </r>
  </si>
  <si>
    <t>High</t>
  </si>
  <si>
    <t>P/E</t>
  </si>
  <si>
    <t>EV / EBITDA</t>
  </si>
  <si>
    <t>EV / Revenue</t>
  </si>
  <si>
    <t xml:space="preserve">Net Income </t>
  </si>
  <si>
    <t>Revenue</t>
  </si>
  <si>
    <t xml:space="preserve"> </t>
  </si>
  <si>
    <t xml:space="preserve">Enterprise Value </t>
  </si>
  <si>
    <t>Net Debt</t>
  </si>
  <si>
    <t xml:space="preserve">Equity Value </t>
  </si>
  <si>
    <t xml:space="preserve">Share Outstanding </t>
  </si>
  <si>
    <t>Share Price</t>
  </si>
  <si>
    <t xml:space="preserve">Company </t>
  </si>
  <si>
    <t>Valuation</t>
  </si>
  <si>
    <t xml:space="preserve">Financials </t>
  </si>
  <si>
    <t>Market Data</t>
  </si>
  <si>
    <t>(Amount in crores)</t>
  </si>
  <si>
    <t>Comparable Company Valuation - Ambuja Cements</t>
  </si>
  <si>
    <t>Equity Capital</t>
  </si>
  <si>
    <t>Borrowings -</t>
  </si>
  <si>
    <t>Long term Borrowings</t>
  </si>
  <si>
    <t>Short term Borrowings</t>
  </si>
  <si>
    <t>Lease Liabilities</t>
  </si>
  <si>
    <t>Other Borrowings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</si>
  <si>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</si>
  <si>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</si>
  <si>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</si>
  <si>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</si>
  <si>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</si>
  <si>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</si>
  <si>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</si>
  <si>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</si>
  <si>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</si>
  <si>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</si>
  <si>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</si>
  <si>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</si>
  <si>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</si>
  <si>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</si>
  <si>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</si>
  <si>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</si>
  <si>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</si>
  <si>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</si>
  <si>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</si>
  <si>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</si>
  <si>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Cash Equivalents</t>
  </si>
  <si>
    <t>Loans n Advances</t>
  </si>
  <si>
    <t>Other asset items</t>
  </si>
  <si>
    <t>Calculation of Intrinsic Growth Rate</t>
  </si>
  <si>
    <t>Current Assets</t>
  </si>
  <si>
    <t>Current Liabilities</t>
  </si>
  <si>
    <t xml:space="preserve">Net Working Capital </t>
  </si>
  <si>
    <t>Non- Current Assets</t>
  </si>
  <si>
    <t>Net Non- Current Assets</t>
  </si>
  <si>
    <t>Invested Capital</t>
  </si>
  <si>
    <t>ROIC</t>
  </si>
  <si>
    <t>Net Capex</t>
  </si>
  <si>
    <t>ΔW.C</t>
  </si>
  <si>
    <t>Marginal Tax Rate</t>
  </si>
  <si>
    <t>Reinvestment</t>
  </si>
  <si>
    <t>Reinvestment Rate</t>
  </si>
  <si>
    <t>4 Year Average</t>
  </si>
  <si>
    <t xml:space="preserve">4 Year Median </t>
  </si>
  <si>
    <t xml:space="preserve">Reinvestment Rate </t>
  </si>
  <si>
    <t>Intrinsic Growth</t>
  </si>
  <si>
    <t>Trade receivables</t>
  </si>
  <si>
    <t>NOPAT</t>
  </si>
  <si>
    <t>Calculation of PV of FCFF</t>
  </si>
  <si>
    <t xml:space="preserve">EBIT </t>
  </si>
  <si>
    <t xml:space="preserve">Less: Reinvestment Rate </t>
  </si>
  <si>
    <t>Free Cash Flow to Firm (FCFF)</t>
  </si>
  <si>
    <t>Mid Year Convention</t>
  </si>
  <si>
    <t>Discounting Factor</t>
  </si>
  <si>
    <t>PV of FCFF</t>
  </si>
  <si>
    <t>Terminal Growth</t>
  </si>
  <si>
    <t>WACC</t>
  </si>
  <si>
    <t>Calculation of Terminal Value</t>
  </si>
  <si>
    <t>Terminal Value</t>
  </si>
  <si>
    <t>Calculation of Implied Share Value</t>
  </si>
  <si>
    <t>PV of T.V</t>
  </si>
  <si>
    <t>Enterprise Value</t>
  </si>
  <si>
    <t>Add: Cash</t>
  </si>
  <si>
    <t>Less: Debt</t>
  </si>
  <si>
    <t>Equity Value</t>
  </si>
  <si>
    <t>Total Shares</t>
  </si>
  <si>
    <t>Implied Share Value</t>
  </si>
  <si>
    <t xml:space="preserve">Sum PV of FCFF </t>
  </si>
  <si>
    <t>Total Current Liabilities</t>
  </si>
  <si>
    <t>Invest in subsidiaries</t>
  </si>
  <si>
    <t>Investment in group cos</t>
  </si>
  <si>
    <t>Hind. Unilever</t>
  </si>
  <si>
    <t>ITC</t>
  </si>
  <si>
    <t>Nestle India</t>
  </si>
  <si>
    <t>Varun Beverages</t>
  </si>
  <si>
    <t>Britannia Inds.</t>
  </si>
  <si>
    <t>Godrej Consumer</t>
  </si>
  <si>
    <t>Tata Consumer</t>
  </si>
  <si>
    <t>United Spirits</t>
  </si>
  <si>
    <t>Marico</t>
  </si>
  <si>
    <t>Dabur India</t>
  </si>
  <si>
    <t>HINDUNILVR</t>
  </si>
  <si>
    <t>NESTLEIND</t>
  </si>
  <si>
    <t>VBL</t>
  </si>
  <si>
    <t>BRITANNIA</t>
  </si>
  <si>
    <t>GODREJCP</t>
  </si>
  <si>
    <t>TATACONSUM</t>
  </si>
  <si>
    <t>MCDOWELL-N</t>
  </si>
  <si>
    <t>MARICO</t>
  </si>
  <si>
    <t>DABUR</t>
  </si>
  <si>
    <r>
      <t>FCFF</t>
    </r>
    <r>
      <rPr>
        <vertAlign val="subscript"/>
        <sz val="11"/>
        <color theme="1"/>
        <rFont val="Calibri"/>
        <family val="2"/>
        <scheme val="minor"/>
      </rPr>
      <t>(n+1)</t>
    </r>
  </si>
  <si>
    <t>Date</t>
  </si>
  <si>
    <t>Return</t>
  </si>
  <si>
    <t>Sorted Returns</t>
  </si>
  <si>
    <t>Adj. Price</t>
  </si>
  <si>
    <t>Std. Deviation</t>
  </si>
  <si>
    <t>Min</t>
  </si>
  <si>
    <t xml:space="preserve">Max </t>
  </si>
  <si>
    <t>Percentile</t>
  </si>
  <si>
    <t>VAR%</t>
  </si>
  <si>
    <t>Stock Price</t>
  </si>
  <si>
    <t xml:space="preserve">Confidence </t>
  </si>
  <si>
    <t>CPM</t>
  </si>
  <si>
    <t>VAR (INR)</t>
  </si>
  <si>
    <t>Historical Approach</t>
  </si>
  <si>
    <t>Replication</t>
  </si>
  <si>
    <t>Simulated Returns</t>
  </si>
  <si>
    <t>Monte Carlo Simulation</t>
  </si>
  <si>
    <t xml:space="preserve">  </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</si>
  <si>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</si>
  <si>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</si>
  <si>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</si>
  <si>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</si>
  <si>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</si>
  <si>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</si>
  <si>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</si>
  <si>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</si>
  <si>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</si>
  <si>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</si>
  <si>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</si>
  <si>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</si>
  <si>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</si>
  <si>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</si>
  <si>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</si>
  <si>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</si>
  <si>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</si>
  <si>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</si>
  <si>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</si>
  <si>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</si>
  <si>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</si>
  <si>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</si>
  <si>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</si>
  <si>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</si>
  <si>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</si>
  <si>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</si>
  <si>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</si>
  <si>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</si>
  <si>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</si>
  <si>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</si>
  <si>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</si>
  <si>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</si>
  <si>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</si>
  <si>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</si>
  <si>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</si>
  <si>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</si>
  <si>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</si>
  <si>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</si>
  <si>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</si>
  <si>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</si>
  <si>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</si>
  <si>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</si>
  <si>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</si>
  <si>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</si>
  <si>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</si>
  <si>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</si>
  <si>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</si>
  <si>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</si>
  <si>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</si>
  <si>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</si>
  <si>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</si>
  <si>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</si>
  <si>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</si>
  <si>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</si>
  <si>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</si>
  <si>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</si>
  <si>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</si>
  <si>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</si>
  <si>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</si>
  <si>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</si>
  <si>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</si>
  <si>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</si>
  <si>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</si>
  <si>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</si>
  <si>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</si>
  <si>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</si>
  <si>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</si>
  <si>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</si>
  <si>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</si>
  <si>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</si>
  <si>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</si>
  <si>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</si>
  <si>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</si>
  <si>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</si>
  <si>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</si>
  <si>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</si>
  <si>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</si>
  <si>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</si>
  <si>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</si>
  <si>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</si>
  <si>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</si>
  <si>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</si>
  <si>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</si>
  <si>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</si>
  <si>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</si>
  <si>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</si>
  <si>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</si>
  <si>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</si>
  <si>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</si>
  <si>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</si>
  <si>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</si>
  <si>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</si>
  <si>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</si>
  <si>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</si>
  <si>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</si>
  <si>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</si>
  <si>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</si>
  <si>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</si>
  <si>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</si>
  <si>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</si>
  <si>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</si>
  <si>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</si>
  <si>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</si>
  <si>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</si>
  <si>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</si>
  <si>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</si>
  <si>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</si>
  <si>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</si>
  <si>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</si>
  <si>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</si>
  <si>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</si>
  <si>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</si>
  <si>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</si>
  <si>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</si>
  <si>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</si>
  <si>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</si>
  <si>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</si>
  <si>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</si>
  <si>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</si>
  <si>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</si>
  <si>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</si>
  <si>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</si>
  <si>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</si>
  <si>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</si>
  <si>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</si>
  <si>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</si>
  <si>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</si>
  <si>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</si>
  <si>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</si>
  <si>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</si>
  <si>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</si>
  <si>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</si>
  <si>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</si>
  <si>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</si>
  <si>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</si>
  <si>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</si>
  <si>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</si>
  <si>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</si>
  <si>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</si>
  <si>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</si>
  <si>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</si>
  <si>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</si>
  <si>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</si>
  <si>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</si>
  <si>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</si>
  <si>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</si>
  <si>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</si>
  <si>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</si>
  <si>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</si>
  <si>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</si>
  <si>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</si>
  <si>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</si>
  <si>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</si>
  <si>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</si>
  <si>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</si>
  <si>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</si>
  <si>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</si>
  <si>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</si>
  <si>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</si>
  <si>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</si>
  <si>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</si>
  <si>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</si>
  <si>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</si>
  <si>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</si>
  <si>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</si>
  <si>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</si>
  <si>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</si>
  <si>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</si>
  <si>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</si>
  <si>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</si>
  <si>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</si>
  <si>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</si>
  <si>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</si>
  <si>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</si>
  <si>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</si>
  <si>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</si>
  <si>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</si>
  <si>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</si>
  <si>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</si>
  <si>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</si>
  <si>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</si>
  <si>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</si>
  <si>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</si>
  <si>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</si>
  <si>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</si>
  <si>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</si>
  <si>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</si>
  <si>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</si>
  <si>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</si>
  <si>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</si>
  <si>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</si>
  <si>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</si>
  <si>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</si>
  <si>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</si>
  <si>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</si>
  <si>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</si>
  <si>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</si>
  <si>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</si>
  <si>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</si>
  <si>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</si>
  <si>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</si>
  <si>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</si>
  <si>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</si>
  <si>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</si>
  <si>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</si>
  <si>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</si>
  <si>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</si>
  <si>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</si>
  <si>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</si>
  <si>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</si>
  <si>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</si>
  <si>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</si>
  <si>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</si>
  <si>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</si>
  <si>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</si>
  <si>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</si>
  <si>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</si>
  <si>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</si>
  <si>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</si>
  <si>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</si>
  <si>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</si>
  <si>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</si>
  <si>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</si>
  <si>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</si>
  <si>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</si>
  <si>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</si>
  <si>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</si>
  <si>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</si>
  <si>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</si>
  <si>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</si>
  <si>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</si>
  <si>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</si>
  <si>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</si>
  <si>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</si>
  <si>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</si>
  <si>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</si>
  <si>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</si>
  <si>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</si>
  <si>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</si>
  <si>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</si>
  <si>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</si>
  <si>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</si>
  <si>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</si>
  <si>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</si>
  <si>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</si>
  <si>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</si>
  <si>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</si>
  <si>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</si>
  <si>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</si>
  <si>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</si>
  <si>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</si>
  <si>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</si>
  <si>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</si>
  <si>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</si>
  <si>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</si>
  <si>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</si>
  <si>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</si>
  <si>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</si>
  <si>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</si>
  <si>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</si>
  <si>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</si>
  <si>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</si>
  <si>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</si>
  <si>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</si>
  <si>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</si>
  <si>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</si>
  <si>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</si>
  <si>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</si>
  <si>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</si>
  <si>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</si>
  <si>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</si>
  <si>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</si>
  <si>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</si>
  <si>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</si>
  <si>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</si>
  <si>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</si>
  <si>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</si>
  <si>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</si>
  <si>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</si>
  <si>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</si>
  <si>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</si>
  <si>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</si>
  <si>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</si>
  <si>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</si>
  <si>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</si>
  <si>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</si>
  <si>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</si>
  <si>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</si>
  <si>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</si>
  <si>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</si>
  <si>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</si>
  <si>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</si>
  <si>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</si>
  <si>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</si>
  <si>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</si>
  <si>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</si>
  <si>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</si>
  <si>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</si>
  <si>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</si>
  <si>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</si>
  <si>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</si>
  <si>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</si>
  <si>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</si>
  <si>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</si>
  <si>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</si>
  <si>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</si>
  <si>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</si>
  <si>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</si>
  <si>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</si>
  <si>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</si>
  <si>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</si>
  <si>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</si>
  <si>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</si>
  <si>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</si>
  <si>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</si>
  <si>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</si>
  <si>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</si>
  <si>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</si>
  <si>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</si>
  <si>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</si>
  <si>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</si>
  <si>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</si>
  <si>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</si>
  <si>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</si>
  <si>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</si>
  <si>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</si>
  <si>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</si>
  <si>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</si>
  <si>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</si>
  <si>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</si>
  <si>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</si>
  <si>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</si>
  <si>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</si>
  <si>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</si>
  <si>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</si>
  <si>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</si>
  <si>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</si>
  <si>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</si>
  <si>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</si>
  <si>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</si>
  <si>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</si>
  <si>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</si>
  <si>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</si>
  <si>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</si>
  <si>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</si>
  <si>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</si>
  <si>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</si>
  <si>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</si>
  <si>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</si>
  <si>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</si>
  <si>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</si>
  <si>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</si>
  <si>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</si>
  <si>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</si>
  <si>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</si>
  <si>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</si>
  <si>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</si>
  <si>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</si>
  <si>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</si>
  <si>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</si>
  <si>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</si>
  <si>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</si>
  <si>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</si>
  <si>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</si>
  <si>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</si>
  <si>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</si>
  <si>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</si>
  <si>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</si>
  <si>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</si>
  <si>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</si>
  <si>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</si>
  <si>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</si>
  <si>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</si>
  <si>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</si>
  <si>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</si>
  <si>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</si>
  <si>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</si>
  <si>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</si>
  <si>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</si>
  <si>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</si>
  <si>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</si>
  <si>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</si>
  <si>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</si>
  <si>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</si>
  <si>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</si>
  <si>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</si>
  <si>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</si>
  <si>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</si>
  <si>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</si>
  <si>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</si>
  <si>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</si>
  <si>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</si>
  <si>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</si>
  <si>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</si>
  <si>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</si>
  <si>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</si>
  <si>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</si>
  <si>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</si>
  <si>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</si>
  <si>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</si>
  <si>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</si>
  <si>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</si>
  <si>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</si>
  <si>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</si>
  <si>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</si>
  <si>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</si>
  <si>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</si>
  <si>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</si>
  <si>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</si>
  <si>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</si>
  <si>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</si>
  <si>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</si>
  <si>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</si>
  <si>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</si>
  <si>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</si>
  <si>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</si>
  <si>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</si>
  <si>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</si>
  <si>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</si>
  <si>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</si>
  <si>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</si>
  <si>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</si>
  <si>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</si>
  <si>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</si>
  <si>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</si>
  <si>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</si>
  <si>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</si>
  <si>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</si>
  <si>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</si>
  <si>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</si>
  <si>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</si>
  <si>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</si>
  <si>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</si>
  <si>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</si>
  <si>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</si>
  <si>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</si>
  <si>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</si>
  <si>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</si>
  <si>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</si>
  <si>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</si>
  <si>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</si>
  <si>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</si>
  <si>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</si>
  <si>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</si>
  <si>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</si>
  <si>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</si>
  <si>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</si>
  <si>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</si>
  <si>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</si>
  <si>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</si>
  <si>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</si>
  <si>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</si>
  <si>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</si>
  <si>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</si>
  <si>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</si>
  <si>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</si>
  <si>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</si>
  <si>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</si>
  <si>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</si>
  <si>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</si>
  <si>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</si>
  <si>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</si>
  <si>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</si>
  <si>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</si>
  <si>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</si>
  <si>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</si>
  <si>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</si>
  <si>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</si>
  <si>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</si>
  <si>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</si>
  <si>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</si>
  <si>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</si>
  <si>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</si>
  <si>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</si>
  <si>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</si>
  <si>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</si>
  <si>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</si>
  <si>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</si>
  <si>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</si>
  <si>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</si>
  <si>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</si>
  <si>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</si>
  <si>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</si>
  <si>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</si>
  <si>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</si>
  <si>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</si>
  <si>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</si>
  <si>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</si>
  <si>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</si>
  <si>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</si>
  <si>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</si>
  <si>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</si>
  <si>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</si>
  <si>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</si>
  <si>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</si>
  <si>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</si>
  <si>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</si>
  <si>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</si>
  <si>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</si>
  <si>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</si>
  <si>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</si>
  <si>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</si>
  <si>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</si>
  <si>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</si>
  <si>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</si>
  <si>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</si>
  <si>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</si>
  <si>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</si>
  <si>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</si>
  <si>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</si>
  <si>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</si>
  <si>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</si>
  <si>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</si>
  <si>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</si>
  <si>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</si>
  <si>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</si>
  <si>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</si>
  <si>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</si>
  <si>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</si>
  <si>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</si>
  <si>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</si>
  <si>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</si>
  <si>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</si>
  <si>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</si>
  <si>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</si>
  <si>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</si>
  <si>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</si>
  <si>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</si>
  <si>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</si>
  <si>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</si>
  <si>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</si>
  <si>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</si>
  <si>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</si>
  <si>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</si>
  <si>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</si>
  <si>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</si>
  <si>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</si>
  <si>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</si>
  <si>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</si>
  <si>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</si>
  <si>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</si>
  <si>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</si>
  <si>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</si>
  <si>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</si>
  <si>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</si>
  <si>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</si>
  <si>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</si>
  <si>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</si>
  <si>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</si>
  <si>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</si>
  <si>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</si>
  <si>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</si>
  <si>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</si>
  <si>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</si>
  <si>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</si>
  <si>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</si>
  <si>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</si>
  <si>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</si>
  <si>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</si>
  <si>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</si>
  <si>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</si>
  <si>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</si>
  <si>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</si>
  <si>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</si>
  <si>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</si>
  <si>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</si>
  <si>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</si>
  <si>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</si>
  <si>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</si>
  <si>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</si>
  <si>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</si>
  <si>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</si>
  <si>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</si>
  <si>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</si>
  <si>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</si>
  <si>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</si>
  <si>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</si>
  <si>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</si>
  <si>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</si>
  <si>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</si>
  <si>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</si>
  <si>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</si>
  <si>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</si>
  <si>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</si>
  <si>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</si>
  <si>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</si>
  <si>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</si>
  <si>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</si>
  <si>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</si>
  <si>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</si>
  <si>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</si>
  <si>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</si>
  <si>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</si>
  <si>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</si>
  <si>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</si>
  <si>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</si>
  <si>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</si>
  <si>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</si>
  <si>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</si>
  <si>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</si>
  <si>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</si>
  <si>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</si>
  <si>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</si>
  <si>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</si>
  <si>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</si>
  <si>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</si>
  <si>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</si>
  <si>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</si>
  <si>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</si>
  <si>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</si>
  <si>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</si>
  <si>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</si>
  <si>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</si>
  <si>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</si>
  <si>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</si>
  <si>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</si>
  <si>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</si>
  <si>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</si>
  <si>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</si>
  <si>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</si>
  <si>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</si>
  <si>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</si>
  <si>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</si>
  <si>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</si>
  <si>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</si>
  <si>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</si>
  <si>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</si>
  <si>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</si>
  <si>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</si>
  <si>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</si>
  <si>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</si>
  <si>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</si>
  <si>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</si>
  <si>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</si>
  <si>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</si>
  <si>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</si>
  <si>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</si>
  <si>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</si>
  <si>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</si>
  <si>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</si>
  <si>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</si>
  <si>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</si>
  <si>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</si>
  <si>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</si>
  <si>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</si>
  <si>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</si>
  <si>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</si>
  <si>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</si>
  <si>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</si>
  <si>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</si>
  <si>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</si>
  <si>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</si>
  <si>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</si>
  <si>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</si>
  <si>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</si>
  <si>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</si>
  <si>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</si>
  <si>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</si>
  <si>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</si>
  <si>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</si>
  <si>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</si>
  <si>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</si>
  <si>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</si>
  <si>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</si>
  <si>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</si>
  <si>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</si>
  <si>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</si>
  <si>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</si>
  <si>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</si>
  <si>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</si>
  <si>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</si>
  <si>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</si>
  <si>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</si>
  <si>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</si>
  <si>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</si>
  <si>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</si>
  <si>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</si>
  <si>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</si>
  <si>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</si>
  <si>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</si>
  <si>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</si>
  <si>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</si>
  <si>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</si>
  <si>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</si>
  <si>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</si>
  <si>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</si>
  <si>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</si>
  <si>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</si>
  <si>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</si>
  <si>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</si>
  <si>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</si>
  <si>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</si>
  <si>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</si>
  <si>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</si>
  <si>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</si>
  <si>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</si>
  <si>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</si>
  <si>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</si>
  <si>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</si>
  <si>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</si>
  <si>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</si>
  <si>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</si>
  <si>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</si>
  <si>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</si>
  <si>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</si>
  <si>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</si>
  <si>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</si>
  <si>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</si>
  <si>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</si>
  <si>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</si>
  <si>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</si>
  <si>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</si>
  <si>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</si>
  <si>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</si>
  <si>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</si>
  <si>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</si>
  <si>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</si>
  <si>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</si>
  <si>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</si>
  <si>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</si>
  <si>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</si>
  <si>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</si>
  <si>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</si>
  <si>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</si>
  <si>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</si>
  <si>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</si>
  <si>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</si>
  <si>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</si>
  <si>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</si>
  <si>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</si>
  <si>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</si>
  <si>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</si>
  <si>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</si>
  <si>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</si>
  <si>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</si>
  <si>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</si>
  <si>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</si>
  <si>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</si>
  <si>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</si>
  <si>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</si>
  <si>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</si>
  <si>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</si>
  <si>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</si>
  <si>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</si>
  <si>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</si>
  <si>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</si>
  <si>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</si>
  <si>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</si>
  <si>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</si>
  <si>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</si>
  <si>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</si>
  <si>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</si>
  <si>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</si>
  <si>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</si>
  <si>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</si>
  <si>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</si>
  <si>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</si>
  <si>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</si>
  <si>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</si>
  <si>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</si>
  <si>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</si>
  <si>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</si>
  <si>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</si>
  <si>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</si>
  <si>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</si>
  <si>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</si>
  <si>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</si>
  <si>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</si>
  <si>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</si>
  <si>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</si>
  <si>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</si>
  <si>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</si>
  <si>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</si>
  <si>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</si>
  <si>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</si>
  <si>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</si>
  <si>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</si>
  <si>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</si>
  <si>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</si>
  <si>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</si>
  <si>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</si>
  <si>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</si>
  <si>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</si>
  <si>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</si>
  <si>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</si>
  <si>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</si>
  <si>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</si>
  <si>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</si>
  <si>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</si>
  <si>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</si>
  <si>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</si>
  <si>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</si>
  <si>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</si>
  <si>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</si>
  <si>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</si>
  <si>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</si>
  <si>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</si>
  <si>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</si>
  <si>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</si>
  <si>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</si>
  <si>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</si>
  <si>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</si>
  <si>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</si>
  <si>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</si>
  <si>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</si>
  <si>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</si>
  <si>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</si>
  <si>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</si>
  <si>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</si>
  <si>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</si>
  <si>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</si>
  <si>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</si>
  <si>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</si>
  <si>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</si>
  <si>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</si>
  <si>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</si>
  <si>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</si>
  <si>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</si>
  <si>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</si>
  <si>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</si>
  <si>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</si>
  <si>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</si>
  <si>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</si>
  <si>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</si>
  <si>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</si>
  <si>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</si>
  <si>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</si>
  <si>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</si>
  <si>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</si>
  <si>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</si>
  <si>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</si>
  <si>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</si>
  <si>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</si>
  <si>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</si>
  <si>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</si>
  <si>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</si>
  <si>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</si>
  <si>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</si>
  <si>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</si>
  <si>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</si>
  <si>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</si>
  <si>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</si>
  <si>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</si>
  <si>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</si>
  <si>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</si>
  <si>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</si>
  <si>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</si>
  <si>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</si>
  <si>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</si>
  <si>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</si>
  <si>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</si>
  <si>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</si>
  <si>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</si>
  <si>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</si>
  <si>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</si>
  <si>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</si>
  <si>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</si>
  <si>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</si>
  <si>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</si>
  <si>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</si>
  <si>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</si>
  <si>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</si>
  <si>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</si>
  <si>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</si>
  <si>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</si>
  <si>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</si>
  <si>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</si>
  <si>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</si>
  <si>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</si>
  <si>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</si>
  <si>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</si>
  <si>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</si>
  <si>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</si>
  <si>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</si>
  <si>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</si>
  <si>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</si>
  <si>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</si>
  <si>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</si>
  <si>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</si>
  <si>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</si>
  <si>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</si>
  <si>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</si>
  <si>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</si>
  <si>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</si>
  <si>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</si>
  <si>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</si>
  <si>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</si>
  <si>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</si>
  <si>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</si>
  <si>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</si>
  <si>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</si>
  <si>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</si>
  <si>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</si>
  <si>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</si>
  <si>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</si>
  <si>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</si>
  <si>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</si>
  <si>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</si>
  <si>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</si>
  <si>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</si>
  <si>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</si>
  <si>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</si>
  <si>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</si>
  <si>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</si>
  <si>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</si>
  <si>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</si>
  <si>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</si>
  <si>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</si>
  <si>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</si>
  <si>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</si>
  <si>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</si>
  <si>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</si>
  <si>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</si>
  <si>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</si>
  <si>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</si>
  <si>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</si>
  <si>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</si>
  <si>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</si>
  <si>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</si>
  <si>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</si>
  <si>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</si>
  <si>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</si>
  <si>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</si>
  <si>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</si>
  <si>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</si>
  <si>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</si>
  <si>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</si>
  <si>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</si>
  <si>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</si>
  <si>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</si>
  <si>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</si>
  <si>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</si>
  <si>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</si>
  <si>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</si>
  <si>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</si>
  <si>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</si>
  <si>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</si>
  <si>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</si>
  <si>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</si>
  <si>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</si>
  <si>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</si>
  <si>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</si>
  <si>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</si>
  <si>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</si>
  <si>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</si>
  <si>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</si>
  <si>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</si>
  <si>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</si>
  <si>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</si>
  <si>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</si>
  <si>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</si>
  <si>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</si>
  <si>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</si>
  <si>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</si>
  <si>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</si>
  <si>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</si>
  <si>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</si>
  <si>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</si>
  <si>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</si>
  <si>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</si>
  <si>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</si>
  <si>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</si>
  <si>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</si>
  <si>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</si>
  <si>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</si>
  <si>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</si>
  <si>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</si>
  <si>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</si>
  <si>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</si>
  <si>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</si>
  <si>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</si>
  <si>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</si>
  <si>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</si>
  <si>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</si>
  <si>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</si>
  <si>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</si>
  <si>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</si>
  <si>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</si>
  <si>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</si>
  <si>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</si>
  <si>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</si>
  <si>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</si>
  <si>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</si>
  <si>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</si>
  <si>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</si>
  <si>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</si>
  <si>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</si>
  <si>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</si>
  <si>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</si>
  <si>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</si>
  <si>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</si>
  <si>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</si>
  <si>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</si>
  <si>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</si>
  <si>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</si>
  <si>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</si>
  <si>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</si>
  <si>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</si>
  <si>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</si>
  <si>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</si>
  <si>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</si>
  <si>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</si>
  <si>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</si>
  <si>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</si>
  <si>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</si>
  <si>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</si>
  <si>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</si>
  <si>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</si>
  <si>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</si>
  <si>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</si>
  <si>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</si>
  <si>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</si>
  <si>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</si>
  <si>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</si>
  <si>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</si>
  <si>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</si>
  <si>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</si>
  <si>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</si>
  <si>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</si>
  <si>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</si>
  <si>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</si>
  <si>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</si>
  <si>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</si>
  <si>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</si>
  <si>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</si>
  <si>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</si>
  <si>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</si>
  <si>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</si>
  <si>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</si>
  <si>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</si>
  <si>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</si>
  <si>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</si>
  <si>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</si>
  <si>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</si>
  <si>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</si>
  <si>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</si>
  <si>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</si>
  <si>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</si>
  <si>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</si>
  <si>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</si>
  <si>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</si>
  <si>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</si>
  <si>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</si>
  <si>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</si>
  <si>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</si>
  <si>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</si>
  <si>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</si>
  <si>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</si>
  <si>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</si>
  <si>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</si>
  <si>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</si>
  <si>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</si>
  <si>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</si>
  <si>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</si>
  <si>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</si>
  <si>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</si>
  <si>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</si>
  <si>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</si>
  <si>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</si>
  <si>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</si>
  <si>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</si>
  <si>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</si>
  <si>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</si>
  <si>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</si>
  <si>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</si>
  <si>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</si>
  <si>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</si>
  <si>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</si>
  <si>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</si>
  <si>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</si>
  <si>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</si>
  <si>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</si>
  <si>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</si>
  <si>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</si>
  <si>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</si>
  <si>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</si>
  <si>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</si>
  <si>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</si>
  <si>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</si>
  <si>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</si>
  <si>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</si>
  <si>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</si>
  <si>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</si>
  <si>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</si>
  <si>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</si>
  <si>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</si>
  <si>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</si>
  <si>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</si>
  <si>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</si>
  <si>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</si>
  <si>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</si>
  <si>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</si>
  <si>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</si>
  <si>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</si>
  <si>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</si>
  <si>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</si>
  <si>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</si>
  <si>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</si>
  <si>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</si>
  <si>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</si>
  <si>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</si>
  <si>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</si>
  <si>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</si>
  <si>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</si>
  <si>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</si>
  <si>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</si>
  <si>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</si>
  <si>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</si>
  <si>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</si>
  <si>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</si>
  <si>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</si>
  <si>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</si>
  <si>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</si>
  <si>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</si>
  <si>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</si>
  <si>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</si>
  <si>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</si>
  <si>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</si>
  <si>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</si>
  <si>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</si>
  <si>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</si>
  <si>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</si>
  <si>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</si>
  <si>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</si>
  <si>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</si>
  <si>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</si>
  <si>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</si>
  <si>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</si>
  <si>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</si>
  <si>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</si>
  <si>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</si>
  <si>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</si>
  <si>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</si>
  <si>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</si>
  <si>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</si>
  <si>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</si>
  <si>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</si>
  <si>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</si>
  <si>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</si>
  <si>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</si>
  <si>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</si>
  <si>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</si>
  <si>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</si>
  <si>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</si>
  <si>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</si>
  <si>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</si>
  <si>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</si>
  <si>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</si>
  <si>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</si>
  <si>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</si>
  <si>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</si>
  <si>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</si>
  <si>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</si>
  <si>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</si>
  <si>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</si>
  <si>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</si>
  <si>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</si>
  <si>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</si>
  <si>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</si>
  <si>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</si>
  <si>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</si>
  <si>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</si>
  <si>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</si>
  <si>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</si>
  <si>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</si>
  <si>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</si>
  <si>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</si>
  <si>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</si>
  <si>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</si>
  <si>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</si>
  <si>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</si>
  <si>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</si>
  <si>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</si>
  <si>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</si>
  <si>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</si>
  <si>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</si>
  <si>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</si>
  <si>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</si>
  <si>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</si>
  <si>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</si>
  <si>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</si>
  <si>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</si>
  <si>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</si>
  <si>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</si>
  <si>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</si>
  <si>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</si>
  <si>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</si>
  <si>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</si>
  <si>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</si>
  <si>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</si>
  <si>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</si>
  <si>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</si>
  <si>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</si>
  <si>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</si>
  <si>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</si>
  <si>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</si>
  <si>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</si>
  <si>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</si>
  <si>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</si>
  <si>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</si>
  <si>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</si>
  <si>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</si>
  <si>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</si>
  <si>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</si>
  <si>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</si>
  <si>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</si>
  <si>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</si>
  <si>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</si>
  <si>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</si>
  <si>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</si>
  <si>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</si>
  <si>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</si>
  <si>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</si>
  <si>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</si>
  <si>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</si>
  <si>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</si>
  <si>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</si>
  <si>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</si>
  <si>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</si>
  <si>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</si>
  <si>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</si>
  <si>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</si>
  <si>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</si>
  <si>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</si>
  <si>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</si>
  <si>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</si>
  <si>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</si>
  <si>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</si>
  <si>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</si>
  <si>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</si>
  <si>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</si>
  <si>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</si>
  <si>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</si>
  <si>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</si>
  <si>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</si>
  <si>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</si>
  <si>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</si>
  <si>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</si>
  <si>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</si>
  <si>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</si>
  <si>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</si>
  <si>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</si>
  <si>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</si>
  <si>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</si>
  <si>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</si>
  <si>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</si>
  <si>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</si>
  <si>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</si>
  <si>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</si>
  <si>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</si>
  <si>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</si>
  <si>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</si>
  <si>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</si>
  <si>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</si>
  <si>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</si>
  <si>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</si>
  <si>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</si>
  <si>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</si>
  <si>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</si>
  <si>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</si>
  <si>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</si>
  <si>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</si>
  <si>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</si>
  <si>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</si>
  <si>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</si>
  <si>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</si>
  <si>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</si>
  <si>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</si>
  <si>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</si>
  <si>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</si>
  <si>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</si>
  <si>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</si>
  <si>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</si>
  <si>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</si>
  <si>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</si>
  <si>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</si>
  <si>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</si>
  <si>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</si>
  <si>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</si>
  <si>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</si>
  <si>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</si>
  <si>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</si>
  <si>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</si>
  <si>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</si>
  <si>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</si>
  <si>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</si>
  <si>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</si>
  <si>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</si>
  <si>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</si>
  <si>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</si>
  <si>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</si>
  <si>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</si>
  <si>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</si>
  <si>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</si>
  <si>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</si>
  <si>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</si>
  <si>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</si>
  <si>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</si>
  <si>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</si>
  <si>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</si>
  <si>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</si>
  <si>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</si>
  <si>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</si>
  <si>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</si>
  <si>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</si>
  <si>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</si>
  <si>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</si>
  <si>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</si>
  <si>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</si>
  <si>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</si>
  <si>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</si>
  <si>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</si>
  <si>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</si>
  <si>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</si>
  <si>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</si>
  <si>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</si>
  <si>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</si>
  <si>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</si>
  <si>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</si>
  <si>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</si>
  <si>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</si>
  <si>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</si>
  <si>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</si>
  <si>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</si>
  <si>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</si>
  <si>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</si>
  <si>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</si>
  <si>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</si>
  <si>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</si>
  <si>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</si>
  <si>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</si>
  <si>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</si>
  <si>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</si>
  <si>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</si>
  <si>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</si>
  <si>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</si>
  <si>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</si>
  <si>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</si>
  <si>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</si>
  <si>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</si>
  <si>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</si>
  <si>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</si>
  <si>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</si>
  <si>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</si>
  <si>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</si>
  <si>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</si>
  <si>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</si>
  <si>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</si>
  <si>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</si>
  <si>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</si>
  <si>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</si>
  <si>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</si>
  <si>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</si>
  <si>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</si>
  <si>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</si>
  <si>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</si>
  <si>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</si>
  <si>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</si>
  <si>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</si>
  <si>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</si>
  <si>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</si>
  <si>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</si>
  <si>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</si>
  <si>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</si>
  <si>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</si>
  <si>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</si>
  <si>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</si>
  <si>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</si>
  <si>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</si>
  <si>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</si>
  <si>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</si>
  <si>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</si>
  <si>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</si>
  <si>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</si>
  <si>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</si>
  <si>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</si>
  <si>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</si>
  <si>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</si>
  <si>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</si>
  <si>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</si>
  <si>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</si>
  <si>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</si>
  <si>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</si>
  <si>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</si>
  <si>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</si>
  <si>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</si>
  <si>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</si>
  <si>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</si>
  <si>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</si>
  <si>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</si>
  <si>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</si>
  <si>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</si>
  <si>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</si>
  <si>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</si>
  <si>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</si>
  <si>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</si>
  <si>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</si>
  <si>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</si>
  <si>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</si>
  <si>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</si>
  <si>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</si>
  <si>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</si>
  <si>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</si>
  <si>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</si>
  <si>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</si>
  <si>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</si>
  <si>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</si>
  <si>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</si>
  <si>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</si>
  <si>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</si>
  <si>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</si>
  <si>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</si>
  <si>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</si>
  <si>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</si>
  <si>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</si>
  <si>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</si>
  <si>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</si>
  <si>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</si>
  <si>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</si>
  <si>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</si>
  <si>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</si>
  <si>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</si>
  <si>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</si>
  <si>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</si>
  <si>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</si>
  <si>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</si>
  <si>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</si>
  <si>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</si>
  <si>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</si>
  <si>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</si>
  <si>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</si>
  <si>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</si>
  <si>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</si>
  <si>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</si>
  <si>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</si>
  <si>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</si>
  <si>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</si>
  <si>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</si>
  <si>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</si>
  <si>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</si>
  <si>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</si>
  <si>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</si>
  <si>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</si>
  <si>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</si>
  <si>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</si>
  <si>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</si>
  <si>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</si>
  <si>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</si>
  <si>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</si>
  <si>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</si>
  <si>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</si>
  <si>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</si>
  <si>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</si>
  <si>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</si>
  <si>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</si>
  <si>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</si>
  <si>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</si>
  <si>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</si>
  <si>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</si>
  <si>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</si>
  <si>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</si>
  <si>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</si>
  <si>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</si>
  <si>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</si>
  <si>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</si>
  <si>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</si>
  <si>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</si>
  <si>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</si>
  <si>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</si>
  <si>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</si>
  <si>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</si>
  <si>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</si>
  <si>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</si>
  <si>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</si>
  <si>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</si>
  <si>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</si>
  <si>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</si>
  <si>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</si>
  <si>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</si>
  <si>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</si>
  <si>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</si>
  <si>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</si>
  <si>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</si>
  <si>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</si>
  <si>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</si>
  <si>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</si>
  <si>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</si>
  <si>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</si>
  <si>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</si>
  <si>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</si>
  <si>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</si>
  <si>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</si>
  <si>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</si>
  <si>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</si>
  <si>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</si>
  <si>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</si>
  <si>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</si>
  <si>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</si>
  <si>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</si>
  <si>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</si>
  <si>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</si>
  <si>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</si>
  <si>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</si>
  <si>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</si>
  <si>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</si>
  <si>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</si>
  <si>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</si>
  <si>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</si>
  <si>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</si>
  <si>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</si>
  <si>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</si>
  <si>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</si>
  <si>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</si>
  <si>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</si>
  <si>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</si>
  <si>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</si>
  <si>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</si>
  <si>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</si>
  <si>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</si>
  <si>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</si>
  <si>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</si>
  <si>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</si>
  <si>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</si>
  <si>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</si>
  <si>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</si>
  <si>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</si>
  <si>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</si>
  <si>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</si>
  <si>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</si>
  <si>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</si>
  <si>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</si>
  <si>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</si>
  <si>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</si>
  <si>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</si>
  <si>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</si>
  <si>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</si>
  <si>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</si>
  <si>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</si>
  <si>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</si>
  <si>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</si>
  <si>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</si>
  <si>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</si>
  <si>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</si>
  <si>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</si>
  <si>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</si>
  <si>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</si>
  <si>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</si>
  <si>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</si>
  <si>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</si>
  <si>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</si>
  <si>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</si>
  <si>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</si>
  <si>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</si>
  <si>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</si>
  <si>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</si>
  <si>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</si>
  <si>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</si>
  <si>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</si>
  <si>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</si>
  <si>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</si>
  <si>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</si>
  <si>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</si>
  <si>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</si>
  <si>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</si>
  <si>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</si>
  <si>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</si>
  <si>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</si>
  <si>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</si>
  <si>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</si>
  <si>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</si>
  <si>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</si>
  <si>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</si>
  <si>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</si>
  <si>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</si>
  <si>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</si>
  <si>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</si>
  <si>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</si>
  <si>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</si>
  <si>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</si>
  <si>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</si>
  <si>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</si>
  <si>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</si>
  <si>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</si>
  <si>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</si>
  <si>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</si>
  <si>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</si>
  <si>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</si>
  <si>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</si>
  <si>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</si>
  <si>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</si>
  <si>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</si>
  <si>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</si>
  <si>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</si>
  <si>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</si>
  <si>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</si>
  <si>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</si>
  <si>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</si>
  <si>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</si>
  <si>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</si>
  <si>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</si>
  <si>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</si>
  <si>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</si>
  <si>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</si>
  <si>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</si>
  <si>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</si>
  <si>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</si>
  <si>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</si>
  <si>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</si>
  <si>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</si>
  <si>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</si>
  <si>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</si>
  <si>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</si>
  <si>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</si>
  <si>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</si>
  <si>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</si>
  <si>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</si>
  <si>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</si>
  <si>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</si>
  <si>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</si>
  <si>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</si>
  <si>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</si>
  <si>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</si>
  <si>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</si>
  <si>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</si>
  <si>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</si>
  <si>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</si>
  <si>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</si>
  <si>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</si>
  <si>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</si>
  <si>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</si>
  <si>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</si>
  <si>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</si>
  <si>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</si>
  <si>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</si>
  <si>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</si>
  <si>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</si>
  <si>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</si>
  <si>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</si>
  <si>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</si>
  <si>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</si>
  <si>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</si>
  <si>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</si>
  <si>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</si>
  <si>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</si>
  <si>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</si>
  <si>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</si>
  <si>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</si>
  <si>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</si>
  <si>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</si>
  <si>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</si>
  <si>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</si>
  <si>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</si>
  <si>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</si>
  <si>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</si>
  <si>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</si>
  <si>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</si>
  <si>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</si>
  <si>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</si>
  <si>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</si>
  <si>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</si>
  <si>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</si>
  <si>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</si>
  <si>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</si>
  <si>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</si>
  <si>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</si>
  <si>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</si>
  <si>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</si>
  <si>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</si>
  <si>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</si>
  <si>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</si>
  <si>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</si>
  <si>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</si>
  <si>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</si>
  <si>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</si>
  <si>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</si>
  <si>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</si>
  <si>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</si>
  <si>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</si>
  <si>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</si>
  <si>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</si>
  <si>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</si>
  <si>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</si>
  <si>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</si>
  <si>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</si>
  <si>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</si>
  <si>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</si>
  <si>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</si>
  <si>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</si>
  <si>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</si>
  <si>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</si>
  <si>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</si>
  <si>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</si>
  <si>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</si>
  <si>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</si>
  <si>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</si>
  <si>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</si>
  <si>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</si>
  <si>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</si>
  <si>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</si>
  <si>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</si>
  <si>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</si>
  <si>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</si>
  <si>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</si>
  <si>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</si>
  <si>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</si>
  <si>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</si>
  <si>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</si>
  <si>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</si>
  <si>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</si>
  <si>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</si>
  <si>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</si>
  <si>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</si>
  <si>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</si>
  <si>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</si>
  <si>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</si>
  <si>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</si>
  <si>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</si>
  <si>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</si>
  <si>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</si>
  <si>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</si>
  <si>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</si>
  <si>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</si>
  <si>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</si>
  <si>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</si>
  <si>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</si>
  <si>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</si>
  <si>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</si>
  <si>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</si>
  <si>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</si>
  <si>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</si>
  <si>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</si>
  <si>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</si>
  <si>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</si>
  <si>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</si>
  <si>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</si>
  <si>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</si>
  <si>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</si>
  <si>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</si>
  <si>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</si>
  <si>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</si>
  <si>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</si>
  <si>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</si>
  <si>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</si>
  <si>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</si>
  <si>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</si>
  <si>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</si>
  <si>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</si>
  <si>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</si>
  <si>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</si>
  <si>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</si>
  <si>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</si>
  <si>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</si>
  <si>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</si>
  <si>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</si>
  <si>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</si>
  <si>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</si>
  <si>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</si>
  <si>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</si>
  <si>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</si>
  <si>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</si>
  <si>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</si>
  <si>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</si>
  <si>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</si>
  <si>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</si>
  <si>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</si>
  <si>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</si>
  <si>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</si>
  <si>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</si>
  <si>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</si>
  <si>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</si>
  <si>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</si>
  <si>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</si>
  <si>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</si>
  <si>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</si>
  <si>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</si>
  <si>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</si>
  <si>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</si>
  <si>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</si>
  <si>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</si>
  <si>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</si>
  <si>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</si>
  <si>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</si>
  <si>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</si>
  <si>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</si>
  <si>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</si>
  <si>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</si>
  <si>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</si>
  <si>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</si>
  <si>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</si>
  <si>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</si>
  <si>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</si>
  <si>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</si>
  <si>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</si>
  <si>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</si>
  <si>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</si>
  <si>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</si>
  <si>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</si>
  <si>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</si>
  <si>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</si>
  <si>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</si>
  <si>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</si>
  <si>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</si>
  <si>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</si>
  <si>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</si>
  <si>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</si>
  <si>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</si>
  <si>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</si>
  <si>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</si>
  <si>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</si>
  <si>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</si>
  <si>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</si>
  <si>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</si>
  <si>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</si>
  <si>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</si>
  <si>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</si>
  <si>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</si>
  <si>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</si>
  <si>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</si>
  <si>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</si>
  <si>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</si>
  <si>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</si>
  <si>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</si>
  <si>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</si>
  <si>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</si>
  <si>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</si>
  <si>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</si>
  <si>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</si>
  <si>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</si>
  <si>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</si>
  <si>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</si>
  <si>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</si>
  <si>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</si>
  <si>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</si>
  <si>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</si>
  <si>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</si>
  <si>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</si>
  <si>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</si>
  <si>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</si>
  <si>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</si>
  <si>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</si>
  <si>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</si>
  <si>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</si>
  <si>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</si>
  <si>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</si>
  <si>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</si>
  <si>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</si>
  <si>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</si>
  <si>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</si>
  <si>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</si>
  <si>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</si>
  <si>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</si>
  <si>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</si>
  <si>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</si>
  <si>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</si>
  <si>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</si>
  <si>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</si>
  <si>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</si>
  <si>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</si>
  <si>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</si>
  <si>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</si>
  <si>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</si>
  <si>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</si>
  <si>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</si>
  <si>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</si>
  <si>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</si>
  <si>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</si>
  <si>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</si>
  <si>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</si>
  <si>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</si>
  <si>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</si>
  <si>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</si>
  <si>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</si>
  <si>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</si>
  <si>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</si>
  <si>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</si>
  <si>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</si>
  <si>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</si>
  <si>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</si>
  <si>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</si>
  <si>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</si>
  <si>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</si>
  <si>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</si>
  <si>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</si>
  <si>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</si>
  <si>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</si>
  <si>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</si>
  <si>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</si>
  <si>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</si>
  <si>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</si>
  <si>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</si>
  <si>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</si>
  <si>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</si>
  <si>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</si>
  <si>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</si>
  <si>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</si>
  <si>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</si>
  <si>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</si>
  <si>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</si>
  <si>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</si>
  <si>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</si>
  <si>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</si>
  <si>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</si>
  <si>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</si>
  <si>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</si>
  <si>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</si>
  <si>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</si>
  <si>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</si>
  <si>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</si>
  <si>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</si>
  <si>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</si>
  <si>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</si>
  <si>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</si>
  <si>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</si>
  <si>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</si>
  <si>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</si>
  <si>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</si>
  <si>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</si>
  <si>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</si>
  <si>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</si>
  <si>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</si>
  <si>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</si>
  <si>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</si>
  <si>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</si>
  <si>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</si>
  <si>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</si>
  <si>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</si>
  <si>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</si>
  <si>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</si>
  <si>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</si>
  <si>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</si>
  <si>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</si>
  <si>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</si>
  <si>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</si>
  <si>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</si>
  <si>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</si>
  <si>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</si>
  <si>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</si>
  <si>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</si>
  <si>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</si>
  <si>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</si>
  <si>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</si>
  <si>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</si>
  <si>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</si>
  <si>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</si>
  <si>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</si>
  <si>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</si>
  <si>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</si>
  <si>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</si>
  <si>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</si>
  <si>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</si>
  <si>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</si>
  <si>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</si>
  <si>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</si>
  <si>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</si>
  <si>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</si>
  <si>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</si>
  <si>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</si>
  <si>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</si>
  <si>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</si>
  <si>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</si>
  <si>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</si>
  <si>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</si>
  <si>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</si>
  <si>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</si>
  <si>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</si>
  <si>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</si>
  <si>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</si>
  <si>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</si>
  <si>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</si>
  <si>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</si>
  <si>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</si>
  <si>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</si>
  <si>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</si>
  <si>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</si>
  <si>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</si>
  <si>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</si>
  <si>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</si>
  <si>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</si>
  <si>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</si>
  <si>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</si>
  <si>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</si>
  <si>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</si>
  <si>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</si>
  <si>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</si>
  <si>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</si>
  <si>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</si>
  <si>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</si>
  <si>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</si>
  <si>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</si>
  <si>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</si>
  <si>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</si>
  <si>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</si>
  <si>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</si>
  <si>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</si>
  <si>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</si>
  <si>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</si>
  <si>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</si>
  <si>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</si>
  <si>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</si>
  <si>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</si>
  <si>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</si>
  <si>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</si>
  <si>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</si>
  <si>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</si>
  <si>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</si>
  <si>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</si>
  <si>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</si>
  <si>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</si>
  <si>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</si>
  <si>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</si>
  <si>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</si>
  <si>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</si>
  <si>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</si>
  <si>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</si>
  <si>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</si>
  <si>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</si>
  <si>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</si>
  <si>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</si>
  <si>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</si>
  <si>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</si>
  <si>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</si>
  <si>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</si>
  <si>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</si>
  <si>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</si>
  <si>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</si>
  <si>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</si>
  <si>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</si>
  <si>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</si>
  <si>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</si>
  <si>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</si>
  <si>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</si>
  <si>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</si>
  <si>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</si>
  <si>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</si>
  <si>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</si>
  <si>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</si>
  <si>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</si>
  <si>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</si>
  <si>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</si>
  <si>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</si>
  <si>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</si>
  <si>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</si>
  <si>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</si>
  <si>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</si>
  <si>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</si>
  <si>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</si>
  <si>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</si>
  <si>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</si>
  <si>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</si>
  <si>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</si>
  <si>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</si>
  <si>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</si>
  <si>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</si>
  <si>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</si>
  <si>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</si>
  <si>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</si>
  <si>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</si>
  <si>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</si>
  <si>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</si>
  <si>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</si>
  <si>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</si>
  <si>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</si>
  <si>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</si>
  <si>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</si>
  <si>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</si>
  <si>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</si>
  <si>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</si>
  <si>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</si>
  <si>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</si>
  <si>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</si>
  <si>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</si>
  <si>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</si>
  <si>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</si>
  <si>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</si>
  <si>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</si>
  <si>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</si>
  <si>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</si>
  <si>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</si>
  <si>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</si>
  <si>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</si>
  <si>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</si>
  <si>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</si>
  <si>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</si>
  <si>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</si>
  <si>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</si>
  <si>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</si>
  <si>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</si>
  <si>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</si>
  <si>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</si>
  <si>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</si>
  <si>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</si>
  <si>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</si>
  <si>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</si>
  <si>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</si>
  <si>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</si>
  <si>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</si>
  <si>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</si>
  <si>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</si>
  <si>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</si>
  <si>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</si>
  <si>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</si>
  <si>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</si>
  <si>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</si>
  <si>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</si>
  <si>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</si>
  <si>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</si>
  <si>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</si>
  <si>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</si>
  <si>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</si>
  <si>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</si>
  <si>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</si>
  <si>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</si>
  <si>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</si>
  <si>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</si>
  <si>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</si>
  <si>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</si>
  <si>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</si>
  <si>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</si>
  <si>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</si>
  <si>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</si>
  <si>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</si>
  <si>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</si>
  <si>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</si>
  <si>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</si>
  <si>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</si>
  <si>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</si>
  <si>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</si>
  <si>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</si>
  <si>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</si>
  <si>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</si>
  <si>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</si>
  <si>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</si>
  <si>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</si>
  <si>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</si>
  <si>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</si>
  <si>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</si>
  <si>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</si>
  <si>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</si>
  <si>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</si>
  <si>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</si>
  <si>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</si>
  <si>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</si>
  <si>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</si>
  <si>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</si>
  <si>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</si>
  <si>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</si>
  <si>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</si>
  <si>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</si>
  <si>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</si>
  <si>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</si>
  <si>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</si>
  <si>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</si>
  <si>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</si>
  <si>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</si>
  <si>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</si>
  <si>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</si>
  <si>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</si>
  <si>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</si>
  <si>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</si>
  <si>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</si>
  <si>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</si>
  <si>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</si>
  <si>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</si>
  <si>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</si>
  <si>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</si>
  <si>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</si>
  <si>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</si>
  <si>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</si>
  <si>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</si>
  <si>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</si>
  <si>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</si>
  <si>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</si>
  <si>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</si>
  <si>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</si>
  <si>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</si>
  <si>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</si>
  <si>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</si>
  <si>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</si>
  <si>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</si>
  <si>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</si>
  <si>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</si>
  <si>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</si>
  <si>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</si>
  <si>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</si>
  <si>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</si>
  <si>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</si>
  <si>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</si>
  <si>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</si>
  <si>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</si>
  <si>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</si>
  <si>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</si>
  <si>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</si>
  <si>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</si>
  <si>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</si>
  <si>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</si>
  <si>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</si>
  <si>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</si>
  <si>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</si>
  <si>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</si>
  <si>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</si>
  <si>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</si>
  <si>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</si>
  <si>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</si>
  <si>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</si>
  <si>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</si>
  <si>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</si>
  <si>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</si>
  <si>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</si>
  <si>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</si>
  <si>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</si>
  <si>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</si>
  <si>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</si>
  <si>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</si>
  <si>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</si>
  <si>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</si>
  <si>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</si>
  <si>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</si>
  <si>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</si>
  <si>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</si>
  <si>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</si>
  <si>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</si>
  <si>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</si>
  <si>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</si>
  <si>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</si>
  <si>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</si>
  <si>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</si>
  <si>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</si>
  <si>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</si>
  <si>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</si>
  <si>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</si>
  <si>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</si>
  <si>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</si>
  <si>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</si>
  <si>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</si>
  <si>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</si>
  <si>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</si>
  <si>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</si>
  <si>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</si>
  <si>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</si>
  <si>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</si>
  <si>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</si>
  <si>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</si>
  <si>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</si>
  <si>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</si>
  <si>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</si>
  <si>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</si>
  <si>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</si>
  <si>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</si>
  <si>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</si>
  <si>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</si>
  <si>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</si>
  <si>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</si>
  <si>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</si>
  <si>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</si>
  <si>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</si>
  <si>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</si>
  <si>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</si>
  <si>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</si>
  <si>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</si>
  <si>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</si>
  <si>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</si>
  <si>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</si>
  <si>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</si>
  <si>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</si>
  <si>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</si>
  <si>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</si>
  <si>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</si>
  <si>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</si>
  <si>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</si>
  <si>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</si>
  <si>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</si>
  <si>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</si>
  <si>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</si>
  <si>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</si>
  <si>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</si>
  <si>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</si>
  <si>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</si>
  <si>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</si>
  <si>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</si>
  <si>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</si>
  <si>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</si>
  <si>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</si>
  <si>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</si>
  <si>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</si>
  <si>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</si>
  <si>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</si>
  <si>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</si>
  <si>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</si>
  <si>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</si>
  <si>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</si>
  <si>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</si>
  <si>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</si>
  <si>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</si>
  <si>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</si>
  <si>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</si>
  <si>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</si>
  <si>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</si>
  <si>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</si>
  <si>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</si>
  <si>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</si>
  <si>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</si>
  <si>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</si>
  <si>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</si>
  <si>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</si>
  <si>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</si>
  <si>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</si>
  <si>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</si>
  <si>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</si>
  <si>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</si>
  <si>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</si>
  <si>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</si>
  <si>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</si>
  <si>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</si>
  <si>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</si>
  <si>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</si>
  <si>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</si>
  <si>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</si>
  <si>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</si>
  <si>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</si>
  <si>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</si>
  <si>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</si>
  <si>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</si>
  <si>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</si>
  <si>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</si>
  <si>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</si>
  <si>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</si>
  <si>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</si>
  <si>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</si>
  <si>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</si>
  <si>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</si>
  <si>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</si>
  <si>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</si>
  <si>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</si>
  <si>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</si>
  <si>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</si>
  <si>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</si>
  <si>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</si>
  <si>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</si>
  <si>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</si>
  <si>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</si>
  <si>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</si>
  <si>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</si>
  <si>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</si>
  <si>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</si>
  <si>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</si>
  <si>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</si>
  <si>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</si>
  <si>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</si>
  <si>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</si>
  <si>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</si>
  <si>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</si>
  <si>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</si>
  <si>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</si>
  <si>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</si>
  <si>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</si>
  <si>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</si>
  <si>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</si>
  <si>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</si>
  <si>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</si>
  <si>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</si>
  <si>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</si>
  <si>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</si>
  <si>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</si>
  <si>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</si>
  <si>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</si>
  <si>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</si>
  <si>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</si>
  <si>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</si>
  <si>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</si>
  <si>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</si>
  <si>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</si>
  <si>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</si>
  <si>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</si>
  <si>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</si>
  <si>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</si>
  <si>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</si>
  <si>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</si>
  <si>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</si>
  <si>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</si>
  <si>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</si>
  <si>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</si>
  <si>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</si>
  <si>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</si>
  <si>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</si>
  <si>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</si>
  <si>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</si>
  <si>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</si>
  <si>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</si>
  <si>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</si>
  <si>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</si>
  <si>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</si>
  <si>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</si>
  <si>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</si>
  <si>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</si>
  <si>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</si>
  <si>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</si>
  <si>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</si>
  <si>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</si>
  <si>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</si>
  <si>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</si>
  <si>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</si>
  <si>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</si>
  <si>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</si>
  <si>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</si>
  <si>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</si>
  <si>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</si>
  <si>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</si>
  <si>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</si>
  <si>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</si>
  <si>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</si>
  <si>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</si>
  <si>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</si>
  <si>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</si>
  <si>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</si>
  <si>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</si>
  <si>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</si>
  <si>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</si>
  <si>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</si>
  <si>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</si>
  <si>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</si>
  <si>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</si>
  <si>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</si>
  <si>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</si>
  <si>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</si>
  <si>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</si>
  <si>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</si>
  <si>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</si>
  <si>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</si>
  <si>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</si>
  <si>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</si>
  <si>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</si>
  <si>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</si>
  <si>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</si>
  <si>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</si>
  <si>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</si>
  <si>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</si>
  <si>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</si>
  <si>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</si>
  <si>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</si>
  <si>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</si>
  <si>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</si>
  <si>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</si>
  <si>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</si>
  <si>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</si>
  <si>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</si>
  <si>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</si>
  <si>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</si>
  <si>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</si>
  <si>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</si>
  <si>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</si>
  <si>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</si>
  <si>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</si>
  <si>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</si>
  <si>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</si>
  <si>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</si>
  <si>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</si>
  <si>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</si>
  <si>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</si>
  <si>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</si>
  <si>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</si>
  <si>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</si>
  <si>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</si>
  <si>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</si>
  <si>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</si>
  <si>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</si>
  <si>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</si>
  <si>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</si>
  <si>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</si>
  <si>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</si>
  <si>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</si>
  <si>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</si>
  <si>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</si>
  <si>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</si>
  <si>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</si>
  <si>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</si>
  <si>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</si>
  <si>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</si>
  <si>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</si>
  <si>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</si>
  <si>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</si>
  <si>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</si>
  <si>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</si>
  <si>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</si>
  <si>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</si>
  <si>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</si>
  <si>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</si>
  <si>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</si>
  <si>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</si>
  <si>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</si>
  <si>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</si>
  <si>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</si>
  <si>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</si>
  <si>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</si>
  <si>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</si>
  <si>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</si>
  <si>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</si>
  <si>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</si>
  <si>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</si>
  <si>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</si>
  <si>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</si>
  <si>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</si>
  <si>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</si>
  <si>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</si>
  <si>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</si>
  <si>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</si>
  <si>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</si>
  <si>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</si>
  <si>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</si>
  <si>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</si>
  <si>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</si>
  <si>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</si>
  <si>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</si>
  <si>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</si>
  <si>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</si>
  <si>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</si>
  <si>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</si>
  <si>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</si>
  <si>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</si>
  <si>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</si>
  <si>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</si>
  <si>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</si>
  <si>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</si>
  <si>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</si>
  <si>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</si>
  <si>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</si>
  <si>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</si>
  <si>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</si>
  <si>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</si>
  <si>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</si>
  <si>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</si>
  <si>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</si>
  <si>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</si>
  <si>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</si>
  <si>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</si>
  <si>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</si>
  <si>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</si>
  <si>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</si>
  <si>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</si>
  <si>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</si>
  <si>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</si>
  <si>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</si>
  <si>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</si>
  <si>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</si>
  <si>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</si>
  <si>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</si>
  <si>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</si>
  <si>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</si>
  <si>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</si>
  <si>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</si>
  <si>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</si>
  <si>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</si>
  <si>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</si>
  <si>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</si>
  <si>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</si>
  <si>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</si>
  <si>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</si>
  <si>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</si>
  <si>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</si>
  <si>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</si>
  <si>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</si>
  <si>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</si>
  <si>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</si>
  <si>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</si>
  <si>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</si>
  <si>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</si>
  <si>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</si>
  <si>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</si>
  <si>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</si>
  <si>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</si>
  <si>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</si>
  <si>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</si>
  <si>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</si>
  <si>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</si>
  <si>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</si>
  <si>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</si>
  <si>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</si>
  <si>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</si>
  <si>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</si>
  <si>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</si>
  <si>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</si>
  <si>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</si>
  <si>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</si>
  <si>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</si>
  <si>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</si>
  <si>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</si>
  <si>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</si>
  <si>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</si>
  <si>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</si>
  <si>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</si>
  <si>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</si>
  <si>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</si>
  <si>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</si>
  <si>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</si>
  <si>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</si>
  <si>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</si>
  <si>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</si>
  <si>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</si>
  <si>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</si>
  <si>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</si>
  <si>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</si>
  <si>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</si>
  <si>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</si>
  <si>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</si>
  <si>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</si>
  <si>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</si>
  <si>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</si>
  <si>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</si>
  <si>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</si>
  <si>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</si>
  <si>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</si>
  <si>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</si>
  <si>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</si>
  <si>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</si>
  <si>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</si>
  <si>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</si>
  <si>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</si>
  <si>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</si>
  <si>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</si>
  <si>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</si>
  <si>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</si>
  <si>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</si>
  <si>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</si>
  <si>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</si>
  <si>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</si>
  <si>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</si>
  <si>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</si>
  <si>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</si>
  <si>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</si>
  <si>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</si>
  <si>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</si>
  <si>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</si>
  <si>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</si>
  <si>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</si>
  <si>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</si>
  <si>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</si>
  <si>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</si>
  <si>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</si>
  <si>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</si>
  <si>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</si>
  <si>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</si>
  <si>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</si>
  <si>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</si>
  <si>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</si>
  <si>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</si>
  <si>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</si>
  <si>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</si>
  <si>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</si>
  <si>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</si>
  <si>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</si>
  <si>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</si>
  <si>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</si>
  <si>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</si>
  <si>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</si>
  <si>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</si>
  <si>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</si>
  <si>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</si>
  <si>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</si>
  <si>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</si>
  <si>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</si>
  <si>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</si>
  <si>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</si>
  <si>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</si>
  <si>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</si>
  <si>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</si>
  <si>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</si>
  <si>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</si>
  <si>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</si>
  <si>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</si>
  <si>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</si>
  <si>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</si>
  <si>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</si>
  <si>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</si>
  <si>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</si>
  <si>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</si>
  <si>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</si>
  <si>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</si>
  <si>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</si>
  <si>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</si>
  <si>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</si>
  <si>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</si>
  <si>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</si>
  <si>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</si>
  <si>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</si>
  <si>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</si>
  <si>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</si>
  <si>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</si>
  <si>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</si>
  <si>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</si>
  <si>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</si>
  <si>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</si>
  <si>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</si>
  <si>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</si>
  <si>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</si>
  <si>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</si>
  <si>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</si>
  <si>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</si>
  <si>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</si>
  <si>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</si>
  <si>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</si>
  <si>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</si>
  <si>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</si>
  <si>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</si>
  <si>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</si>
  <si>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</si>
  <si>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</si>
  <si>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</si>
  <si>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</si>
  <si>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</si>
  <si>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</si>
  <si>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</si>
  <si>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</si>
  <si>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</si>
  <si>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</si>
  <si>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</si>
  <si>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</si>
  <si>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</si>
  <si>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</si>
  <si>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</si>
  <si>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</si>
  <si>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</si>
  <si>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</si>
  <si>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</si>
  <si>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</si>
  <si>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</si>
  <si>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</si>
  <si>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</si>
  <si>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</si>
  <si>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</si>
  <si>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</si>
  <si>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</si>
  <si>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</si>
  <si>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</si>
  <si>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</si>
  <si>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</si>
  <si>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</si>
  <si>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</si>
  <si>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</si>
  <si>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</si>
  <si>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</si>
  <si>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</si>
  <si>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</si>
  <si>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</si>
  <si>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</si>
  <si>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</si>
  <si>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</si>
  <si>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</si>
  <si>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</si>
  <si>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</si>
  <si>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</si>
  <si>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</si>
  <si>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</si>
  <si>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</si>
  <si>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</si>
  <si>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</si>
  <si>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</si>
  <si>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</si>
  <si>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</si>
  <si>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</si>
  <si>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</si>
  <si>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</si>
  <si>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</si>
  <si>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</si>
  <si>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</si>
  <si>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</si>
  <si>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</si>
  <si>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</si>
  <si>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</si>
  <si>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</si>
  <si>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</si>
  <si>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</si>
  <si>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</si>
  <si>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</si>
  <si>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</si>
  <si>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</si>
  <si>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</si>
  <si>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</si>
  <si>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</si>
  <si>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</si>
  <si>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</si>
  <si>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</si>
  <si>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</si>
  <si>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</si>
  <si>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</si>
  <si>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</si>
  <si>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</si>
  <si>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</si>
  <si>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</si>
  <si>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</si>
  <si>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</si>
  <si>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</si>
  <si>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</si>
  <si>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</si>
  <si>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</si>
  <si>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</si>
  <si>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</si>
  <si>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</si>
  <si>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</si>
  <si>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</si>
  <si>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</si>
  <si>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</si>
  <si>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</si>
  <si>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</si>
  <si>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</si>
  <si>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</si>
  <si>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</si>
  <si>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</si>
  <si>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</si>
  <si>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</si>
  <si>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</si>
  <si>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</si>
  <si>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</si>
  <si>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</si>
  <si>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</si>
  <si>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</si>
  <si>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</si>
  <si>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</si>
  <si>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</si>
  <si>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</si>
  <si>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</si>
  <si>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</si>
  <si>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</si>
  <si>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</si>
  <si>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</si>
  <si>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</si>
  <si>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</si>
  <si>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</si>
  <si>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</si>
  <si>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</si>
  <si>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</si>
  <si>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</si>
  <si>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</si>
  <si>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</si>
  <si>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</si>
  <si>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</si>
  <si>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</si>
  <si>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</si>
  <si>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</si>
  <si>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</si>
  <si>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</si>
  <si>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</si>
  <si>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</si>
  <si>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</si>
  <si>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</si>
  <si>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</si>
  <si>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</si>
  <si>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</si>
  <si>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</si>
  <si>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</si>
  <si>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</si>
  <si>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</si>
  <si>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</si>
  <si>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</si>
  <si>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</si>
  <si>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</si>
  <si>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</si>
  <si>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</si>
  <si>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</si>
  <si>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</si>
  <si>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</si>
  <si>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</si>
  <si>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</si>
  <si>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</si>
  <si>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</si>
  <si>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</si>
  <si>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</si>
  <si>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</si>
  <si>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</si>
  <si>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</si>
  <si>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</si>
  <si>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</si>
  <si>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</si>
  <si>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</si>
  <si>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</si>
  <si>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</si>
  <si>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</si>
  <si>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</si>
  <si>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</si>
  <si>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</si>
  <si>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</si>
  <si>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</si>
  <si>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</si>
  <si>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</si>
  <si>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</si>
  <si>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</si>
  <si>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</si>
  <si>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</si>
  <si>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</si>
  <si>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</si>
  <si>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</si>
  <si>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</si>
  <si>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</si>
  <si>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</si>
  <si>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</si>
  <si>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</si>
  <si>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</si>
  <si>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</si>
  <si>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</si>
  <si>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</si>
  <si>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</si>
  <si>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</si>
  <si>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</si>
  <si>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</si>
  <si>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</si>
  <si>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</si>
  <si>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</si>
  <si>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</si>
  <si>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</si>
  <si>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</si>
  <si>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</si>
  <si>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</si>
  <si>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</si>
  <si>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</si>
  <si>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</si>
  <si>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</si>
  <si>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</si>
  <si>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</si>
  <si>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</si>
  <si>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</si>
  <si>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</si>
  <si>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</si>
  <si>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</si>
  <si>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</si>
  <si>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</si>
  <si>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</si>
  <si>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</si>
  <si>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</si>
  <si>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</si>
  <si>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</si>
  <si>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</si>
  <si>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</si>
  <si>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</si>
  <si>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</si>
  <si>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</si>
  <si>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</si>
  <si>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</si>
  <si>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</si>
  <si>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</si>
  <si>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</si>
  <si>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</si>
  <si>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</si>
  <si>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</si>
  <si>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</si>
  <si>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</si>
  <si>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</si>
  <si>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</si>
  <si>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</si>
  <si>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</si>
  <si>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</si>
  <si>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</si>
  <si>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</si>
  <si>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</si>
  <si>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</si>
  <si>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</si>
  <si>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</si>
  <si>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</si>
  <si>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</si>
  <si>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</si>
  <si>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</si>
  <si>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</si>
  <si>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</si>
  <si>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</si>
  <si>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</si>
  <si>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</si>
  <si>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</si>
  <si>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</si>
  <si>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</si>
  <si>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</si>
  <si>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</si>
  <si>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</si>
  <si>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</si>
  <si>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</si>
  <si>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</si>
  <si>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</si>
  <si>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</si>
  <si>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</si>
  <si>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</si>
  <si>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</si>
  <si>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</si>
  <si>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</si>
  <si>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</si>
  <si>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</si>
  <si>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</si>
  <si>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</si>
  <si>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</si>
  <si>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</si>
  <si>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</si>
  <si>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</si>
  <si>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</si>
  <si>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</si>
  <si>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</si>
  <si>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</si>
  <si>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</si>
  <si>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</si>
  <si>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</si>
  <si>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</si>
  <si>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</si>
  <si>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</si>
  <si>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</si>
  <si>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</si>
  <si>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</si>
  <si>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</si>
  <si>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</si>
  <si>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</si>
  <si>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</si>
  <si>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</si>
  <si>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</si>
  <si>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</si>
  <si>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</si>
  <si>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</si>
  <si>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</si>
  <si>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</si>
  <si>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</si>
  <si>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</si>
  <si>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</si>
  <si>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</si>
  <si>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</si>
  <si>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</si>
  <si>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</si>
  <si>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</si>
  <si>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</si>
  <si>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</si>
  <si>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</si>
  <si>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</si>
  <si>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</si>
  <si>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</si>
  <si>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</si>
  <si>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</si>
  <si>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</si>
  <si>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</si>
  <si>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</si>
  <si>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</si>
  <si>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</si>
  <si>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</si>
  <si>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</si>
  <si>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</si>
  <si>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</si>
  <si>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</si>
  <si>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</si>
  <si>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</si>
  <si>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</si>
  <si>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</si>
  <si>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</si>
  <si>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</si>
  <si>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</si>
  <si>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</si>
  <si>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</si>
  <si>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</si>
  <si>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</si>
  <si>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</si>
  <si>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</si>
  <si>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</si>
  <si>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</si>
  <si>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</si>
  <si>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</si>
  <si>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</si>
  <si>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</si>
  <si>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</si>
  <si>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</si>
  <si>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</si>
  <si>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</si>
  <si>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</si>
  <si>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</si>
  <si>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</si>
  <si>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</si>
  <si>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</si>
  <si>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</si>
  <si>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</si>
  <si>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</si>
  <si>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</si>
  <si>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</si>
  <si>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</si>
  <si>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</si>
  <si>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</si>
  <si>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</si>
  <si>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</si>
  <si>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</si>
  <si>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</si>
  <si>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</si>
  <si>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</si>
  <si>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</si>
  <si>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</si>
  <si>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</si>
  <si>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</si>
  <si>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</si>
  <si>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</si>
  <si>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</si>
  <si>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</si>
  <si>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</si>
  <si>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</si>
  <si>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</si>
  <si>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</si>
  <si>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</si>
  <si>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</si>
  <si>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</si>
  <si>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</si>
  <si>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</si>
  <si>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</si>
  <si>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</si>
  <si>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</si>
  <si>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</si>
  <si>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</si>
  <si>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</si>
  <si>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</si>
  <si>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</si>
  <si>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</si>
  <si>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</si>
  <si>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</si>
  <si>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</si>
  <si>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</si>
  <si>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</si>
  <si>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</si>
  <si>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</si>
  <si>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</si>
  <si>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</si>
  <si>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</si>
  <si>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</si>
  <si>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</si>
  <si>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</si>
  <si>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</si>
  <si>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</si>
  <si>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</si>
  <si>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</si>
  <si>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</si>
  <si>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</si>
  <si>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</si>
  <si>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</si>
  <si>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</si>
  <si>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</si>
  <si>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</si>
  <si>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</si>
  <si>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</si>
  <si>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</si>
  <si>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</si>
  <si>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</si>
  <si>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</si>
  <si>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</si>
  <si>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</si>
  <si>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</si>
  <si>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</si>
  <si>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</si>
  <si>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</si>
  <si>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</si>
  <si>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</si>
  <si>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</si>
  <si>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</si>
  <si>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</si>
  <si>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</si>
  <si>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</si>
  <si>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</si>
  <si>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</si>
  <si>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</si>
  <si>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</si>
  <si>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</si>
  <si>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</si>
  <si>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</si>
  <si>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</si>
  <si>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</si>
  <si>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</si>
  <si>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</si>
  <si>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</si>
  <si>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</si>
  <si>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</si>
  <si>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</si>
  <si>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</si>
  <si>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</si>
  <si>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</si>
  <si>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</si>
  <si>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</si>
  <si>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</si>
  <si>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</si>
  <si>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</si>
  <si>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</si>
  <si>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</si>
  <si>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</si>
  <si>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</si>
  <si>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</si>
  <si>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</si>
  <si>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</si>
  <si>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</si>
  <si>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</si>
  <si>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</si>
  <si>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</si>
  <si>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</si>
  <si>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</si>
  <si>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</si>
  <si>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</si>
  <si>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</si>
  <si>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</si>
  <si>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</si>
  <si>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</si>
  <si>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</si>
  <si>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</si>
  <si>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</si>
  <si>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</si>
  <si>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</si>
  <si>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</si>
  <si>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</si>
  <si>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</si>
  <si>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</si>
  <si>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</si>
  <si>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</si>
  <si>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</si>
  <si>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</si>
  <si>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</si>
  <si>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</si>
  <si>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</si>
  <si>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</si>
  <si>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</si>
  <si>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</si>
  <si>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</si>
  <si>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</si>
  <si>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</si>
  <si>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</si>
  <si>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</si>
  <si>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</si>
  <si>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</si>
  <si>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</si>
  <si>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</si>
  <si>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</si>
  <si>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</si>
  <si>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</si>
  <si>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</si>
  <si>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</si>
  <si>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</si>
  <si>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</si>
  <si>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</si>
  <si>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</si>
  <si>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</si>
  <si>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</si>
  <si>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</si>
  <si>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</si>
  <si>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</si>
  <si>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</si>
  <si>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</si>
  <si>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</si>
  <si>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</si>
  <si>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</si>
  <si>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</si>
  <si>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</si>
  <si>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</si>
  <si>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</si>
  <si>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</si>
  <si>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</si>
  <si>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</si>
  <si>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</si>
  <si>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</si>
  <si>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</si>
  <si>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</si>
  <si>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</si>
  <si>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</si>
  <si>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</si>
  <si>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</si>
  <si>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</si>
  <si>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</si>
  <si>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</si>
  <si>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</si>
  <si>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</si>
  <si>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</si>
  <si>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</si>
  <si>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</si>
  <si>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</si>
  <si>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</si>
  <si>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</si>
  <si>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</si>
  <si>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</si>
  <si>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</si>
  <si>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</si>
  <si>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</si>
  <si>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</si>
  <si>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</si>
  <si>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</si>
  <si>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</si>
  <si>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</si>
  <si>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</si>
  <si>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</si>
  <si>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</si>
  <si>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</si>
  <si>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</si>
  <si>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</si>
  <si>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</si>
  <si>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</si>
  <si>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</si>
  <si>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</si>
  <si>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</si>
  <si>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</si>
  <si>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</si>
  <si>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</si>
  <si>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</si>
  <si>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</si>
  <si>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</si>
  <si>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</si>
  <si>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</si>
  <si>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</si>
  <si>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</si>
  <si>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</si>
  <si>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</si>
  <si>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</si>
  <si>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</si>
  <si>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</si>
  <si>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</si>
  <si>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</si>
  <si>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</si>
  <si>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</si>
  <si>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</si>
  <si>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</si>
  <si>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</si>
  <si>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</si>
  <si>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</si>
  <si>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</si>
  <si>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</si>
  <si>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</si>
  <si>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</si>
  <si>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</si>
  <si>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</si>
  <si>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</si>
  <si>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</si>
  <si>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</si>
  <si>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</si>
  <si>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</si>
  <si>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</si>
  <si>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</si>
  <si>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</si>
  <si>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</si>
  <si>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</si>
  <si>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</si>
  <si>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</si>
  <si>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</si>
  <si>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</si>
  <si>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</si>
  <si>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</si>
  <si>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</si>
  <si>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</si>
  <si>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</si>
  <si>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</si>
  <si>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</si>
  <si>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</si>
  <si>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</si>
  <si>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</si>
  <si>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</si>
  <si>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</si>
  <si>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</si>
  <si>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</si>
  <si>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</si>
  <si>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</si>
  <si>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</si>
  <si>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</si>
  <si>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</si>
  <si>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</si>
  <si>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</si>
  <si>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</si>
  <si>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</si>
  <si>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</si>
  <si>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</si>
  <si>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</si>
  <si>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</si>
  <si>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</si>
  <si>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</si>
  <si>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</si>
  <si>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</si>
  <si>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</si>
  <si>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</si>
  <si>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</si>
  <si>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</si>
  <si>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</si>
  <si>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</si>
  <si>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</si>
  <si>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</si>
  <si>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</si>
  <si>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</si>
  <si>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</si>
  <si>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</si>
  <si>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</si>
  <si>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</si>
  <si>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</si>
  <si>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</si>
  <si>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</si>
  <si>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</si>
  <si>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</si>
  <si>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</si>
  <si>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</si>
  <si>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</si>
  <si>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</si>
  <si>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</si>
  <si>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</si>
  <si>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</si>
  <si>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</si>
  <si>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</si>
  <si>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</si>
  <si>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</si>
  <si>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</si>
  <si>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</si>
  <si>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</si>
  <si>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</si>
  <si>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</si>
  <si>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</si>
  <si>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</si>
  <si>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</si>
  <si>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</si>
  <si>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</si>
  <si>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</si>
  <si>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</si>
  <si>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</si>
  <si>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</si>
  <si>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</si>
  <si>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</si>
  <si>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</si>
  <si>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</si>
  <si>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</si>
  <si>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</si>
  <si>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</si>
  <si>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</si>
  <si>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</si>
  <si>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</si>
  <si>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</si>
  <si>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</si>
  <si>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</si>
  <si>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</si>
  <si>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</si>
  <si>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</si>
  <si>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</si>
  <si>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</si>
  <si>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</si>
  <si>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</si>
  <si>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</si>
  <si>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</si>
  <si>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</si>
  <si>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</si>
  <si>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</si>
  <si>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</si>
  <si>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</si>
  <si>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</si>
  <si>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</si>
  <si>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</si>
  <si>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</si>
  <si>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</si>
  <si>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</si>
  <si>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</si>
  <si>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</si>
  <si>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</si>
  <si>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</si>
  <si>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</si>
  <si>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</si>
  <si>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</si>
  <si>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</si>
  <si>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</si>
  <si>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</si>
  <si>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</si>
  <si>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</si>
  <si>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</si>
  <si>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</si>
  <si>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</si>
  <si>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</si>
  <si>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</si>
  <si>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</si>
  <si>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</si>
  <si>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</si>
  <si>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</si>
  <si>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</si>
  <si>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</si>
  <si>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</si>
  <si>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</si>
  <si>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</si>
  <si>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</si>
  <si>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</si>
  <si>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</si>
  <si>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</si>
  <si>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</si>
  <si>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</si>
  <si>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</si>
  <si>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</si>
  <si>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</si>
  <si>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</si>
  <si>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</si>
  <si>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</si>
  <si>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</si>
  <si>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</si>
  <si>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</si>
  <si>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</si>
  <si>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</si>
  <si>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</si>
  <si>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</si>
  <si>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</si>
  <si>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</si>
  <si>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</si>
  <si>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</si>
  <si>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</si>
  <si>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</si>
  <si>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</si>
  <si>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</si>
  <si>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</si>
  <si>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</si>
  <si>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</si>
  <si>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</si>
  <si>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</si>
  <si>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</si>
  <si>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</si>
  <si>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</si>
  <si>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</si>
  <si>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</si>
  <si>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</si>
  <si>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</si>
  <si>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</si>
  <si>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</si>
  <si>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</si>
  <si>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</si>
  <si>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</si>
  <si>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</si>
  <si>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</si>
  <si>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</si>
  <si>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</si>
  <si>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</si>
  <si>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</si>
  <si>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</si>
  <si>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</si>
  <si>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</si>
  <si>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</si>
  <si>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</si>
  <si>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</si>
  <si>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</si>
  <si>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</si>
  <si>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</si>
  <si>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</si>
  <si>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</si>
  <si>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</si>
  <si>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</si>
  <si>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</si>
  <si>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</si>
  <si>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</si>
  <si>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</si>
  <si>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</si>
  <si>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</si>
  <si>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</si>
  <si>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</si>
  <si>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</si>
  <si>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</si>
  <si>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</si>
  <si>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</si>
  <si>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</si>
  <si>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</si>
  <si>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</si>
  <si>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</si>
  <si>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</si>
  <si>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</si>
  <si>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</si>
  <si>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</si>
  <si>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</si>
  <si>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</si>
  <si>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</si>
  <si>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</si>
  <si>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</si>
  <si>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</si>
  <si>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</si>
  <si>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</si>
  <si>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</si>
  <si>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</si>
  <si>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</si>
  <si>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</si>
  <si>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</si>
  <si>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</si>
  <si>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</si>
  <si>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</si>
  <si>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</si>
  <si>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</si>
  <si>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</si>
  <si>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</si>
  <si>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</si>
  <si>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</si>
  <si>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</si>
  <si>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</si>
  <si>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</si>
  <si>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</si>
  <si>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</si>
  <si>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</si>
  <si>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</si>
  <si>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</si>
  <si>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</si>
  <si>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</si>
  <si>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</si>
  <si>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</si>
  <si>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</si>
  <si>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</si>
  <si>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</si>
  <si>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</si>
  <si>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</si>
  <si>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</si>
  <si>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</si>
  <si>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</si>
  <si>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</si>
  <si>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</si>
  <si>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</si>
  <si>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</si>
  <si>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</si>
  <si>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</si>
  <si>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</si>
  <si>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</si>
  <si>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</si>
  <si>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</si>
  <si>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</si>
  <si>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</si>
  <si>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</si>
  <si>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</si>
  <si>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</si>
  <si>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</si>
  <si>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</si>
  <si>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</si>
  <si>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</si>
  <si>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</si>
  <si>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</si>
  <si>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</si>
  <si>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</si>
  <si>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</si>
  <si>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</si>
  <si>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</si>
  <si>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</si>
  <si>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</si>
  <si>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</si>
  <si>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</si>
  <si>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</si>
  <si>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</si>
  <si>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</si>
  <si>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</si>
  <si>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</si>
  <si>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</si>
  <si>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</si>
  <si>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</si>
  <si>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</si>
  <si>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</si>
  <si>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</si>
  <si>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</si>
  <si>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</si>
  <si>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</si>
  <si>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</si>
  <si>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</si>
  <si>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</si>
  <si>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</si>
  <si>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</si>
  <si>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</si>
  <si>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</si>
  <si>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</si>
  <si>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</si>
  <si>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</si>
  <si>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</si>
  <si>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</si>
  <si>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</si>
  <si>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</si>
  <si>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</si>
  <si>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</si>
  <si>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</si>
  <si>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</si>
  <si>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</si>
  <si>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</si>
  <si>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</si>
  <si>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</si>
  <si>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</si>
  <si>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</si>
  <si>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</si>
  <si>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</si>
  <si>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</si>
  <si>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</si>
  <si>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</si>
  <si>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</si>
  <si>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</si>
  <si>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</si>
  <si>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</si>
  <si>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</si>
  <si>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</si>
  <si>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</si>
  <si>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</si>
  <si>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</si>
  <si>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</si>
  <si>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</si>
  <si>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</si>
  <si>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</si>
  <si>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</si>
  <si>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</si>
  <si>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</si>
  <si>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</si>
  <si>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</si>
  <si>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</si>
  <si>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</si>
  <si>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</si>
  <si>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</si>
  <si>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</si>
  <si>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</si>
  <si>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</si>
  <si>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</si>
  <si>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</si>
  <si>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</si>
  <si>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</si>
  <si>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</si>
  <si>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</si>
  <si>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</si>
  <si>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</si>
  <si>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</si>
  <si>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</si>
  <si>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</si>
  <si>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</si>
  <si>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</si>
  <si>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</si>
  <si>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</si>
  <si>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</si>
  <si>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</si>
  <si>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</si>
  <si>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</si>
  <si>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</si>
  <si>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</si>
  <si>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</si>
  <si>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</si>
  <si>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</si>
  <si>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</si>
  <si>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</si>
  <si>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</si>
  <si>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</si>
  <si>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</si>
  <si>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</si>
  <si>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</si>
  <si>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</si>
  <si>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</si>
  <si>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</si>
  <si>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</si>
  <si>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</si>
  <si>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</si>
  <si>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</si>
  <si>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</si>
  <si>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</si>
  <si>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</si>
  <si>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</si>
  <si>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</si>
  <si>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</si>
  <si>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</si>
  <si>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</si>
  <si>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</si>
  <si>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</si>
  <si>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</si>
  <si>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</si>
  <si>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</si>
  <si>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</si>
  <si>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</si>
  <si>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</si>
  <si>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</si>
  <si>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</si>
  <si>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</si>
  <si>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</si>
  <si>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</si>
  <si>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</si>
  <si>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</si>
  <si>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</si>
  <si>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</si>
  <si>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</si>
  <si>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</si>
  <si>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</si>
  <si>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</si>
  <si>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</si>
  <si>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</si>
  <si>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</si>
  <si>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</si>
  <si>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</si>
  <si>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</si>
  <si>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</si>
  <si>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</si>
  <si>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</si>
  <si>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</si>
  <si>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</si>
  <si>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</si>
  <si>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</si>
  <si>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</si>
  <si>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</si>
  <si>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</si>
  <si>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</si>
  <si>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</si>
  <si>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</si>
  <si>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</si>
  <si>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</si>
  <si>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</si>
  <si>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</si>
  <si>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</si>
  <si>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</si>
  <si>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</si>
  <si>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</si>
  <si>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</si>
  <si>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</si>
  <si>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</si>
  <si>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</si>
  <si>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</si>
  <si>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</si>
  <si>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</si>
  <si>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</si>
  <si>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</si>
  <si>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</si>
  <si>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</si>
  <si>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</si>
  <si>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</si>
  <si>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</si>
  <si>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</si>
  <si>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</si>
  <si>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</si>
  <si>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</si>
  <si>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</si>
  <si>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</si>
  <si>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</si>
  <si>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</si>
  <si>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</si>
  <si>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</si>
  <si>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</si>
  <si>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</si>
  <si>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</si>
  <si>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</si>
  <si>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</si>
  <si>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</si>
  <si>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</si>
  <si>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</si>
  <si>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</si>
  <si>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</si>
  <si>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</si>
  <si>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</si>
  <si>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</si>
  <si>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</si>
  <si>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</si>
  <si>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</si>
  <si>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</si>
  <si>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</si>
  <si>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</si>
  <si>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</si>
  <si>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</si>
  <si>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</si>
  <si>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</si>
  <si>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</si>
  <si>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</si>
  <si>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</si>
  <si>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</si>
  <si>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</si>
  <si>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</si>
  <si>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</si>
  <si>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</si>
  <si>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</si>
  <si>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</si>
  <si>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</si>
  <si>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</si>
  <si>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</si>
  <si>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</si>
  <si>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</si>
  <si>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</si>
  <si>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</si>
  <si>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</si>
  <si>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</si>
  <si>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</si>
  <si>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</si>
  <si>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</si>
  <si>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</si>
  <si>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</si>
  <si>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</si>
  <si>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</si>
  <si>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</si>
  <si>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</si>
  <si>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</si>
  <si>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</si>
  <si>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</si>
  <si>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</si>
  <si>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</si>
  <si>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</si>
  <si>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</si>
  <si>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</si>
  <si>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</si>
  <si>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</si>
  <si>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</si>
  <si>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</si>
  <si>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</si>
  <si>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</si>
  <si>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</si>
  <si>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</si>
  <si>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</si>
  <si>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</si>
  <si>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</si>
  <si>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</si>
  <si>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</si>
  <si>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</si>
  <si>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</si>
  <si>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</si>
  <si>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</si>
  <si>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</si>
  <si>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</si>
  <si>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</si>
  <si>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</si>
  <si>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</si>
  <si>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</si>
  <si>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</si>
  <si>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</si>
  <si>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</si>
  <si>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</si>
  <si>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</si>
  <si>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</si>
  <si>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</si>
  <si>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</si>
  <si>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</si>
  <si>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</si>
  <si>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</si>
  <si>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</si>
  <si>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</si>
  <si>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</si>
  <si>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</si>
  <si>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</si>
  <si>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</si>
  <si>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</si>
  <si>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</si>
  <si>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</si>
  <si>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</si>
  <si>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</si>
  <si>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</si>
  <si>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</si>
  <si>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</si>
  <si>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</si>
  <si>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</si>
  <si>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</si>
  <si>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</si>
  <si>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</si>
  <si>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</si>
  <si>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</si>
  <si>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</si>
  <si>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</si>
  <si>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</si>
  <si>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</si>
  <si>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</si>
  <si>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</si>
  <si>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</si>
  <si>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</si>
  <si>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</si>
  <si>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</si>
  <si>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</si>
  <si>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</si>
  <si>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</si>
  <si>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</si>
  <si>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</si>
  <si>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</si>
  <si>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</si>
  <si>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</si>
  <si>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</si>
  <si>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</si>
  <si>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</si>
  <si>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</si>
  <si>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</si>
  <si>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</si>
  <si>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</si>
  <si>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</si>
  <si>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</si>
  <si>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</si>
  <si>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</si>
  <si>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</si>
  <si>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</si>
  <si>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</si>
  <si>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</si>
  <si>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</si>
  <si>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</si>
  <si>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</si>
  <si>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</si>
  <si>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</si>
  <si>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</si>
  <si>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</si>
  <si>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</si>
  <si>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</si>
  <si>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</si>
  <si>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</si>
  <si>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</si>
  <si>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</si>
  <si>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</si>
  <si>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</si>
  <si>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</si>
  <si>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</si>
  <si>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</si>
  <si>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</si>
  <si>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</si>
  <si>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</si>
  <si>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</si>
  <si>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</si>
  <si>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</si>
  <si>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</si>
  <si>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</si>
  <si>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</si>
  <si>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</si>
  <si>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</si>
  <si>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</si>
  <si>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</si>
  <si>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</si>
  <si>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</si>
  <si>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</si>
  <si>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</si>
  <si>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</si>
  <si>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</si>
  <si>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</si>
  <si>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</si>
  <si>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</si>
  <si>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</si>
  <si>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</si>
  <si>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</si>
  <si>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</si>
  <si>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</si>
  <si>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</si>
  <si>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</si>
  <si>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</si>
  <si>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</si>
  <si>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</si>
  <si>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</si>
  <si>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</si>
  <si>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</si>
  <si>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</si>
  <si>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</si>
  <si>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</si>
  <si>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</si>
  <si>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</si>
  <si>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</si>
  <si>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</si>
  <si>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</si>
  <si>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</si>
  <si>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</si>
  <si>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</si>
  <si>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</si>
  <si>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</si>
  <si>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</si>
  <si>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</si>
  <si>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</si>
  <si>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</si>
  <si>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</si>
  <si>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</si>
  <si>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</si>
  <si>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</si>
  <si>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</si>
  <si>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</si>
  <si>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</si>
  <si>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</si>
  <si>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</si>
  <si>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</si>
  <si>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</si>
  <si>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</si>
  <si>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</si>
  <si>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</si>
  <si>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</si>
  <si>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</si>
  <si>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</si>
  <si>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</si>
  <si>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</si>
  <si>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</si>
  <si>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</si>
  <si>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</si>
  <si>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</si>
  <si>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</si>
  <si>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</si>
  <si>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</si>
  <si>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</si>
  <si>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</si>
  <si>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</si>
  <si>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</si>
  <si>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</si>
  <si>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</si>
  <si>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</si>
  <si>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</si>
  <si>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</si>
  <si>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</si>
  <si>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</si>
  <si>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</si>
  <si>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</si>
  <si>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</si>
  <si>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</si>
  <si>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</si>
  <si>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</si>
  <si>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</si>
  <si>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</si>
  <si>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</si>
  <si>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</si>
  <si>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</si>
  <si>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</si>
  <si>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</si>
  <si>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</si>
  <si>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</si>
  <si>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</si>
  <si>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</si>
  <si>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</si>
  <si>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</si>
  <si>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</si>
  <si>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</si>
  <si>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</si>
  <si>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</si>
  <si>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</si>
  <si>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</si>
  <si>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</si>
  <si>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</si>
  <si>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</si>
  <si>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</si>
  <si>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</si>
  <si>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</si>
  <si>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</si>
  <si>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</si>
  <si>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</si>
  <si>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</si>
  <si>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</si>
  <si>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</si>
  <si>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</si>
  <si>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</si>
  <si>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</si>
  <si>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</si>
  <si>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</si>
  <si>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</si>
  <si>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</si>
  <si>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</si>
  <si>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</si>
  <si>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</si>
  <si>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</si>
  <si>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</si>
  <si>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</si>
  <si>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</si>
  <si>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</si>
  <si>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</si>
  <si>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</si>
  <si>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</si>
  <si>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</si>
  <si>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</si>
  <si>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</si>
  <si>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</si>
  <si>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</si>
  <si>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</si>
  <si>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</si>
  <si>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</si>
  <si>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</si>
  <si>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</si>
  <si>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</si>
  <si>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</si>
  <si>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</si>
  <si>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</si>
  <si>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</si>
  <si>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</si>
  <si>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</si>
  <si>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</si>
  <si>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</si>
  <si>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</si>
  <si>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</si>
  <si>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</si>
  <si>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</si>
  <si>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</si>
  <si>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</si>
  <si>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</si>
  <si>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</si>
  <si>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</si>
  <si>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</si>
  <si>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</si>
  <si>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</si>
  <si>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</si>
  <si>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</si>
  <si>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</si>
  <si>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</si>
  <si>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</si>
  <si>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</si>
  <si>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</si>
  <si>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</si>
  <si>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</si>
  <si>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</si>
  <si>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</si>
  <si>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</si>
  <si>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</si>
  <si>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</si>
  <si>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</si>
  <si>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</si>
  <si>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</si>
  <si>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</si>
  <si>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</si>
  <si>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</si>
  <si>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</si>
  <si>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</si>
  <si>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</si>
  <si>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</si>
  <si>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</si>
  <si>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</si>
  <si>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</si>
  <si>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</si>
  <si>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</si>
  <si>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</si>
  <si>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</si>
  <si>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</si>
  <si>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</si>
  <si>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</si>
  <si>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</si>
  <si>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</si>
  <si>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</si>
  <si>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</si>
  <si>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</si>
  <si>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</si>
  <si>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</si>
  <si>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</si>
  <si>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</si>
  <si>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</si>
  <si>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</si>
  <si>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</si>
  <si>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</si>
  <si>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</si>
  <si>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</si>
  <si>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</si>
  <si>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</si>
  <si>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</si>
  <si>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</si>
  <si>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</si>
  <si>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</si>
  <si>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</si>
  <si>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</si>
  <si>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</si>
  <si>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</si>
  <si>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</si>
  <si>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</si>
  <si>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</si>
  <si>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</si>
  <si>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</si>
  <si>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</si>
  <si>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</si>
  <si>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</si>
  <si>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</si>
  <si>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</si>
  <si>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</si>
  <si>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</si>
  <si>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</si>
  <si>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</si>
  <si>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</si>
  <si>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</si>
  <si>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</si>
  <si>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</si>
  <si>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</si>
  <si>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</si>
  <si>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</si>
  <si>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</si>
  <si>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</si>
  <si>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</si>
  <si>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</si>
  <si>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</si>
  <si>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</si>
  <si>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</si>
  <si>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</si>
  <si>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</si>
  <si>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</si>
  <si>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</si>
  <si>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</si>
  <si>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</si>
  <si>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</si>
  <si>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</si>
  <si>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</si>
  <si>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</si>
  <si>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</si>
  <si>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</si>
  <si>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</si>
  <si>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</si>
  <si>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</si>
  <si>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</si>
  <si>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</si>
  <si>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</si>
  <si>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</si>
  <si>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</si>
  <si>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</si>
  <si>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</si>
  <si>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</si>
  <si>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</si>
  <si>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</si>
  <si>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</si>
  <si>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</si>
  <si>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</si>
  <si>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</si>
  <si>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</si>
  <si>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</si>
  <si>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</si>
  <si>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</si>
  <si>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</si>
  <si>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</si>
  <si>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</si>
  <si>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</si>
  <si>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</si>
  <si>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</si>
  <si>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</si>
  <si>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</si>
  <si>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</si>
  <si>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</si>
  <si>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</si>
  <si>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</si>
  <si>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</si>
  <si>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</si>
  <si>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</si>
  <si>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</si>
  <si>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</si>
  <si>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</si>
  <si>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</si>
  <si>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</si>
  <si>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</si>
  <si>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</si>
  <si>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</si>
  <si>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</si>
  <si>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</si>
  <si>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</si>
  <si>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</si>
  <si>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</si>
  <si>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</si>
  <si>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</si>
  <si>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</si>
  <si>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</si>
  <si>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</si>
  <si>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</si>
  <si>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</si>
  <si>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</si>
  <si>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</si>
  <si>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</si>
  <si>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</si>
  <si>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</si>
  <si>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</si>
  <si>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</si>
  <si>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</si>
  <si>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</si>
  <si>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</si>
  <si>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</si>
  <si>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</si>
  <si>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</si>
  <si>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</si>
  <si>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</si>
  <si>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</si>
  <si>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</si>
  <si>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</si>
  <si>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</si>
  <si>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</si>
  <si>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</si>
  <si>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</si>
  <si>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</si>
  <si>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</si>
  <si>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</si>
  <si>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</si>
  <si>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</si>
  <si>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</si>
  <si>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</si>
  <si>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</si>
  <si>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</si>
  <si>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</si>
  <si>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</si>
  <si>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</si>
  <si>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</si>
  <si>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</si>
  <si>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</si>
  <si>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</si>
  <si>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</si>
  <si>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</si>
  <si>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</si>
  <si>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</si>
  <si>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</si>
  <si>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</si>
  <si>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</si>
  <si>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</si>
  <si>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</si>
  <si>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</si>
  <si>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</si>
  <si>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</si>
  <si>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</si>
  <si>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</si>
  <si>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</si>
  <si>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</si>
  <si>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</si>
  <si>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</si>
  <si>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</si>
  <si>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</si>
  <si>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</si>
  <si>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</si>
  <si>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</si>
  <si>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</si>
  <si>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</si>
  <si>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</si>
  <si>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</si>
  <si>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</si>
  <si>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</si>
  <si>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</si>
  <si>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</si>
  <si>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</si>
  <si>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</si>
  <si>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</si>
  <si>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</si>
  <si>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</si>
  <si>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</si>
  <si>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</si>
  <si>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</si>
  <si>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</si>
  <si>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</si>
  <si>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</si>
  <si>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</si>
  <si>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</si>
  <si>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</si>
  <si>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</si>
  <si>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</si>
  <si>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</si>
  <si>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</si>
  <si>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</si>
  <si>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</si>
  <si>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</si>
  <si>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</si>
  <si>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</si>
  <si>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</si>
  <si>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</si>
  <si>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</si>
  <si>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</si>
  <si>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</si>
  <si>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</si>
  <si>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</si>
  <si>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</si>
  <si>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</si>
  <si>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</si>
  <si>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</si>
  <si>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</si>
  <si>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</si>
  <si>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</si>
  <si>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</si>
  <si>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</si>
  <si>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</si>
  <si>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</si>
  <si>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</si>
  <si>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</si>
  <si>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</si>
  <si>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</si>
  <si>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</si>
  <si>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</si>
  <si>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</si>
  <si>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</si>
  <si>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</si>
  <si>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</si>
  <si>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</si>
  <si>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</si>
  <si>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</si>
  <si>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</si>
  <si>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</si>
  <si>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</si>
  <si>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</si>
  <si>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</si>
  <si>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</si>
  <si>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</si>
  <si>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</si>
  <si>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</si>
  <si>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</si>
  <si>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</si>
  <si>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</si>
  <si>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</si>
  <si>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</si>
  <si>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</si>
  <si>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</si>
  <si>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</si>
  <si>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</si>
  <si>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</si>
  <si>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</si>
  <si>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</si>
  <si>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</si>
  <si>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</si>
  <si>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</si>
  <si>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</si>
  <si>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</si>
  <si>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</si>
  <si>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</si>
  <si>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</si>
  <si>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</si>
  <si>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</si>
  <si>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</si>
  <si>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</si>
  <si>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</si>
  <si>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</si>
  <si>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</si>
  <si>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</si>
  <si>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</si>
  <si>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</si>
  <si>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</si>
  <si>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</si>
  <si>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</si>
  <si>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</si>
  <si>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</si>
  <si>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</si>
  <si>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</si>
  <si>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</si>
  <si>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</si>
  <si>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</si>
  <si>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</si>
  <si>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</si>
  <si>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</si>
  <si>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</si>
  <si>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</si>
  <si>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</si>
  <si>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</si>
  <si>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</si>
  <si>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</si>
  <si>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</si>
  <si>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</si>
  <si>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</si>
  <si>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</si>
  <si>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</si>
  <si>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</si>
  <si>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</si>
  <si>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</si>
  <si>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</si>
  <si>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</si>
  <si>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</si>
  <si>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</si>
  <si>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</si>
  <si>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</si>
  <si>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</si>
  <si>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</si>
  <si>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</si>
  <si>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</si>
  <si>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</si>
  <si>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</si>
  <si>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</si>
  <si>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</si>
  <si>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</si>
  <si>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</si>
  <si>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</si>
  <si>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</si>
  <si>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</si>
  <si>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</si>
  <si>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</si>
  <si>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</si>
  <si>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</si>
  <si>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</si>
  <si>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</si>
  <si>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</si>
  <si>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</si>
  <si>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</si>
  <si>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</si>
  <si>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</si>
  <si>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</si>
  <si>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</si>
  <si>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</si>
  <si>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</si>
  <si>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</si>
  <si>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</si>
  <si>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</si>
  <si>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</si>
  <si>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</si>
  <si>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</si>
  <si>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</si>
  <si>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</si>
  <si>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</si>
  <si>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</si>
  <si>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</si>
  <si>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</si>
  <si>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</si>
  <si>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</si>
  <si>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</si>
  <si>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</si>
  <si>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</si>
  <si>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</si>
  <si>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</si>
  <si>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</si>
  <si>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</si>
  <si>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</si>
  <si>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</si>
  <si>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</si>
  <si>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</si>
  <si>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</si>
  <si>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</si>
  <si>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</si>
  <si>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</si>
  <si>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</si>
  <si>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</si>
  <si>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</si>
  <si>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</si>
  <si>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</si>
  <si>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</si>
  <si>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</si>
  <si>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</si>
  <si>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</si>
  <si>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</si>
  <si>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</si>
  <si>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</si>
  <si>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</si>
  <si>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</si>
  <si>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</si>
  <si>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</si>
  <si>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</si>
  <si>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</si>
  <si>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</si>
  <si>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</si>
  <si>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</si>
  <si>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</si>
  <si>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</si>
  <si>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</si>
  <si>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</si>
  <si>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</si>
  <si>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</si>
  <si>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</si>
  <si>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</si>
  <si>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</si>
  <si>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</si>
  <si>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</si>
  <si>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</si>
  <si>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</si>
  <si>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</si>
  <si>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</si>
  <si>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</si>
  <si>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</si>
  <si>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</si>
  <si>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</si>
  <si>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</si>
  <si>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</si>
  <si>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</si>
  <si>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</si>
  <si>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</si>
  <si>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</si>
  <si>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</si>
  <si>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</si>
  <si>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</si>
  <si>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</si>
  <si>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</si>
  <si>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</si>
  <si>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</si>
  <si>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</si>
  <si>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</si>
  <si>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</si>
  <si>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</si>
  <si>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</si>
  <si>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</si>
  <si>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</si>
  <si>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</si>
  <si>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</si>
  <si>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</si>
  <si>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</si>
  <si>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</si>
  <si>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</si>
  <si>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</si>
  <si>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</si>
  <si>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</si>
  <si>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</si>
  <si>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</si>
  <si>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</si>
  <si>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</si>
  <si>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</si>
  <si>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</si>
  <si>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</si>
  <si>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</si>
  <si>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</si>
  <si>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</si>
  <si>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</si>
  <si>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</si>
  <si>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</si>
  <si>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</si>
  <si>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</si>
  <si>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</si>
  <si>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</si>
  <si>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</si>
  <si>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</si>
  <si>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</si>
  <si>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</si>
  <si>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</si>
  <si>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</si>
  <si>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</si>
  <si>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</si>
  <si>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</si>
  <si>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</si>
  <si>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</si>
  <si>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</si>
  <si>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</si>
  <si>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</si>
  <si>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</si>
  <si>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</si>
  <si>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</si>
  <si>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</si>
  <si>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</si>
  <si>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</si>
  <si>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</si>
  <si>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</si>
  <si>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</si>
  <si>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</si>
  <si>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</si>
  <si>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</si>
  <si>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</si>
  <si>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</si>
  <si>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</si>
  <si>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</si>
  <si>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</si>
  <si>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</si>
  <si>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</si>
  <si>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</si>
  <si>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</si>
  <si>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</si>
  <si>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</si>
  <si>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</si>
  <si>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</si>
  <si>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</si>
  <si>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</si>
  <si>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</si>
  <si>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</si>
  <si>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</si>
  <si>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</si>
  <si>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</si>
  <si>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</si>
  <si>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</si>
  <si>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</si>
  <si>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</si>
  <si>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</si>
  <si>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</si>
  <si>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</si>
  <si>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</si>
  <si>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</si>
  <si>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</si>
  <si>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</si>
  <si>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</si>
  <si>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</si>
  <si>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</si>
  <si>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</si>
  <si>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</si>
  <si>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</si>
  <si>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</si>
  <si>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</si>
  <si>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</si>
  <si>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</si>
  <si>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</si>
  <si>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</si>
  <si>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</si>
  <si>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</si>
  <si>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</si>
  <si>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</si>
  <si>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</si>
  <si>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</si>
  <si>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</si>
  <si>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</si>
  <si>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</si>
  <si>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</si>
  <si>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</si>
  <si>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</si>
  <si>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</si>
  <si>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</si>
  <si>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</si>
  <si>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</si>
  <si>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</si>
  <si>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</si>
  <si>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</si>
  <si>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</si>
  <si>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</si>
  <si>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</si>
  <si>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</si>
  <si>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</si>
  <si>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</si>
  <si>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</si>
  <si>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</si>
  <si>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</si>
  <si>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</si>
  <si>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</si>
  <si>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</si>
  <si>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</si>
  <si>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</si>
  <si>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</si>
  <si>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</si>
  <si>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</si>
  <si>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</si>
  <si>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</si>
  <si>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</si>
  <si>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</si>
  <si>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</si>
  <si>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</si>
  <si>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</si>
  <si>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</si>
  <si>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</si>
  <si>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</si>
  <si>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</si>
  <si>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</si>
  <si>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</si>
  <si>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</si>
  <si>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</si>
  <si>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</si>
  <si>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</si>
  <si>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</si>
  <si>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</si>
  <si>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</si>
  <si>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</si>
  <si>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</si>
  <si>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</si>
  <si>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</si>
  <si>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</si>
  <si>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</si>
  <si>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</si>
  <si>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</si>
  <si>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</si>
  <si>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</si>
  <si>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</si>
  <si>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</si>
  <si>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</si>
  <si>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</si>
  <si>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</si>
  <si>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</si>
  <si>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</si>
  <si>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</si>
  <si>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</si>
  <si>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</si>
  <si>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</si>
  <si>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</si>
  <si>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</si>
  <si>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</si>
  <si>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</si>
  <si>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</si>
  <si>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</si>
  <si>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</si>
  <si>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</si>
  <si>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</si>
  <si>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</si>
  <si>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</si>
  <si>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</si>
  <si>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</si>
  <si>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</si>
  <si>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</si>
  <si>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</si>
  <si>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</si>
  <si>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</si>
  <si>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</si>
  <si>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</si>
  <si>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</si>
  <si>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</si>
  <si>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</si>
  <si>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</si>
  <si>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</si>
  <si>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</si>
  <si>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</si>
  <si>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</si>
  <si>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</si>
  <si>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</si>
  <si>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</si>
  <si>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</si>
  <si>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</si>
  <si>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</si>
  <si>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</si>
  <si>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</si>
  <si>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</si>
  <si>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</si>
  <si>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</si>
  <si>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</si>
  <si>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</si>
  <si>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</si>
  <si>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</si>
  <si>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</si>
  <si>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</si>
  <si>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</si>
  <si>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</si>
  <si>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</si>
  <si>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</si>
  <si>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</si>
  <si>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</si>
  <si>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</si>
  <si>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</si>
  <si>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</si>
  <si>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</si>
  <si>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</si>
  <si>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</si>
  <si>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</si>
  <si>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</si>
  <si>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</si>
  <si>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</si>
  <si>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</si>
  <si>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</si>
  <si>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</si>
  <si>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</si>
  <si>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</si>
  <si>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</si>
  <si>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</si>
  <si>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</si>
  <si>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</si>
  <si>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</si>
  <si>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</si>
  <si>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</si>
  <si>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</si>
  <si>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</si>
  <si>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</si>
  <si>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</si>
  <si>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</si>
  <si>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</si>
  <si>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</si>
  <si>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</si>
  <si>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</si>
  <si>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</si>
  <si>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</si>
  <si>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</si>
  <si>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</si>
  <si>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</si>
  <si>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</si>
  <si>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</si>
  <si>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</si>
  <si>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</si>
  <si>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</si>
  <si>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</si>
  <si>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</si>
  <si>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</si>
  <si>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</si>
  <si>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</si>
  <si>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</si>
  <si>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</si>
  <si>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</si>
  <si>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</si>
  <si>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</si>
  <si>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</si>
  <si>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</si>
  <si>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</si>
  <si>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</si>
  <si>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</si>
  <si>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</si>
  <si>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</si>
  <si>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</si>
  <si>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</si>
  <si>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</si>
  <si>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</si>
  <si>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</si>
  <si>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</si>
  <si>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</si>
  <si>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</si>
  <si>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</si>
  <si>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</si>
  <si>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</si>
  <si>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</si>
  <si>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</si>
  <si>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</si>
  <si>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</si>
  <si>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</si>
  <si>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</si>
  <si>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</si>
  <si>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</si>
  <si>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</si>
  <si>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</si>
  <si>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</si>
  <si>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</si>
  <si>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</si>
  <si>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</si>
  <si>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</si>
  <si>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</si>
  <si>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</si>
  <si>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</si>
  <si>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</si>
  <si>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</si>
  <si>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</si>
  <si>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</si>
  <si>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</si>
  <si>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</si>
  <si>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</si>
  <si>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</si>
  <si>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</si>
  <si>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</si>
  <si>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</si>
  <si>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</si>
  <si>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</si>
  <si>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</si>
  <si>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</si>
  <si>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</si>
  <si>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</si>
  <si>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</si>
  <si>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</si>
  <si>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</si>
  <si>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</si>
  <si>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</si>
  <si>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</si>
  <si>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</si>
  <si>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</si>
  <si>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</si>
  <si>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</si>
  <si>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</si>
  <si>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</si>
  <si>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</si>
  <si>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</si>
  <si>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</si>
  <si>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</si>
  <si>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</si>
  <si>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</si>
  <si>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</si>
  <si>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</si>
  <si>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</si>
  <si>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</si>
  <si>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</si>
  <si>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</si>
  <si>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</si>
  <si>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</si>
  <si>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</si>
  <si>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</si>
  <si>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</si>
  <si>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</si>
  <si>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</si>
  <si>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</si>
  <si>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</si>
  <si>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</si>
  <si>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</si>
  <si>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</si>
  <si>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</si>
  <si>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</si>
  <si>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</si>
  <si>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</si>
  <si>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</si>
  <si>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</si>
  <si>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</si>
  <si>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</si>
  <si>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</si>
  <si>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</si>
  <si>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</si>
  <si>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</si>
  <si>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</si>
  <si>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</si>
  <si>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</si>
  <si>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</si>
  <si>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</si>
  <si>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</si>
  <si>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</si>
  <si>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</si>
  <si>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</si>
  <si>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</si>
  <si>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</si>
  <si>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</si>
  <si>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</si>
  <si>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</si>
  <si>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</si>
  <si>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</si>
  <si>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</si>
  <si>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</si>
  <si>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</si>
  <si>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</si>
  <si>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</si>
  <si>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</si>
  <si>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</si>
  <si>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</si>
  <si>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</si>
  <si>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</si>
  <si>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</si>
  <si>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</si>
  <si>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</si>
  <si>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</si>
  <si>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</si>
  <si>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</si>
  <si>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</si>
  <si>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</si>
  <si>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</si>
  <si>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</si>
  <si>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</si>
  <si>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</si>
  <si>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</si>
  <si>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</si>
  <si>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</si>
  <si>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</si>
  <si>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</si>
  <si>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</si>
  <si>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</si>
  <si>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</si>
  <si>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</si>
  <si>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</si>
  <si>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</si>
  <si>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</si>
  <si>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</si>
  <si>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</si>
  <si>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</si>
  <si>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</si>
  <si>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</si>
  <si>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</si>
  <si>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</si>
  <si>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</si>
  <si>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</si>
  <si>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</si>
  <si>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</si>
  <si>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</si>
  <si>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</si>
  <si>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</si>
  <si>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</si>
  <si>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</si>
  <si>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</si>
  <si>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</si>
  <si>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</si>
  <si>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</si>
  <si>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</si>
  <si>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</si>
  <si>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</si>
  <si>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</si>
  <si>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</si>
  <si>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</si>
  <si>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</si>
  <si>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</si>
  <si>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</si>
  <si>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</si>
  <si>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</si>
  <si>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</si>
  <si>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</si>
  <si>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</si>
  <si>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</si>
  <si>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</si>
  <si>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</si>
  <si>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</si>
  <si>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</si>
  <si>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</si>
  <si>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</si>
  <si>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</si>
  <si>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</si>
  <si>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</si>
  <si>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</si>
  <si>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</si>
  <si>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</si>
  <si>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</si>
  <si>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</si>
  <si>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</si>
  <si>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</si>
  <si>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</si>
  <si>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</si>
  <si>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</si>
  <si>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</si>
  <si>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</si>
  <si>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</si>
  <si>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</si>
  <si>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</si>
  <si>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</si>
  <si>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</si>
  <si>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</si>
  <si>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</si>
  <si>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</si>
  <si>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</si>
  <si>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</si>
  <si>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</si>
  <si>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</si>
  <si>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</si>
  <si>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</si>
  <si>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</si>
  <si>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</si>
  <si>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</si>
  <si>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</si>
  <si>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</si>
  <si>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</si>
  <si>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</si>
  <si>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</si>
  <si>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</si>
  <si>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</si>
  <si>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</si>
  <si>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</si>
  <si>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</si>
  <si>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</si>
  <si>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</si>
  <si>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</si>
  <si>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</si>
  <si>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</si>
  <si>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</si>
  <si>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</si>
  <si>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</si>
  <si>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</si>
  <si>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</si>
  <si>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</si>
  <si>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</si>
  <si>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</si>
  <si>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</si>
  <si>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</si>
  <si>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</si>
  <si>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</si>
  <si>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</si>
  <si>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</si>
  <si>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</si>
  <si>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</si>
  <si>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</si>
  <si>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</si>
  <si>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</si>
  <si>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</si>
  <si>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</si>
  <si>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</si>
  <si>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</si>
  <si>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</si>
  <si>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</si>
  <si>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</si>
  <si>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</si>
  <si>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</si>
  <si>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</si>
  <si>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</si>
  <si>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</si>
  <si>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</si>
  <si>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</si>
  <si>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</si>
  <si>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</si>
  <si>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</si>
  <si>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</si>
  <si>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</si>
  <si>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</si>
  <si>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</si>
  <si>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</si>
  <si>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</si>
  <si>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</si>
  <si>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</si>
  <si>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</si>
  <si>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</si>
  <si>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</si>
  <si>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</si>
  <si>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</si>
  <si>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</si>
  <si>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</si>
  <si>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</si>
  <si>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</si>
  <si>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</si>
  <si>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</si>
  <si>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</si>
  <si>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</si>
  <si>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</si>
  <si>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</si>
  <si>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</si>
  <si>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</si>
  <si>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</si>
  <si>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</si>
  <si>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</si>
  <si>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</si>
  <si>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</si>
  <si>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</si>
  <si>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</si>
  <si>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</si>
  <si>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</si>
  <si>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</si>
  <si>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</si>
  <si>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</si>
  <si>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</si>
  <si>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</si>
  <si>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</si>
  <si>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</si>
  <si>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</si>
  <si>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</si>
  <si>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</si>
  <si>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</si>
  <si>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</si>
  <si>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</si>
  <si>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</si>
  <si>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</si>
  <si>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</si>
  <si>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</si>
  <si>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</si>
  <si>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</si>
  <si>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</si>
  <si>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</si>
  <si>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</si>
  <si>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</si>
  <si>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</si>
  <si>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</si>
  <si>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</si>
  <si>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</si>
  <si>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</si>
  <si>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</si>
  <si>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</si>
  <si>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</si>
  <si>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</si>
  <si>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</si>
  <si>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</si>
  <si>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</si>
  <si>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</si>
  <si>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</si>
  <si>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</si>
  <si>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</si>
  <si>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</si>
  <si>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</si>
  <si>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</si>
  <si>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</si>
  <si>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</si>
  <si>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</si>
  <si>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</si>
  <si>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</si>
  <si>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</si>
  <si>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</si>
  <si>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</si>
  <si>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</si>
  <si>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</si>
  <si>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</si>
  <si>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</si>
  <si>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</si>
  <si>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</si>
  <si>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</si>
  <si>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</si>
  <si>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</si>
  <si>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</si>
  <si>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</si>
  <si>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</si>
  <si>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</si>
  <si>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</si>
  <si>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</si>
  <si>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</si>
  <si>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</si>
  <si>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</si>
  <si>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</si>
  <si>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</si>
  <si>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</si>
  <si>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</si>
  <si>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</si>
  <si>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</si>
  <si>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</si>
  <si>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</si>
  <si>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</si>
  <si>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</si>
  <si>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</si>
  <si>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</si>
  <si>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</si>
  <si>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</si>
  <si>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</si>
  <si>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</si>
  <si>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</si>
  <si>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</si>
  <si>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</si>
  <si>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</si>
  <si>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</si>
  <si>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</si>
  <si>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</si>
  <si>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</si>
  <si>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</si>
  <si>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</si>
  <si>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</si>
  <si>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</si>
  <si>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</si>
  <si>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</si>
  <si>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</si>
  <si>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</si>
  <si>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</si>
  <si>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</si>
  <si>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</si>
  <si>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</si>
  <si>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</si>
  <si>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</si>
  <si>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</si>
  <si>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</si>
  <si>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</si>
  <si>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</si>
  <si>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</si>
  <si>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</si>
  <si>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</si>
  <si>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</si>
  <si>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</si>
  <si>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</si>
  <si>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</si>
  <si>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</si>
  <si>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</si>
  <si>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</si>
  <si>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</si>
  <si>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</si>
  <si>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</si>
  <si>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</si>
  <si>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</si>
  <si>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</si>
  <si>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</si>
  <si>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</si>
  <si>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</si>
  <si>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</si>
  <si>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</si>
  <si>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</si>
  <si>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</si>
  <si>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</si>
  <si>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</si>
  <si>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</si>
  <si>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</si>
  <si>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</si>
  <si>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</si>
  <si>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</si>
  <si>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</si>
  <si>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</si>
  <si>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</si>
  <si>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</si>
  <si>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</si>
  <si>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</si>
  <si>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</si>
  <si>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</si>
  <si>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</si>
  <si>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</si>
  <si>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</si>
  <si>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</si>
  <si>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</si>
  <si>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</si>
  <si>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</si>
  <si>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</si>
  <si>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</si>
  <si>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</si>
  <si>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</si>
  <si>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</si>
  <si>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</si>
  <si>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</si>
  <si>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</si>
  <si>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</si>
  <si>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</si>
  <si>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</si>
  <si>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</si>
  <si>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</si>
  <si>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</si>
  <si>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</si>
  <si>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</si>
  <si>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</si>
  <si>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</si>
  <si>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</si>
  <si>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</si>
  <si>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</si>
  <si>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</si>
  <si>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</si>
  <si>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</si>
  <si>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</si>
  <si>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</si>
  <si>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</si>
  <si>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</si>
  <si>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</si>
  <si>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</si>
  <si>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</si>
  <si>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</si>
  <si>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</si>
  <si>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</si>
  <si>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</si>
  <si>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</si>
  <si>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</si>
  <si>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</si>
  <si>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</si>
  <si>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</si>
  <si>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</si>
  <si>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</si>
  <si>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</si>
  <si>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</si>
  <si>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</si>
  <si>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</si>
  <si>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</si>
  <si>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</si>
  <si>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</si>
  <si>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</si>
  <si>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</si>
  <si>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</si>
  <si>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</si>
  <si>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</si>
  <si>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</si>
  <si>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</si>
  <si>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</si>
  <si>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</si>
  <si>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</si>
  <si>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</si>
  <si>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</si>
  <si>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</si>
  <si>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</si>
  <si>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</si>
  <si>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</si>
  <si>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</si>
  <si>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</si>
  <si>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</si>
  <si>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</si>
  <si>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</si>
  <si>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</si>
  <si>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</si>
  <si>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</si>
  <si>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</si>
  <si>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</si>
  <si>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</si>
  <si>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</si>
  <si>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</si>
  <si>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</si>
  <si>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</si>
  <si>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</si>
  <si>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</si>
  <si>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</si>
  <si>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</si>
  <si>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</si>
  <si>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</si>
  <si>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</si>
  <si>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</si>
  <si>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</si>
  <si>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</si>
  <si>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</si>
  <si>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</si>
  <si>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</si>
  <si>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</si>
  <si>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</si>
  <si>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</si>
  <si>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</si>
  <si>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</si>
  <si>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</si>
  <si>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</si>
  <si>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</si>
  <si>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</si>
  <si>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</si>
  <si>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</si>
  <si>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</si>
  <si>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</si>
  <si>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</si>
  <si>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</si>
  <si>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</si>
  <si>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</si>
  <si>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</si>
  <si>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</si>
  <si>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</si>
  <si>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</si>
  <si>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</si>
  <si>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</si>
  <si>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</si>
  <si>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</si>
  <si>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</si>
  <si>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</si>
  <si>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</si>
  <si>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</si>
  <si>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</si>
  <si>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</si>
  <si>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</si>
  <si>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</si>
  <si>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</si>
  <si>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</si>
  <si>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</si>
  <si>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</si>
  <si>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</si>
  <si>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</si>
  <si>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</si>
  <si>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</si>
  <si>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</si>
  <si>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</si>
  <si>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</si>
  <si>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</si>
  <si>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</si>
  <si>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</si>
  <si>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</si>
  <si>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</si>
  <si>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</si>
  <si>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</si>
  <si>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</si>
  <si>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</si>
  <si>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</si>
  <si>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</si>
  <si>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</si>
  <si>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</si>
  <si>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</si>
  <si>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</si>
  <si>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</si>
  <si>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</si>
  <si>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</si>
  <si>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</si>
  <si>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</si>
  <si>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</si>
  <si>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</si>
  <si>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</si>
  <si>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</si>
  <si>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</si>
  <si>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</si>
  <si>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</si>
  <si>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</si>
  <si>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</si>
  <si>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</si>
  <si>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</si>
  <si>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</si>
  <si>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</si>
  <si>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</si>
  <si>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</si>
  <si>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</si>
  <si>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</si>
  <si>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</si>
  <si>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</si>
  <si>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</si>
  <si>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</si>
  <si>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</si>
  <si>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</si>
  <si>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</si>
  <si>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</si>
  <si>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</si>
  <si>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</si>
  <si>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</si>
  <si>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</si>
  <si>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</si>
  <si>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</si>
  <si>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</si>
  <si>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</si>
  <si>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</si>
  <si>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</si>
  <si>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</si>
  <si>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</si>
  <si>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</si>
  <si>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</si>
  <si>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</si>
  <si>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</si>
  <si>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</si>
  <si>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</si>
  <si>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</si>
  <si>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</si>
  <si>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</si>
  <si>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</si>
  <si>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</si>
  <si>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</si>
  <si>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</si>
  <si>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</si>
  <si>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</si>
  <si>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</si>
  <si>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</si>
  <si>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</si>
  <si>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</si>
  <si>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</si>
  <si>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</si>
  <si>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</si>
  <si>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</si>
  <si>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</si>
  <si>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</si>
  <si>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</si>
  <si>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</si>
  <si>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</si>
  <si>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</si>
  <si>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</si>
  <si>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</si>
  <si>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</si>
  <si>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</si>
  <si>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</si>
  <si>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</si>
  <si>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</si>
  <si>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</si>
  <si>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</si>
  <si>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</si>
  <si>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</si>
  <si>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</si>
  <si>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</si>
  <si>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</si>
  <si>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</si>
  <si>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</si>
  <si>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</si>
  <si>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</si>
  <si>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</si>
  <si>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</si>
  <si>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</si>
  <si>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</si>
  <si>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</si>
  <si>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</si>
  <si>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</si>
  <si>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</si>
  <si>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</si>
  <si>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</si>
  <si>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</si>
  <si>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</si>
  <si>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</si>
  <si>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</si>
  <si>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</si>
  <si>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</si>
  <si>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</si>
  <si>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</si>
  <si>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</si>
  <si>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</si>
  <si>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</si>
  <si>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</si>
  <si>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</si>
  <si>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</si>
  <si>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</si>
  <si>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</si>
  <si>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</si>
  <si>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</si>
  <si>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</si>
  <si>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</si>
  <si>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</si>
  <si>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</si>
  <si>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</si>
  <si>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</si>
  <si>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</si>
  <si>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</si>
  <si>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</si>
  <si>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</si>
  <si>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</si>
  <si>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</si>
  <si>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</si>
  <si>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</si>
  <si>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</si>
  <si>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</si>
  <si>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</si>
  <si>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</si>
  <si>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</si>
  <si>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</si>
  <si>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</si>
  <si>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</si>
  <si>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</si>
  <si>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</si>
  <si>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</si>
  <si>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</si>
  <si>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</si>
  <si>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</si>
  <si>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</si>
  <si>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</si>
  <si>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</si>
  <si>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</si>
  <si>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</si>
  <si>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</si>
  <si>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</si>
  <si>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</si>
  <si>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</si>
  <si>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</si>
  <si>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</si>
  <si>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</si>
  <si>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</si>
  <si>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</si>
  <si>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</si>
  <si>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</si>
  <si>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</si>
  <si>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</si>
  <si>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</si>
  <si>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</si>
  <si>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</si>
  <si>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</si>
  <si>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</si>
  <si>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</si>
  <si>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</si>
  <si>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</si>
  <si>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</si>
  <si>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</si>
  <si>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</si>
  <si>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</si>
  <si>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</si>
  <si>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</si>
  <si>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</si>
  <si>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</si>
  <si>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</si>
  <si>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</si>
  <si>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</si>
  <si>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</si>
  <si>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</si>
  <si>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</si>
  <si>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</si>
  <si>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</si>
  <si>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</si>
  <si>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</si>
  <si>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</si>
  <si>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</si>
  <si>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</si>
  <si>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</si>
  <si>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</si>
  <si>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</si>
  <si>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</si>
  <si>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</si>
  <si>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</si>
  <si>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</si>
  <si>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</si>
  <si>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</si>
  <si>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</si>
  <si>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</si>
  <si>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</si>
  <si>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</si>
  <si>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</si>
  <si>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</si>
  <si>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</si>
  <si>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</si>
  <si>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</si>
  <si>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</si>
  <si>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</si>
  <si>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</si>
  <si>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</si>
  <si>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</si>
  <si>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</si>
  <si>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</si>
  <si>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</si>
  <si>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</si>
  <si>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</si>
  <si>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</si>
  <si>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</si>
  <si>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</si>
  <si>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</si>
  <si>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</si>
  <si>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</si>
  <si>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</si>
  <si>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</si>
  <si>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</si>
  <si>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</si>
  <si>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</si>
  <si>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</si>
  <si>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</si>
  <si>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</si>
  <si>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</si>
  <si>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</si>
  <si>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</si>
  <si>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</si>
  <si>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</si>
  <si>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</si>
  <si>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</si>
  <si>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</si>
  <si>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</si>
  <si>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</si>
  <si>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</si>
  <si>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</si>
  <si>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</si>
  <si>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</si>
  <si>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</si>
  <si>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</si>
  <si>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</si>
  <si>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</si>
  <si>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</si>
  <si>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</si>
  <si>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</si>
  <si>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</si>
  <si>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</si>
  <si>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</si>
  <si>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</si>
  <si>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</si>
  <si>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</si>
  <si>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</si>
  <si>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</si>
  <si>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</si>
  <si>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</si>
  <si>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</si>
  <si>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</si>
  <si>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</si>
  <si>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</si>
  <si>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</si>
  <si>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</si>
  <si>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</si>
  <si>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</si>
  <si>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</si>
  <si>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</si>
  <si>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</si>
  <si>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</si>
  <si>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</si>
  <si>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</si>
  <si>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</si>
  <si>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</si>
  <si>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</si>
  <si>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</si>
  <si>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</si>
  <si>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</si>
  <si>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</si>
  <si>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</si>
  <si>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</si>
  <si>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</si>
  <si>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</si>
  <si>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</si>
  <si>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</si>
  <si>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</si>
  <si>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</si>
  <si>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</si>
  <si>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</si>
  <si>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</si>
  <si>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</si>
  <si>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</si>
  <si>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</si>
  <si>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</si>
  <si>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</si>
  <si>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</si>
  <si>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</si>
  <si>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</si>
  <si>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</si>
  <si>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</si>
  <si>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</si>
  <si>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</si>
  <si>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</si>
  <si>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</si>
  <si>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</si>
  <si>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</si>
  <si>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</si>
  <si>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</si>
  <si>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</si>
  <si>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</si>
  <si>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</si>
  <si>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</si>
  <si>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</si>
  <si>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</si>
  <si>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</si>
  <si>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</si>
  <si>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</si>
  <si>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</si>
  <si>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</si>
  <si>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</si>
  <si>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</si>
  <si>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</si>
  <si>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</si>
  <si>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</si>
  <si>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</si>
  <si>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</si>
  <si>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</si>
  <si>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</si>
  <si>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</si>
  <si>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</si>
  <si>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</si>
  <si>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</si>
  <si>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</si>
  <si>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</si>
  <si>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</si>
  <si>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</si>
  <si>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</si>
  <si>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</si>
  <si>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</si>
  <si>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</si>
  <si>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</si>
  <si>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</si>
  <si>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</si>
  <si>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</si>
  <si>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</si>
  <si>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</si>
  <si>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</si>
  <si>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</si>
  <si>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</si>
  <si>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</si>
  <si>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</si>
  <si>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</si>
  <si>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</si>
  <si>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</si>
  <si>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</si>
  <si>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</si>
  <si>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</si>
  <si>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</si>
  <si>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</si>
  <si>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</si>
  <si>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</si>
  <si>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</si>
  <si>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</si>
  <si>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</si>
  <si>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</si>
  <si>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</si>
  <si>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</si>
  <si>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</si>
  <si>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</si>
  <si>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</si>
  <si>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</si>
  <si>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</si>
  <si>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</si>
  <si>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</si>
  <si>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</si>
  <si>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</si>
  <si>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</si>
  <si>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</si>
  <si>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</si>
  <si>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</si>
  <si>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</si>
  <si>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</si>
  <si>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</si>
  <si>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</si>
  <si>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</si>
  <si>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</si>
  <si>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</si>
  <si>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</si>
  <si>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</si>
  <si>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</si>
  <si>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</si>
  <si>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</si>
  <si>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</si>
  <si>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</si>
  <si>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</si>
  <si>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</si>
  <si>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</si>
  <si>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</si>
  <si>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</si>
  <si>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</si>
  <si>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</si>
  <si>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</si>
  <si>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</si>
  <si>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</si>
  <si>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</si>
  <si>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</si>
  <si>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</si>
  <si>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</si>
  <si>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</si>
  <si>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</si>
  <si>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</si>
  <si>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</si>
  <si>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</si>
  <si>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</si>
  <si>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</si>
  <si>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</si>
  <si>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</si>
  <si>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</si>
  <si>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</si>
  <si>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</si>
  <si>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</si>
  <si>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</si>
  <si>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</si>
  <si>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</si>
  <si>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</si>
  <si>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</si>
  <si>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</si>
  <si>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</si>
  <si>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</si>
  <si>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</si>
  <si>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</si>
  <si>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</si>
  <si>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</si>
  <si>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</si>
  <si>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</si>
  <si>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</si>
  <si>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</si>
  <si>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</si>
  <si>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</si>
  <si>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</si>
  <si>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</si>
  <si>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</si>
  <si>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</si>
  <si>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</si>
  <si>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</si>
  <si>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</si>
  <si>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</si>
  <si>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</si>
  <si>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</si>
  <si>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</si>
  <si>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</si>
  <si>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</si>
  <si>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</si>
  <si>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</si>
  <si>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</si>
  <si>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</si>
  <si>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</si>
  <si>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</si>
  <si>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</si>
  <si>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</si>
  <si>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</si>
  <si>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</si>
  <si>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</si>
  <si>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</si>
  <si>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</si>
  <si>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</si>
  <si>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</si>
  <si>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</si>
  <si>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</si>
  <si>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</si>
  <si>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</si>
  <si>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</si>
  <si>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</si>
  <si>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</si>
  <si>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</si>
  <si>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</si>
  <si>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</si>
  <si>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</si>
  <si>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</si>
  <si>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</si>
  <si>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</si>
  <si>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</si>
  <si>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</si>
  <si>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</si>
  <si>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</si>
  <si>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</si>
  <si>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</si>
  <si>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</si>
  <si>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</si>
  <si>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</si>
  <si>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</si>
  <si>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</si>
  <si>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</si>
  <si>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</si>
  <si>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</si>
  <si>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</si>
  <si>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</si>
  <si>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</si>
  <si>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</si>
  <si>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</si>
  <si>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</si>
  <si>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</si>
  <si>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</si>
  <si>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</si>
  <si>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</si>
  <si>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</si>
  <si>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</si>
  <si>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</si>
  <si>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</si>
  <si>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</si>
  <si>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</si>
  <si>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</si>
  <si>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</si>
  <si>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</si>
  <si>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</si>
  <si>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</si>
  <si>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</si>
  <si>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</si>
  <si>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</si>
  <si>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</si>
  <si>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</si>
  <si>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</si>
  <si>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</si>
  <si>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</si>
  <si>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</si>
  <si>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</si>
  <si>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</si>
  <si>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</si>
  <si>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</si>
  <si>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</si>
  <si>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</si>
  <si>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</si>
  <si>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</si>
  <si>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</si>
  <si>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</si>
  <si>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</si>
  <si>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</si>
  <si>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</si>
  <si>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</si>
  <si>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</si>
  <si>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</si>
  <si>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</si>
  <si>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</si>
  <si>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</si>
  <si>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</si>
  <si>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</si>
  <si>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</si>
  <si>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</si>
  <si>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</si>
  <si>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</si>
  <si>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</si>
  <si>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</si>
  <si>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</si>
  <si>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</si>
  <si>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</si>
  <si>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</si>
  <si>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</si>
  <si>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</si>
  <si>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</si>
  <si>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</si>
  <si>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</si>
  <si>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</si>
  <si>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</si>
  <si>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</si>
  <si>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</si>
  <si>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</si>
  <si>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</si>
  <si>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</si>
  <si>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</si>
  <si>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</si>
  <si>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</si>
  <si>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</si>
  <si>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</si>
  <si>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</si>
  <si>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</si>
  <si>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</si>
  <si>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</si>
  <si>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</si>
  <si>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</si>
  <si>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</si>
  <si>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</si>
  <si>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</si>
  <si>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</si>
  <si>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</si>
  <si>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</si>
  <si>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</si>
  <si>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</si>
  <si>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</si>
  <si>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</si>
  <si>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</si>
  <si>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</si>
  <si>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</si>
  <si>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</si>
  <si>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</si>
  <si>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</si>
  <si>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</si>
  <si>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</si>
  <si>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</si>
  <si>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</si>
  <si>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</si>
  <si>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</si>
  <si>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</si>
  <si>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</si>
  <si>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</si>
  <si>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</si>
  <si>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</si>
  <si>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</si>
  <si>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</si>
  <si>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</si>
  <si>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</si>
  <si>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</si>
  <si>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</si>
  <si>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</si>
  <si>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</si>
  <si>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</si>
  <si>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</si>
  <si>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</si>
  <si>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</si>
  <si>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</si>
  <si>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</si>
  <si>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</si>
  <si>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</si>
  <si>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</si>
  <si>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</si>
  <si>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</si>
  <si>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</si>
  <si>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</si>
  <si>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</si>
  <si>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</si>
  <si>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</si>
  <si>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</si>
  <si>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</si>
  <si>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</si>
  <si>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</si>
  <si>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</si>
  <si>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</si>
  <si>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</si>
  <si>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</si>
  <si>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</si>
  <si>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</si>
  <si>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</si>
  <si>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</si>
  <si>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</si>
  <si>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</si>
  <si>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</si>
  <si>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</si>
  <si>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</si>
  <si>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</si>
  <si>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</si>
  <si>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</si>
  <si>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</si>
  <si>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</si>
  <si>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</si>
  <si>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</si>
  <si>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</si>
  <si>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</si>
  <si>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</si>
  <si>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</si>
  <si>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</si>
  <si>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</si>
  <si>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</si>
  <si>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</si>
  <si>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</si>
  <si>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</si>
  <si>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</si>
  <si>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</si>
  <si>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</si>
  <si>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</si>
  <si>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</si>
  <si>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</si>
  <si>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</si>
  <si>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</si>
  <si>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</si>
  <si>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</si>
  <si>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</si>
  <si>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</si>
  <si>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</si>
  <si>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</si>
  <si>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</si>
  <si>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</si>
  <si>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</si>
  <si>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</si>
  <si>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</si>
  <si>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</si>
  <si>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</si>
  <si>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</si>
  <si>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</si>
  <si>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</si>
  <si>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</si>
  <si>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</si>
  <si>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</si>
  <si>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</si>
  <si>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</si>
  <si>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</si>
  <si>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</si>
  <si>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</si>
  <si>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</si>
  <si>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</si>
  <si>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</si>
  <si>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</si>
  <si>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</si>
  <si>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</si>
  <si>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</si>
  <si>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</si>
  <si>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</si>
  <si>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</si>
  <si>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</si>
  <si>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</si>
  <si>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</si>
  <si>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</si>
  <si>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</si>
  <si>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</si>
  <si>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</si>
  <si>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</si>
  <si>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</si>
  <si>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</si>
  <si>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</si>
  <si>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</si>
  <si>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</si>
  <si>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</si>
  <si>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</si>
  <si>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</si>
  <si>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</si>
  <si>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</si>
  <si>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</si>
  <si>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</si>
  <si>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</si>
  <si>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</si>
  <si>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</si>
  <si>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</si>
  <si>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</si>
  <si>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</si>
  <si>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</si>
  <si>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</si>
  <si>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</si>
  <si>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</si>
  <si>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</si>
  <si>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</si>
  <si>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</si>
  <si>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</si>
  <si>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</si>
  <si>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</si>
  <si>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</si>
  <si>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</si>
  <si>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</si>
  <si>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</si>
  <si>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</si>
  <si>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</si>
  <si>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</si>
  <si>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</si>
  <si>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</si>
  <si>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</si>
  <si>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</si>
  <si>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</si>
  <si>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</si>
  <si>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</si>
  <si>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</si>
  <si>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</si>
  <si>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</si>
  <si>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</si>
  <si>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</si>
  <si>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</si>
  <si>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</si>
  <si>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</si>
  <si>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</si>
  <si>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</si>
  <si>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</si>
  <si>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</si>
  <si>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</si>
  <si>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</si>
  <si>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</si>
  <si>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</si>
  <si>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</si>
  <si>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</si>
  <si>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</si>
  <si>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</si>
  <si>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</si>
  <si>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</si>
  <si>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</si>
  <si>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</si>
  <si>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</si>
  <si>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</si>
  <si>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</si>
  <si>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</si>
  <si>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</si>
  <si>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</si>
  <si>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</si>
  <si>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</si>
  <si>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</si>
  <si>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</si>
  <si>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</si>
  <si>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</si>
  <si>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</si>
  <si>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</si>
  <si>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</si>
  <si>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</si>
  <si>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</si>
  <si>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</si>
  <si>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</si>
  <si>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</si>
  <si>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</si>
  <si>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</si>
  <si>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</si>
  <si>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</si>
  <si>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</si>
  <si>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</si>
  <si>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</si>
  <si>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</si>
  <si>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</si>
  <si>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</si>
  <si>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</si>
  <si>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</si>
  <si>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</si>
  <si>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</si>
  <si>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</si>
  <si>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</si>
  <si>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</si>
  <si>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</si>
  <si>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</si>
  <si>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</si>
  <si>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</si>
  <si>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</si>
  <si>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</si>
  <si>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</si>
  <si>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</si>
  <si>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</si>
  <si>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</si>
  <si>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</si>
  <si>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</si>
  <si>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</si>
  <si>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</si>
  <si>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</si>
  <si>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</si>
  <si>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</si>
  <si>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</si>
  <si>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</si>
  <si>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</si>
  <si>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</si>
  <si>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</si>
  <si>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</si>
  <si>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</si>
  <si>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</si>
  <si>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</si>
  <si>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</si>
  <si>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</si>
  <si>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</si>
  <si>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</si>
  <si>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</si>
  <si>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</si>
  <si>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</si>
  <si>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</si>
  <si>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</si>
  <si>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</si>
  <si>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</si>
  <si>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</si>
  <si>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</si>
  <si>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</si>
  <si>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</si>
  <si>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</si>
  <si>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</si>
  <si>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</si>
  <si>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</si>
  <si>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</si>
  <si>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</si>
  <si>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</si>
  <si>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</si>
  <si>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</si>
  <si>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</si>
  <si>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</si>
  <si>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</si>
  <si>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</si>
  <si>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</si>
  <si>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</si>
  <si>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</si>
  <si>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</si>
  <si>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</si>
  <si>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</si>
  <si>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</si>
  <si>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</si>
  <si>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</si>
  <si>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</si>
  <si>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</si>
  <si>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</si>
  <si>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</si>
  <si>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</si>
  <si>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</si>
  <si>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</si>
  <si>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</si>
  <si>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</si>
  <si>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</si>
  <si>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</si>
  <si>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</si>
  <si>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</si>
  <si>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</si>
  <si>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</si>
  <si>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</si>
  <si>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</si>
  <si>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</si>
  <si>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</si>
  <si>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</si>
  <si>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</si>
  <si>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</si>
  <si>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</si>
  <si>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</si>
  <si>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</si>
  <si>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</si>
  <si>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</si>
  <si>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</si>
  <si>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</si>
  <si>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</si>
  <si>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</si>
  <si>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</si>
  <si>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</si>
  <si>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</si>
  <si>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</si>
  <si>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</si>
  <si>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</si>
  <si>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</si>
  <si>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</si>
  <si>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</si>
  <si>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</si>
  <si>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</si>
  <si>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</si>
  <si>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</si>
  <si>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</si>
  <si>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</si>
  <si>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</si>
  <si>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</si>
  <si>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</si>
  <si>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</si>
  <si>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</si>
  <si>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</si>
  <si>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</si>
  <si>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</si>
  <si>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</si>
  <si>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</si>
  <si>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</si>
  <si>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</si>
  <si>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</si>
  <si>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</si>
  <si>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</si>
  <si>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</si>
  <si>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</si>
  <si>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</si>
  <si>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</si>
  <si>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</si>
  <si>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</si>
  <si>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</si>
  <si>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</si>
  <si>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</si>
  <si>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</si>
  <si>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</si>
  <si>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</si>
  <si>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</si>
  <si>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</si>
  <si>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</si>
  <si>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</si>
  <si>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</si>
  <si>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</si>
  <si>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</si>
  <si>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</si>
  <si>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</si>
  <si>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</si>
  <si>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</si>
  <si>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</si>
  <si>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</si>
  <si>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</si>
  <si>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</si>
  <si>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</si>
  <si>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</si>
  <si>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</si>
  <si>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</si>
  <si>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</si>
  <si>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</si>
  <si>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</si>
  <si>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</si>
  <si>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</si>
  <si>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</si>
  <si>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</si>
  <si>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</si>
  <si>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</si>
  <si>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</si>
  <si>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</si>
  <si>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</si>
  <si>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</si>
  <si>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</si>
  <si>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</si>
  <si>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</si>
  <si>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</si>
  <si>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</si>
  <si>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</si>
  <si>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</si>
  <si>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</si>
  <si>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</si>
  <si>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</si>
  <si>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</si>
  <si>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</si>
  <si>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</si>
  <si>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</si>
  <si>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</si>
  <si>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</si>
  <si>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</si>
  <si>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</si>
  <si>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</si>
  <si>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</si>
  <si>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</si>
  <si>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</si>
  <si>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</si>
  <si>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</si>
  <si>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</si>
  <si>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</si>
  <si>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</si>
  <si>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</si>
  <si>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</si>
  <si>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</si>
  <si>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</si>
  <si>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</si>
  <si>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</si>
  <si>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</si>
  <si>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</si>
  <si>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</si>
  <si>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</si>
  <si>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</si>
  <si>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</si>
  <si>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</si>
  <si>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</si>
  <si>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</si>
  <si>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</si>
  <si>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</si>
  <si>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</si>
  <si>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</si>
  <si>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</si>
  <si>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</si>
  <si>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</si>
  <si>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</si>
  <si>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</si>
  <si>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</si>
  <si>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</si>
  <si>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</si>
  <si>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</si>
  <si>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</si>
  <si>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</si>
  <si>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</si>
  <si>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</si>
  <si>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</si>
  <si>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</si>
  <si>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</si>
  <si>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</si>
  <si>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</si>
  <si>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</si>
  <si>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</si>
  <si>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</si>
  <si>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</si>
  <si>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</si>
  <si>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</si>
  <si>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</si>
  <si>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</si>
  <si>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</si>
  <si>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</si>
  <si>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</si>
  <si>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</si>
  <si>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</si>
  <si>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</si>
  <si>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</si>
  <si>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</si>
  <si>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</si>
  <si>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</si>
  <si>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</si>
  <si>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</si>
  <si>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</si>
  <si>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</si>
  <si>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</si>
  <si>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</si>
  <si>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</si>
  <si>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</si>
  <si>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</si>
  <si>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</si>
  <si>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</si>
  <si>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</si>
  <si>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</si>
  <si>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</si>
  <si>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</si>
  <si>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</si>
  <si>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</si>
  <si>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</si>
  <si>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</si>
  <si>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</si>
  <si>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</si>
  <si>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</si>
  <si>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</si>
  <si>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</si>
  <si>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</si>
  <si>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</si>
  <si>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</si>
  <si>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</si>
  <si>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</si>
  <si>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</si>
  <si>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</si>
  <si>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</si>
  <si>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</si>
  <si>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</si>
  <si>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</si>
  <si>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</si>
  <si>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</si>
  <si>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</si>
  <si>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</si>
  <si>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</si>
  <si>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</si>
  <si>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</si>
  <si>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</si>
  <si>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</si>
  <si>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</si>
  <si>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</si>
  <si>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</si>
  <si>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</si>
  <si>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</si>
  <si>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</si>
  <si>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</si>
  <si>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</si>
  <si>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</si>
  <si>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</si>
  <si>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</si>
  <si>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</si>
  <si>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</si>
  <si>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</si>
  <si>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</si>
  <si>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</si>
  <si>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</si>
  <si>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</si>
  <si>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</si>
  <si>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</si>
  <si>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</si>
  <si>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</si>
  <si>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</si>
  <si>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</si>
  <si>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</si>
  <si>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</si>
  <si>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</si>
  <si>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</si>
  <si>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</si>
  <si>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</si>
  <si>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</si>
  <si>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</si>
  <si>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</si>
  <si>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</si>
  <si>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</si>
  <si>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</si>
  <si>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</si>
  <si>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</si>
  <si>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</si>
  <si>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</si>
  <si>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</si>
  <si>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</si>
  <si>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</si>
  <si>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</si>
  <si>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</si>
  <si>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</si>
  <si>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</si>
  <si>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</si>
  <si>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</si>
  <si>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</si>
  <si>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</si>
  <si>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</si>
  <si>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</si>
  <si>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</si>
  <si>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</si>
  <si>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</si>
  <si>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</si>
  <si>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</si>
  <si>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</si>
  <si>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</si>
  <si>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</si>
  <si>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</si>
  <si>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</si>
  <si>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</si>
  <si>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</si>
  <si>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</si>
  <si>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</si>
  <si>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</si>
  <si>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</si>
  <si>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</si>
  <si>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</si>
  <si>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</si>
  <si>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</si>
  <si>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</si>
  <si>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</si>
  <si>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</si>
  <si>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</si>
  <si>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</si>
  <si>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</si>
  <si>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</si>
  <si>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</si>
  <si>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</si>
  <si>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</si>
  <si>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</si>
  <si>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</si>
  <si>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</si>
  <si>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</si>
  <si>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</si>
  <si>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</si>
  <si>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</si>
  <si>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</si>
  <si>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</si>
  <si>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</si>
  <si>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</si>
  <si>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</si>
  <si>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</si>
  <si>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</si>
  <si>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</si>
  <si>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</si>
  <si>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</si>
  <si>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</si>
  <si>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</si>
  <si>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</si>
  <si>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</si>
  <si>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</si>
  <si>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</si>
  <si>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</si>
  <si>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</si>
  <si>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</si>
  <si>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</si>
  <si>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</si>
  <si>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</si>
  <si>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</si>
  <si>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</si>
  <si>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</si>
  <si>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</si>
  <si>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</si>
  <si>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</si>
  <si>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</si>
  <si>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</si>
  <si>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</si>
  <si>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</si>
  <si>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</si>
  <si>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</si>
  <si>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</si>
  <si>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</si>
  <si>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</si>
  <si>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</si>
  <si>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</si>
  <si>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</si>
  <si>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</si>
  <si>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</si>
  <si>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</si>
  <si>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</si>
  <si>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</si>
  <si>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</si>
  <si>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</si>
  <si>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</si>
  <si>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</si>
  <si>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</si>
  <si>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</si>
  <si>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</si>
  <si>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</si>
  <si>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</si>
  <si>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</si>
  <si>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</si>
  <si>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</si>
  <si>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</si>
  <si>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</si>
  <si>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</si>
  <si>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</si>
  <si>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</si>
  <si>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</si>
  <si>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</si>
  <si>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</si>
  <si>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</si>
  <si>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</si>
  <si>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</si>
  <si>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</si>
  <si>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</si>
  <si>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</si>
  <si>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</si>
  <si>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</si>
  <si>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</si>
  <si>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</si>
  <si>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</si>
  <si>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</si>
  <si>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</si>
  <si>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</si>
  <si>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</si>
  <si>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</si>
  <si>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</si>
  <si>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</si>
  <si>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</si>
  <si>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</si>
  <si>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</si>
  <si>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</si>
  <si>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</si>
  <si>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</si>
  <si>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</si>
  <si>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</si>
  <si>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</si>
  <si>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</si>
  <si>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</si>
  <si>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</si>
  <si>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</si>
  <si>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</si>
  <si>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</si>
  <si>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</si>
  <si>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</si>
  <si>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</si>
  <si>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</si>
  <si>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</si>
  <si>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</si>
  <si>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</si>
  <si>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</si>
  <si>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</si>
  <si>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</si>
  <si>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</si>
  <si>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</si>
  <si>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</si>
  <si>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</si>
  <si>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</si>
  <si>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</si>
  <si>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</si>
  <si>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</si>
  <si>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</si>
  <si>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</si>
  <si>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</si>
  <si>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</si>
  <si>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</si>
  <si>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</si>
  <si>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</si>
  <si>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</si>
  <si>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</si>
  <si>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</si>
  <si>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</si>
  <si>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</si>
  <si>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</si>
  <si>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</si>
  <si>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</si>
  <si>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</si>
  <si>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</si>
  <si>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</si>
  <si>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</si>
  <si>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</si>
  <si>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</si>
  <si>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</si>
  <si>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</si>
  <si>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</si>
  <si>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</si>
  <si>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</si>
  <si>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</si>
  <si>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</si>
  <si>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</si>
  <si>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</si>
  <si>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</si>
  <si>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</si>
  <si>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</si>
  <si>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</si>
  <si>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</si>
  <si>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</si>
  <si>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</si>
  <si>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</si>
  <si>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</si>
  <si>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</si>
  <si>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</si>
  <si>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</si>
  <si>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</si>
  <si>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</si>
  <si>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</si>
  <si>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</si>
  <si>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</si>
  <si>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</si>
  <si>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</si>
  <si>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</si>
  <si>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</si>
  <si>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</si>
  <si>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</si>
  <si>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</si>
  <si>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</si>
  <si>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</si>
  <si>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</si>
  <si>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</si>
  <si>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</si>
  <si>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</si>
  <si>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</si>
  <si>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</si>
  <si>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</si>
  <si>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</si>
  <si>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</si>
  <si>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</si>
  <si>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</si>
  <si>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</si>
  <si>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</si>
  <si>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</si>
  <si>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</si>
  <si>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</si>
  <si>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</si>
  <si>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</si>
  <si>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</si>
  <si>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</si>
  <si>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</si>
  <si>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</si>
  <si>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</si>
  <si>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</si>
  <si>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</si>
  <si>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</si>
  <si>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</si>
  <si>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</si>
  <si>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</si>
  <si>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</si>
  <si>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</si>
  <si>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</si>
  <si>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</si>
  <si>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</si>
  <si>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</si>
  <si>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</si>
  <si>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</si>
  <si>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</si>
  <si>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</si>
  <si>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</si>
  <si>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</si>
  <si>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</si>
  <si>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</si>
  <si>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</si>
  <si>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</si>
  <si>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</si>
  <si>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</si>
  <si>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</si>
  <si>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</si>
  <si>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</si>
  <si>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</si>
  <si>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</si>
  <si>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</si>
  <si>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</si>
  <si>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</si>
  <si>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</si>
  <si>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</si>
  <si>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</si>
  <si>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</si>
  <si>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</si>
  <si>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</si>
  <si>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</si>
  <si>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</si>
  <si>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</si>
  <si>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</si>
  <si>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</si>
  <si>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</si>
  <si>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</si>
  <si>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</si>
  <si>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</si>
  <si>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</si>
  <si>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</si>
  <si>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</si>
  <si>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</si>
  <si>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</si>
  <si>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</si>
  <si>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</si>
  <si>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</si>
  <si>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</si>
  <si>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</si>
  <si>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</si>
  <si>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</si>
  <si>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</si>
  <si>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</si>
  <si>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</si>
  <si>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</si>
  <si>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</si>
  <si>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</si>
  <si>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</si>
  <si>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</si>
  <si>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</si>
  <si>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</si>
  <si>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</si>
  <si>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</si>
  <si>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</si>
  <si>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</si>
  <si>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</si>
  <si>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</si>
  <si>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</si>
  <si>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</si>
  <si>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</si>
  <si>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</si>
  <si>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</si>
  <si>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</si>
  <si>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</si>
  <si>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</si>
  <si>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</si>
  <si>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</si>
  <si>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</si>
  <si>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</si>
  <si>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</si>
  <si>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</si>
  <si>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</si>
  <si>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</si>
  <si>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</si>
  <si>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</si>
  <si>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</si>
  <si>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</si>
  <si>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</si>
  <si>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</si>
  <si>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</si>
  <si>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</si>
  <si>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</si>
  <si>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</si>
  <si>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</si>
  <si>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</si>
  <si>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</si>
  <si>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</si>
  <si>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</si>
  <si>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</si>
  <si>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</si>
  <si>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</si>
  <si>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</si>
  <si>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</si>
  <si>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</si>
  <si>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</si>
  <si>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</si>
  <si>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</si>
  <si>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</si>
  <si>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</si>
  <si>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</si>
  <si>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</si>
  <si>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</si>
  <si>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</si>
  <si>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</si>
  <si>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</si>
  <si>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</si>
  <si>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</si>
  <si>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</si>
  <si>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</si>
  <si>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</si>
  <si>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</si>
  <si>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</si>
  <si>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</si>
  <si>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</si>
  <si>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</si>
  <si>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</si>
  <si>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</si>
  <si>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</si>
  <si>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</si>
  <si>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</si>
  <si>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</si>
  <si>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</si>
  <si>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</si>
  <si>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</si>
  <si>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</si>
  <si>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</si>
  <si>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</si>
  <si>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</si>
  <si>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</si>
  <si>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</si>
  <si>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</si>
  <si>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</si>
  <si>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</si>
  <si>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</si>
  <si>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</si>
  <si>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</si>
  <si>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</si>
  <si>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</si>
  <si>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</si>
  <si>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</si>
  <si>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</si>
  <si>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</si>
  <si>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</si>
  <si>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</si>
  <si>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</si>
  <si>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</si>
  <si>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</si>
  <si>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</si>
  <si>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</si>
  <si>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</si>
  <si>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</si>
  <si>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</si>
  <si>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</si>
  <si>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</si>
  <si>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</si>
  <si>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</si>
  <si>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</si>
  <si>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</si>
  <si>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</si>
  <si>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</si>
  <si>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</si>
  <si>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</si>
  <si>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</si>
  <si>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</si>
  <si>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</si>
  <si>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</si>
  <si>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</si>
  <si>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</si>
  <si>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</si>
  <si>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</si>
  <si>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</si>
  <si>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</si>
  <si>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</si>
  <si>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</si>
  <si>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</si>
  <si>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</si>
  <si>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</si>
  <si>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</si>
  <si>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</si>
  <si>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</si>
  <si>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</si>
  <si>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</si>
  <si>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</si>
  <si>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</si>
  <si>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</si>
  <si>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</si>
  <si>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</si>
  <si>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</si>
  <si>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</si>
  <si>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</si>
  <si>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</si>
  <si>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</si>
  <si>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</si>
  <si>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</si>
  <si>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</si>
  <si>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</si>
  <si>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</si>
  <si>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</si>
  <si>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</si>
  <si>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</si>
  <si>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</si>
  <si>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</si>
  <si>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</si>
  <si>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</si>
  <si>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</si>
  <si>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</si>
  <si>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</si>
  <si>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</si>
  <si>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</si>
  <si>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</si>
  <si>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</si>
  <si>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</si>
  <si>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</si>
  <si>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</si>
  <si>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</si>
  <si>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</si>
  <si>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</si>
  <si>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</si>
  <si>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</si>
  <si>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</si>
  <si>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</si>
  <si>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</si>
  <si>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</si>
  <si>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</si>
  <si>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</si>
  <si>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</si>
  <si>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</si>
  <si>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</si>
  <si>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</si>
  <si>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</si>
  <si>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</si>
  <si>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</si>
  <si>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</si>
  <si>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</si>
  <si>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</si>
  <si>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</si>
  <si>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</si>
  <si>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</si>
  <si>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</si>
  <si>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</si>
  <si>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</si>
  <si>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</si>
  <si>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</si>
  <si>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</si>
  <si>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</si>
  <si>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</si>
  <si>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</si>
  <si>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</si>
  <si>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</si>
  <si>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</si>
  <si>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</si>
  <si>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</si>
  <si>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</si>
  <si>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</si>
  <si>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</si>
  <si>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</si>
  <si>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</si>
  <si>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</si>
  <si>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</si>
  <si>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</si>
  <si>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</si>
  <si>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</si>
  <si>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</si>
  <si>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</si>
  <si>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</si>
  <si>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</si>
  <si>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</si>
  <si>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</si>
  <si>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</si>
  <si>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</si>
  <si>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</si>
  <si>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</si>
  <si>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</si>
  <si>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</si>
  <si>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</si>
  <si>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</si>
  <si>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</si>
  <si>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</si>
  <si>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</si>
  <si>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</si>
  <si>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</si>
  <si>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</si>
  <si>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</si>
  <si>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</si>
  <si>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</si>
  <si>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</si>
  <si>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</si>
  <si>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</si>
  <si>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</si>
  <si>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</si>
  <si>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</si>
  <si>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</si>
  <si>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</si>
  <si>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</si>
  <si>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</si>
  <si>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</si>
  <si>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</si>
  <si>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</si>
  <si>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</si>
  <si>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</si>
  <si>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</si>
  <si>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</si>
  <si>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</si>
  <si>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</si>
  <si>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</si>
  <si>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</si>
  <si>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</si>
  <si>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</si>
  <si>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</si>
  <si>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</si>
  <si>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</si>
  <si>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</si>
  <si>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</si>
  <si>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</si>
  <si>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</si>
  <si>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</si>
  <si>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</si>
  <si>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</si>
  <si>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</si>
  <si>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</si>
  <si>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</si>
  <si>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</si>
  <si>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</si>
  <si>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</si>
  <si>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</si>
  <si>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</si>
  <si>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</si>
  <si>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</si>
  <si>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</si>
  <si>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</si>
  <si>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</si>
  <si>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</si>
  <si>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</si>
  <si>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</si>
  <si>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</si>
  <si>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</si>
  <si>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</si>
  <si>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</si>
  <si>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</si>
  <si>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</si>
  <si>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</si>
  <si>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</si>
  <si>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</si>
  <si>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</si>
  <si>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</si>
  <si>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</si>
  <si>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</si>
  <si>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</si>
  <si>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</si>
  <si>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</si>
  <si>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</si>
  <si>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</si>
  <si>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</si>
  <si>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</si>
  <si>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</si>
  <si>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</si>
  <si>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</si>
  <si>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</si>
  <si>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</si>
  <si>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</si>
  <si>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</si>
  <si>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</si>
  <si>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</si>
  <si>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</si>
  <si>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</si>
  <si>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</si>
  <si>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</si>
  <si>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</si>
  <si>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</si>
  <si>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</si>
  <si>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</si>
  <si>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</si>
  <si>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</si>
  <si>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</si>
  <si>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</si>
  <si>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</si>
  <si>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</si>
  <si>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</si>
  <si>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</si>
  <si>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</si>
  <si>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</si>
  <si>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</si>
  <si>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</si>
  <si>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</si>
  <si>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</si>
  <si>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</si>
  <si>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</si>
  <si>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</si>
  <si>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</si>
  <si>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</si>
  <si>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</si>
  <si>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</si>
  <si>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</si>
  <si>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</si>
  <si>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</si>
  <si>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</si>
  <si>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</si>
  <si>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</si>
  <si>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</si>
  <si>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</si>
  <si>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</si>
  <si>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</si>
  <si>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</si>
  <si>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</si>
  <si>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</si>
  <si>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</si>
  <si>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</si>
  <si>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</si>
  <si>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</si>
  <si>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</si>
  <si>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</si>
  <si>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</si>
  <si>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</si>
  <si>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</si>
  <si>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</si>
  <si>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</si>
  <si>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</si>
  <si>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</si>
  <si>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</si>
  <si>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</si>
  <si>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</si>
  <si>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</si>
  <si>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</si>
  <si>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</si>
  <si>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</si>
  <si>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</si>
  <si>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</si>
  <si>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</si>
  <si>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</si>
  <si>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</si>
  <si>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</si>
  <si>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</si>
  <si>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</si>
  <si>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</si>
  <si>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</si>
  <si>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</si>
  <si>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</si>
  <si>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</si>
  <si>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</si>
  <si>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</si>
  <si>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</si>
  <si>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</si>
  <si>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</si>
  <si>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</si>
  <si>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</si>
  <si>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</si>
  <si>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</si>
  <si>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</si>
  <si>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</si>
  <si>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</si>
  <si>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</si>
  <si>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</si>
  <si>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</si>
  <si>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</si>
  <si>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</si>
  <si>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</si>
  <si>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</si>
  <si>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</si>
  <si>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</si>
  <si>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</si>
  <si>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</si>
  <si>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</si>
  <si>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</si>
  <si>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</si>
  <si>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</si>
  <si>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</si>
  <si>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</si>
  <si>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</si>
  <si>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</si>
  <si>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</si>
  <si>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</si>
  <si>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</si>
  <si>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</si>
  <si>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</si>
  <si>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</si>
  <si>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</si>
  <si>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</si>
  <si>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</si>
  <si>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</si>
  <si>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</si>
  <si>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</si>
  <si>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</si>
  <si>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</si>
  <si>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</si>
  <si>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</si>
  <si>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</si>
  <si>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</si>
  <si>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</si>
  <si>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</si>
  <si>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</si>
  <si>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</si>
  <si>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</si>
  <si>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</si>
  <si>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</si>
  <si>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</si>
  <si>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</si>
  <si>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</si>
  <si>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</si>
  <si>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</si>
  <si>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</si>
  <si>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</si>
  <si>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</si>
  <si>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</si>
  <si>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</si>
  <si>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</si>
  <si>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</si>
  <si>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</si>
  <si>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</si>
  <si>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</si>
  <si>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</si>
  <si>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</si>
  <si>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</si>
  <si>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</si>
  <si>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</si>
  <si>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</si>
  <si>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</si>
  <si>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</si>
  <si>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</si>
  <si>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</si>
  <si>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</si>
  <si>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</si>
  <si>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</si>
  <si>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</si>
  <si>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</si>
  <si>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</si>
  <si>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</si>
  <si>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</si>
  <si>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</si>
  <si>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</si>
  <si>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</si>
  <si>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</si>
  <si>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</si>
  <si>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</si>
  <si>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</si>
  <si>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</si>
  <si>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</si>
  <si>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</si>
  <si>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</si>
  <si>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</si>
  <si>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</si>
  <si>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</si>
  <si>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</si>
  <si>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</si>
  <si>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</si>
  <si>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</si>
  <si>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</si>
  <si>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</si>
  <si>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</si>
  <si>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</si>
  <si>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</si>
  <si>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</si>
  <si>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</si>
  <si>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</si>
  <si>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</si>
  <si>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</si>
  <si>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</si>
  <si>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</si>
  <si>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</si>
  <si>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</si>
  <si>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</si>
  <si>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</si>
  <si>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</si>
  <si>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</si>
  <si>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</si>
  <si>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</si>
  <si>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</si>
  <si>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</si>
  <si>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</si>
  <si>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</si>
  <si>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</si>
  <si>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</si>
  <si>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</si>
  <si>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</si>
  <si>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</si>
  <si>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</si>
  <si>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</si>
  <si>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</si>
  <si>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</si>
  <si>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</si>
  <si>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</si>
  <si>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</si>
  <si>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</si>
  <si>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</si>
  <si>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</si>
  <si>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</si>
  <si>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</si>
  <si>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</si>
  <si>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</si>
  <si>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</si>
  <si>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</si>
  <si>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</si>
  <si>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</si>
  <si>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</si>
  <si>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</si>
  <si>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</si>
  <si>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</si>
  <si>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</si>
  <si>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</si>
  <si>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</si>
  <si>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</si>
  <si>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</si>
  <si>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</si>
  <si>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</si>
  <si>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</si>
  <si>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</si>
  <si>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</si>
  <si>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</si>
  <si>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</si>
  <si>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</si>
  <si>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</si>
  <si>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</si>
  <si>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</si>
  <si>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</si>
  <si>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</si>
  <si>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</si>
  <si>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</si>
  <si>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</si>
  <si>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</si>
  <si>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</si>
  <si>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</si>
  <si>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</si>
  <si>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</si>
  <si>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</si>
  <si>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</si>
  <si>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</si>
  <si>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</si>
  <si>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</si>
  <si>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</si>
  <si>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</si>
  <si>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</si>
  <si>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</si>
  <si>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</si>
  <si>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</si>
  <si>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</si>
  <si>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</si>
  <si>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</si>
  <si>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</si>
  <si>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</si>
  <si>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</si>
  <si>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</si>
  <si>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</si>
  <si>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</si>
  <si>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</si>
  <si>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</si>
  <si>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</si>
  <si>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</si>
  <si>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</si>
  <si>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</si>
  <si>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</si>
  <si>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</si>
  <si>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</si>
  <si>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</si>
  <si>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</si>
  <si>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</si>
  <si>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</si>
  <si>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</si>
  <si>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</si>
  <si>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</si>
  <si>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</si>
  <si>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</si>
  <si>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</si>
  <si>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</si>
  <si>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</si>
  <si>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</si>
  <si>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</si>
  <si>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</si>
  <si>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</si>
  <si>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</si>
  <si>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</si>
  <si>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</si>
  <si>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</si>
  <si>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</si>
  <si>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</si>
  <si>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</si>
  <si>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</si>
  <si>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</si>
  <si>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</si>
  <si>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</si>
  <si>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</si>
  <si>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</si>
  <si>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</si>
  <si>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</si>
  <si>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</si>
  <si>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</si>
  <si>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</si>
  <si>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</si>
  <si>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</si>
  <si>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</si>
  <si>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</si>
  <si>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</si>
  <si>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</si>
  <si>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</si>
  <si>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</si>
  <si>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</si>
  <si>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</si>
  <si>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</si>
  <si>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</si>
  <si>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</si>
  <si>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</si>
  <si>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</si>
  <si>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</si>
  <si>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</si>
  <si>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</si>
  <si>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</si>
  <si>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</si>
  <si>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</si>
  <si>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</si>
  <si>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</si>
  <si>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</si>
  <si>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</si>
  <si>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</si>
  <si>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</si>
  <si>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</si>
  <si>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</si>
  <si>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</si>
  <si>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</si>
  <si>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</si>
  <si>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</si>
  <si>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</si>
  <si>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</si>
  <si>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</si>
  <si>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</si>
  <si>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</si>
  <si>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</si>
  <si>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</si>
  <si>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</si>
  <si>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</si>
  <si>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</si>
  <si>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</si>
  <si>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</si>
  <si>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</si>
  <si>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</si>
  <si>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</si>
  <si>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</si>
  <si>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</si>
  <si>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</si>
  <si>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</si>
  <si>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</si>
  <si>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</si>
  <si>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</si>
  <si>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</si>
  <si>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</si>
  <si>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</si>
  <si>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</si>
  <si>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</si>
  <si>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</si>
  <si>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</si>
  <si>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</si>
  <si>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</si>
  <si>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</si>
  <si>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</si>
  <si>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</si>
  <si>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</si>
  <si>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</si>
  <si>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</si>
  <si>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</si>
  <si>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</si>
  <si>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</si>
  <si>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</si>
  <si>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</si>
  <si>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</si>
  <si>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</si>
  <si>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</si>
  <si>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</si>
  <si>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</si>
  <si>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</si>
  <si>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</si>
  <si>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</si>
  <si>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</si>
  <si>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</si>
  <si>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</si>
  <si>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</si>
  <si>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</si>
  <si>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</si>
  <si>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</si>
  <si>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</si>
  <si>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</si>
  <si>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</si>
  <si>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</si>
  <si>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</si>
  <si>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</si>
  <si>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</si>
  <si>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</si>
  <si>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</si>
  <si>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</si>
  <si>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</si>
  <si>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</si>
  <si>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</si>
  <si>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</si>
  <si>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</si>
  <si>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</si>
  <si>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</si>
  <si>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</si>
  <si>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</si>
  <si>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</si>
  <si>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</si>
  <si>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</si>
  <si>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</si>
  <si>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</si>
  <si>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</si>
  <si>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</si>
  <si>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</si>
  <si>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</si>
  <si>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</si>
  <si>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</si>
  <si>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</si>
  <si>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</si>
  <si>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</si>
  <si>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</si>
  <si>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</si>
  <si>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</si>
  <si>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</si>
  <si>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</si>
  <si>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</si>
  <si>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</si>
  <si>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</si>
  <si>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</si>
  <si>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</si>
  <si>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</si>
  <si>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</si>
  <si>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</si>
  <si>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</si>
  <si>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</si>
  <si>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</si>
  <si>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</si>
  <si>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</si>
  <si>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</si>
  <si>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</si>
  <si>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</si>
  <si>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</si>
  <si>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</si>
  <si>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</si>
  <si>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</si>
  <si>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</si>
  <si>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</si>
  <si>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</si>
  <si>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</si>
  <si>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</si>
  <si>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</si>
  <si>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</si>
  <si>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</si>
  <si>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</si>
  <si>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</si>
  <si>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</si>
  <si>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</si>
  <si>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</si>
  <si>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</si>
  <si>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</si>
  <si>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</si>
  <si>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</si>
  <si>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</si>
  <si>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</si>
  <si>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</si>
  <si>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</si>
  <si>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</si>
  <si>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</si>
  <si>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</si>
  <si>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</si>
  <si>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</si>
  <si>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</si>
  <si>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</si>
  <si>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</si>
  <si>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</si>
  <si>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</si>
  <si>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</si>
  <si>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</si>
  <si>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</si>
  <si>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</si>
  <si>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</si>
  <si>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</si>
  <si>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</si>
  <si>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</si>
  <si>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</si>
  <si>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</si>
  <si>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</si>
  <si>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</si>
  <si>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</si>
  <si>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</si>
  <si>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</si>
  <si>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</si>
  <si>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</si>
  <si>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</si>
  <si>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</si>
  <si>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</si>
  <si>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</si>
  <si>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</si>
  <si>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</si>
  <si>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</si>
  <si>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</si>
  <si>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</si>
  <si>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</si>
  <si>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</si>
  <si>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</si>
  <si>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</si>
  <si>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</si>
  <si>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</si>
  <si>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</si>
  <si>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</si>
  <si>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</si>
  <si>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</si>
  <si>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</si>
  <si>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</si>
  <si>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</si>
  <si>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</si>
  <si>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</si>
  <si>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</si>
  <si>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</si>
  <si>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</si>
  <si>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</si>
  <si>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</si>
  <si>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</si>
  <si>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</si>
  <si>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</si>
  <si>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</si>
  <si>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</si>
  <si>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</si>
  <si>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</si>
  <si>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</si>
  <si>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</si>
  <si>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</si>
  <si>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</si>
  <si>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</si>
  <si>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</si>
  <si>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</si>
  <si>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</si>
  <si>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</si>
  <si>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</si>
  <si>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</si>
  <si>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</si>
  <si>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</si>
  <si>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</si>
  <si>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</si>
  <si>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</si>
  <si>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</si>
  <si>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</si>
  <si>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</si>
  <si>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</si>
  <si>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</si>
  <si>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</si>
  <si>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</si>
  <si>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</si>
  <si>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</si>
  <si>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</si>
  <si>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</si>
  <si>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</si>
  <si>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</si>
  <si>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</si>
  <si>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</si>
  <si>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</si>
  <si>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</si>
  <si>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</si>
  <si>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</si>
  <si>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</si>
  <si>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</si>
  <si>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</si>
  <si>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</si>
  <si>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</si>
  <si>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</si>
  <si>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</si>
  <si>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</si>
  <si>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</si>
  <si>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</si>
  <si>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</si>
  <si>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</si>
  <si>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</si>
  <si>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</si>
  <si>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</si>
  <si>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</si>
  <si>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</si>
  <si>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</si>
  <si>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</si>
  <si>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</si>
  <si>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</si>
  <si>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</si>
  <si>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</si>
  <si>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</si>
  <si>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</si>
  <si>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</si>
  <si>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</si>
  <si>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</si>
  <si>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</si>
  <si>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</si>
  <si>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</si>
  <si>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</si>
  <si>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</si>
  <si>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</si>
  <si>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</si>
  <si>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</si>
  <si>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</si>
  <si>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</si>
  <si>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</si>
  <si>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</si>
  <si>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</si>
  <si>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</si>
  <si>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</si>
  <si>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</si>
  <si>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</si>
  <si>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</si>
  <si>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</si>
  <si>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</si>
  <si>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</si>
  <si>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</si>
  <si>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</si>
  <si>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</si>
  <si>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</si>
  <si>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</si>
  <si>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</si>
  <si>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</si>
  <si>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</si>
  <si>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</si>
  <si>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</si>
  <si>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</si>
  <si>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</si>
  <si>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</si>
  <si>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</si>
  <si>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</si>
  <si>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</si>
  <si>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</si>
  <si>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</si>
  <si>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</si>
  <si>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</si>
  <si>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</si>
  <si>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</si>
  <si>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</si>
  <si>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</si>
  <si>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</si>
  <si>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</si>
  <si>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</si>
  <si>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</si>
  <si>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</si>
  <si>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</si>
  <si>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</si>
  <si>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</si>
  <si>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</si>
  <si>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</si>
  <si>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</si>
  <si>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</si>
  <si>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</si>
  <si>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</si>
  <si>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</si>
  <si>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</si>
  <si>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</si>
  <si>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</si>
  <si>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</si>
  <si>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</si>
  <si>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</si>
  <si>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</si>
  <si>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</si>
  <si>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</si>
  <si>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</si>
  <si>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</si>
  <si>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</si>
  <si>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</si>
  <si>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</si>
  <si>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</si>
  <si>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</si>
  <si>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</si>
  <si>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</si>
  <si>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</si>
  <si>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</si>
  <si>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</si>
  <si>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</si>
  <si>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</si>
  <si>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</si>
  <si>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</si>
  <si>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</si>
  <si>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</si>
  <si>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</si>
  <si>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</si>
  <si>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</si>
  <si>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</si>
  <si>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</si>
  <si>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</si>
  <si>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</si>
  <si>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</si>
  <si>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</si>
  <si>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</si>
  <si>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</si>
  <si>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</si>
  <si>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</si>
  <si>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</si>
  <si>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</si>
  <si>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</si>
  <si>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</si>
  <si>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</si>
  <si>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</si>
  <si>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</si>
  <si>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</si>
  <si>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</si>
  <si>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</si>
  <si>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</si>
  <si>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</si>
  <si>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</si>
  <si>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</si>
  <si>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</si>
  <si>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</si>
  <si>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</si>
  <si>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</si>
  <si>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</si>
  <si>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</si>
  <si>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</si>
  <si>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</si>
  <si>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</si>
  <si>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</si>
  <si>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</si>
  <si>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</si>
  <si>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</si>
  <si>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</si>
  <si>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</si>
  <si>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</si>
  <si>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</si>
  <si>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</si>
  <si>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</si>
  <si>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</si>
  <si>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</si>
  <si>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</si>
  <si>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</si>
  <si>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</si>
  <si>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</si>
  <si>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</si>
  <si>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</si>
  <si>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</si>
  <si>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</si>
  <si>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</si>
  <si>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</si>
  <si>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</si>
  <si>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</si>
  <si>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</si>
  <si>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</si>
  <si>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</si>
  <si>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</si>
  <si>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</si>
  <si>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</si>
  <si>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</si>
  <si>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</si>
  <si>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</si>
  <si>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</si>
  <si>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</si>
  <si>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</si>
  <si>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</si>
  <si>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</si>
  <si>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</si>
  <si>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</si>
  <si>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</si>
  <si>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</si>
  <si>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</si>
  <si>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</si>
  <si>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</si>
  <si>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</si>
  <si>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</si>
  <si>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</si>
  <si>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</si>
  <si>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</si>
  <si>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</si>
  <si>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</si>
  <si>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</si>
  <si>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</si>
  <si>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</si>
  <si>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</si>
  <si>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</si>
  <si>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</si>
  <si>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</si>
  <si>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</si>
  <si>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</si>
  <si>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</si>
  <si>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</si>
  <si>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</si>
  <si>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</si>
  <si>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</si>
  <si>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</si>
  <si>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</si>
  <si>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</si>
  <si>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</si>
  <si>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</si>
  <si>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</si>
  <si>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</si>
  <si>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</si>
  <si>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</si>
  <si>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</si>
  <si>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</si>
  <si>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</si>
  <si>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</si>
  <si>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</si>
  <si>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</si>
  <si>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</si>
  <si>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</si>
  <si>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</si>
  <si>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</si>
  <si>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</si>
  <si>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</si>
  <si>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</si>
  <si>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</si>
  <si>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</si>
  <si>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</si>
  <si>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</si>
  <si>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</si>
  <si>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</si>
  <si>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</si>
  <si>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</si>
  <si>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</si>
  <si>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</si>
  <si>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</si>
  <si>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</si>
  <si>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</si>
  <si>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</si>
  <si>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</si>
  <si>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</si>
  <si>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</si>
  <si>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</si>
  <si>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</si>
  <si>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</si>
  <si>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</si>
  <si>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</si>
  <si>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</si>
  <si>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</si>
  <si>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</si>
  <si>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</si>
  <si>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</si>
  <si>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</si>
  <si>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</si>
  <si>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</si>
  <si>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</si>
  <si>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</si>
  <si>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</si>
  <si>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</si>
  <si>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</si>
  <si>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</si>
  <si>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</si>
  <si>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</si>
  <si>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</si>
  <si>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</si>
  <si>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</si>
  <si>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</si>
  <si>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</si>
  <si>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</si>
  <si>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</si>
  <si>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</si>
  <si>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</si>
  <si>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</si>
  <si>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</si>
  <si>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</si>
  <si>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</si>
  <si>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</si>
  <si>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</si>
  <si>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</si>
  <si>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</si>
  <si>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</si>
  <si>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</si>
  <si>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</si>
  <si>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</si>
  <si>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</si>
  <si>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</si>
  <si>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</si>
  <si>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</si>
  <si>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</si>
  <si>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</si>
  <si>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</si>
  <si>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</si>
  <si>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</si>
  <si>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</si>
  <si>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</si>
  <si>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</si>
  <si>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</si>
  <si>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</si>
  <si>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</si>
  <si>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</si>
  <si>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</si>
  <si>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</si>
  <si>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</si>
  <si>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</si>
  <si>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</si>
  <si>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</si>
  <si>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</si>
  <si>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</si>
  <si>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</si>
  <si>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</si>
  <si>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</si>
  <si>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</si>
  <si>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</si>
  <si>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</si>
  <si>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</si>
  <si>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</si>
  <si>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</si>
  <si>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</si>
  <si>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</si>
  <si>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</si>
  <si>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</si>
  <si>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</si>
  <si>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</si>
  <si>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</si>
  <si>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</si>
  <si>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</si>
  <si>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</si>
  <si>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</si>
  <si>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</si>
  <si>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</si>
  <si>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52 Week (High - INR 410.45 &amp; Low - INR 401.90)</t>
  </si>
  <si>
    <t>Return on Equity (ROE)</t>
  </si>
  <si>
    <t xml:space="preserve">Net Profit </t>
  </si>
  <si>
    <t xml:space="preserve"> Average Shareholder Equity</t>
  </si>
  <si>
    <t xml:space="preserve"> Return on Equity</t>
  </si>
  <si>
    <t>ROE - DuPont Equation</t>
  </si>
  <si>
    <t xml:space="preserve"> Revenue</t>
  </si>
  <si>
    <t xml:space="preserve"> Net Profit Margins (A)</t>
  </si>
  <si>
    <t xml:space="preserve"> Asset Turnover Ratio (B)</t>
  </si>
  <si>
    <t>Equity Mutliplier (C)</t>
  </si>
  <si>
    <r>
      <t>Return on Equity (A</t>
    </r>
    <r>
      <rPr>
        <b/>
        <sz val="11"/>
        <color theme="1"/>
        <rFont val="Calibri"/>
        <family val="2"/>
      </rPr>
      <t>×B×C)</t>
    </r>
  </si>
  <si>
    <t>Return on Asset (ROA)</t>
  </si>
  <si>
    <t>ROA - DuPont Equation</t>
  </si>
  <si>
    <t xml:space="preserve"> Average Total Assets </t>
  </si>
  <si>
    <t xml:space="preserve"> Average Total Assets</t>
  </si>
  <si>
    <r>
      <t>Return on Asset (A</t>
    </r>
    <r>
      <rPr>
        <b/>
        <sz val="11"/>
        <color theme="1"/>
        <rFont val="Calibri"/>
        <family val="2"/>
      </rPr>
      <t>×B)</t>
    </r>
  </si>
  <si>
    <t>Financial Summary</t>
  </si>
  <si>
    <t xml:space="preserve"> Return on Asset</t>
  </si>
  <si>
    <t>Working Capital / Total Assets</t>
  </si>
  <si>
    <t>Working Capital</t>
  </si>
  <si>
    <t xml:space="preserve"> Total Assets </t>
  </si>
  <si>
    <t>Retained Earnings / Total Assets</t>
  </si>
  <si>
    <t xml:space="preserve">Retained Earnings </t>
  </si>
  <si>
    <t>EBIT / Total Assets</t>
  </si>
  <si>
    <t>Market Cap. / Long-Term Liabilities</t>
  </si>
  <si>
    <t xml:space="preserve">Market Cap.  </t>
  </si>
  <si>
    <t>Long-Term Liabilities</t>
  </si>
  <si>
    <t>Sales / Total Assets</t>
  </si>
  <si>
    <t>Total Sales</t>
  </si>
  <si>
    <t>Working Capital / Total Assets (A)</t>
  </si>
  <si>
    <t>Retained Earnings / Total Assets (B)</t>
  </si>
  <si>
    <t>EBIT / Total Assets (C)</t>
  </si>
  <si>
    <t>Market Cap. / Long-Term Liabilities (D)</t>
  </si>
  <si>
    <t>Altman's Z Score</t>
  </si>
  <si>
    <t>Final Score</t>
  </si>
  <si>
    <t>Sales / Total Assets (E)</t>
  </si>
  <si>
    <t xml:space="preserve"> Financial Health</t>
  </si>
  <si>
    <t>Altman’s Z Score is a financial model developed by Edward Altman in 1968 to predict a company’s likelihood of bankruptcy within two years by combining five key ratios working capital to total assets, retained earnings to total assets, EBIT to total assets, market value of equity to total liabilities, and sales to total assets into a weighted formula, where a score above 2.99 indicates financial safety, between 1.81 and 2.99 signals a grey zone of potential risk, and below 1.81 suggests high distress, making it a widely used tool for investors, creditors, and analysts to quickly assess corporate financial stability.</t>
  </si>
  <si>
    <t>DPS Growth (Y-on-Y)</t>
  </si>
  <si>
    <t>Dividend Per Share (In Rs)</t>
  </si>
  <si>
    <t>EPS Growth (Y-on-Y)</t>
  </si>
  <si>
    <t>Earning Per Share (In Rs)</t>
  </si>
  <si>
    <t>Net Profit Margins (%)</t>
  </si>
  <si>
    <t>EBIT Margins</t>
  </si>
  <si>
    <t>EBIDTA Margins (%)</t>
  </si>
  <si>
    <t>Gross Profit Margins (%)</t>
  </si>
  <si>
    <t>Sales Growth (Y-on-Y)</t>
  </si>
  <si>
    <t>Key Financial Metrics</t>
  </si>
  <si>
    <t>(INR Crs.)</t>
  </si>
  <si>
    <t>ITC Limited is an Indian conglomerate, headquartered in Kolkata. It has a presence across six business segments, namely FMCG, agribusiness, information technology, paper products, and packaging. It generates a plurality of its revenue from tobacco products. In terms of market capitalization, ITC is the second largest FMCG company in India and the third-largest tobacco company in the world. It employs 36,500 people at more than 60 locations across India.</t>
  </si>
  <si>
    <t>Description</t>
  </si>
  <si>
    <t>Price</t>
  </si>
  <si>
    <t>Share Price - 5Y</t>
  </si>
  <si>
    <t>Key Financial Ratios</t>
  </si>
  <si>
    <t>Market Capitalisation</t>
  </si>
  <si>
    <t xml:space="preserve">Cash </t>
  </si>
  <si>
    <t>EV</t>
  </si>
  <si>
    <t>EV/EBITDA</t>
  </si>
  <si>
    <t>EV/Sales</t>
  </si>
  <si>
    <t>Book Value</t>
  </si>
  <si>
    <t>Price to Earning</t>
  </si>
  <si>
    <t>Price to Book Value</t>
  </si>
  <si>
    <t>Return on Equity (%)</t>
  </si>
  <si>
    <t>Return on Capital Employed (%)</t>
  </si>
  <si>
    <t>Retained Earnings (%)</t>
  </si>
  <si>
    <t>Self Sustained Growth Rate (%)</t>
  </si>
  <si>
    <t>Vol.</t>
  </si>
  <si>
    <t>Volume - 5Y</t>
  </si>
  <si>
    <t>Shareholder's name</t>
  </si>
  <si>
    <t>Shareholding (%)</t>
  </si>
  <si>
    <t>SBI Mutual Funds</t>
  </si>
  <si>
    <t>ICICI Prudential Mutual Funds</t>
  </si>
  <si>
    <t>NPS Trust (various Pension Funds)</t>
  </si>
  <si>
    <t>Tobacco Manufacturers Ltd.</t>
  </si>
  <si>
    <t>Myddleton Investment Company Ltd</t>
  </si>
  <si>
    <t>Goldman Sachs Trust II</t>
  </si>
  <si>
    <t>General Insurance Corporation</t>
  </si>
  <si>
    <t>Shares Held</t>
  </si>
  <si>
    <t xml:space="preserve">Market Value </t>
  </si>
  <si>
    <t>% Holdings</t>
  </si>
  <si>
    <t>Market Value (Crs.)</t>
  </si>
  <si>
    <t>Shares Held (Crs.)</t>
  </si>
  <si>
    <t>GQG Partners Equity Fund</t>
  </si>
  <si>
    <t>SUUTI</t>
  </si>
  <si>
    <t>Shareholding Pattern</t>
  </si>
  <si>
    <t>%</t>
  </si>
  <si>
    <t>FIIs</t>
  </si>
  <si>
    <t>DIIs</t>
  </si>
  <si>
    <t>Government</t>
  </si>
  <si>
    <t>Public</t>
  </si>
  <si>
    <t>Share Price (03-09-2025)</t>
  </si>
  <si>
    <t>Number of Shares O/S</t>
  </si>
  <si>
    <t>Less: Cash &amp; Equivalents</t>
  </si>
  <si>
    <t>Add: Total Debt</t>
  </si>
  <si>
    <t>Add: Minority Interest</t>
  </si>
  <si>
    <t xml:space="preserve">Managerial Remuneration </t>
  </si>
  <si>
    <t>Designation</t>
  </si>
  <si>
    <t>X of Median Salary</t>
  </si>
  <si>
    <t>Mr. Sanjeev Puri</t>
  </si>
  <si>
    <t>CMD</t>
  </si>
  <si>
    <t xml:space="preserve">Mr. Supratim Dutta </t>
  </si>
  <si>
    <t>Mr. Hemant Malik</t>
  </si>
  <si>
    <t>Mr. B Sumant</t>
  </si>
  <si>
    <t xml:space="preserve">Mr. H Bharagva </t>
  </si>
  <si>
    <t>Mr. A M Bharucha</t>
  </si>
  <si>
    <t>Mr. C K Mishra</t>
  </si>
  <si>
    <t>ED &amp; CFO</t>
  </si>
  <si>
    <t>ED</t>
  </si>
  <si>
    <t>Indep. Director</t>
  </si>
  <si>
    <t>Remuneration (Lakh)</t>
  </si>
  <si>
    <t>ROE %</t>
  </si>
  <si>
    <t>ROCE %</t>
  </si>
  <si>
    <t>Peer Comparison (FMCG Industry)</t>
  </si>
  <si>
    <t>Companies</t>
  </si>
  <si>
    <t>CMP (INR)</t>
  </si>
  <si>
    <t>Cash at End</t>
  </si>
  <si>
    <t>Recent Updates</t>
  </si>
  <si>
    <t>Source: The Valuation School, Screener.in, Investing.com</t>
  </si>
  <si>
    <t>Top Shareholders</t>
  </si>
  <si>
    <t>(ITC | BSE Code: 540376)</t>
  </si>
  <si>
    <t>Sensitivity Analysis</t>
  </si>
  <si>
    <t>Terminal Growth Rate</t>
  </si>
  <si>
    <t>Enterprise Value (in INR)</t>
  </si>
  <si>
    <t>Implied Share Value (in INR)</t>
  </si>
  <si>
    <t>Fixed Assets Net Block</t>
  </si>
  <si>
    <t>This report presents an independent valuation of ITC Ltd., one of India’s largest diversified FMCG players. The analysis combines the Discounted Cash Flow (DCF) approach with market multiple comparisons, offering a dual perspective: one rooted in company fundamentals and the other benchmarked against peer valuations in the FMCG space.</t>
  </si>
  <si>
    <t>Core Assumptions:</t>
  </si>
  <si>
    <t>Valuation Outcomes:</t>
  </si>
  <si>
    <t xml:space="preserve">  1.     DCF Valuation Output</t>
  </si>
  <si>
    <t xml:space="preserve">  2.     Relative Valuation (Market Multiples)</t>
  </si>
  <si>
    <t xml:space="preserve">  3.     Value at Risk (VaR) - Monte Carlo Simulation</t>
  </si>
  <si>
    <t xml:space="preserve">  4.     DuPont Analysis</t>
  </si>
  <si>
    <t xml:space="preserve">  5.    Altman’s Z-Score (Financial Health)</t>
  </si>
  <si>
    <t>Sources:</t>
  </si>
  <si>
    <t>Limitations:</t>
  </si>
  <si>
    <t>DuPont analysis breaks down Return on Equity (ROE) into three drivers profitability, efficiency, and leverage by expressing it as Net Profit Margin × Asset Turnover × Equity Multiplier. This helps reveal whether a company’s ROE is mainly fueled by strong margins, effective asset utilization, or higher financial leverage, giving a clearer picture of the true source of shareholder returns. In practice, it allows investors to pinpoint both strengths and weaknesses in a firm’s performance drivers.</t>
  </si>
  <si>
    <t xml:space="preserve">DuPont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</si>
</sst>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_ * #,##0.00_ ;_ * \-#,##0.00_ ;_ * &quot;-&quot;??_ ;_ @_ "/>
    <numFmt numFmtId="165" formatCode="_(* #,##0.00_);_(* \(#,##0.00\);_(* &quot;-&quot;??_);_(@_)"/>
    <numFmt numFmtId="166" formatCode="[$-409]mmm\-yy;@"/>
    <numFmt numFmtId="167" formatCode="&quot;₹&quot;\ #,##0.0;&quot;₹&quot;\ \(#,##0.0\);\-"/>
    <numFmt numFmtId="168" formatCode="&quot;₹&quot;\ #,##0.00"/>
    <numFmt numFmtId="169" formatCode="0.00&quot;x&quot;"/>
    <numFmt numFmtId="170" formatCode="&quot;₹&quot;\ #,##0.0;&quot;₹&quot;\ \(#,##0.0\)"/>
    <numFmt numFmtId="171" formatCode="#,##0.0"/>
    <numFmt numFmtId="172" formatCode="0.0\x"/>
    <numFmt numFmtId="173" formatCode="&quot;₹&quot;\ #,##0.0"/>
    <numFmt numFmtId="174" formatCode="mmm/yy\A"/>
    <numFmt numFmtId="175" formatCode="mmm/yy\E"/>
    <numFmt numFmtId="176" formatCode="0.00\x"/>
    <numFmt numFmtId="177" formatCode="0.0%"/>
    <numFmt numFmtId="178" formatCode="0.0"/>
    <numFmt numFmtId="179" formatCode="#,##0.0;\ \(#,##0.0\)"/>
    <numFmt numFmtId="180" formatCode="#,##0.00;\ \(#,##0.00\)"/>
    <numFmt numFmtId="181" formatCode="#,##0;\ \(#,##0\)"/>
    <numFmt numFmtId="182" formatCode="0\x"/>
    <numFmt numFmtId="183" formatCode="0.000\x"/>
    <numFmt numFmtId="184" formatCode="0.000"/>
  </numFmts>
  <fonts count="32"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sz val="11"/>
      <name val="Calibri"/>
      <family val="2"/>
      <scheme val="minor"/>
    </font>
    <font>
      <i/>
      <sz val="11"/>
      <color theme="0" tint="-0.499984740745262"/>
      <name val="Calibri"/>
      <family val="2"/>
      <scheme val="minor"/>
    </font>
    <font>
      <i/>
      <sz val="11"/>
      <color theme="1"/>
      <name val="Calibri"/>
      <family val="2"/>
      <scheme val="minor"/>
    </font>
    <font>
      <b/>
      <i/>
      <sz val="11"/>
      <color theme="1"/>
      <name val="Calibri"/>
      <family val="2"/>
      <scheme val="minor"/>
    </font>
    <font>
      <sz val="14"/>
      <color theme="1"/>
      <name val="Calibri"/>
      <family val="2"/>
      <scheme val="minor"/>
    </font>
    <font>
      <i/>
      <sz val="9"/>
      <color theme="1"/>
      <name val="Calibri"/>
      <family val="2"/>
      <scheme val="minor"/>
    </font>
    <font>
      <vertAlign val="superscript"/>
      <sz val="11"/>
      <color theme="1"/>
      <name val="Calibri"/>
      <family val="2"/>
      <scheme val="minor"/>
    </font>
    <font>
      <sz val="11"/>
      <color rgb="FF3333FF"/>
      <name val="Calibri"/>
      <family val="2"/>
      <scheme val="minor"/>
    </font>
    <font>
      <b/>
      <sz val="14"/>
      <color theme="0"/>
      <name val="Calibri"/>
      <family val="2"/>
      <scheme val="minor"/>
    </font>
    <font>
      <b/>
      <sz val="12"/>
      <color theme="0"/>
      <name val="Calibri"/>
      <family val="2"/>
      <scheme val="minor"/>
    </font>
    <font>
      <i/>
      <sz val="10"/>
      <color theme="1"/>
      <name val="Calibri"/>
      <family val="2"/>
      <scheme val="minor"/>
    </font>
    <font>
      <b/>
      <sz val="14"/>
      <color rgb="FF2B4A75"/>
      <name val="Calibri"/>
      <family val="2"/>
      <scheme val="minor"/>
    </font>
    <font>
      <sz val="11"/>
      <color theme="1"/>
      <name val="Calibri"/>
      <family val="2"/>
    </font>
    <font>
      <vertAlign val="subscript"/>
      <sz val="11"/>
      <color theme="1"/>
      <name val="Calibri"/>
      <family val="2"/>
      <scheme val="minor"/>
    </font>
    <font>
      <sz val="11"/>
      <color rgb="FF082C64"/>
      <name val="Calibri"/>
      <family val="2"/>
      <scheme val="minor"/>
    </font>
    <font>
      <b/>
      <sz val="11"/>
      <color theme="1"/>
      <name val="Calibri"/>
      <family val="2"/>
    </font>
    <font>
      <b/>
      <sz val="14"/>
      <color rgb="FF082C64"/>
      <name val="Calibri"/>
      <family val="2"/>
      <scheme val="minor"/>
    </font>
    <font>
      <b/>
      <sz val="24"/>
      <color rgb="FF082C64"/>
      <name val="Calibri"/>
      <family val="2"/>
      <scheme val="minor"/>
    </font>
    <font>
      <b/>
      <sz val="16"/>
      <color rgb="FF082C64"/>
      <name val="Calibri"/>
      <family val="2"/>
      <scheme val="minor"/>
    </font>
    <font>
      <b/>
      <sz val="18"/>
      <color rgb="FF082C64"/>
      <name val="Calibri"/>
      <family val="2"/>
      <scheme val="minor"/>
    </font>
    <font>
      <b/>
      <i/>
      <sz val="11"/>
      <color rgb="FF082C64"/>
      <name val="Calibri"/>
      <family val="2"/>
      <scheme val="minor"/>
    </font>
    <font>
      <sz val="12"/>
      <color theme="1"/>
      <name val="Calibri"/>
      <family val="2"/>
      <scheme val="minor"/>
    </font>
    <font>
      <b/>
      <sz val="12"/>
      <color theme="1"/>
      <name val="Calibri"/>
      <family val="2"/>
      <scheme val="minor"/>
    </font>
    <font>
      <i/>
      <sz val="9"/>
      <color theme="0" tint="-0.499984740745262"/>
      <name val="Calibri"/>
      <family val="2"/>
      <scheme val="minor"/>
    </font>
    <font>
      <b/>
      <sz val="22"/>
      <color rgb="FF082C64"/>
      <name val="Calibri"/>
      <family val="2"/>
      <scheme val="minor"/>
    </font>
    <font>
      <b/>
      <sz val="11"/>
      <color rgb="FF082C64"/>
      <name val="Calibri"/>
      <family val="2"/>
      <scheme val="minor"/>
    </font>
  </fonts>
  <fills count="12">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082C64"/>
        <bgColor indexed="64"/>
      </patternFill>
    </fill>
    <fill>
      <patternFill patternType="solid">
        <fgColor theme="6"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bgColor indexed="64"/>
      </patternFill>
    </fill>
    <fill>
      <patternFill patternType="solid">
        <fgColor theme="9" tint="-9.9978637043366805E-2"/>
        <bgColor indexed="64"/>
      </patternFill>
    </fill>
  </fills>
  <borders count="18">
    <border>
      <left/>
      <right/>
      <top/>
      <bottom/>
      <diagonal/>
    </border>
    <border>
      <left/>
      <right/>
      <top style="hair">
        <color auto="1"/>
      </top>
      <bottom/>
      <diagonal/>
    </border>
    <border>
      <left/>
      <right/>
      <top/>
      <bottom style="thin">
        <color auto="1"/>
      </bottom>
      <diagonal/>
    </border>
    <border>
      <left/>
      <right/>
      <top style="thin">
        <color auto="1"/>
      </top>
      <bottom/>
      <diagonal/>
    </border>
    <border>
      <left/>
      <right/>
      <top/>
      <bottom style="thin">
        <color theme="0"/>
      </bottom>
      <diagonal/>
    </border>
    <border>
      <left/>
      <right/>
      <top/>
      <bottom style="thin">
        <color theme="8" tint="-0.499984740745262"/>
      </bottom>
      <diagonal/>
    </border>
    <border>
      <left/>
      <right/>
      <top style="thin">
        <color theme="7" tint="-0.24994659260841701"/>
      </top>
      <bottom style="thin">
        <color theme="7" tint="-0.24994659260841701"/>
      </bottom>
      <diagonal/>
    </border>
    <border>
      <left/>
      <right/>
      <top style="thin">
        <color theme="7" tint="-0.24994659260841701"/>
      </top>
      <bottom/>
      <diagonal/>
    </border>
    <border>
      <left/>
      <right/>
      <top style="hair">
        <color rgb="FF082C64"/>
      </top>
      <bottom style="hair">
        <color rgb="FF082C64"/>
      </bottom>
      <diagonal/>
    </border>
    <border>
      <left/>
      <right/>
      <top style="thin">
        <color rgb="FF082C64"/>
      </top>
      <bottom/>
      <diagonal/>
    </border>
    <border>
      <left/>
      <right/>
      <top style="thin">
        <color rgb="FF082C64"/>
      </top>
      <bottom style="medium">
        <color rgb="FF082C64"/>
      </bottom>
      <diagonal/>
    </border>
    <border>
      <left/>
      <right/>
      <top style="thin">
        <color rgb="FF082C64"/>
      </top>
      <bottom style="thin">
        <color rgb="FF082C64"/>
      </bottom>
      <diagonal/>
    </border>
    <border>
      <left/>
      <right/>
      <top/>
      <bottom style="medium">
        <color rgb="FF082C64"/>
      </bottom>
      <diagonal/>
    </border>
    <border>
      <left/>
      <right/>
      <top style="hair">
        <color rgb="FF082C64"/>
      </top>
      <bottom/>
      <diagonal/>
    </border>
    <border>
      <left/>
      <right/>
      <top/>
      <bottom style="hair">
        <color rgb="FF082C64"/>
      </bottom>
      <diagonal/>
    </border>
    <border>
      <left/>
      <right/>
      <top style="medium">
        <color rgb="FF082C64"/>
      </top>
      <bottom style="medium">
        <color rgb="FF082C64"/>
      </bottom>
      <diagonal/>
    </border>
    <border>
      <left/>
      <right/>
      <top style="medium">
        <color rgb="FF082C64"/>
      </top>
      <bottom/>
      <diagonal/>
    </border>
    <border>
      <left/>
      <right/>
      <top/>
      <bottom style="thin">
        <color rgb="FF082C64"/>
      </bottom>
      <diagonal/>
    </border>
  </borders>
  <cellStyleXfs count="5">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9" fontId="3" fillId="0" borderId="0" applyFont="0" applyFill="0" applyBorder="0" applyAlignment="0" applyProtection="0"/>
  </cellStyleXfs>
  <cellXfs count="246">
    <xf numFmtId="0" fontId="0" fillId="0" borderId="0" xfId="0"/>
    <xf numFmtId="164" fontId="1" fillId="0" borderId="0" xfId="1" applyFont="1" applyBorder="1"/>
    <xf numFmtId="0" fontId="1" fillId="0" borderId="0" xfId="0" applyFont="1"/>
    <xf numFmtId="164" fontId="0" fillId="0" borderId="0" xfId="1" applyFont="1" applyBorder="1"/>
    <xf numFmtId="164" fontId="3" fillId="0" borderId="0" xfId="1" applyFont="1" applyBorder="1"/>
    <xf numFmtId="166" fontId="2" fillId="3" borderId="0" xfId="0" applyNumberFormat="1" applyFont="1" applyFill="1" applyAlignment="1">
      <alignment horizontal="center"/>
    </xf>
    <xf numFmtId="166" fontId="2" fillId="3" borderId="0" xfId="1" applyNumberFormat="1" applyFont="1" applyFill="1" applyBorder="1"/>
    <xf numFmtId="166" fontId="6" fillId="0" borderId="0" xfId="1" applyNumberFormat="1" applyFont="1" applyFill="1" applyBorder="1"/>
    <xf numFmtId="165" fontId="0" fillId="0" borderId="0" xfId="1" applyNumberFormat="1" applyFont="1" applyBorder="1"/>
    <xf numFmtId="17" fontId="0" fillId="0" borderId="0" xfId="0" applyNumberFormat="1"/>
    <xf numFmtId="167" fontId="0" fillId="0" borderId="0" xfId="0" applyNumberFormat="1"/>
    <xf numFmtId="0" fontId="7" fillId="0" borderId="0" xfId="0" applyFont="1"/>
    <xf numFmtId="0" fontId="7" fillId="0" borderId="0" xfId="0" applyFont="1" applyAlignment="1">
      <alignment horizontal="right"/>
    </xf>
    <xf numFmtId="10" fontId="7" fillId="0" borderId="0" xfId="4" applyNumberFormat="1" applyFont="1"/>
    <xf numFmtId="10" fontId="7" fillId="0" borderId="0" xfId="4" applyNumberFormat="1" applyFont="1" applyAlignment="1">
      <alignment horizontal="right"/>
    </xf>
    <xf numFmtId="10" fontId="0" fillId="0" borderId="0" xfId="4" applyNumberFormat="1" applyFont="1"/>
    <xf numFmtId="167" fontId="1" fillId="0" borderId="0" xfId="0" applyNumberFormat="1" applyFont="1"/>
    <xf numFmtId="0" fontId="8" fillId="0" borderId="0" xfId="0" applyFont="1"/>
    <xf numFmtId="3" fontId="0" fillId="0" borderId="0" xfId="0" applyNumberFormat="1"/>
    <xf numFmtId="169" fontId="0" fillId="0" borderId="0" xfId="0" applyNumberFormat="1"/>
    <xf numFmtId="10" fontId="0" fillId="0" borderId="0" xfId="4" applyNumberFormat="1" applyFont="1" applyBorder="1"/>
    <xf numFmtId="10" fontId="0" fillId="0" borderId="0" xfId="0" applyNumberFormat="1"/>
    <xf numFmtId="1" fontId="0" fillId="0" borderId="0" xfId="0" applyNumberFormat="1"/>
    <xf numFmtId="164" fontId="0" fillId="0" borderId="0" xfId="0" applyNumberFormat="1"/>
    <xf numFmtId="164" fontId="1" fillId="0" borderId="0" xfId="0" applyNumberFormat="1" applyFont="1"/>
    <xf numFmtId="164" fontId="10" fillId="0" borderId="0" xfId="0" applyNumberFormat="1" applyFont="1"/>
    <xf numFmtId="3" fontId="1" fillId="0" borderId="0" xfId="0" applyNumberFormat="1" applyFont="1"/>
    <xf numFmtId="2" fontId="0" fillId="0" borderId="0" xfId="0" applyNumberFormat="1" applyAlignment="1">
      <alignment horizontal="right"/>
    </xf>
    <xf numFmtId="2" fontId="0" fillId="0" borderId="0" xfId="0" applyNumberFormat="1"/>
    <xf numFmtId="0" fontId="0" fillId="0" borderId="0" xfId="0" applyAlignment="1">
      <alignment horizontal="left"/>
    </xf>
    <xf numFmtId="0" fontId="11" fillId="0" borderId="0" xfId="0" applyFont="1" applyAlignment="1">
      <alignment vertical="top"/>
    </xf>
    <xf numFmtId="10" fontId="1" fillId="4" borderId="1" xfId="4" applyNumberFormat="1" applyFont="1" applyFill="1" applyBorder="1"/>
    <xf numFmtId="0" fontId="0" fillId="0" borderId="1" xfId="0" applyBorder="1"/>
    <xf numFmtId="0" fontId="1" fillId="0" borderId="2" xfId="0" applyFont="1" applyBorder="1" applyAlignment="1">
      <alignment horizontal="right"/>
    </xf>
    <xf numFmtId="0" fontId="11" fillId="0" borderId="0" xfId="0" applyFont="1"/>
    <xf numFmtId="0" fontId="0" fillId="0" borderId="2" xfId="0" applyBorder="1"/>
    <xf numFmtId="0" fontId="1" fillId="0" borderId="2" xfId="0" applyFont="1" applyBorder="1"/>
    <xf numFmtId="10" fontId="0" fillId="5" borderId="0" xfId="0" applyNumberFormat="1" applyFill="1"/>
    <xf numFmtId="2" fontId="0" fillId="5" borderId="3" xfId="0" applyNumberFormat="1" applyFill="1" applyBorder="1"/>
    <xf numFmtId="0" fontId="0" fillId="0" borderId="3" xfId="0" applyBorder="1"/>
    <xf numFmtId="10" fontId="0" fillId="0" borderId="1" xfId="0" applyNumberFormat="1" applyBorder="1"/>
    <xf numFmtId="10" fontId="0" fillId="0" borderId="1" xfId="4" applyNumberFormat="1" applyFont="1" applyBorder="1"/>
    <xf numFmtId="170" fontId="0" fillId="0" borderId="1" xfId="0" applyNumberFormat="1" applyBorder="1"/>
    <xf numFmtId="9" fontId="0" fillId="0" borderId="0" xfId="0" applyNumberFormat="1"/>
    <xf numFmtId="170" fontId="0" fillId="0" borderId="0" xfId="0" applyNumberFormat="1"/>
    <xf numFmtId="10" fontId="0" fillId="5" borderId="1" xfId="0" applyNumberFormat="1" applyFill="1" applyBorder="1"/>
    <xf numFmtId="10" fontId="13" fillId="0" borderId="0" xfId="0" applyNumberFormat="1" applyFont="1"/>
    <xf numFmtId="170" fontId="13" fillId="0" borderId="0" xfId="0" applyNumberFormat="1" applyFont="1"/>
    <xf numFmtId="2" fontId="0" fillId="0" borderId="2" xfId="0" applyNumberFormat="1" applyBorder="1"/>
    <xf numFmtId="10" fontId="0" fillId="0" borderId="2" xfId="4" applyNumberFormat="1" applyFont="1" applyFill="1" applyBorder="1"/>
    <xf numFmtId="9" fontId="0" fillId="0" borderId="2" xfId="0" applyNumberFormat="1" applyBorder="1"/>
    <xf numFmtId="2" fontId="0" fillId="0" borderId="3" xfId="0" applyNumberFormat="1" applyBorder="1"/>
    <xf numFmtId="10" fontId="0" fillId="0" borderId="3" xfId="4" applyNumberFormat="1" applyFont="1" applyFill="1" applyBorder="1"/>
    <xf numFmtId="9" fontId="0" fillId="0" borderId="3" xfId="0" applyNumberFormat="1" applyBorder="1"/>
    <xf numFmtId="0" fontId="1" fillId="0" borderId="3" xfId="0" applyFont="1" applyBorder="1"/>
    <xf numFmtId="2" fontId="0" fillId="5" borderId="0" xfId="0" applyNumberFormat="1" applyFill="1"/>
    <xf numFmtId="2" fontId="13" fillId="0" borderId="0" xfId="0" applyNumberFormat="1" applyFont="1"/>
    <xf numFmtId="10" fontId="0" fillId="5" borderId="0" xfId="4" applyNumberFormat="1" applyFont="1" applyFill="1"/>
    <xf numFmtId="9" fontId="13" fillId="0" borderId="0" xfId="0" applyNumberFormat="1" applyFont="1"/>
    <xf numFmtId="0" fontId="13" fillId="0" borderId="0" xfId="0" applyFont="1" applyAlignment="1">
      <alignment horizontal="right"/>
    </xf>
    <xf numFmtId="0" fontId="13" fillId="0" borderId="0" xfId="0" applyFont="1"/>
    <xf numFmtId="0" fontId="0" fillId="0" borderId="2" xfId="0" applyBorder="1" applyAlignment="1">
      <alignment horizontal="right" vertical="top"/>
    </xf>
    <xf numFmtId="0" fontId="0" fillId="0" borderId="2" xfId="0" applyBorder="1" applyAlignment="1">
      <alignment horizontal="right"/>
    </xf>
    <xf numFmtId="0" fontId="0" fillId="0" borderId="3" xfId="0" applyBorder="1" applyAlignment="1">
      <alignment horizontal="right"/>
    </xf>
    <xf numFmtId="0" fontId="11" fillId="0" borderId="0" xfId="0" applyFont="1" applyAlignment="1">
      <alignment horizontal="right"/>
    </xf>
    <xf numFmtId="0" fontId="2" fillId="0" borderId="0" xfId="0" applyFont="1"/>
    <xf numFmtId="0" fontId="2" fillId="0" borderId="0" xfId="0" applyFont="1" applyAlignment="1">
      <alignment wrapText="1"/>
    </xf>
    <xf numFmtId="4" fontId="0" fillId="0" borderId="5" xfId="0" applyNumberFormat="1" applyBorder="1"/>
    <xf numFmtId="4" fontId="17" fillId="0" borderId="5" xfId="0" applyNumberFormat="1" applyFont="1" applyBorder="1"/>
    <xf numFmtId="17" fontId="2" fillId="0" borderId="0" xfId="0" applyNumberFormat="1" applyFont="1"/>
    <xf numFmtId="0" fontId="1" fillId="0" borderId="6" xfId="0" applyFont="1" applyBorder="1"/>
    <xf numFmtId="3" fontId="1" fillId="0" borderId="6" xfId="0" applyNumberFormat="1" applyFont="1" applyBorder="1"/>
    <xf numFmtId="0" fontId="1" fillId="0" borderId="7" xfId="0" applyFont="1" applyBorder="1"/>
    <xf numFmtId="3" fontId="0" fillId="0" borderId="7" xfId="0" applyNumberFormat="1" applyBorder="1"/>
    <xf numFmtId="0" fontId="18" fillId="0" borderId="0" xfId="0" applyFont="1"/>
    <xf numFmtId="173" fontId="0" fillId="0" borderId="0" xfId="0" applyNumberFormat="1"/>
    <xf numFmtId="0" fontId="1" fillId="4" borderId="0" xfId="0" applyFont="1" applyFill="1"/>
    <xf numFmtId="10" fontId="1" fillId="4" borderId="0" xfId="0" applyNumberFormat="1" applyFont="1" applyFill="1"/>
    <xf numFmtId="168" fontId="1" fillId="0" borderId="0" xfId="0" applyNumberFormat="1" applyFont="1"/>
    <xf numFmtId="171" fontId="0" fillId="0" borderId="0" xfId="0" applyNumberFormat="1"/>
    <xf numFmtId="4" fontId="0" fillId="0" borderId="0" xfId="0" applyNumberFormat="1"/>
    <xf numFmtId="176" fontId="1" fillId="0" borderId="0" xfId="0" applyNumberFormat="1" applyFont="1" applyAlignment="1">
      <alignment horizontal="right"/>
    </xf>
    <xf numFmtId="4" fontId="16" fillId="0" borderId="5" xfId="0" applyNumberFormat="1" applyFont="1" applyBorder="1"/>
    <xf numFmtId="0" fontId="0" fillId="0" borderId="0" xfId="0" applyAlignment="1">
      <alignment horizontal="right"/>
    </xf>
    <xf numFmtId="0" fontId="2" fillId="0" borderId="0" xfId="0" applyFont="1" applyAlignment="1">
      <alignment horizontal="left"/>
    </xf>
    <xf numFmtId="0" fontId="2" fillId="0" borderId="0" xfId="0" applyFont="1" applyAlignment="1">
      <alignment horizontal="right"/>
    </xf>
    <xf numFmtId="0" fontId="5" fillId="0" borderId="0" xfId="0" applyFont="1"/>
    <xf numFmtId="177" fontId="0" fillId="0" borderId="0" xfId="0" applyNumberFormat="1" applyAlignment="1">
      <alignment horizontal="left"/>
    </xf>
    <xf numFmtId="177" fontId="0" fillId="0" borderId="0" xfId="0" applyNumberFormat="1" applyAlignment="1">
      <alignment horizontal="right"/>
    </xf>
    <xf numFmtId="10" fontId="0" fillId="0" borderId="0" xfId="4" applyNumberFormat="1" applyFont="1" applyAlignment="1">
      <alignment horizontal="right"/>
    </xf>
    <xf numFmtId="171" fontId="0" fillId="0" borderId="0" xfId="0" applyNumberFormat="1" applyAlignment="1">
      <alignment horizontal="right"/>
    </xf>
    <xf numFmtId="0" fontId="2" fillId="6" borderId="0" xfId="0" applyFont="1" applyFill="1"/>
    <xf numFmtId="17" fontId="2" fillId="6" borderId="0" xfId="0" applyNumberFormat="1" applyFont="1" applyFill="1"/>
    <xf numFmtId="0" fontId="1" fillId="0" borderId="8" xfId="0" applyFont="1" applyBorder="1"/>
    <xf numFmtId="167" fontId="1" fillId="0" borderId="8" xfId="0" applyNumberFormat="1" applyFont="1" applyBorder="1"/>
    <xf numFmtId="168" fontId="1" fillId="0" borderId="8" xfId="0" applyNumberFormat="1" applyFont="1" applyBorder="1"/>
    <xf numFmtId="164" fontId="1" fillId="0" borderId="8" xfId="1" applyFont="1" applyBorder="1"/>
    <xf numFmtId="164" fontId="1" fillId="0" borderId="8" xfId="1" applyFont="1" applyFill="1" applyBorder="1"/>
    <xf numFmtId="0" fontId="1" fillId="0" borderId="9" xfId="0" applyFont="1" applyBorder="1"/>
    <xf numFmtId="167" fontId="1" fillId="0" borderId="9" xfId="0" applyNumberFormat="1" applyFont="1" applyBorder="1"/>
    <xf numFmtId="0" fontId="1" fillId="0" borderId="10" xfId="0" applyFont="1" applyBorder="1"/>
    <xf numFmtId="167" fontId="1" fillId="0" borderId="10" xfId="0" applyNumberFormat="1" applyFont="1" applyBorder="1"/>
    <xf numFmtId="164" fontId="1" fillId="0" borderId="10" xfId="1" applyFont="1" applyBorder="1"/>
    <xf numFmtId="164" fontId="1" fillId="0" borderId="10" xfId="1" applyFont="1" applyFill="1" applyBorder="1"/>
    <xf numFmtId="17" fontId="2" fillId="6" borderId="0" xfId="0" applyNumberFormat="1" applyFont="1" applyFill="1" applyAlignment="1">
      <alignment horizontal="center"/>
    </xf>
    <xf numFmtId="10" fontId="1" fillId="0" borderId="10" xfId="4" applyNumberFormat="1" applyFont="1" applyBorder="1"/>
    <xf numFmtId="0" fontId="0" fillId="0" borderId="10" xfId="0" applyBorder="1"/>
    <xf numFmtId="10" fontId="1" fillId="0" borderId="10" xfId="0" applyNumberFormat="1" applyFont="1" applyBorder="1"/>
    <xf numFmtId="0" fontId="0" fillId="0" borderId="9" xfId="0" applyBorder="1"/>
    <xf numFmtId="167" fontId="0" fillId="0" borderId="10" xfId="0" applyNumberFormat="1" applyBorder="1"/>
    <xf numFmtId="174" fontId="2" fillId="6" borderId="0" xfId="0" applyNumberFormat="1" applyFont="1" applyFill="1"/>
    <xf numFmtId="175" fontId="2" fillId="6" borderId="0" xfId="0" applyNumberFormat="1" applyFont="1" applyFill="1"/>
    <xf numFmtId="0" fontId="2" fillId="6" borderId="0" xfId="0" applyFont="1" applyFill="1" applyAlignment="1">
      <alignment wrapText="1"/>
    </xf>
    <xf numFmtId="0" fontId="0" fillId="6" borderId="0" xfId="0" applyFill="1"/>
    <xf numFmtId="0" fontId="2" fillId="6" borderId="0" xfId="0" applyFont="1" applyFill="1" applyAlignment="1">
      <alignment horizontal="right" wrapText="1"/>
    </xf>
    <xf numFmtId="0" fontId="15" fillId="6" borderId="0" xfId="0" applyFont="1" applyFill="1" applyAlignment="1">
      <alignment vertical="center"/>
    </xf>
    <xf numFmtId="0" fontId="2" fillId="6" borderId="0" xfId="0" applyFont="1" applyFill="1" applyAlignment="1">
      <alignment vertical="center"/>
    </xf>
    <xf numFmtId="171" fontId="1" fillId="0" borderId="10" xfId="0" applyNumberFormat="1" applyFont="1" applyBorder="1"/>
    <xf numFmtId="0" fontId="0" fillId="4" borderId="8" xfId="0" applyFill="1" applyBorder="1"/>
    <xf numFmtId="172" fontId="0" fillId="4" borderId="8" xfId="0" applyNumberFormat="1" applyFill="1" applyBorder="1"/>
    <xf numFmtId="172" fontId="1" fillId="4" borderId="8" xfId="0" applyNumberFormat="1" applyFont="1" applyFill="1" applyBorder="1"/>
    <xf numFmtId="3" fontId="0" fillId="4" borderId="8" xfId="0" applyNumberFormat="1" applyFill="1" applyBorder="1"/>
    <xf numFmtId="0" fontId="0" fillId="0" borderId="8" xfId="0" applyBorder="1"/>
    <xf numFmtId="3" fontId="0" fillId="0" borderId="8" xfId="0" applyNumberFormat="1" applyBorder="1"/>
    <xf numFmtId="172" fontId="0" fillId="0" borderId="8" xfId="0" applyNumberFormat="1" applyBorder="1"/>
    <xf numFmtId="4" fontId="0" fillId="0" borderId="8" xfId="0" applyNumberFormat="1" applyBorder="1"/>
    <xf numFmtId="2" fontId="0" fillId="0" borderId="8" xfId="0" applyNumberFormat="1" applyBorder="1"/>
    <xf numFmtId="0" fontId="15" fillId="6" borderId="0" xfId="0" applyFont="1" applyFill="1"/>
    <xf numFmtId="0" fontId="2" fillId="6" borderId="0" xfId="0" applyFont="1" applyFill="1" applyAlignment="1">
      <alignment horizontal="left"/>
    </xf>
    <xf numFmtId="0" fontId="2" fillId="6" borderId="0" xfId="0" applyFont="1" applyFill="1" applyAlignment="1">
      <alignment horizontal="right"/>
    </xf>
    <xf numFmtId="0" fontId="5" fillId="6" borderId="0" xfId="0" applyFont="1" applyFill="1"/>
    <xf numFmtId="0" fontId="1" fillId="0" borderId="11" xfId="0" applyFont="1" applyBorder="1"/>
    <xf numFmtId="0" fontId="5" fillId="0" borderId="11" xfId="0" applyFont="1" applyBorder="1"/>
    <xf numFmtId="10" fontId="0" fillId="0" borderId="8" xfId="4" applyNumberFormat="1" applyFont="1" applyBorder="1"/>
    <xf numFmtId="171" fontId="0" fillId="0" borderId="8" xfId="4" applyNumberFormat="1" applyFont="1" applyBorder="1"/>
    <xf numFmtId="177" fontId="0" fillId="0" borderId="8" xfId="0" applyNumberFormat="1" applyBorder="1" applyAlignment="1">
      <alignment horizontal="left"/>
    </xf>
    <xf numFmtId="177" fontId="0" fillId="0" borderId="8" xfId="0" applyNumberFormat="1" applyBorder="1" applyAlignment="1">
      <alignment horizontal="right"/>
    </xf>
    <xf numFmtId="10" fontId="0" fillId="0" borderId="8" xfId="4" applyNumberFormat="1" applyFont="1" applyBorder="1" applyAlignment="1">
      <alignment horizontal="right"/>
    </xf>
    <xf numFmtId="2" fontId="0" fillId="0" borderId="8" xfId="0" applyNumberFormat="1" applyBorder="1" applyAlignment="1">
      <alignment horizontal="right"/>
    </xf>
    <xf numFmtId="171" fontId="0" fillId="0" borderId="8" xfId="0" applyNumberFormat="1" applyBorder="1" applyAlignment="1">
      <alignment horizontal="right"/>
    </xf>
    <xf numFmtId="0" fontId="0" fillId="0" borderId="0" xfId="0" applyAlignment="1">
      <alignment vertical="center"/>
    </xf>
    <xf numFmtId="17" fontId="1" fillId="0" borderId="0" xfId="0" applyNumberFormat="1" applyFont="1"/>
    <xf numFmtId="164" fontId="0" fillId="0" borderId="0" xfId="0" applyNumberFormat="1" applyAlignment="1">
      <alignment horizontal="left" vertical="center"/>
    </xf>
    <xf numFmtId="0" fontId="22" fillId="0" borderId="0" xfId="0" applyFont="1"/>
    <xf numFmtId="0" fontId="1" fillId="7" borderId="0" xfId="0" applyFont="1" applyFill="1"/>
    <xf numFmtId="0" fontId="0" fillId="7" borderId="0" xfId="0" applyFill="1"/>
    <xf numFmtId="0" fontId="0" fillId="0" borderId="13" xfId="0" applyBorder="1"/>
    <xf numFmtId="10" fontId="0" fillId="0" borderId="13" xfId="4" applyNumberFormat="1" applyFont="1" applyBorder="1"/>
    <xf numFmtId="0" fontId="0" fillId="0" borderId="14" xfId="0" applyBorder="1"/>
    <xf numFmtId="10" fontId="0" fillId="0" borderId="14" xfId="4" applyNumberFormat="1" applyFont="1" applyBorder="1"/>
    <xf numFmtId="10" fontId="0" fillId="0" borderId="13" xfId="0" applyNumberFormat="1" applyBorder="1"/>
    <xf numFmtId="10" fontId="0" fillId="0" borderId="14" xfId="0" applyNumberFormat="1" applyBorder="1"/>
    <xf numFmtId="169" fontId="0" fillId="0" borderId="14" xfId="0" applyNumberFormat="1" applyBorder="1"/>
    <xf numFmtId="169" fontId="0" fillId="0" borderId="13" xfId="0" applyNumberFormat="1" applyBorder="1"/>
    <xf numFmtId="1" fontId="0" fillId="0" borderId="13" xfId="0" applyNumberFormat="1" applyBorder="1"/>
    <xf numFmtId="1" fontId="0" fillId="0" borderId="14" xfId="0" applyNumberFormat="1" applyBorder="1"/>
    <xf numFmtId="0" fontId="1" fillId="0" borderId="11" xfId="0" applyFont="1" applyBorder="1" applyAlignment="1">
      <alignment horizontal="left"/>
    </xf>
    <xf numFmtId="0" fontId="1" fillId="0" borderId="11" xfId="0" applyFont="1" applyBorder="1" applyAlignment="1">
      <alignment horizontal="right"/>
    </xf>
    <xf numFmtId="10" fontId="1" fillId="7" borderId="0" xfId="4" applyNumberFormat="1" applyFont="1" applyFill="1"/>
    <xf numFmtId="176" fontId="1" fillId="7" borderId="0" xfId="4" applyNumberFormat="1" applyFont="1" applyFill="1"/>
    <xf numFmtId="0" fontId="24" fillId="0" borderId="0" xfId="0" applyFont="1"/>
    <xf numFmtId="164" fontId="0" fillId="0" borderId="0" xfId="0" applyNumberFormat="1" applyAlignment="1">
      <alignment horizontal="left"/>
    </xf>
    <xf numFmtId="10" fontId="1" fillId="0" borderId="0" xfId="4" applyNumberFormat="1" applyFont="1" applyFill="1"/>
    <xf numFmtId="0" fontId="26" fillId="0" borderId="0" xfId="0" applyFont="1" applyAlignment="1">
      <alignment horizontal="right"/>
    </xf>
    <xf numFmtId="164" fontId="1" fillId="7" borderId="0" xfId="0" applyNumberFormat="1" applyFont="1" applyFill="1"/>
    <xf numFmtId="178" fontId="1" fillId="7" borderId="0" xfId="0" applyNumberFormat="1" applyFont="1" applyFill="1"/>
    <xf numFmtId="0" fontId="28" fillId="0" borderId="0" xfId="0" applyFont="1" applyAlignment="1">
      <alignment vertical="center"/>
    </xf>
    <xf numFmtId="14" fontId="0" fillId="0" borderId="0" xfId="0" applyNumberFormat="1"/>
    <xf numFmtId="178" fontId="0" fillId="0" borderId="0" xfId="0" applyNumberFormat="1"/>
    <xf numFmtId="17" fontId="0" fillId="9" borderId="0" xfId="0" applyNumberFormat="1" applyFill="1"/>
    <xf numFmtId="0" fontId="2" fillId="6" borderId="0" xfId="0" applyFont="1" applyFill="1" applyAlignment="1">
      <alignment horizontal="center"/>
    </xf>
    <xf numFmtId="0" fontId="1" fillId="0" borderId="0" xfId="0" applyFont="1" applyAlignment="1">
      <alignment horizontal="right"/>
    </xf>
    <xf numFmtId="0" fontId="0" fillId="0" borderId="0" xfId="0" applyAlignment="1">
      <alignment horizontal="center"/>
    </xf>
    <xf numFmtId="180" fontId="0" fillId="0" borderId="0" xfId="0" applyNumberFormat="1"/>
    <xf numFmtId="180" fontId="0" fillId="0" borderId="0" xfId="4" applyNumberFormat="1" applyFont="1" applyFill="1"/>
    <xf numFmtId="0" fontId="1" fillId="0" borderId="0" xfId="0" applyFont="1" applyAlignment="1">
      <alignment vertical="center"/>
    </xf>
    <xf numFmtId="0" fontId="1" fillId="0" borderId="0" xfId="0" applyFont="1" applyAlignment="1">
      <alignment horizontal="center"/>
    </xf>
    <xf numFmtId="183" fontId="1" fillId="7" borderId="0" xfId="4" applyNumberFormat="1" applyFont="1" applyFill="1"/>
    <xf numFmtId="0" fontId="29" fillId="0" borderId="0" xfId="0" applyFont="1"/>
    <xf numFmtId="179" fontId="0" fillId="0" borderId="8" xfId="0" applyNumberFormat="1" applyBorder="1"/>
    <xf numFmtId="0" fontId="7" fillId="0" borderId="8" xfId="0" applyFont="1" applyBorder="1"/>
    <xf numFmtId="10" fontId="7" fillId="0" borderId="8" xfId="0" applyNumberFormat="1" applyFont="1" applyBorder="1"/>
    <xf numFmtId="10" fontId="0" fillId="0" borderId="8" xfId="0" applyNumberFormat="1" applyBorder="1"/>
    <xf numFmtId="2" fontId="6" fillId="0" borderId="8" xfId="0" applyNumberFormat="1" applyFont="1" applyBorder="1"/>
    <xf numFmtId="176" fontId="0" fillId="0" borderId="8" xfId="0" applyNumberFormat="1" applyBorder="1"/>
    <xf numFmtId="0" fontId="0" fillId="0" borderId="8" xfId="0" applyBorder="1" applyAlignment="1">
      <alignment horizontal="left" vertical="center" wrapText="1"/>
    </xf>
    <xf numFmtId="181" fontId="0" fillId="0" borderId="8" xfId="0" applyNumberFormat="1" applyBorder="1"/>
    <xf numFmtId="181" fontId="1" fillId="0" borderId="8" xfId="0" applyNumberFormat="1" applyFont="1" applyBorder="1"/>
    <xf numFmtId="0" fontId="0" fillId="0" borderId="8" xfId="0" applyBorder="1" applyAlignment="1">
      <alignment horizontal="left" indent="1"/>
    </xf>
    <xf numFmtId="180" fontId="0" fillId="0" borderId="8" xfId="0" applyNumberFormat="1" applyBorder="1"/>
    <xf numFmtId="10" fontId="0" fillId="0" borderId="13" xfId="4" applyNumberFormat="1" applyFont="1" applyBorder="1" applyAlignment="1">
      <alignment horizontal="right"/>
    </xf>
    <xf numFmtId="0" fontId="0" fillId="10" borderId="0" xfId="0" applyFill="1"/>
    <xf numFmtId="0" fontId="20" fillId="10" borderId="0" xfId="0" applyFont="1" applyFill="1"/>
    <xf numFmtId="0" fontId="22" fillId="10" borderId="0" xfId="0" applyFont="1" applyFill="1"/>
    <xf numFmtId="0" fontId="0" fillId="10" borderId="12" xfId="0" applyFill="1" applyBorder="1"/>
    <xf numFmtId="164" fontId="30" fillId="10" borderId="0" xfId="0" applyNumberFormat="1" applyFont="1" applyFill="1" applyAlignment="1">
      <alignment vertical="center"/>
    </xf>
    <xf numFmtId="184" fontId="0" fillId="0" borderId="0" xfId="0" applyNumberFormat="1"/>
    <xf numFmtId="167" fontId="2" fillId="0" borderId="0" xfId="0" applyNumberFormat="1" applyFont="1"/>
    <xf numFmtId="0" fontId="2" fillId="0" borderId="0" xfId="0" applyFont="1" applyAlignment="1">
      <alignment horizontal="center"/>
    </xf>
    <xf numFmtId="0" fontId="0" fillId="11" borderId="0" xfId="0" applyFill="1"/>
    <xf numFmtId="10" fontId="13" fillId="11" borderId="0" xfId="0" applyNumberFormat="1" applyFont="1" applyFill="1"/>
    <xf numFmtId="10" fontId="0" fillId="11" borderId="0" xfId="0" applyNumberFormat="1" applyFill="1"/>
    <xf numFmtId="167" fontId="0" fillId="11" borderId="0" xfId="0" applyNumberFormat="1" applyFill="1"/>
    <xf numFmtId="0" fontId="0" fillId="11" borderId="10" xfId="0" applyFill="1" applyBorder="1"/>
    <xf numFmtId="10" fontId="1" fillId="11" borderId="0" xfId="0" applyNumberFormat="1" applyFont="1" applyFill="1" applyAlignment="1">
      <alignment horizontal="right"/>
    </xf>
    <xf numFmtId="10" fontId="1" fillId="11" borderId="0" xfId="0" applyNumberFormat="1" applyFont="1" applyFill="1"/>
    <xf numFmtId="170" fontId="2" fillId="6" borderId="0" xfId="0" applyNumberFormat="1" applyFont="1" applyFill="1"/>
    <xf numFmtId="170" fontId="0" fillId="11" borderId="0" xfId="0" applyNumberFormat="1" applyFill="1"/>
    <xf numFmtId="0" fontId="28" fillId="0" borderId="0" xfId="0" applyFont="1"/>
    <xf numFmtId="0" fontId="31" fillId="0" borderId="0" xfId="0" applyFont="1"/>
    <xf numFmtId="0" fontId="0" fillId="0" borderId="0" xfId="0" applyAlignment="1">
      <alignment wrapText="1"/>
    </xf>
    <xf numFmtId="0" fontId="0" fillId="0" borderId="0" xfId="0" applyAlignment="1">
      <alignment horizontal="left" indent="1"/>
    </xf>
    <xf numFmtId="17" fontId="2" fillId="6" borderId="0" xfId="0" applyNumberFormat="1" applyFont="1" applyFill="1" applyAlignment="1">
      <alignment vertical="center"/>
    </xf>
    <xf numFmtId="0" fontId="0" fillId="4" borderId="0" xfId="0" applyFill="1"/>
    <xf numFmtId="0" fontId="0" fillId="4" borderId="17" xfId="0" applyFill="1" applyBorder="1"/>
    <xf numFmtId="164" fontId="30" fillId="4" borderId="0" xfId="0" applyNumberFormat="1" applyFont="1" applyFill="1" applyAlignment="1">
      <alignment vertical="center"/>
    </xf>
    <xf numFmtId="0" fontId="20" fillId="4" borderId="0" xfId="0" applyFont="1" applyFill="1"/>
    <xf numFmtId="0" fontId="22" fillId="4" borderId="0" xfId="0" applyFont="1" applyFill="1"/>
    <xf numFmtId="164" fontId="23" fillId="4" borderId="0" xfId="0" applyNumberFormat="1" applyFont="1" applyFill="1"/>
    <xf numFmtId="0" fontId="27" fillId="4" borderId="0" xfId="0" applyFont="1" applyFill="1"/>
    <xf numFmtId="0" fontId="27" fillId="4" borderId="17" xfId="0" applyFont="1" applyFill="1" applyBorder="1"/>
    <xf numFmtId="0" fontId="2" fillId="6" borderId="0" xfId="0" applyFont="1" applyFill="1" applyAlignment="1">
      <alignment horizontal="right"/>
    </xf>
    <xf numFmtId="0" fontId="0" fillId="0" borderId="0" xfId="0" applyAlignment="1">
      <alignment horizontal="center"/>
    </xf>
    <xf numFmtId="180" fontId="0" fillId="0" borderId="8" xfId="0" applyNumberFormat="1" applyBorder="1" applyAlignment="1">
      <alignment horizontal="center"/>
    </xf>
    <xf numFmtId="0" fontId="2" fillId="6" borderId="0" xfId="0" applyFont="1" applyFill="1" applyAlignment="1">
      <alignment horizontal="center"/>
    </xf>
    <xf numFmtId="3" fontId="0" fillId="0" borderId="8" xfId="0" applyNumberFormat="1" applyBorder="1" applyAlignment="1">
      <alignment horizontal="right"/>
    </xf>
    <xf numFmtId="182" fontId="0" fillId="0" borderId="8" xfId="0" applyNumberFormat="1" applyBorder="1" applyAlignment="1">
      <alignment horizontal="right"/>
    </xf>
    <xf numFmtId="4" fontId="0" fillId="0" borderId="8" xfId="0" applyNumberFormat="1" applyBorder="1" applyAlignment="1">
      <alignment horizontal="right"/>
    </xf>
    <xf numFmtId="4" fontId="0" fillId="0" borderId="13" xfId="0" applyNumberFormat="1" applyBorder="1" applyAlignment="1">
      <alignment horizontal="right"/>
    </xf>
    <xf numFmtId="0" fontId="14" fillId="6" borderId="0" xfId="0" applyFont="1" applyFill="1" applyAlignment="1">
      <alignment horizontal="center"/>
    </xf>
    <xf numFmtId="0" fontId="2" fillId="6" borderId="0" xfId="0" applyFont="1" applyFill="1" applyAlignment="1">
      <alignment horizontal="center" vertical="center"/>
    </xf>
    <xf numFmtId="0" fontId="0" fillId="4" borderId="17" xfId="0" applyFill="1" applyBorder="1" applyAlignment="1">
      <alignment horizontal="left" vertical="center" wrapText="1"/>
    </xf>
    <xf numFmtId="0" fontId="15" fillId="6" borderId="0" xfId="0" applyFont="1" applyFill="1" applyAlignment="1">
      <alignment horizontal="center" vertical="center"/>
    </xf>
    <xf numFmtId="0" fontId="15" fillId="6" borderId="0" xfId="0" applyFont="1" applyFill="1" applyAlignment="1">
      <alignment horizontal="center"/>
    </xf>
    <xf numFmtId="0" fontId="2" fillId="6" borderId="0" xfId="0" applyFont="1" applyFill="1" applyAlignment="1">
      <alignment horizontal="left"/>
    </xf>
    <xf numFmtId="0" fontId="0" fillId="0" borderId="12" xfId="0" applyBorder="1" applyAlignment="1">
      <alignment horizontal="center"/>
    </xf>
    <xf numFmtId="0" fontId="15" fillId="6" borderId="4" xfId="0" applyFont="1" applyFill="1" applyBorder="1" applyAlignment="1">
      <alignment horizontal="center"/>
    </xf>
    <xf numFmtId="0" fontId="2" fillId="6" borderId="15" xfId="0" applyFont="1" applyFill="1" applyBorder="1" applyAlignment="1">
      <alignment horizontal="center"/>
    </xf>
    <xf numFmtId="0" fontId="25" fillId="0" borderId="9" xfId="0" applyFont="1" applyBorder="1" applyAlignment="1">
      <alignment horizontal="center" vertical="center"/>
    </xf>
    <xf numFmtId="0" fontId="27" fillId="0" borderId="0" xfId="0" applyFont="1" applyAlignment="1">
      <alignment horizontal="left" vertical="center" wrapText="1"/>
    </xf>
    <xf numFmtId="0" fontId="25" fillId="0" borderId="16" xfId="0" applyFont="1" applyBorder="1" applyAlignment="1">
      <alignment horizontal="center" vertical="center"/>
    </xf>
    <xf numFmtId="0" fontId="0" fillId="6" borderId="0" xfId="0" applyFill="1" applyAlignment="1">
      <alignment horizontal="center"/>
    </xf>
    <xf numFmtId="0" fontId="0" fillId="0" borderId="0" xfId="0" applyAlignment="1">
      <alignment horizontal="left" wrapText="1"/>
    </xf>
    <xf numFmtId="164" fontId="4" fillId="0" borderId="0" xfId="2" applyNumberFormat="1" applyBorder="1" applyAlignment="1" applyProtection="1">
      <alignment horizontal="center"/>
    </xf>
    <xf numFmtId="164" fontId="2" fillId="2" borderId="0" xfId="3" applyNumberFormat="1" applyFont="1" applyBorder="1" applyAlignment="1">
      <alignment horizontal="center"/>
    </xf>
    <xf numFmtId="0" fontId="0" fillId="8" borderId="0" xfId="0" applyFill="1" applyAlignment="1">
      <alignment horizontal="left" wrapText="1"/>
    </xf>
  </cellXfs>
  <cellStyles count="5">
    <cellStyle name="Accent6" xfId="3" builtinId="49"/>
    <cellStyle name="Comma" xfId="1" builtinId="3"/>
    <cellStyle name="Hyperlink" xfId="2" builtinId="8"/>
    <cellStyle name="Normal" xfId="0" builtinId="0"/>
    <cellStyle name="Per cent" xfId="4" builtinId="5"/>
  </cellStyles>
  <dxfs count="1">
    <dxf>
      <font>
        <b/>
        <i val="0"/>
        <color theme="0"/>
      </font>
      <fill>
        <patternFill>
          <bgColor theme="5"/>
        </patternFill>
      </fill>
    </dxf>
  </dxfs>
  <tableStyles count="0" defaultTableStyle="TableStyleMedium9" defaultPivotStyle="PivotStyleLight16"/>
  <colors>
    <mruColors>
      <color rgb="FF082C64"/>
      <color rgb="FF3333FF"/>
      <color rgb="FFFF9900"/>
      <color rgb="FFFF66CC"/>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calcChain" Target="calcChain.xml" /><Relationship Id="rId3" Type="http://schemas.openxmlformats.org/officeDocument/2006/relationships/worksheet" Target="worksheets/sheet3.xml" /><Relationship Id="rId21" Type="http://schemas.openxmlformats.org/officeDocument/2006/relationships/worksheet" Target="worksheets/sheet21.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sheetMetadata" Target="metadata.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worksheet" Target="worksheets/sheet20.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sharedStrings" Target="sharedString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styles" Target="styles.xml" /><Relationship Id="rId10" Type="http://schemas.openxmlformats.org/officeDocument/2006/relationships/worksheet" Target="worksheets/sheet10.xml" /><Relationship Id="rId19" Type="http://schemas.openxmlformats.org/officeDocument/2006/relationships/worksheet" Target="worksheets/sheet19.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theme" Target="theme/theme1.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4.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5.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6.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7.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8.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9.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_rels/chart10.xml.rels><?xml version="1.0" encoding="UTF-8" standalone="yes"?>
<Relationships xmlns="http://schemas.openxmlformats.org/package/2006/relationships"><Relationship Id="rId2" Type="http://schemas.microsoft.com/office/2011/relationships/chartColorStyle" Target="colors12.xml" /><Relationship Id="rId1" Type="http://schemas.microsoft.com/office/2011/relationships/chartStyle" Target="style12.xml" /></Relationships>
</file>

<file path=xl/charts/_rels/chart11.xml.rels><?xml version="1.0" encoding="UTF-8" standalone="yes"?>
<Relationships xmlns="http://schemas.openxmlformats.org/package/2006/relationships"><Relationship Id="rId2" Type="http://schemas.microsoft.com/office/2011/relationships/chartColorStyle" Target="colors13.xml" /><Relationship Id="rId1" Type="http://schemas.microsoft.com/office/2011/relationships/chartStyle" Target="style13.xml" /></Relationships>
</file>

<file path=xl/charts/_rels/chart12.xml.rels><?xml version="1.0" encoding="UTF-8" standalone="yes"?>
<Relationships xmlns="http://schemas.openxmlformats.org/package/2006/relationships"><Relationship Id="rId2" Type="http://schemas.microsoft.com/office/2011/relationships/chartColorStyle" Target="colors14.xml" /><Relationship Id="rId1" Type="http://schemas.microsoft.com/office/2011/relationships/chartStyle" Target="style14.xml" /></Relationships>
</file>

<file path=xl/charts/_rels/chart13.xml.rels><?xml version="1.0" encoding="UTF-8" standalone="yes"?>
<Relationships xmlns="http://schemas.openxmlformats.org/package/2006/relationships"><Relationship Id="rId2" Type="http://schemas.microsoft.com/office/2011/relationships/chartColorStyle" Target="colors15.xml" /><Relationship Id="rId1" Type="http://schemas.microsoft.com/office/2011/relationships/chartStyle" Target="style15.xml" /></Relationships>
</file>

<file path=xl/charts/_rels/chart14.xml.rels><?xml version="1.0" encoding="UTF-8" standalone="yes"?>
<Relationships xmlns="http://schemas.openxmlformats.org/package/2006/relationships"><Relationship Id="rId2" Type="http://schemas.microsoft.com/office/2011/relationships/chartColorStyle" Target="colors16.xml" /><Relationship Id="rId1" Type="http://schemas.microsoft.com/office/2011/relationships/chartStyle" Target="style16.xml" /></Relationships>
</file>

<file path=xl/charts/_rels/chart15.xml.rels><?xml version="1.0" encoding="UTF-8" standalone="yes"?>
<Relationships xmlns="http://schemas.openxmlformats.org/package/2006/relationships"><Relationship Id="rId2" Type="http://schemas.microsoft.com/office/2011/relationships/chartColorStyle" Target="colors17.xml" /><Relationship Id="rId1" Type="http://schemas.microsoft.com/office/2011/relationships/chartStyle" Target="style17.xml" /></Relationships>
</file>

<file path=xl/charts/_rels/chart16.xml.rels><?xml version="1.0" encoding="UTF-8" standalone="yes"?>
<Relationships xmlns="http://schemas.openxmlformats.org/package/2006/relationships"><Relationship Id="rId2" Type="http://schemas.microsoft.com/office/2011/relationships/chartColorStyle" Target="colors18.xml" /><Relationship Id="rId1" Type="http://schemas.microsoft.com/office/2011/relationships/chartStyle" Target="style18.xml" /></Relationships>
</file>

<file path=xl/charts/_rels/chartEx1.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Ex2.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Ex3.xml.rels><?xml version="1.0" encoding="UTF-8" standalone="yes"?>
<Relationships xmlns="http://schemas.openxmlformats.org/package/2006/relationships"><Relationship Id="rId2" Type="http://schemas.microsoft.com/office/2011/relationships/chartColorStyle" Target="colors19.xml" /><Relationship Id="rId1" Type="http://schemas.microsoft.com/office/2011/relationships/chartStyle" Target="style19.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81639310931204"/>
          <c:y val="0.15696895646664857"/>
          <c:w val="0.84649584426946634"/>
          <c:h val="0.68164989792942554"/>
        </c:manualLayout>
      </c:layout>
      <c:lineChart>
        <c:grouping val="standard"/>
        <c:varyColors val="0"/>
        <c:ser>
          <c:idx val="0"/>
          <c:order val="0"/>
          <c:tx>
            <c:strRef>
              <c:f>'Share price'!$C$2</c:f>
              <c:strCache>
                <c:ptCount val="1"/>
                <c:pt idx="0">
                  <c:v>Price</c:v>
                </c:pt>
              </c:strCache>
            </c:strRef>
          </c:tx>
          <c:spPr>
            <a:ln w="28575" cap="rnd">
              <a:solidFill>
                <a:schemeClr val="bg2">
                  <a:lumMod val="50000"/>
                </a:schemeClr>
              </a:solidFill>
              <a:round/>
            </a:ln>
            <a:effectLst/>
          </c:spPr>
          <c:marker>
            <c:symbol val="none"/>
          </c:marker>
          <c:cat>
            <c:numRef>
              <c:f>'Share price'!$B$3:$B$1236</c:f>
              <c:numCache>
                <c:formatCode>m/d/yyyy</c:formatCode>
                <c:ptCount val="1234"/>
                <c:pt idx="0">
                  <c:v>45744</c:v>
                </c:pt>
                <c:pt idx="1">
                  <c:v>45743</c:v>
                </c:pt>
                <c:pt idx="2">
                  <c:v>45742</c:v>
                </c:pt>
                <c:pt idx="3">
                  <c:v>45741</c:v>
                </c:pt>
                <c:pt idx="4">
                  <c:v>45740</c:v>
                </c:pt>
                <c:pt idx="5">
                  <c:v>45737</c:v>
                </c:pt>
                <c:pt idx="6">
                  <c:v>45736</c:v>
                </c:pt>
                <c:pt idx="7">
                  <c:v>45735</c:v>
                </c:pt>
                <c:pt idx="8">
                  <c:v>45734</c:v>
                </c:pt>
                <c:pt idx="9">
                  <c:v>45733</c:v>
                </c:pt>
                <c:pt idx="10">
                  <c:v>45729</c:v>
                </c:pt>
                <c:pt idx="11">
                  <c:v>45728</c:v>
                </c:pt>
                <c:pt idx="12">
                  <c:v>45727</c:v>
                </c:pt>
                <c:pt idx="13">
                  <c:v>45726</c:v>
                </c:pt>
                <c:pt idx="14">
                  <c:v>45723</c:v>
                </c:pt>
                <c:pt idx="15">
                  <c:v>45722</c:v>
                </c:pt>
                <c:pt idx="16">
                  <c:v>45721</c:v>
                </c:pt>
                <c:pt idx="17">
                  <c:v>45720</c:v>
                </c:pt>
                <c:pt idx="18">
                  <c:v>45719</c:v>
                </c:pt>
                <c:pt idx="19">
                  <c:v>45716</c:v>
                </c:pt>
                <c:pt idx="20">
                  <c:v>45715</c:v>
                </c:pt>
                <c:pt idx="21">
                  <c:v>45713</c:v>
                </c:pt>
                <c:pt idx="22">
                  <c:v>45712</c:v>
                </c:pt>
                <c:pt idx="23">
                  <c:v>45709</c:v>
                </c:pt>
                <c:pt idx="24">
                  <c:v>45708</c:v>
                </c:pt>
                <c:pt idx="25">
                  <c:v>45707</c:v>
                </c:pt>
                <c:pt idx="26">
                  <c:v>45706</c:v>
                </c:pt>
                <c:pt idx="27">
                  <c:v>45705</c:v>
                </c:pt>
                <c:pt idx="28">
                  <c:v>45702</c:v>
                </c:pt>
                <c:pt idx="29">
                  <c:v>45701</c:v>
                </c:pt>
                <c:pt idx="30">
                  <c:v>45700</c:v>
                </c:pt>
                <c:pt idx="31">
                  <c:v>45699</c:v>
                </c:pt>
                <c:pt idx="32">
                  <c:v>45698</c:v>
                </c:pt>
                <c:pt idx="33">
                  <c:v>45695</c:v>
                </c:pt>
                <c:pt idx="34">
                  <c:v>45694</c:v>
                </c:pt>
                <c:pt idx="35">
                  <c:v>45693</c:v>
                </c:pt>
                <c:pt idx="36">
                  <c:v>45692</c:v>
                </c:pt>
                <c:pt idx="37">
                  <c:v>45691</c:v>
                </c:pt>
                <c:pt idx="38">
                  <c:v>45689</c:v>
                </c:pt>
                <c:pt idx="39">
                  <c:v>45688</c:v>
                </c:pt>
                <c:pt idx="40">
                  <c:v>45687</c:v>
                </c:pt>
                <c:pt idx="41">
                  <c:v>45686</c:v>
                </c:pt>
                <c:pt idx="42">
                  <c:v>45685</c:v>
                </c:pt>
                <c:pt idx="43">
                  <c:v>45684</c:v>
                </c:pt>
                <c:pt idx="44">
                  <c:v>45681</c:v>
                </c:pt>
                <c:pt idx="45">
                  <c:v>45680</c:v>
                </c:pt>
                <c:pt idx="46">
                  <c:v>45679</c:v>
                </c:pt>
                <c:pt idx="47">
                  <c:v>45678</c:v>
                </c:pt>
                <c:pt idx="48">
                  <c:v>45677</c:v>
                </c:pt>
                <c:pt idx="49">
                  <c:v>45674</c:v>
                </c:pt>
                <c:pt idx="50">
                  <c:v>45673</c:v>
                </c:pt>
                <c:pt idx="51">
                  <c:v>45672</c:v>
                </c:pt>
                <c:pt idx="52">
                  <c:v>45671</c:v>
                </c:pt>
                <c:pt idx="53">
                  <c:v>45670</c:v>
                </c:pt>
                <c:pt idx="54">
                  <c:v>45667</c:v>
                </c:pt>
                <c:pt idx="55">
                  <c:v>45666</c:v>
                </c:pt>
                <c:pt idx="56">
                  <c:v>45665</c:v>
                </c:pt>
                <c:pt idx="57">
                  <c:v>45664</c:v>
                </c:pt>
                <c:pt idx="58">
                  <c:v>45663</c:v>
                </c:pt>
                <c:pt idx="59">
                  <c:v>45660</c:v>
                </c:pt>
                <c:pt idx="60">
                  <c:v>45659</c:v>
                </c:pt>
                <c:pt idx="61">
                  <c:v>45658</c:v>
                </c:pt>
                <c:pt idx="62">
                  <c:v>45657</c:v>
                </c:pt>
                <c:pt idx="63">
                  <c:v>45656</c:v>
                </c:pt>
                <c:pt idx="64">
                  <c:v>45653</c:v>
                </c:pt>
                <c:pt idx="65">
                  <c:v>45652</c:v>
                </c:pt>
                <c:pt idx="66">
                  <c:v>45650</c:v>
                </c:pt>
                <c:pt idx="67">
                  <c:v>45649</c:v>
                </c:pt>
                <c:pt idx="68">
                  <c:v>45646</c:v>
                </c:pt>
                <c:pt idx="69">
                  <c:v>45645</c:v>
                </c:pt>
                <c:pt idx="70">
                  <c:v>45644</c:v>
                </c:pt>
                <c:pt idx="71">
                  <c:v>45643</c:v>
                </c:pt>
                <c:pt idx="72">
                  <c:v>45642</c:v>
                </c:pt>
                <c:pt idx="73">
                  <c:v>45639</c:v>
                </c:pt>
                <c:pt idx="74">
                  <c:v>45638</c:v>
                </c:pt>
                <c:pt idx="75">
                  <c:v>45637</c:v>
                </c:pt>
                <c:pt idx="76">
                  <c:v>45636</c:v>
                </c:pt>
                <c:pt idx="77">
                  <c:v>45635</c:v>
                </c:pt>
                <c:pt idx="78">
                  <c:v>45632</c:v>
                </c:pt>
                <c:pt idx="79">
                  <c:v>45631</c:v>
                </c:pt>
                <c:pt idx="80">
                  <c:v>45630</c:v>
                </c:pt>
                <c:pt idx="81">
                  <c:v>45629</c:v>
                </c:pt>
                <c:pt idx="82">
                  <c:v>45628</c:v>
                </c:pt>
                <c:pt idx="83">
                  <c:v>45625</c:v>
                </c:pt>
                <c:pt idx="84">
                  <c:v>45624</c:v>
                </c:pt>
                <c:pt idx="85">
                  <c:v>45623</c:v>
                </c:pt>
                <c:pt idx="86">
                  <c:v>45622</c:v>
                </c:pt>
                <c:pt idx="87">
                  <c:v>45621</c:v>
                </c:pt>
                <c:pt idx="88">
                  <c:v>45618</c:v>
                </c:pt>
                <c:pt idx="89">
                  <c:v>45617</c:v>
                </c:pt>
                <c:pt idx="90">
                  <c:v>45615</c:v>
                </c:pt>
                <c:pt idx="91">
                  <c:v>45614</c:v>
                </c:pt>
                <c:pt idx="92">
                  <c:v>45610</c:v>
                </c:pt>
                <c:pt idx="93">
                  <c:v>45609</c:v>
                </c:pt>
                <c:pt idx="94">
                  <c:v>45608</c:v>
                </c:pt>
                <c:pt idx="95">
                  <c:v>45607</c:v>
                </c:pt>
                <c:pt idx="96">
                  <c:v>45604</c:v>
                </c:pt>
                <c:pt idx="97">
                  <c:v>45603</c:v>
                </c:pt>
                <c:pt idx="98">
                  <c:v>45602</c:v>
                </c:pt>
                <c:pt idx="99">
                  <c:v>45601</c:v>
                </c:pt>
                <c:pt idx="100">
                  <c:v>45600</c:v>
                </c:pt>
                <c:pt idx="101">
                  <c:v>45597</c:v>
                </c:pt>
                <c:pt idx="102">
                  <c:v>45596</c:v>
                </c:pt>
                <c:pt idx="103">
                  <c:v>45595</c:v>
                </c:pt>
                <c:pt idx="104">
                  <c:v>45594</c:v>
                </c:pt>
                <c:pt idx="105">
                  <c:v>45593</c:v>
                </c:pt>
                <c:pt idx="106">
                  <c:v>45590</c:v>
                </c:pt>
                <c:pt idx="107">
                  <c:v>45589</c:v>
                </c:pt>
                <c:pt idx="108">
                  <c:v>45588</c:v>
                </c:pt>
                <c:pt idx="109">
                  <c:v>45587</c:v>
                </c:pt>
                <c:pt idx="110">
                  <c:v>45586</c:v>
                </c:pt>
                <c:pt idx="111">
                  <c:v>45583</c:v>
                </c:pt>
                <c:pt idx="112">
                  <c:v>45582</c:v>
                </c:pt>
                <c:pt idx="113">
                  <c:v>45581</c:v>
                </c:pt>
                <c:pt idx="114">
                  <c:v>45580</c:v>
                </c:pt>
                <c:pt idx="115">
                  <c:v>45579</c:v>
                </c:pt>
                <c:pt idx="116">
                  <c:v>45576</c:v>
                </c:pt>
                <c:pt idx="117">
                  <c:v>45575</c:v>
                </c:pt>
                <c:pt idx="118">
                  <c:v>45574</c:v>
                </c:pt>
                <c:pt idx="119">
                  <c:v>45573</c:v>
                </c:pt>
                <c:pt idx="120">
                  <c:v>45572</c:v>
                </c:pt>
                <c:pt idx="121">
                  <c:v>45569</c:v>
                </c:pt>
                <c:pt idx="122">
                  <c:v>45568</c:v>
                </c:pt>
                <c:pt idx="123">
                  <c:v>45566</c:v>
                </c:pt>
                <c:pt idx="124">
                  <c:v>45565</c:v>
                </c:pt>
                <c:pt idx="125">
                  <c:v>45562</c:v>
                </c:pt>
                <c:pt idx="126">
                  <c:v>45561</c:v>
                </c:pt>
                <c:pt idx="127">
                  <c:v>45560</c:v>
                </c:pt>
                <c:pt idx="128">
                  <c:v>45559</c:v>
                </c:pt>
                <c:pt idx="129">
                  <c:v>45558</c:v>
                </c:pt>
                <c:pt idx="130">
                  <c:v>45555</c:v>
                </c:pt>
                <c:pt idx="131">
                  <c:v>45554</c:v>
                </c:pt>
                <c:pt idx="132">
                  <c:v>45553</c:v>
                </c:pt>
                <c:pt idx="133">
                  <c:v>45552</c:v>
                </c:pt>
                <c:pt idx="134">
                  <c:v>45551</c:v>
                </c:pt>
                <c:pt idx="135">
                  <c:v>45548</c:v>
                </c:pt>
                <c:pt idx="136">
                  <c:v>45547</c:v>
                </c:pt>
                <c:pt idx="137">
                  <c:v>45546</c:v>
                </c:pt>
                <c:pt idx="138">
                  <c:v>45545</c:v>
                </c:pt>
                <c:pt idx="139">
                  <c:v>45544</c:v>
                </c:pt>
                <c:pt idx="140">
                  <c:v>45541</c:v>
                </c:pt>
                <c:pt idx="141">
                  <c:v>45540</c:v>
                </c:pt>
                <c:pt idx="142">
                  <c:v>45539</c:v>
                </c:pt>
                <c:pt idx="143">
                  <c:v>45538</c:v>
                </c:pt>
                <c:pt idx="144">
                  <c:v>45537</c:v>
                </c:pt>
                <c:pt idx="145">
                  <c:v>45534</c:v>
                </c:pt>
                <c:pt idx="146">
                  <c:v>45533</c:v>
                </c:pt>
                <c:pt idx="147">
                  <c:v>45532</c:v>
                </c:pt>
                <c:pt idx="148">
                  <c:v>45531</c:v>
                </c:pt>
                <c:pt idx="149">
                  <c:v>45530</c:v>
                </c:pt>
                <c:pt idx="150">
                  <c:v>45527</c:v>
                </c:pt>
                <c:pt idx="151">
                  <c:v>45526</c:v>
                </c:pt>
                <c:pt idx="152">
                  <c:v>45525</c:v>
                </c:pt>
                <c:pt idx="153">
                  <c:v>45524</c:v>
                </c:pt>
                <c:pt idx="154">
                  <c:v>45523</c:v>
                </c:pt>
                <c:pt idx="155">
                  <c:v>45520</c:v>
                </c:pt>
                <c:pt idx="156">
                  <c:v>45518</c:v>
                </c:pt>
                <c:pt idx="157">
                  <c:v>45517</c:v>
                </c:pt>
                <c:pt idx="158">
                  <c:v>45516</c:v>
                </c:pt>
                <c:pt idx="159">
                  <c:v>45513</c:v>
                </c:pt>
                <c:pt idx="160">
                  <c:v>45512</c:v>
                </c:pt>
                <c:pt idx="161">
                  <c:v>45511</c:v>
                </c:pt>
                <c:pt idx="162">
                  <c:v>45510</c:v>
                </c:pt>
                <c:pt idx="163">
                  <c:v>45509</c:v>
                </c:pt>
                <c:pt idx="164">
                  <c:v>45506</c:v>
                </c:pt>
                <c:pt idx="165">
                  <c:v>45505</c:v>
                </c:pt>
                <c:pt idx="166">
                  <c:v>45504</c:v>
                </c:pt>
                <c:pt idx="167">
                  <c:v>45503</c:v>
                </c:pt>
                <c:pt idx="168">
                  <c:v>45502</c:v>
                </c:pt>
                <c:pt idx="169">
                  <c:v>45499</c:v>
                </c:pt>
                <c:pt idx="170">
                  <c:v>45498</c:v>
                </c:pt>
                <c:pt idx="171">
                  <c:v>45497</c:v>
                </c:pt>
                <c:pt idx="172">
                  <c:v>45496</c:v>
                </c:pt>
                <c:pt idx="173">
                  <c:v>45495</c:v>
                </c:pt>
                <c:pt idx="174">
                  <c:v>45492</c:v>
                </c:pt>
                <c:pt idx="175">
                  <c:v>45491</c:v>
                </c:pt>
                <c:pt idx="176">
                  <c:v>45489</c:v>
                </c:pt>
                <c:pt idx="177">
                  <c:v>45488</c:v>
                </c:pt>
                <c:pt idx="178">
                  <c:v>45485</c:v>
                </c:pt>
                <c:pt idx="179">
                  <c:v>45484</c:v>
                </c:pt>
                <c:pt idx="180">
                  <c:v>45483</c:v>
                </c:pt>
                <c:pt idx="181">
                  <c:v>45482</c:v>
                </c:pt>
                <c:pt idx="182">
                  <c:v>45481</c:v>
                </c:pt>
                <c:pt idx="183">
                  <c:v>45478</c:v>
                </c:pt>
                <c:pt idx="184">
                  <c:v>45477</c:v>
                </c:pt>
                <c:pt idx="185">
                  <c:v>45476</c:v>
                </c:pt>
                <c:pt idx="186">
                  <c:v>45475</c:v>
                </c:pt>
                <c:pt idx="187">
                  <c:v>45474</c:v>
                </c:pt>
                <c:pt idx="188">
                  <c:v>45471</c:v>
                </c:pt>
                <c:pt idx="189">
                  <c:v>45470</c:v>
                </c:pt>
                <c:pt idx="190">
                  <c:v>45469</c:v>
                </c:pt>
                <c:pt idx="191">
                  <c:v>45468</c:v>
                </c:pt>
                <c:pt idx="192">
                  <c:v>45467</c:v>
                </c:pt>
                <c:pt idx="193">
                  <c:v>45464</c:v>
                </c:pt>
                <c:pt idx="194">
                  <c:v>45463</c:v>
                </c:pt>
                <c:pt idx="195">
                  <c:v>45462</c:v>
                </c:pt>
                <c:pt idx="196">
                  <c:v>45461</c:v>
                </c:pt>
                <c:pt idx="197">
                  <c:v>45457</c:v>
                </c:pt>
                <c:pt idx="198">
                  <c:v>45456</c:v>
                </c:pt>
                <c:pt idx="199">
                  <c:v>45455</c:v>
                </c:pt>
                <c:pt idx="200">
                  <c:v>45454</c:v>
                </c:pt>
                <c:pt idx="201">
                  <c:v>45453</c:v>
                </c:pt>
                <c:pt idx="202">
                  <c:v>45450</c:v>
                </c:pt>
                <c:pt idx="203">
                  <c:v>45449</c:v>
                </c:pt>
                <c:pt idx="204">
                  <c:v>45448</c:v>
                </c:pt>
                <c:pt idx="205">
                  <c:v>45447</c:v>
                </c:pt>
                <c:pt idx="206">
                  <c:v>45446</c:v>
                </c:pt>
                <c:pt idx="207">
                  <c:v>45443</c:v>
                </c:pt>
                <c:pt idx="208">
                  <c:v>45442</c:v>
                </c:pt>
                <c:pt idx="209">
                  <c:v>45441</c:v>
                </c:pt>
                <c:pt idx="210">
                  <c:v>45440</c:v>
                </c:pt>
                <c:pt idx="211">
                  <c:v>45439</c:v>
                </c:pt>
                <c:pt idx="212">
                  <c:v>45436</c:v>
                </c:pt>
                <c:pt idx="213">
                  <c:v>45435</c:v>
                </c:pt>
                <c:pt idx="214">
                  <c:v>45434</c:v>
                </c:pt>
                <c:pt idx="215">
                  <c:v>45433</c:v>
                </c:pt>
                <c:pt idx="216">
                  <c:v>45429</c:v>
                </c:pt>
                <c:pt idx="217">
                  <c:v>45428</c:v>
                </c:pt>
                <c:pt idx="218">
                  <c:v>45427</c:v>
                </c:pt>
                <c:pt idx="219">
                  <c:v>45426</c:v>
                </c:pt>
                <c:pt idx="220">
                  <c:v>45425</c:v>
                </c:pt>
                <c:pt idx="221">
                  <c:v>45422</c:v>
                </c:pt>
                <c:pt idx="222">
                  <c:v>45421</c:v>
                </c:pt>
                <c:pt idx="223">
                  <c:v>45420</c:v>
                </c:pt>
                <c:pt idx="224">
                  <c:v>45419</c:v>
                </c:pt>
                <c:pt idx="225">
                  <c:v>45418</c:v>
                </c:pt>
                <c:pt idx="226">
                  <c:v>45415</c:v>
                </c:pt>
                <c:pt idx="227">
                  <c:v>45414</c:v>
                </c:pt>
                <c:pt idx="228">
                  <c:v>45412</c:v>
                </c:pt>
                <c:pt idx="229">
                  <c:v>45411</c:v>
                </c:pt>
                <c:pt idx="230">
                  <c:v>45408</c:v>
                </c:pt>
                <c:pt idx="231">
                  <c:v>45407</c:v>
                </c:pt>
                <c:pt idx="232">
                  <c:v>45406</c:v>
                </c:pt>
                <c:pt idx="233">
                  <c:v>45405</c:v>
                </c:pt>
                <c:pt idx="234">
                  <c:v>45404</c:v>
                </c:pt>
                <c:pt idx="235">
                  <c:v>45401</c:v>
                </c:pt>
                <c:pt idx="236">
                  <c:v>45400</c:v>
                </c:pt>
                <c:pt idx="237">
                  <c:v>45398</c:v>
                </c:pt>
                <c:pt idx="238">
                  <c:v>45397</c:v>
                </c:pt>
                <c:pt idx="239">
                  <c:v>45394</c:v>
                </c:pt>
                <c:pt idx="240">
                  <c:v>45392</c:v>
                </c:pt>
                <c:pt idx="241">
                  <c:v>45391</c:v>
                </c:pt>
                <c:pt idx="242">
                  <c:v>45390</c:v>
                </c:pt>
                <c:pt idx="243">
                  <c:v>45387</c:v>
                </c:pt>
                <c:pt idx="244">
                  <c:v>45386</c:v>
                </c:pt>
                <c:pt idx="245">
                  <c:v>45385</c:v>
                </c:pt>
                <c:pt idx="246">
                  <c:v>45384</c:v>
                </c:pt>
                <c:pt idx="247">
                  <c:v>45383</c:v>
                </c:pt>
                <c:pt idx="248">
                  <c:v>45379</c:v>
                </c:pt>
                <c:pt idx="249">
                  <c:v>45378</c:v>
                </c:pt>
                <c:pt idx="250">
                  <c:v>45377</c:v>
                </c:pt>
                <c:pt idx="251">
                  <c:v>45373</c:v>
                </c:pt>
                <c:pt idx="252">
                  <c:v>45372</c:v>
                </c:pt>
                <c:pt idx="253">
                  <c:v>45371</c:v>
                </c:pt>
                <c:pt idx="254">
                  <c:v>45370</c:v>
                </c:pt>
                <c:pt idx="255">
                  <c:v>45369</c:v>
                </c:pt>
                <c:pt idx="256">
                  <c:v>45366</c:v>
                </c:pt>
                <c:pt idx="257">
                  <c:v>45365</c:v>
                </c:pt>
                <c:pt idx="258">
                  <c:v>45364</c:v>
                </c:pt>
                <c:pt idx="259">
                  <c:v>45363</c:v>
                </c:pt>
                <c:pt idx="260">
                  <c:v>45362</c:v>
                </c:pt>
                <c:pt idx="261">
                  <c:v>45358</c:v>
                </c:pt>
                <c:pt idx="262">
                  <c:v>45357</c:v>
                </c:pt>
                <c:pt idx="263">
                  <c:v>45356</c:v>
                </c:pt>
                <c:pt idx="264">
                  <c:v>45355</c:v>
                </c:pt>
                <c:pt idx="265">
                  <c:v>45352</c:v>
                </c:pt>
                <c:pt idx="266">
                  <c:v>45351</c:v>
                </c:pt>
                <c:pt idx="267">
                  <c:v>45350</c:v>
                </c:pt>
                <c:pt idx="268">
                  <c:v>45349</c:v>
                </c:pt>
                <c:pt idx="269">
                  <c:v>45348</c:v>
                </c:pt>
                <c:pt idx="270">
                  <c:v>45345</c:v>
                </c:pt>
                <c:pt idx="271">
                  <c:v>45344</c:v>
                </c:pt>
                <c:pt idx="272">
                  <c:v>45343</c:v>
                </c:pt>
                <c:pt idx="273">
                  <c:v>45342</c:v>
                </c:pt>
                <c:pt idx="274">
                  <c:v>45341</c:v>
                </c:pt>
                <c:pt idx="275">
                  <c:v>45338</c:v>
                </c:pt>
                <c:pt idx="276">
                  <c:v>45337</c:v>
                </c:pt>
                <c:pt idx="277">
                  <c:v>45336</c:v>
                </c:pt>
                <c:pt idx="278">
                  <c:v>45335</c:v>
                </c:pt>
                <c:pt idx="279">
                  <c:v>45334</c:v>
                </c:pt>
                <c:pt idx="280">
                  <c:v>45331</c:v>
                </c:pt>
                <c:pt idx="281">
                  <c:v>45330</c:v>
                </c:pt>
                <c:pt idx="282">
                  <c:v>45329</c:v>
                </c:pt>
                <c:pt idx="283">
                  <c:v>45328</c:v>
                </c:pt>
                <c:pt idx="284">
                  <c:v>45327</c:v>
                </c:pt>
                <c:pt idx="285">
                  <c:v>45324</c:v>
                </c:pt>
                <c:pt idx="286">
                  <c:v>45323</c:v>
                </c:pt>
                <c:pt idx="287">
                  <c:v>45322</c:v>
                </c:pt>
                <c:pt idx="288">
                  <c:v>45321</c:v>
                </c:pt>
                <c:pt idx="289">
                  <c:v>45320</c:v>
                </c:pt>
                <c:pt idx="290">
                  <c:v>45316</c:v>
                </c:pt>
                <c:pt idx="291">
                  <c:v>45315</c:v>
                </c:pt>
                <c:pt idx="292">
                  <c:v>45314</c:v>
                </c:pt>
                <c:pt idx="293">
                  <c:v>45311</c:v>
                </c:pt>
                <c:pt idx="294">
                  <c:v>45310</c:v>
                </c:pt>
                <c:pt idx="295">
                  <c:v>45309</c:v>
                </c:pt>
                <c:pt idx="296">
                  <c:v>45308</c:v>
                </c:pt>
                <c:pt idx="297">
                  <c:v>45307</c:v>
                </c:pt>
                <c:pt idx="298">
                  <c:v>45306</c:v>
                </c:pt>
                <c:pt idx="299">
                  <c:v>45303</c:v>
                </c:pt>
                <c:pt idx="300">
                  <c:v>45302</c:v>
                </c:pt>
                <c:pt idx="301">
                  <c:v>45301</c:v>
                </c:pt>
                <c:pt idx="302">
                  <c:v>45300</c:v>
                </c:pt>
                <c:pt idx="303">
                  <c:v>45299</c:v>
                </c:pt>
                <c:pt idx="304">
                  <c:v>45296</c:v>
                </c:pt>
                <c:pt idx="305">
                  <c:v>45295</c:v>
                </c:pt>
                <c:pt idx="306">
                  <c:v>45294</c:v>
                </c:pt>
                <c:pt idx="307">
                  <c:v>45293</c:v>
                </c:pt>
                <c:pt idx="308">
                  <c:v>45292</c:v>
                </c:pt>
                <c:pt idx="309">
                  <c:v>45289</c:v>
                </c:pt>
                <c:pt idx="310">
                  <c:v>45288</c:v>
                </c:pt>
                <c:pt idx="311">
                  <c:v>45287</c:v>
                </c:pt>
                <c:pt idx="312">
                  <c:v>45286</c:v>
                </c:pt>
                <c:pt idx="313">
                  <c:v>45282</c:v>
                </c:pt>
                <c:pt idx="314">
                  <c:v>45281</c:v>
                </c:pt>
                <c:pt idx="315">
                  <c:v>45280</c:v>
                </c:pt>
                <c:pt idx="316">
                  <c:v>45279</c:v>
                </c:pt>
                <c:pt idx="317">
                  <c:v>45278</c:v>
                </c:pt>
                <c:pt idx="318">
                  <c:v>45275</c:v>
                </c:pt>
                <c:pt idx="319">
                  <c:v>45274</c:v>
                </c:pt>
                <c:pt idx="320">
                  <c:v>45273</c:v>
                </c:pt>
                <c:pt idx="321">
                  <c:v>45272</c:v>
                </c:pt>
                <c:pt idx="322">
                  <c:v>45271</c:v>
                </c:pt>
                <c:pt idx="323">
                  <c:v>45268</c:v>
                </c:pt>
                <c:pt idx="324">
                  <c:v>45267</c:v>
                </c:pt>
                <c:pt idx="325">
                  <c:v>45266</c:v>
                </c:pt>
                <c:pt idx="326">
                  <c:v>45265</c:v>
                </c:pt>
                <c:pt idx="327">
                  <c:v>45264</c:v>
                </c:pt>
                <c:pt idx="328">
                  <c:v>45261</c:v>
                </c:pt>
                <c:pt idx="329">
                  <c:v>45260</c:v>
                </c:pt>
                <c:pt idx="330">
                  <c:v>45259</c:v>
                </c:pt>
                <c:pt idx="331">
                  <c:v>45258</c:v>
                </c:pt>
                <c:pt idx="332">
                  <c:v>45254</c:v>
                </c:pt>
                <c:pt idx="333">
                  <c:v>45253</c:v>
                </c:pt>
                <c:pt idx="334">
                  <c:v>45252</c:v>
                </c:pt>
                <c:pt idx="335">
                  <c:v>45251</c:v>
                </c:pt>
                <c:pt idx="336">
                  <c:v>45250</c:v>
                </c:pt>
                <c:pt idx="337">
                  <c:v>45247</c:v>
                </c:pt>
                <c:pt idx="338">
                  <c:v>45246</c:v>
                </c:pt>
                <c:pt idx="339">
                  <c:v>45245</c:v>
                </c:pt>
                <c:pt idx="340">
                  <c:v>45243</c:v>
                </c:pt>
                <c:pt idx="341">
                  <c:v>45242</c:v>
                </c:pt>
                <c:pt idx="342">
                  <c:v>45240</c:v>
                </c:pt>
                <c:pt idx="343">
                  <c:v>45239</c:v>
                </c:pt>
                <c:pt idx="344">
                  <c:v>45238</c:v>
                </c:pt>
                <c:pt idx="345">
                  <c:v>45237</c:v>
                </c:pt>
                <c:pt idx="346">
                  <c:v>45236</c:v>
                </c:pt>
                <c:pt idx="347">
                  <c:v>45233</c:v>
                </c:pt>
                <c:pt idx="348">
                  <c:v>45232</c:v>
                </c:pt>
                <c:pt idx="349">
                  <c:v>45231</c:v>
                </c:pt>
                <c:pt idx="350">
                  <c:v>45230</c:v>
                </c:pt>
                <c:pt idx="351">
                  <c:v>45229</c:v>
                </c:pt>
                <c:pt idx="352">
                  <c:v>45226</c:v>
                </c:pt>
                <c:pt idx="353">
                  <c:v>45225</c:v>
                </c:pt>
                <c:pt idx="354">
                  <c:v>45224</c:v>
                </c:pt>
                <c:pt idx="355">
                  <c:v>45222</c:v>
                </c:pt>
                <c:pt idx="356">
                  <c:v>45219</c:v>
                </c:pt>
                <c:pt idx="357">
                  <c:v>45218</c:v>
                </c:pt>
                <c:pt idx="358">
                  <c:v>45217</c:v>
                </c:pt>
                <c:pt idx="359">
                  <c:v>45216</c:v>
                </c:pt>
                <c:pt idx="360">
                  <c:v>45215</c:v>
                </c:pt>
                <c:pt idx="361">
                  <c:v>45212</c:v>
                </c:pt>
                <c:pt idx="362">
                  <c:v>45211</c:v>
                </c:pt>
                <c:pt idx="363">
                  <c:v>45210</c:v>
                </c:pt>
                <c:pt idx="364">
                  <c:v>45209</c:v>
                </c:pt>
                <c:pt idx="365">
                  <c:v>45208</c:v>
                </c:pt>
                <c:pt idx="366">
                  <c:v>45205</c:v>
                </c:pt>
                <c:pt idx="367">
                  <c:v>45204</c:v>
                </c:pt>
                <c:pt idx="368">
                  <c:v>45203</c:v>
                </c:pt>
                <c:pt idx="369">
                  <c:v>45202</c:v>
                </c:pt>
                <c:pt idx="370">
                  <c:v>45198</c:v>
                </c:pt>
                <c:pt idx="371">
                  <c:v>45197</c:v>
                </c:pt>
                <c:pt idx="372">
                  <c:v>45196</c:v>
                </c:pt>
                <c:pt idx="373">
                  <c:v>45195</c:v>
                </c:pt>
                <c:pt idx="374">
                  <c:v>45194</c:v>
                </c:pt>
                <c:pt idx="375">
                  <c:v>45191</c:v>
                </c:pt>
                <c:pt idx="376">
                  <c:v>45190</c:v>
                </c:pt>
                <c:pt idx="377">
                  <c:v>45189</c:v>
                </c:pt>
                <c:pt idx="378">
                  <c:v>45187</c:v>
                </c:pt>
                <c:pt idx="379">
                  <c:v>45184</c:v>
                </c:pt>
                <c:pt idx="380">
                  <c:v>45183</c:v>
                </c:pt>
                <c:pt idx="381">
                  <c:v>45182</c:v>
                </c:pt>
                <c:pt idx="382">
                  <c:v>45181</c:v>
                </c:pt>
                <c:pt idx="383">
                  <c:v>45180</c:v>
                </c:pt>
                <c:pt idx="384">
                  <c:v>45177</c:v>
                </c:pt>
                <c:pt idx="385">
                  <c:v>45176</c:v>
                </c:pt>
                <c:pt idx="386">
                  <c:v>45175</c:v>
                </c:pt>
                <c:pt idx="387">
                  <c:v>45174</c:v>
                </c:pt>
                <c:pt idx="388">
                  <c:v>45173</c:v>
                </c:pt>
                <c:pt idx="389">
                  <c:v>45170</c:v>
                </c:pt>
                <c:pt idx="390">
                  <c:v>45169</c:v>
                </c:pt>
                <c:pt idx="391">
                  <c:v>45168</c:v>
                </c:pt>
                <c:pt idx="392">
                  <c:v>45167</c:v>
                </c:pt>
                <c:pt idx="393">
                  <c:v>45166</c:v>
                </c:pt>
                <c:pt idx="394">
                  <c:v>45163</c:v>
                </c:pt>
                <c:pt idx="395">
                  <c:v>45162</c:v>
                </c:pt>
                <c:pt idx="396">
                  <c:v>45161</c:v>
                </c:pt>
                <c:pt idx="397">
                  <c:v>45160</c:v>
                </c:pt>
                <c:pt idx="398">
                  <c:v>45159</c:v>
                </c:pt>
                <c:pt idx="399">
                  <c:v>45156</c:v>
                </c:pt>
                <c:pt idx="400">
                  <c:v>45155</c:v>
                </c:pt>
                <c:pt idx="401">
                  <c:v>45154</c:v>
                </c:pt>
                <c:pt idx="402">
                  <c:v>45152</c:v>
                </c:pt>
                <c:pt idx="403">
                  <c:v>45149</c:v>
                </c:pt>
                <c:pt idx="404">
                  <c:v>45148</c:v>
                </c:pt>
                <c:pt idx="405">
                  <c:v>45147</c:v>
                </c:pt>
                <c:pt idx="406">
                  <c:v>45146</c:v>
                </c:pt>
                <c:pt idx="407">
                  <c:v>45145</c:v>
                </c:pt>
                <c:pt idx="408">
                  <c:v>45142</c:v>
                </c:pt>
                <c:pt idx="409">
                  <c:v>45141</c:v>
                </c:pt>
                <c:pt idx="410">
                  <c:v>45140</c:v>
                </c:pt>
                <c:pt idx="411">
                  <c:v>45139</c:v>
                </c:pt>
                <c:pt idx="412">
                  <c:v>45138</c:v>
                </c:pt>
                <c:pt idx="413">
                  <c:v>45135</c:v>
                </c:pt>
                <c:pt idx="414">
                  <c:v>45134</c:v>
                </c:pt>
                <c:pt idx="415">
                  <c:v>45133</c:v>
                </c:pt>
                <c:pt idx="416">
                  <c:v>45132</c:v>
                </c:pt>
                <c:pt idx="417">
                  <c:v>45131</c:v>
                </c:pt>
                <c:pt idx="418">
                  <c:v>45128</c:v>
                </c:pt>
                <c:pt idx="419">
                  <c:v>45127</c:v>
                </c:pt>
                <c:pt idx="420">
                  <c:v>45126</c:v>
                </c:pt>
                <c:pt idx="421">
                  <c:v>45125</c:v>
                </c:pt>
                <c:pt idx="422">
                  <c:v>45124</c:v>
                </c:pt>
                <c:pt idx="423">
                  <c:v>45121</c:v>
                </c:pt>
                <c:pt idx="424">
                  <c:v>45120</c:v>
                </c:pt>
                <c:pt idx="425">
                  <c:v>45119</c:v>
                </c:pt>
                <c:pt idx="426">
                  <c:v>45118</c:v>
                </c:pt>
                <c:pt idx="427">
                  <c:v>45117</c:v>
                </c:pt>
                <c:pt idx="428">
                  <c:v>45114</c:v>
                </c:pt>
                <c:pt idx="429">
                  <c:v>45113</c:v>
                </c:pt>
                <c:pt idx="430">
                  <c:v>45112</c:v>
                </c:pt>
                <c:pt idx="431">
                  <c:v>45111</c:v>
                </c:pt>
                <c:pt idx="432">
                  <c:v>45110</c:v>
                </c:pt>
                <c:pt idx="433">
                  <c:v>45107</c:v>
                </c:pt>
                <c:pt idx="434">
                  <c:v>45105</c:v>
                </c:pt>
                <c:pt idx="435">
                  <c:v>45104</c:v>
                </c:pt>
                <c:pt idx="436">
                  <c:v>45103</c:v>
                </c:pt>
                <c:pt idx="437">
                  <c:v>45100</c:v>
                </c:pt>
                <c:pt idx="438">
                  <c:v>45099</c:v>
                </c:pt>
                <c:pt idx="439">
                  <c:v>45098</c:v>
                </c:pt>
                <c:pt idx="440">
                  <c:v>45097</c:v>
                </c:pt>
                <c:pt idx="441">
                  <c:v>45096</c:v>
                </c:pt>
                <c:pt idx="442">
                  <c:v>45093</c:v>
                </c:pt>
                <c:pt idx="443">
                  <c:v>45092</c:v>
                </c:pt>
                <c:pt idx="444">
                  <c:v>45091</c:v>
                </c:pt>
                <c:pt idx="445">
                  <c:v>45090</c:v>
                </c:pt>
                <c:pt idx="446">
                  <c:v>45089</c:v>
                </c:pt>
                <c:pt idx="447">
                  <c:v>45086</c:v>
                </c:pt>
                <c:pt idx="448">
                  <c:v>45085</c:v>
                </c:pt>
                <c:pt idx="449">
                  <c:v>45084</c:v>
                </c:pt>
                <c:pt idx="450">
                  <c:v>45083</c:v>
                </c:pt>
                <c:pt idx="451">
                  <c:v>45082</c:v>
                </c:pt>
                <c:pt idx="452">
                  <c:v>45079</c:v>
                </c:pt>
                <c:pt idx="453">
                  <c:v>45078</c:v>
                </c:pt>
                <c:pt idx="454">
                  <c:v>45077</c:v>
                </c:pt>
                <c:pt idx="455">
                  <c:v>45076</c:v>
                </c:pt>
                <c:pt idx="456">
                  <c:v>45075</c:v>
                </c:pt>
                <c:pt idx="457">
                  <c:v>45072</c:v>
                </c:pt>
                <c:pt idx="458">
                  <c:v>45071</c:v>
                </c:pt>
                <c:pt idx="459">
                  <c:v>45070</c:v>
                </c:pt>
                <c:pt idx="460">
                  <c:v>45069</c:v>
                </c:pt>
                <c:pt idx="461">
                  <c:v>45068</c:v>
                </c:pt>
                <c:pt idx="462">
                  <c:v>45065</c:v>
                </c:pt>
                <c:pt idx="463">
                  <c:v>45064</c:v>
                </c:pt>
                <c:pt idx="464">
                  <c:v>45063</c:v>
                </c:pt>
                <c:pt idx="465">
                  <c:v>45062</c:v>
                </c:pt>
                <c:pt idx="466">
                  <c:v>45061</c:v>
                </c:pt>
                <c:pt idx="467">
                  <c:v>45058</c:v>
                </c:pt>
                <c:pt idx="468">
                  <c:v>45057</c:v>
                </c:pt>
                <c:pt idx="469">
                  <c:v>45056</c:v>
                </c:pt>
                <c:pt idx="470">
                  <c:v>45055</c:v>
                </c:pt>
                <c:pt idx="471">
                  <c:v>45054</c:v>
                </c:pt>
                <c:pt idx="472">
                  <c:v>45051</c:v>
                </c:pt>
                <c:pt idx="473">
                  <c:v>45050</c:v>
                </c:pt>
                <c:pt idx="474">
                  <c:v>45049</c:v>
                </c:pt>
                <c:pt idx="475">
                  <c:v>45048</c:v>
                </c:pt>
                <c:pt idx="476">
                  <c:v>45044</c:v>
                </c:pt>
                <c:pt idx="477">
                  <c:v>45043</c:v>
                </c:pt>
                <c:pt idx="478">
                  <c:v>45042</c:v>
                </c:pt>
                <c:pt idx="479">
                  <c:v>45041</c:v>
                </c:pt>
                <c:pt idx="480">
                  <c:v>45040</c:v>
                </c:pt>
                <c:pt idx="481">
                  <c:v>45037</c:v>
                </c:pt>
                <c:pt idx="482">
                  <c:v>45036</c:v>
                </c:pt>
                <c:pt idx="483">
                  <c:v>45035</c:v>
                </c:pt>
                <c:pt idx="484">
                  <c:v>45034</c:v>
                </c:pt>
                <c:pt idx="485">
                  <c:v>45033</c:v>
                </c:pt>
                <c:pt idx="486">
                  <c:v>45029</c:v>
                </c:pt>
                <c:pt idx="487">
                  <c:v>45028</c:v>
                </c:pt>
                <c:pt idx="488">
                  <c:v>45027</c:v>
                </c:pt>
                <c:pt idx="489">
                  <c:v>45026</c:v>
                </c:pt>
                <c:pt idx="490">
                  <c:v>45022</c:v>
                </c:pt>
                <c:pt idx="491">
                  <c:v>45021</c:v>
                </c:pt>
                <c:pt idx="492">
                  <c:v>45019</c:v>
                </c:pt>
                <c:pt idx="493">
                  <c:v>45016</c:v>
                </c:pt>
                <c:pt idx="494">
                  <c:v>45014</c:v>
                </c:pt>
                <c:pt idx="495">
                  <c:v>45013</c:v>
                </c:pt>
                <c:pt idx="496">
                  <c:v>45012</c:v>
                </c:pt>
                <c:pt idx="497">
                  <c:v>45009</c:v>
                </c:pt>
                <c:pt idx="498">
                  <c:v>45008</c:v>
                </c:pt>
                <c:pt idx="499">
                  <c:v>45007</c:v>
                </c:pt>
                <c:pt idx="500">
                  <c:v>45006</c:v>
                </c:pt>
                <c:pt idx="501">
                  <c:v>45005</c:v>
                </c:pt>
                <c:pt idx="502">
                  <c:v>45002</c:v>
                </c:pt>
                <c:pt idx="503">
                  <c:v>45001</c:v>
                </c:pt>
                <c:pt idx="504">
                  <c:v>45000</c:v>
                </c:pt>
                <c:pt idx="505">
                  <c:v>44999</c:v>
                </c:pt>
                <c:pt idx="506">
                  <c:v>44998</c:v>
                </c:pt>
                <c:pt idx="507">
                  <c:v>44995</c:v>
                </c:pt>
                <c:pt idx="508">
                  <c:v>44994</c:v>
                </c:pt>
                <c:pt idx="509">
                  <c:v>44993</c:v>
                </c:pt>
                <c:pt idx="510">
                  <c:v>44991</c:v>
                </c:pt>
                <c:pt idx="511">
                  <c:v>44988</c:v>
                </c:pt>
                <c:pt idx="512">
                  <c:v>44987</c:v>
                </c:pt>
                <c:pt idx="513">
                  <c:v>44986</c:v>
                </c:pt>
                <c:pt idx="514">
                  <c:v>44985</c:v>
                </c:pt>
                <c:pt idx="515">
                  <c:v>44984</c:v>
                </c:pt>
                <c:pt idx="516">
                  <c:v>44981</c:v>
                </c:pt>
                <c:pt idx="517">
                  <c:v>44980</c:v>
                </c:pt>
                <c:pt idx="518">
                  <c:v>44979</c:v>
                </c:pt>
                <c:pt idx="519">
                  <c:v>44978</c:v>
                </c:pt>
                <c:pt idx="520">
                  <c:v>44977</c:v>
                </c:pt>
                <c:pt idx="521">
                  <c:v>44974</c:v>
                </c:pt>
                <c:pt idx="522">
                  <c:v>44973</c:v>
                </c:pt>
                <c:pt idx="523">
                  <c:v>44972</c:v>
                </c:pt>
                <c:pt idx="524">
                  <c:v>44971</c:v>
                </c:pt>
                <c:pt idx="525">
                  <c:v>44970</c:v>
                </c:pt>
                <c:pt idx="526">
                  <c:v>44967</c:v>
                </c:pt>
                <c:pt idx="527">
                  <c:v>44966</c:v>
                </c:pt>
                <c:pt idx="528">
                  <c:v>44965</c:v>
                </c:pt>
                <c:pt idx="529">
                  <c:v>44964</c:v>
                </c:pt>
                <c:pt idx="530">
                  <c:v>44963</c:v>
                </c:pt>
                <c:pt idx="531">
                  <c:v>44960</c:v>
                </c:pt>
                <c:pt idx="532">
                  <c:v>44959</c:v>
                </c:pt>
                <c:pt idx="533">
                  <c:v>44958</c:v>
                </c:pt>
                <c:pt idx="534">
                  <c:v>44957</c:v>
                </c:pt>
                <c:pt idx="535">
                  <c:v>44956</c:v>
                </c:pt>
                <c:pt idx="536">
                  <c:v>44953</c:v>
                </c:pt>
                <c:pt idx="537">
                  <c:v>44951</c:v>
                </c:pt>
                <c:pt idx="538">
                  <c:v>44950</c:v>
                </c:pt>
                <c:pt idx="539">
                  <c:v>44949</c:v>
                </c:pt>
                <c:pt idx="540">
                  <c:v>44946</c:v>
                </c:pt>
                <c:pt idx="541">
                  <c:v>44945</c:v>
                </c:pt>
                <c:pt idx="542">
                  <c:v>44944</c:v>
                </c:pt>
                <c:pt idx="543">
                  <c:v>44943</c:v>
                </c:pt>
                <c:pt idx="544">
                  <c:v>44942</c:v>
                </c:pt>
                <c:pt idx="545">
                  <c:v>44939</c:v>
                </c:pt>
                <c:pt idx="546">
                  <c:v>44938</c:v>
                </c:pt>
                <c:pt idx="547">
                  <c:v>44937</c:v>
                </c:pt>
                <c:pt idx="548">
                  <c:v>44936</c:v>
                </c:pt>
                <c:pt idx="549">
                  <c:v>44935</c:v>
                </c:pt>
                <c:pt idx="550">
                  <c:v>44932</c:v>
                </c:pt>
                <c:pt idx="551">
                  <c:v>44931</c:v>
                </c:pt>
                <c:pt idx="552">
                  <c:v>44930</c:v>
                </c:pt>
                <c:pt idx="553">
                  <c:v>44929</c:v>
                </c:pt>
                <c:pt idx="554">
                  <c:v>44928</c:v>
                </c:pt>
                <c:pt idx="555">
                  <c:v>44925</c:v>
                </c:pt>
                <c:pt idx="556">
                  <c:v>44924</c:v>
                </c:pt>
                <c:pt idx="557">
                  <c:v>44923</c:v>
                </c:pt>
                <c:pt idx="558">
                  <c:v>44922</c:v>
                </c:pt>
                <c:pt idx="559">
                  <c:v>44921</c:v>
                </c:pt>
                <c:pt idx="560">
                  <c:v>44918</c:v>
                </c:pt>
                <c:pt idx="561">
                  <c:v>44917</c:v>
                </c:pt>
                <c:pt idx="562">
                  <c:v>44916</c:v>
                </c:pt>
                <c:pt idx="563">
                  <c:v>44915</c:v>
                </c:pt>
                <c:pt idx="564">
                  <c:v>44914</c:v>
                </c:pt>
                <c:pt idx="565">
                  <c:v>44911</c:v>
                </c:pt>
                <c:pt idx="566">
                  <c:v>44910</c:v>
                </c:pt>
                <c:pt idx="567">
                  <c:v>44909</c:v>
                </c:pt>
                <c:pt idx="568">
                  <c:v>44908</c:v>
                </c:pt>
                <c:pt idx="569">
                  <c:v>44907</c:v>
                </c:pt>
                <c:pt idx="570">
                  <c:v>44904</c:v>
                </c:pt>
                <c:pt idx="571">
                  <c:v>44903</c:v>
                </c:pt>
                <c:pt idx="572">
                  <c:v>44902</c:v>
                </c:pt>
                <c:pt idx="573">
                  <c:v>44901</c:v>
                </c:pt>
                <c:pt idx="574">
                  <c:v>44900</c:v>
                </c:pt>
                <c:pt idx="575">
                  <c:v>44897</c:v>
                </c:pt>
                <c:pt idx="576">
                  <c:v>44896</c:v>
                </c:pt>
                <c:pt idx="577">
                  <c:v>44895</c:v>
                </c:pt>
                <c:pt idx="578">
                  <c:v>44894</c:v>
                </c:pt>
                <c:pt idx="579">
                  <c:v>44893</c:v>
                </c:pt>
                <c:pt idx="580">
                  <c:v>44890</c:v>
                </c:pt>
                <c:pt idx="581">
                  <c:v>44889</c:v>
                </c:pt>
                <c:pt idx="582">
                  <c:v>44888</c:v>
                </c:pt>
                <c:pt idx="583">
                  <c:v>44887</c:v>
                </c:pt>
                <c:pt idx="584">
                  <c:v>44886</c:v>
                </c:pt>
                <c:pt idx="585">
                  <c:v>44883</c:v>
                </c:pt>
                <c:pt idx="586">
                  <c:v>44882</c:v>
                </c:pt>
                <c:pt idx="587">
                  <c:v>44881</c:v>
                </c:pt>
                <c:pt idx="588">
                  <c:v>44880</c:v>
                </c:pt>
                <c:pt idx="589">
                  <c:v>44879</c:v>
                </c:pt>
                <c:pt idx="590">
                  <c:v>44876</c:v>
                </c:pt>
                <c:pt idx="591">
                  <c:v>44875</c:v>
                </c:pt>
                <c:pt idx="592">
                  <c:v>44874</c:v>
                </c:pt>
                <c:pt idx="593">
                  <c:v>44872</c:v>
                </c:pt>
                <c:pt idx="594">
                  <c:v>44869</c:v>
                </c:pt>
                <c:pt idx="595">
                  <c:v>44868</c:v>
                </c:pt>
                <c:pt idx="596">
                  <c:v>44867</c:v>
                </c:pt>
                <c:pt idx="597">
                  <c:v>44866</c:v>
                </c:pt>
                <c:pt idx="598">
                  <c:v>44865</c:v>
                </c:pt>
                <c:pt idx="599">
                  <c:v>44862</c:v>
                </c:pt>
                <c:pt idx="600">
                  <c:v>44861</c:v>
                </c:pt>
                <c:pt idx="601">
                  <c:v>44859</c:v>
                </c:pt>
                <c:pt idx="602">
                  <c:v>44858</c:v>
                </c:pt>
                <c:pt idx="603">
                  <c:v>44855</c:v>
                </c:pt>
                <c:pt idx="604">
                  <c:v>44854</c:v>
                </c:pt>
                <c:pt idx="605">
                  <c:v>44853</c:v>
                </c:pt>
                <c:pt idx="606">
                  <c:v>44852</c:v>
                </c:pt>
                <c:pt idx="607">
                  <c:v>44851</c:v>
                </c:pt>
                <c:pt idx="608">
                  <c:v>44848</c:v>
                </c:pt>
                <c:pt idx="609">
                  <c:v>44847</c:v>
                </c:pt>
                <c:pt idx="610">
                  <c:v>44846</c:v>
                </c:pt>
                <c:pt idx="611">
                  <c:v>44845</c:v>
                </c:pt>
                <c:pt idx="612">
                  <c:v>44844</c:v>
                </c:pt>
                <c:pt idx="613">
                  <c:v>44841</c:v>
                </c:pt>
                <c:pt idx="614">
                  <c:v>44840</c:v>
                </c:pt>
                <c:pt idx="615">
                  <c:v>44838</c:v>
                </c:pt>
                <c:pt idx="616">
                  <c:v>44837</c:v>
                </c:pt>
                <c:pt idx="617">
                  <c:v>44834</c:v>
                </c:pt>
                <c:pt idx="618">
                  <c:v>44833</c:v>
                </c:pt>
                <c:pt idx="619">
                  <c:v>44832</c:v>
                </c:pt>
                <c:pt idx="620">
                  <c:v>44831</c:v>
                </c:pt>
                <c:pt idx="621">
                  <c:v>44830</c:v>
                </c:pt>
                <c:pt idx="622">
                  <c:v>44827</c:v>
                </c:pt>
                <c:pt idx="623">
                  <c:v>44826</c:v>
                </c:pt>
                <c:pt idx="624">
                  <c:v>44825</c:v>
                </c:pt>
                <c:pt idx="625">
                  <c:v>44824</c:v>
                </c:pt>
                <c:pt idx="626">
                  <c:v>44823</c:v>
                </c:pt>
                <c:pt idx="627">
                  <c:v>44820</c:v>
                </c:pt>
                <c:pt idx="628">
                  <c:v>44819</c:v>
                </c:pt>
                <c:pt idx="629">
                  <c:v>44818</c:v>
                </c:pt>
                <c:pt idx="630">
                  <c:v>44817</c:v>
                </c:pt>
                <c:pt idx="631">
                  <c:v>44816</c:v>
                </c:pt>
                <c:pt idx="632">
                  <c:v>44813</c:v>
                </c:pt>
                <c:pt idx="633">
                  <c:v>44812</c:v>
                </c:pt>
                <c:pt idx="634">
                  <c:v>44811</c:v>
                </c:pt>
                <c:pt idx="635">
                  <c:v>44810</c:v>
                </c:pt>
                <c:pt idx="636">
                  <c:v>44809</c:v>
                </c:pt>
                <c:pt idx="637">
                  <c:v>44806</c:v>
                </c:pt>
                <c:pt idx="638">
                  <c:v>44805</c:v>
                </c:pt>
                <c:pt idx="639">
                  <c:v>44803</c:v>
                </c:pt>
                <c:pt idx="640">
                  <c:v>44802</c:v>
                </c:pt>
                <c:pt idx="641">
                  <c:v>44799</c:v>
                </c:pt>
                <c:pt idx="642">
                  <c:v>44798</c:v>
                </c:pt>
                <c:pt idx="643">
                  <c:v>44797</c:v>
                </c:pt>
                <c:pt idx="644">
                  <c:v>44796</c:v>
                </c:pt>
                <c:pt idx="645">
                  <c:v>44795</c:v>
                </c:pt>
                <c:pt idx="646">
                  <c:v>44792</c:v>
                </c:pt>
                <c:pt idx="647">
                  <c:v>44791</c:v>
                </c:pt>
                <c:pt idx="648">
                  <c:v>44790</c:v>
                </c:pt>
                <c:pt idx="649">
                  <c:v>44789</c:v>
                </c:pt>
                <c:pt idx="650">
                  <c:v>44785</c:v>
                </c:pt>
                <c:pt idx="651">
                  <c:v>44784</c:v>
                </c:pt>
                <c:pt idx="652">
                  <c:v>44783</c:v>
                </c:pt>
                <c:pt idx="653">
                  <c:v>44781</c:v>
                </c:pt>
                <c:pt idx="654">
                  <c:v>44778</c:v>
                </c:pt>
                <c:pt idx="655">
                  <c:v>44777</c:v>
                </c:pt>
                <c:pt idx="656">
                  <c:v>44776</c:v>
                </c:pt>
                <c:pt idx="657">
                  <c:v>44775</c:v>
                </c:pt>
                <c:pt idx="658">
                  <c:v>44774</c:v>
                </c:pt>
                <c:pt idx="659">
                  <c:v>44771</c:v>
                </c:pt>
                <c:pt idx="660">
                  <c:v>44770</c:v>
                </c:pt>
                <c:pt idx="661">
                  <c:v>44769</c:v>
                </c:pt>
                <c:pt idx="662">
                  <c:v>44768</c:v>
                </c:pt>
                <c:pt idx="663">
                  <c:v>44767</c:v>
                </c:pt>
                <c:pt idx="664">
                  <c:v>44764</c:v>
                </c:pt>
                <c:pt idx="665">
                  <c:v>44763</c:v>
                </c:pt>
                <c:pt idx="666">
                  <c:v>44762</c:v>
                </c:pt>
                <c:pt idx="667">
                  <c:v>44761</c:v>
                </c:pt>
                <c:pt idx="668">
                  <c:v>44760</c:v>
                </c:pt>
                <c:pt idx="669">
                  <c:v>44757</c:v>
                </c:pt>
                <c:pt idx="670">
                  <c:v>44756</c:v>
                </c:pt>
                <c:pt idx="671">
                  <c:v>44755</c:v>
                </c:pt>
                <c:pt idx="672">
                  <c:v>44754</c:v>
                </c:pt>
                <c:pt idx="673">
                  <c:v>44753</c:v>
                </c:pt>
                <c:pt idx="674">
                  <c:v>44750</c:v>
                </c:pt>
                <c:pt idx="675">
                  <c:v>44749</c:v>
                </c:pt>
                <c:pt idx="676">
                  <c:v>44748</c:v>
                </c:pt>
                <c:pt idx="677">
                  <c:v>44747</c:v>
                </c:pt>
                <c:pt idx="678">
                  <c:v>44746</c:v>
                </c:pt>
                <c:pt idx="679">
                  <c:v>44743</c:v>
                </c:pt>
                <c:pt idx="680">
                  <c:v>44742</c:v>
                </c:pt>
                <c:pt idx="681">
                  <c:v>44741</c:v>
                </c:pt>
                <c:pt idx="682">
                  <c:v>44740</c:v>
                </c:pt>
                <c:pt idx="683">
                  <c:v>44739</c:v>
                </c:pt>
                <c:pt idx="684">
                  <c:v>44736</c:v>
                </c:pt>
                <c:pt idx="685">
                  <c:v>44735</c:v>
                </c:pt>
                <c:pt idx="686">
                  <c:v>44734</c:v>
                </c:pt>
                <c:pt idx="687">
                  <c:v>44733</c:v>
                </c:pt>
                <c:pt idx="688">
                  <c:v>44732</c:v>
                </c:pt>
                <c:pt idx="689">
                  <c:v>44729</c:v>
                </c:pt>
                <c:pt idx="690">
                  <c:v>44728</c:v>
                </c:pt>
                <c:pt idx="691">
                  <c:v>44727</c:v>
                </c:pt>
                <c:pt idx="692">
                  <c:v>44726</c:v>
                </c:pt>
                <c:pt idx="693">
                  <c:v>44725</c:v>
                </c:pt>
                <c:pt idx="694">
                  <c:v>44722</c:v>
                </c:pt>
                <c:pt idx="695">
                  <c:v>44721</c:v>
                </c:pt>
                <c:pt idx="696">
                  <c:v>44720</c:v>
                </c:pt>
                <c:pt idx="697">
                  <c:v>44719</c:v>
                </c:pt>
                <c:pt idx="698">
                  <c:v>44718</c:v>
                </c:pt>
                <c:pt idx="699">
                  <c:v>44715</c:v>
                </c:pt>
                <c:pt idx="700">
                  <c:v>44714</c:v>
                </c:pt>
                <c:pt idx="701">
                  <c:v>44713</c:v>
                </c:pt>
                <c:pt idx="702">
                  <c:v>44712</c:v>
                </c:pt>
                <c:pt idx="703">
                  <c:v>44711</c:v>
                </c:pt>
                <c:pt idx="704">
                  <c:v>44708</c:v>
                </c:pt>
                <c:pt idx="705">
                  <c:v>44707</c:v>
                </c:pt>
                <c:pt idx="706">
                  <c:v>44706</c:v>
                </c:pt>
                <c:pt idx="707">
                  <c:v>44705</c:v>
                </c:pt>
                <c:pt idx="708">
                  <c:v>44704</c:v>
                </c:pt>
                <c:pt idx="709">
                  <c:v>44701</c:v>
                </c:pt>
                <c:pt idx="710">
                  <c:v>44700</c:v>
                </c:pt>
                <c:pt idx="711">
                  <c:v>44699</c:v>
                </c:pt>
                <c:pt idx="712">
                  <c:v>44698</c:v>
                </c:pt>
                <c:pt idx="713">
                  <c:v>44697</c:v>
                </c:pt>
                <c:pt idx="714">
                  <c:v>44694</c:v>
                </c:pt>
                <c:pt idx="715">
                  <c:v>44693</c:v>
                </c:pt>
                <c:pt idx="716">
                  <c:v>44692</c:v>
                </c:pt>
                <c:pt idx="717">
                  <c:v>44691</c:v>
                </c:pt>
                <c:pt idx="718">
                  <c:v>44690</c:v>
                </c:pt>
                <c:pt idx="719">
                  <c:v>44687</c:v>
                </c:pt>
                <c:pt idx="720">
                  <c:v>44686</c:v>
                </c:pt>
                <c:pt idx="721">
                  <c:v>44685</c:v>
                </c:pt>
                <c:pt idx="722">
                  <c:v>44683</c:v>
                </c:pt>
                <c:pt idx="723">
                  <c:v>44680</c:v>
                </c:pt>
                <c:pt idx="724">
                  <c:v>44679</c:v>
                </c:pt>
                <c:pt idx="725">
                  <c:v>44678</c:v>
                </c:pt>
                <c:pt idx="726">
                  <c:v>44677</c:v>
                </c:pt>
                <c:pt idx="727">
                  <c:v>44676</c:v>
                </c:pt>
                <c:pt idx="728">
                  <c:v>44673</c:v>
                </c:pt>
                <c:pt idx="729">
                  <c:v>44672</c:v>
                </c:pt>
                <c:pt idx="730">
                  <c:v>44671</c:v>
                </c:pt>
                <c:pt idx="731">
                  <c:v>44670</c:v>
                </c:pt>
                <c:pt idx="732">
                  <c:v>44669</c:v>
                </c:pt>
                <c:pt idx="733">
                  <c:v>44664</c:v>
                </c:pt>
                <c:pt idx="734">
                  <c:v>44663</c:v>
                </c:pt>
                <c:pt idx="735">
                  <c:v>44662</c:v>
                </c:pt>
                <c:pt idx="736">
                  <c:v>44659</c:v>
                </c:pt>
                <c:pt idx="737">
                  <c:v>44658</c:v>
                </c:pt>
                <c:pt idx="738">
                  <c:v>44657</c:v>
                </c:pt>
                <c:pt idx="739">
                  <c:v>44656</c:v>
                </c:pt>
                <c:pt idx="740">
                  <c:v>44655</c:v>
                </c:pt>
                <c:pt idx="741">
                  <c:v>44652</c:v>
                </c:pt>
                <c:pt idx="742">
                  <c:v>44651</c:v>
                </c:pt>
                <c:pt idx="743">
                  <c:v>44650</c:v>
                </c:pt>
                <c:pt idx="744">
                  <c:v>44649</c:v>
                </c:pt>
                <c:pt idx="745">
                  <c:v>44648</c:v>
                </c:pt>
                <c:pt idx="746">
                  <c:v>44645</c:v>
                </c:pt>
                <c:pt idx="747">
                  <c:v>44644</c:v>
                </c:pt>
                <c:pt idx="748">
                  <c:v>44643</c:v>
                </c:pt>
                <c:pt idx="749">
                  <c:v>44642</c:v>
                </c:pt>
                <c:pt idx="750">
                  <c:v>44641</c:v>
                </c:pt>
                <c:pt idx="751">
                  <c:v>44637</c:v>
                </c:pt>
                <c:pt idx="752">
                  <c:v>44636</c:v>
                </c:pt>
                <c:pt idx="753">
                  <c:v>44635</c:v>
                </c:pt>
                <c:pt idx="754">
                  <c:v>44634</c:v>
                </c:pt>
                <c:pt idx="755">
                  <c:v>44631</c:v>
                </c:pt>
                <c:pt idx="756">
                  <c:v>44630</c:v>
                </c:pt>
                <c:pt idx="757">
                  <c:v>44629</c:v>
                </c:pt>
                <c:pt idx="758">
                  <c:v>44628</c:v>
                </c:pt>
                <c:pt idx="759">
                  <c:v>44627</c:v>
                </c:pt>
                <c:pt idx="760">
                  <c:v>44624</c:v>
                </c:pt>
                <c:pt idx="761">
                  <c:v>44623</c:v>
                </c:pt>
                <c:pt idx="762">
                  <c:v>44622</c:v>
                </c:pt>
                <c:pt idx="763">
                  <c:v>44620</c:v>
                </c:pt>
                <c:pt idx="764">
                  <c:v>44617</c:v>
                </c:pt>
                <c:pt idx="765">
                  <c:v>44616</c:v>
                </c:pt>
                <c:pt idx="766">
                  <c:v>44615</c:v>
                </c:pt>
                <c:pt idx="767">
                  <c:v>44614</c:v>
                </c:pt>
                <c:pt idx="768">
                  <c:v>44613</c:v>
                </c:pt>
                <c:pt idx="769">
                  <c:v>44610</c:v>
                </c:pt>
                <c:pt idx="770">
                  <c:v>44609</c:v>
                </c:pt>
                <c:pt idx="771">
                  <c:v>44608</c:v>
                </c:pt>
                <c:pt idx="772">
                  <c:v>44607</c:v>
                </c:pt>
                <c:pt idx="773">
                  <c:v>44606</c:v>
                </c:pt>
                <c:pt idx="774">
                  <c:v>44603</c:v>
                </c:pt>
                <c:pt idx="775">
                  <c:v>44602</c:v>
                </c:pt>
                <c:pt idx="776">
                  <c:v>44601</c:v>
                </c:pt>
                <c:pt idx="777">
                  <c:v>44600</c:v>
                </c:pt>
                <c:pt idx="778">
                  <c:v>44599</c:v>
                </c:pt>
                <c:pt idx="779">
                  <c:v>44596</c:v>
                </c:pt>
                <c:pt idx="780">
                  <c:v>44595</c:v>
                </c:pt>
                <c:pt idx="781">
                  <c:v>44594</c:v>
                </c:pt>
                <c:pt idx="782">
                  <c:v>44593</c:v>
                </c:pt>
                <c:pt idx="783">
                  <c:v>44592</c:v>
                </c:pt>
                <c:pt idx="784">
                  <c:v>44589</c:v>
                </c:pt>
                <c:pt idx="785">
                  <c:v>44588</c:v>
                </c:pt>
                <c:pt idx="786">
                  <c:v>44586</c:v>
                </c:pt>
                <c:pt idx="787">
                  <c:v>44585</c:v>
                </c:pt>
                <c:pt idx="788">
                  <c:v>44582</c:v>
                </c:pt>
                <c:pt idx="789">
                  <c:v>44581</c:v>
                </c:pt>
                <c:pt idx="790">
                  <c:v>44580</c:v>
                </c:pt>
                <c:pt idx="791">
                  <c:v>44579</c:v>
                </c:pt>
                <c:pt idx="792">
                  <c:v>44578</c:v>
                </c:pt>
                <c:pt idx="793">
                  <c:v>44575</c:v>
                </c:pt>
                <c:pt idx="794">
                  <c:v>44574</c:v>
                </c:pt>
                <c:pt idx="795">
                  <c:v>44573</c:v>
                </c:pt>
                <c:pt idx="796">
                  <c:v>44572</c:v>
                </c:pt>
                <c:pt idx="797">
                  <c:v>44571</c:v>
                </c:pt>
                <c:pt idx="798">
                  <c:v>44568</c:v>
                </c:pt>
                <c:pt idx="799">
                  <c:v>44567</c:v>
                </c:pt>
                <c:pt idx="800">
                  <c:v>44566</c:v>
                </c:pt>
                <c:pt idx="801">
                  <c:v>44565</c:v>
                </c:pt>
                <c:pt idx="802">
                  <c:v>44564</c:v>
                </c:pt>
                <c:pt idx="803">
                  <c:v>44561</c:v>
                </c:pt>
                <c:pt idx="804">
                  <c:v>44560</c:v>
                </c:pt>
                <c:pt idx="805">
                  <c:v>44559</c:v>
                </c:pt>
                <c:pt idx="806">
                  <c:v>44558</c:v>
                </c:pt>
                <c:pt idx="807">
                  <c:v>44557</c:v>
                </c:pt>
                <c:pt idx="808">
                  <c:v>44554</c:v>
                </c:pt>
                <c:pt idx="809">
                  <c:v>44553</c:v>
                </c:pt>
                <c:pt idx="810">
                  <c:v>44552</c:v>
                </c:pt>
                <c:pt idx="811">
                  <c:v>44551</c:v>
                </c:pt>
                <c:pt idx="812">
                  <c:v>44550</c:v>
                </c:pt>
                <c:pt idx="813">
                  <c:v>44547</c:v>
                </c:pt>
                <c:pt idx="814">
                  <c:v>44546</c:v>
                </c:pt>
                <c:pt idx="815">
                  <c:v>44545</c:v>
                </c:pt>
                <c:pt idx="816">
                  <c:v>44544</c:v>
                </c:pt>
                <c:pt idx="817">
                  <c:v>44543</c:v>
                </c:pt>
                <c:pt idx="818">
                  <c:v>44540</c:v>
                </c:pt>
                <c:pt idx="819">
                  <c:v>44539</c:v>
                </c:pt>
                <c:pt idx="820">
                  <c:v>44538</c:v>
                </c:pt>
                <c:pt idx="821">
                  <c:v>44537</c:v>
                </c:pt>
                <c:pt idx="822">
                  <c:v>44536</c:v>
                </c:pt>
                <c:pt idx="823">
                  <c:v>44533</c:v>
                </c:pt>
                <c:pt idx="824">
                  <c:v>44532</c:v>
                </c:pt>
                <c:pt idx="825">
                  <c:v>44531</c:v>
                </c:pt>
                <c:pt idx="826">
                  <c:v>44530</c:v>
                </c:pt>
                <c:pt idx="827">
                  <c:v>44529</c:v>
                </c:pt>
                <c:pt idx="828">
                  <c:v>44526</c:v>
                </c:pt>
                <c:pt idx="829">
                  <c:v>44525</c:v>
                </c:pt>
                <c:pt idx="830">
                  <c:v>44524</c:v>
                </c:pt>
                <c:pt idx="831">
                  <c:v>44523</c:v>
                </c:pt>
                <c:pt idx="832">
                  <c:v>44522</c:v>
                </c:pt>
                <c:pt idx="833">
                  <c:v>44518</c:v>
                </c:pt>
                <c:pt idx="834">
                  <c:v>44517</c:v>
                </c:pt>
                <c:pt idx="835">
                  <c:v>44516</c:v>
                </c:pt>
                <c:pt idx="836">
                  <c:v>44515</c:v>
                </c:pt>
                <c:pt idx="837">
                  <c:v>44512</c:v>
                </c:pt>
                <c:pt idx="838">
                  <c:v>44511</c:v>
                </c:pt>
                <c:pt idx="839">
                  <c:v>44510</c:v>
                </c:pt>
                <c:pt idx="840">
                  <c:v>44509</c:v>
                </c:pt>
                <c:pt idx="841">
                  <c:v>44508</c:v>
                </c:pt>
                <c:pt idx="842">
                  <c:v>44504</c:v>
                </c:pt>
                <c:pt idx="843">
                  <c:v>44503</c:v>
                </c:pt>
                <c:pt idx="844">
                  <c:v>44502</c:v>
                </c:pt>
                <c:pt idx="845">
                  <c:v>44501</c:v>
                </c:pt>
                <c:pt idx="846">
                  <c:v>44498</c:v>
                </c:pt>
                <c:pt idx="847">
                  <c:v>44497</c:v>
                </c:pt>
                <c:pt idx="848">
                  <c:v>44496</c:v>
                </c:pt>
                <c:pt idx="849">
                  <c:v>44495</c:v>
                </c:pt>
                <c:pt idx="850">
                  <c:v>44494</c:v>
                </c:pt>
                <c:pt idx="851">
                  <c:v>44491</c:v>
                </c:pt>
                <c:pt idx="852">
                  <c:v>44490</c:v>
                </c:pt>
                <c:pt idx="853">
                  <c:v>44489</c:v>
                </c:pt>
                <c:pt idx="854">
                  <c:v>44488</c:v>
                </c:pt>
                <c:pt idx="855">
                  <c:v>44487</c:v>
                </c:pt>
                <c:pt idx="856">
                  <c:v>44483</c:v>
                </c:pt>
                <c:pt idx="857">
                  <c:v>44482</c:v>
                </c:pt>
                <c:pt idx="858">
                  <c:v>44481</c:v>
                </c:pt>
                <c:pt idx="859">
                  <c:v>44480</c:v>
                </c:pt>
                <c:pt idx="860">
                  <c:v>44477</c:v>
                </c:pt>
                <c:pt idx="861">
                  <c:v>44476</c:v>
                </c:pt>
                <c:pt idx="862">
                  <c:v>44475</c:v>
                </c:pt>
                <c:pt idx="863">
                  <c:v>44474</c:v>
                </c:pt>
                <c:pt idx="864">
                  <c:v>44473</c:v>
                </c:pt>
                <c:pt idx="865">
                  <c:v>44470</c:v>
                </c:pt>
                <c:pt idx="866">
                  <c:v>44469</c:v>
                </c:pt>
                <c:pt idx="867">
                  <c:v>44468</c:v>
                </c:pt>
                <c:pt idx="868">
                  <c:v>44467</c:v>
                </c:pt>
                <c:pt idx="869">
                  <c:v>44466</c:v>
                </c:pt>
                <c:pt idx="870">
                  <c:v>44463</c:v>
                </c:pt>
                <c:pt idx="871">
                  <c:v>44462</c:v>
                </c:pt>
                <c:pt idx="872">
                  <c:v>44461</c:v>
                </c:pt>
                <c:pt idx="873">
                  <c:v>44460</c:v>
                </c:pt>
                <c:pt idx="874">
                  <c:v>44459</c:v>
                </c:pt>
                <c:pt idx="875">
                  <c:v>44456</c:v>
                </c:pt>
                <c:pt idx="876">
                  <c:v>44454</c:v>
                </c:pt>
                <c:pt idx="877">
                  <c:v>44453</c:v>
                </c:pt>
                <c:pt idx="878">
                  <c:v>44452</c:v>
                </c:pt>
                <c:pt idx="879">
                  <c:v>44448</c:v>
                </c:pt>
                <c:pt idx="880">
                  <c:v>44447</c:v>
                </c:pt>
                <c:pt idx="881">
                  <c:v>44446</c:v>
                </c:pt>
                <c:pt idx="882">
                  <c:v>44445</c:v>
                </c:pt>
                <c:pt idx="883">
                  <c:v>44442</c:v>
                </c:pt>
                <c:pt idx="884">
                  <c:v>44441</c:v>
                </c:pt>
                <c:pt idx="885">
                  <c:v>44440</c:v>
                </c:pt>
                <c:pt idx="886">
                  <c:v>44439</c:v>
                </c:pt>
                <c:pt idx="887">
                  <c:v>44438</c:v>
                </c:pt>
                <c:pt idx="888">
                  <c:v>44435</c:v>
                </c:pt>
                <c:pt idx="889">
                  <c:v>44434</c:v>
                </c:pt>
                <c:pt idx="890">
                  <c:v>44433</c:v>
                </c:pt>
                <c:pt idx="891">
                  <c:v>44432</c:v>
                </c:pt>
                <c:pt idx="892">
                  <c:v>44431</c:v>
                </c:pt>
                <c:pt idx="893">
                  <c:v>44428</c:v>
                </c:pt>
                <c:pt idx="894">
                  <c:v>44426</c:v>
                </c:pt>
                <c:pt idx="895">
                  <c:v>44425</c:v>
                </c:pt>
                <c:pt idx="896">
                  <c:v>44424</c:v>
                </c:pt>
                <c:pt idx="897">
                  <c:v>44421</c:v>
                </c:pt>
                <c:pt idx="898">
                  <c:v>44420</c:v>
                </c:pt>
                <c:pt idx="899">
                  <c:v>44419</c:v>
                </c:pt>
                <c:pt idx="900">
                  <c:v>44418</c:v>
                </c:pt>
                <c:pt idx="901">
                  <c:v>44417</c:v>
                </c:pt>
                <c:pt idx="902">
                  <c:v>44414</c:v>
                </c:pt>
                <c:pt idx="903">
                  <c:v>44413</c:v>
                </c:pt>
                <c:pt idx="904">
                  <c:v>44412</c:v>
                </c:pt>
                <c:pt idx="905">
                  <c:v>44411</c:v>
                </c:pt>
                <c:pt idx="906">
                  <c:v>44410</c:v>
                </c:pt>
                <c:pt idx="907">
                  <c:v>44407</c:v>
                </c:pt>
                <c:pt idx="908">
                  <c:v>44406</c:v>
                </c:pt>
                <c:pt idx="909">
                  <c:v>44405</c:v>
                </c:pt>
                <c:pt idx="910">
                  <c:v>44404</c:v>
                </c:pt>
                <c:pt idx="911">
                  <c:v>44403</c:v>
                </c:pt>
                <c:pt idx="912">
                  <c:v>44400</c:v>
                </c:pt>
                <c:pt idx="913">
                  <c:v>44399</c:v>
                </c:pt>
                <c:pt idx="914">
                  <c:v>44397</c:v>
                </c:pt>
                <c:pt idx="915">
                  <c:v>44396</c:v>
                </c:pt>
                <c:pt idx="916">
                  <c:v>44393</c:v>
                </c:pt>
                <c:pt idx="917">
                  <c:v>44392</c:v>
                </c:pt>
                <c:pt idx="918">
                  <c:v>44391</c:v>
                </c:pt>
                <c:pt idx="919">
                  <c:v>44390</c:v>
                </c:pt>
                <c:pt idx="920">
                  <c:v>44389</c:v>
                </c:pt>
                <c:pt idx="921">
                  <c:v>44386</c:v>
                </c:pt>
                <c:pt idx="922">
                  <c:v>44385</c:v>
                </c:pt>
                <c:pt idx="923">
                  <c:v>44384</c:v>
                </c:pt>
                <c:pt idx="924">
                  <c:v>44383</c:v>
                </c:pt>
                <c:pt idx="925">
                  <c:v>44382</c:v>
                </c:pt>
                <c:pt idx="926">
                  <c:v>44379</c:v>
                </c:pt>
                <c:pt idx="927">
                  <c:v>44378</c:v>
                </c:pt>
                <c:pt idx="928">
                  <c:v>44377</c:v>
                </c:pt>
                <c:pt idx="929">
                  <c:v>44376</c:v>
                </c:pt>
                <c:pt idx="930">
                  <c:v>44375</c:v>
                </c:pt>
                <c:pt idx="931">
                  <c:v>44372</c:v>
                </c:pt>
                <c:pt idx="932">
                  <c:v>44371</c:v>
                </c:pt>
                <c:pt idx="933">
                  <c:v>44370</c:v>
                </c:pt>
                <c:pt idx="934">
                  <c:v>44369</c:v>
                </c:pt>
                <c:pt idx="935">
                  <c:v>44368</c:v>
                </c:pt>
                <c:pt idx="936">
                  <c:v>44365</c:v>
                </c:pt>
                <c:pt idx="937">
                  <c:v>44364</c:v>
                </c:pt>
                <c:pt idx="938">
                  <c:v>44363</c:v>
                </c:pt>
                <c:pt idx="939">
                  <c:v>44362</c:v>
                </c:pt>
                <c:pt idx="940">
                  <c:v>44361</c:v>
                </c:pt>
                <c:pt idx="941">
                  <c:v>44358</c:v>
                </c:pt>
                <c:pt idx="942">
                  <c:v>44357</c:v>
                </c:pt>
                <c:pt idx="943">
                  <c:v>44356</c:v>
                </c:pt>
                <c:pt idx="944">
                  <c:v>44355</c:v>
                </c:pt>
                <c:pt idx="945">
                  <c:v>44354</c:v>
                </c:pt>
                <c:pt idx="946">
                  <c:v>44351</c:v>
                </c:pt>
                <c:pt idx="947">
                  <c:v>44350</c:v>
                </c:pt>
                <c:pt idx="948">
                  <c:v>44349</c:v>
                </c:pt>
                <c:pt idx="949">
                  <c:v>44348</c:v>
                </c:pt>
                <c:pt idx="950">
                  <c:v>44347</c:v>
                </c:pt>
                <c:pt idx="951">
                  <c:v>44344</c:v>
                </c:pt>
                <c:pt idx="952">
                  <c:v>44343</c:v>
                </c:pt>
                <c:pt idx="953">
                  <c:v>44342</c:v>
                </c:pt>
                <c:pt idx="954">
                  <c:v>44341</c:v>
                </c:pt>
                <c:pt idx="955">
                  <c:v>44340</c:v>
                </c:pt>
                <c:pt idx="956">
                  <c:v>44337</c:v>
                </c:pt>
                <c:pt idx="957">
                  <c:v>44336</c:v>
                </c:pt>
                <c:pt idx="958">
                  <c:v>44335</c:v>
                </c:pt>
                <c:pt idx="959">
                  <c:v>44334</c:v>
                </c:pt>
                <c:pt idx="960">
                  <c:v>44333</c:v>
                </c:pt>
                <c:pt idx="961">
                  <c:v>44330</c:v>
                </c:pt>
                <c:pt idx="962">
                  <c:v>44328</c:v>
                </c:pt>
                <c:pt idx="963">
                  <c:v>44327</c:v>
                </c:pt>
                <c:pt idx="964">
                  <c:v>44326</c:v>
                </c:pt>
                <c:pt idx="965">
                  <c:v>44323</c:v>
                </c:pt>
                <c:pt idx="966">
                  <c:v>44322</c:v>
                </c:pt>
                <c:pt idx="967">
                  <c:v>44321</c:v>
                </c:pt>
                <c:pt idx="968">
                  <c:v>44320</c:v>
                </c:pt>
                <c:pt idx="969">
                  <c:v>44319</c:v>
                </c:pt>
                <c:pt idx="970">
                  <c:v>44316</c:v>
                </c:pt>
                <c:pt idx="971">
                  <c:v>44315</c:v>
                </c:pt>
                <c:pt idx="972">
                  <c:v>44314</c:v>
                </c:pt>
                <c:pt idx="973">
                  <c:v>44313</c:v>
                </c:pt>
                <c:pt idx="974">
                  <c:v>44312</c:v>
                </c:pt>
                <c:pt idx="975">
                  <c:v>44309</c:v>
                </c:pt>
                <c:pt idx="976">
                  <c:v>44308</c:v>
                </c:pt>
                <c:pt idx="977">
                  <c:v>44306</c:v>
                </c:pt>
                <c:pt idx="978">
                  <c:v>44305</c:v>
                </c:pt>
                <c:pt idx="979">
                  <c:v>44302</c:v>
                </c:pt>
                <c:pt idx="980">
                  <c:v>44301</c:v>
                </c:pt>
                <c:pt idx="981">
                  <c:v>44299</c:v>
                </c:pt>
                <c:pt idx="982">
                  <c:v>44298</c:v>
                </c:pt>
                <c:pt idx="983">
                  <c:v>44295</c:v>
                </c:pt>
                <c:pt idx="984">
                  <c:v>44294</c:v>
                </c:pt>
                <c:pt idx="985">
                  <c:v>44293</c:v>
                </c:pt>
                <c:pt idx="986">
                  <c:v>44292</c:v>
                </c:pt>
                <c:pt idx="987">
                  <c:v>44291</c:v>
                </c:pt>
                <c:pt idx="988">
                  <c:v>44287</c:v>
                </c:pt>
                <c:pt idx="989">
                  <c:v>44286</c:v>
                </c:pt>
                <c:pt idx="990">
                  <c:v>44285</c:v>
                </c:pt>
                <c:pt idx="991">
                  <c:v>44281</c:v>
                </c:pt>
                <c:pt idx="992">
                  <c:v>44280</c:v>
                </c:pt>
                <c:pt idx="993">
                  <c:v>44279</c:v>
                </c:pt>
                <c:pt idx="994">
                  <c:v>44278</c:v>
                </c:pt>
                <c:pt idx="995">
                  <c:v>44277</c:v>
                </c:pt>
                <c:pt idx="996">
                  <c:v>44273</c:v>
                </c:pt>
                <c:pt idx="997">
                  <c:v>44272</c:v>
                </c:pt>
                <c:pt idx="998">
                  <c:v>44271</c:v>
                </c:pt>
                <c:pt idx="999">
                  <c:v>44270</c:v>
                </c:pt>
                <c:pt idx="1000">
                  <c:v>44267</c:v>
                </c:pt>
                <c:pt idx="1001">
                  <c:v>44265</c:v>
                </c:pt>
                <c:pt idx="1002">
                  <c:v>44264</c:v>
                </c:pt>
                <c:pt idx="1003">
                  <c:v>44263</c:v>
                </c:pt>
                <c:pt idx="1004">
                  <c:v>44260</c:v>
                </c:pt>
                <c:pt idx="1005">
                  <c:v>44259</c:v>
                </c:pt>
                <c:pt idx="1006">
                  <c:v>44258</c:v>
                </c:pt>
                <c:pt idx="1007">
                  <c:v>44257</c:v>
                </c:pt>
                <c:pt idx="1008">
                  <c:v>44256</c:v>
                </c:pt>
                <c:pt idx="1009">
                  <c:v>44253</c:v>
                </c:pt>
                <c:pt idx="1010">
                  <c:v>44252</c:v>
                </c:pt>
                <c:pt idx="1011">
                  <c:v>44251</c:v>
                </c:pt>
                <c:pt idx="1012">
                  <c:v>44250</c:v>
                </c:pt>
                <c:pt idx="1013">
                  <c:v>44249</c:v>
                </c:pt>
                <c:pt idx="1014">
                  <c:v>44246</c:v>
                </c:pt>
                <c:pt idx="1015">
                  <c:v>44245</c:v>
                </c:pt>
                <c:pt idx="1016">
                  <c:v>44244</c:v>
                </c:pt>
                <c:pt idx="1017">
                  <c:v>44243</c:v>
                </c:pt>
                <c:pt idx="1018">
                  <c:v>44242</c:v>
                </c:pt>
                <c:pt idx="1019">
                  <c:v>44238</c:v>
                </c:pt>
                <c:pt idx="1020">
                  <c:v>44237</c:v>
                </c:pt>
                <c:pt idx="1021">
                  <c:v>44236</c:v>
                </c:pt>
                <c:pt idx="1022">
                  <c:v>44235</c:v>
                </c:pt>
                <c:pt idx="1023">
                  <c:v>44230</c:v>
                </c:pt>
                <c:pt idx="1024">
                  <c:v>44229</c:v>
                </c:pt>
                <c:pt idx="1025">
                  <c:v>44228</c:v>
                </c:pt>
                <c:pt idx="1026">
                  <c:v>44225</c:v>
                </c:pt>
                <c:pt idx="1027">
                  <c:v>44224</c:v>
                </c:pt>
                <c:pt idx="1028">
                  <c:v>44223</c:v>
                </c:pt>
                <c:pt idx="1029">
                  <c:v>44221</c:v>
                </c:pt>
                <c:pt idx="1030">
                  <c:v>44218</c:v>
                </c:pt>
                <c:pt idx="1031">
                  <c:v>44217</c:v>
                </c:pt>
                <c:pt idx="1032">
                  <c:v>44216</c:v>
                </c:pt>
                <c:pt idx="1033">
                  <c:v>44215</c:v>
                </c:pt>
                <c:pt idx="1034">
                  <c:v>44214</c:v>
                </c:pt>
                <c:pt idx="1035">
                  <c:v>44211</c:v>
                </c:pt>
                <c:pt idx="1036">
                  <c:v>44210</c:v>
                </c:pt>
                <c:pt idx="1037">
                  <c:v>44209</c:v>
                </c:pt>
                <c:pt idx="1038">
                  <c:v>44208</c:v>
                </c:pt>
                <c:pt idx="1039">
                  <c:v>44207</c:v>
                </c:pt>
                <c:pt idx="1040">
                  <c:v>44204</c:v>
                </c:pt>
                <c:pt idx="1041">
                  <c:v>44203</c:v>
                </c:pt>
                <c:pt idx="1042">
                  <c:v>44202</c:v>
                </c:pt>
                <c:pt idx="1043">
                  <c:v>44201</c:v>
                </c:pt>
                <c:pt idx="1044">
                  <c:v>44200</c:v>
                </c:pt>
                <c:pt idx="1045">
                  <c:v>44197</c:v>
                </c:pt>
                <c:pt idx="1046">
                  <c:v>44196</c:v>
                </c:pt>
                <c:pt idx="1047">
                  <c:v>44195</c:v>
                </c:pt>
                <c:pt idx="1048">
                  <c:v>44194</c:v>
                </c:pt>
                <c:pt idx="1049">
                  <c:v>44193</c:v>
                </c:pt>
                <c:pt idx="1050">
                  <c:v>44189</c:v>
                </c:pt>
                <c:pt idx="1051">
                  <c:v>44188</c:v>
                </c:pt>
                <c:pt idx="1052">
                  <c:v>44187</c:v>
                </c:pt>
                <c:pt idx="1053">
                  <c:v>44186</c:v>
                </c:pt>
                <c:pt idx="1054">
                  <c:v>44183</c:v>
                </c:pt>
                <c:pt idx="1055">
                  <c:v>44182</c:v>
                </c:pt>
                <c:pt idx="1056">
                  <c:v>44181</c:v>
                </c:pt>
                <c:pt idx="1057">
                  <c:v>44180</c:v>
                </c:pt>
                <c:pt idx="1058">
                  <c:v>44179</c:v>
                </c:pt>
                <c:pt idx="1059">
                  <c:v>44176</c:v>
                </c:pt>
                <c:pt idx="1060">
                  <c:v>44175</c:v>
                </c:pt>
                <c:pt idx="1061">
                  <c:v>44174</c:v>
                </c:pt>
                <c:pt idx="1062">
                  <c:v>44173</c:v>
                </c:pt>
                <c:pt idx="1063">
                  <c:v>44172</c:v>
                </c:pt>
                <c:pt idx="1064">
                  <c:v>44169</c:v>
                </c:pt>
                <c:pt idx="1065">
                  <c:v>44168</c:v>
                </c:pt>
                <c:pt idx="1066">
                  <c:v>44167</c:v>
                </c:pt>
                <c:pt idx="1067">
                  <c:v>44166</c:v>
                </c:pt>
                <c:pt idx="1068">
                  <c:v>44162</c:v>
                </c:pt>
                <c:pt idx="1069">
                  <c:v>44161</c:v>
                </c:pt>
                <c:pt idx="1070">
                  <c:v>44160</c:v>
                </c:pt>
                <c:pt idx="1071">
                  <c:v>44159</c:v>
                </c:pt>
                <c:pt idx="1072">
                  <c:v>44158</c:v>
                </c:pt>
                <c:pt idx="1073">
                  <c:v>44155</c:v>
                </c:pt>
                <c:pt idx="1074">
                  <c:v>44154</c:v>
                </c:pt>
                <c:pt idx="1075">
                  <c:v>44153</c:v>
                </c:pt>
                <c:pt idx="1076">
                  <c:v>44152</c:v>
                </c:pt>
                <c:pt idx="1077">
                  <c:v>44149</c:v>
                </c:pt>
                <c:pt idx="1078">
                  <c:v>44148</c:v>
                </c:pt>
                <c:pt idx="1079">
                  <c:v>44147</c:v>
                </c:pt>
                <c:pt idx="1080">
                  <c:v>44146</c:v>
                </c:pt>
                <c:pt idx="1081">
                  <c:v>44145</c:v>
                </c:pt>
                <c:pt idx="1082">
                  <c:v>44144</c:v>
                </c:pt>
                <c:pt idx="1083">
                  <c:v>44141</c:v>
                </c:pt>
                <c:pt idx="1084">
                  <c:v>44140</c:v>
                </c:pt>
                <c:pt idx="1085">
                  <c:v>44139</c:v>
                </c:pt>
                <c:pt idx="1086">
                  <c:v>44138</c:v>
                </c:pt>
                <c:pt idx="1087">
                  <c:v>44137</c:v>
                </c:pt>
                <c:pt idx="1088">
                  <c:v>44134</c:v>
                </c:pt>
                <c:pt idx="1089">
                  <c:v>44133</c:v>
                </c:pt>
                <c:pt idx="1090">
                  <c:v>44132</c:v>
                </c:pt>
                <c:pt idx="1091">
                  <c:v>44131</c:v>
                </c:pt>
                <c:pt idx="1092">
                  <c:v>44130</c:v>
                </c:pt>
                <c:pt idx="1093">
                  <c:v>44127</c:v>
                </c:pt>
                <c:pt idx="1094">
                  <c:v>44126</c:v>
                </c:pt>
                <c:pt idx="1095">
                  <c:v>44125</c:v>
                </c:pt>
                <c:pt idx="1096">
                  <c:v>44124</c:v>
                </c:pt>
                <c:pt idx="1097">
                  <c:v>44123</c:v>
                </c:pt>
                <c:pt idx="1098">
                  <c:v>44120</c:v>
                </c:pt>
                <c:pt idx="1099">
                  <c:v>44119</c:v>
                </c:pt>
                <c:pt idx="1100">
                  <c:v>44118</c:v>
                </c:pt>
                <c:pt idx="1101">
                  <c:v>44117</c:v>
                </c:pt>
                <c:pt idx="1102">
                  <c:v>44116</c:v>
                </c:pt>
                <c:pt idx="1103">
                  <c:v>44113</c:v>
                </c:pt>
                <c:pt idx="1104">
                  <c:v>44112</c:v>
                </c:pt>
                <c:pt idx="1105">
                  <c:v>44111</c:v>
                </c:pt>
                <c:pt idx="1106">
                  <c:v>44110</c:v>
                </c:pt>
                <c:pt idx="1107">
                  <c:v>44109</c:v>
                </c:pt>
                <c:pt idx="1108">
                  <c:v>44105</c:v>
                </c:pt>
                <c:pt idx="1109">
                  <c:v>44104</c:v>
                </c:pt>
                <c:pt idx="1110">
                  <c:v>44103</c:v>
                </c:pt>
                <c:pt idx="1111">
                  <c:v>44102</c:v>
                </c:pt>
                <c:pt idx="1112">
                  <c:v>44099</c:v>
                </c:pt>
                <c:pt idx="1113">
                  <c:v>44098</c:v>
                </c:pt>
                <c:pt idx="1114">
                  <c:v>44097</c:v>
                </c:pt>
                <c:pt idx="1115">
                  <c:v>44096</c:v>
                </c:pt>
                <c:pt idx="1116">
                  <c:v>44095</c:v>
                </c:pt>
                <c:pt idx="1117">
                  <c:v>44092</c:v>
                </c:pt>
                <c:pt idx="1118">
                  <c:v>44091</c:v>
                </c:pt>
                <c:pt idx="1119">
                  <c:v>44090</c:v>
                </c:pt>
                <c:pt idx="1120">
                  <c:v>44089</c:v>
                </c:pt>
                <c:pt idx="1121">
                  <c:v>44088</c:v>
                </c:pt>
                <c:pt idx="1122">
                  <c:v>44085</c:v>
                </c:pt>
                <c:pt idx="1123">
                  <c:v>44084</c:v>
                </c:pt>
                <c:pt idx="1124">
                  <c:v>44083</c:v>
                </c:pt>
                <c:pt idx="1125">
                  <c:v>44082</c:v>
                </c:pt>
                <c:pt idx="1126">
                  <c:v>44081</c:v>
                </c:pt>
                <c:pt idx="1127">
                  <c:v>44078</c:v>
                </c:pt>
                <c:pt idx="1128">
                  <c:v>44077</c:v>
                </c:pt>
                <c:pt idx="1129">
                  <c:v>44076</c:v>
                </c:pt>
                <c:pt idx="1130">
                  <c:v>44075</c:v>
                </c:pt>
                <c:pt idx="1131">
                  <c:v>44074</c:v>
                </c:pt>
                <c:pt idx="1132">
                  <c:v>44071</c:v>
                </c:pt>
                <c:pt idx="1133">
                  <c:v>44070</c:v>
                </c:pt>
                <c:pt idx="1134">
                  <c:v>44069</c:v>
                </c:pt>
                <c:pt idx="1135">
                  <c:v>44068</c:v>
                </c:pt>
                <c:pt idx="1136">
                  <c:v>44067</c:v>
                </c:pt>
                <c:pt idx="1137">
                  <c:v>44064</c:v>
                </c:pt>
                <c:pt idx="1138">
                  <c:v>44063</c:v>
                </c:pt>
                <c:pt idx="1139">
                  <c:v>44062</c:v>
                </c:pt>
                <c:pt idx="1140">
                  <c:v>44061</c:v>
                </c:pt>
                <c:pt idx="1141">
                  <c:v>44060</c:v>
                </c:pt>
                <c:pt idx="1142">
                  <c:v>44057</c:v>
                </c:pt>
                <c:pt idx="1143">
                  <c:v>44056</c:v>
                </c:pt>
                <c:pt idx="1144">
                  <c:v>44055</c:v>
                </c:pt>
                <c:pt idx="1145">
                  <c:v>44054</c:v>
                </c:pt>
                <c:pt idx="1146">
                  <c:v>44053</c:v>
                </c:pt>
                <c:pt idx="1147">
                  <c:v>44050</c:v>
                </c:pt>
                <c:pt idx="1148">
                  <c:v>44049</c:v>
                </c:pt>
                <c:pt idx="1149">
                  <c:v>44048</c:v>
                </c:pt>
                <c:pt idx="1150">
                  <c:v>44047</c:v>
                </c:pt>
                <c:pt idx="1151">
                  <c:v>44046</c:v>
                </c:pt>
                <c:pt idx="1152">
                  <c:v>44043</c:v>
                </c:pt>
                <c:pt idx="1153">
                  <c:v>44042</c:v>
                </c:pt>
                <c:pt idx="1154">
                  <c:v>44041</c:v>
                </c:pt>
                <c:pt idx="1155">
                  <c:v>44040</c:v>
                </c:pt>
                <c:pt idx="1156">
                  <c:v>44039</c:v>
                </c:pt>
                <c:pt idx="1157">
                  <c:v>44036</c:v>
                </c:pt>
                <c:pt idx="1158">
                  <c:v>44035</c:v>
                </c:pt>
                <c:pt idx="1159">
                  <c:v>44034</c:v>
                </c:pt>
                <c:pt idx="1160">
                  <c:v>44033</c:v>
                </c:pt>
                <c:pt idx="1161">
                  <c:v>44032</c:v>
                </c:pt>
                <c:pt idx="1162">
                  <c:v>44029</c:v>
                </c:pt>
                <c:pt idx="1163">
                  <c:v>44028</c:v>
                </c:pt>
                <c:pt idx="1164">
                  <c:v>44027</c:v>
                </c:pt>
                <c:pt idx="1165">
                  <c:v>44026</c:v>
                </c:pt>
                <c:pt idx="1166">
                  <c:v>44025</c:v>
                </c:pt>
                <c:pt idx="1167">
                  <c:v>44022</c:v>
                </c:pt>
                <c:pt idx="1168">
                  <c:v>44021</c:v>
                </c:pt>
                <c:pt idx="1169">
                  <c:v>44020</c:v>
                </c:pt>
                <c:pt idx="1170">
                  <c:v>44019</c:v>
                </c:pt>
                <c:pt idx="1171">
                  <c:v>44018</c:v>
                </c:pt>
                <c:pt idx="1172">
                  <c:v>44015</c:v>
                </c:pt>
                <c:pt idx="1173">
                  <c:v>44014</c:v>
                </c:pt>
                <c:pt idx="1174">
                  <c:v>44013</c:v>
                </c:pt>
                <c:pt idx="1175">
                  <c:v>44012</c:v>
                </c:pt>
                <c:pt idx="1176">
                  <c:v>44011</c:v>
                </c:pt>
                <c:pt idx="1177">
                  <c:v>44008</c:v>
                </c:pt>
                <c:pt idx="1178">
                  <c:v>44007</c:v>
                </c:pt>
                <c:pt idx="1179">
                  <c:v>44006</c:v>
                </c:pt>
                <c:pt idx="1180">
                  <c:v>44005</c:v>
                </c:pt>
                <c:pt idx="1181">
                  <c:v>44004</c:v>
                </c:pt>
                <c:pt idx="1182">
                  <c:v>44001</c:v>
                </c:pt>
                <c:pt idx="1183">
                  <c:v>44000</c:v>
                </c:pt>
                <c:pt idx="1184">
                  <c:v>43999</c:v>
                </c:pt>
                <c:pt idx="1185">
                  <c:v>43998</c:v>
                </c:pt>
                <c:pt idx="1186">
                  <c:v>43997</c:v>
                </c:pt>
                <c:pt idx="1187">
                  <c:v>43994</c:v>
                </c:pt>
                <c:pt idx="1188">
                  <c:v>43993</c:v>
                </c:pt>
                <c:pt idx="1189">
                  <c:v>43992</c:v>
                </c:pt>
                <c:pt idx="1190">
                  <c:v>43991</c:v>
                </c:pt>
                <c:pt idx="1191">
                  <c:v>43990</c:v>
                </c:pt>
                <c:pt idx="1192">
                  <c:v>43987</c:v>
                </c:pt>
                <c:pt idx="1193">
                  <c:v>43986</c:v>
                </c:pt>
                <c:pt idx="1194">
                  <c:v>43985</c:v>
                </c:pt>
                <c:pt idx="1195">
                  <c:v>43984</c:v>
                </c:pt>
                <c:pt idx="1196">
                  <c:v>43983</c:v>
                </c:pt>
                <c:pt idx="1197">
                  <c:v>43980</c:v>
                </c:pt>
                <c:pt idx="1198">
                  <c:v>43979</c:v>
                </c:pt>
                <c:pt idx="1199">
                  <c:v>43978</c:v>
                </c:pt>
                <c:pt idx="1200">
                  <c:v>43977</c:v>
                </c:pt>
                <c:pt idx="1201">
                  <c:v>43973</c:v>
                </c:pt>
                <c:pt idx="1202">
                  <c:v>43972</c:v>
                </c:pt>
                <c:pt idx="1203">
                  <c:v>43971</c:v>
                </c:pt>
                <c:pt idx="1204">
                  <c:v>43970</c:v>
                </c:pt>
                <c:pt idx="1205">
                  <c:v>43969</c:v>
                </c:pt>
                <c:pt idx="1206">
                  <c:v>43966</c:v>
                </c:pt>
                <c:pt idx="1207">
                  <c:v>43965</c:v>
                </c:pt>
                <c:pt idx="1208">
                  <c:v>43964</c:v>
                </c:pt>
                <c:pt idx="1209">
                  <c:v>43963</c:v>
                </c:pt>
                <c:pt idx="1210">
                  <c:v>43962</c:v>
                </c:pt>
                <c:pt idx="1211">
                  <c:v>43959</c:v>
                </c:pt>
                <c:pt idx="1212">
                  <c:v>43958</c:v>
                </c:pt>
                <c:pt idx="1213">
                  <c:v>43957</c:v>
                </c:pt>
                <c:pt idx="1214">
                  <c:v>43956</c:v>
                </c:pt>
                <c:pt idx="1215">
                  <c:v>43955</c:v>
                </c:pt>
                <c:pt idx="1216">
                  <c:v>43951</c:v>
                </c:pt>
                <c:pt idx="1217">
                  <c:v>43950</c:v>
                </c:pt>
                <c:pt idx="1218">
                  <c:v>43949</c:v>
                </c:pt>
                <c:pt idx="1219">
                  <c:v>43948</c:v>
                </c:pt>
                <c:pt idx="1220">
                  <c:v>43945</c:v>
                </c:pt>
                <c:pt idx="1221">
                  <c:v>43944</c:v>
                </c:pt>
                <c:pt idx="1222">
                  <c:v>43943</c:v>
                </c:pt>
                <c:pt idx="1223">
                  <c:v>43942</c:v>
                </c:pt>
                <c:pt idx="1224">
                  <c:v>43941</c:v>
                </c:pt>
                <c:pt idx="1225">
                  <c:v>43938</c:v>
                </c:pt>
                <c:pt idx="1226">
                  <c:v>43937</c:v>
                </c:pt>
                <c:pt idx="1227">
                  <c:v>43936</c:v>
                </c:pt>
                <c:pt idx="1228">
                  <c:v>43934</c:v>
                </c:pt>
                <c:pt idx="1229">
                  <c:v>43930</c:v>
                </c:pt>
                <c:pt idx="1230">
                  <c:v>43929</c:v>
                </c:pt>
                <c:pt idx="1231">
                  <c:v>43928</c:v>
                </c:pt>
                <c:pt idx="1232">
                  <c:v>43924</c:v>
                </c:pt>
                <c:pt idx="1233">
                  <c:v>43922</c:v>
                </c:pt>
              </c:numCache>
            </c:numRef>
          </c:cat>
          <c:val>
            <c:numRef>
              <c:f>'Share price'!$C$3:$C$1236</c:f>
              <c:numCache>
                <c:formatCode>0.0</c:formatCode>
                <c:ptCount val="1234"/>
                <c:pt idx="0">
                  <c:v>409.75</c:v>
                </c:pt>
                <c:pt idx="1">
                  <c:v>409.45</c:v>
                </c:pt>
                <c:pt idx="2">
                  <c:v>407.35</c:v>
                </c:pt>
                <c:pt idx="3">
                  <c:v>409.8</c:v>
                </c:pt>
                <c:pt idx="4">
                  <c:v>410.9</c:v>
                </c:pt>
                <c:pt idx="5">
                  <c:v>405.55</c:v>
                </c:pt>
                <c:pt idx="6">
                  <c:v>403.95</c:v>
                </c:pt>
                <c:pt idx="7">
                  <c:v>403.05</c:v>
                </c:pt>
                <c:pt idx="8">
                  <c:v>409.1</c:v>
                </c:pt>
                <c:pt idx="9">
                  <c:v>407.95</c:v>
                </c:pt>
                <c:pt idx="10">
                  <c:v>412.05</c:v>
                </c:pt>
                <c:pt idx="11">
                  <c:v>412.4</c:v>
                </c:pt>
                <c:pt idx="12">
                  <c:v>406.2</c:v>
                </c:pt>
                <c:pt idx="13">
                  <c:v>405</c:v>
                </c:pt>
                <c:pt idx="14">
                  <c:v>403.9</c:v>
                </c:pt>
                <c:pt idx="15">
                  <c:v>405.7</c:v>
                </c:pt>
                <c:pt idx="16">
                  <c:v>405.05</c:v>
                </c:pt>
                <c:pt idx="17">
                  <c:v>394.85</c:v>
                </c:pt>
                <c:pt idx="18">
                  <c:v>397.45</c:v>
                </c:pt>
                <c:pt idx="19">
                  <c:v>395</c:v>
                </c:pt>
                <c:pt idx="20">
                  <c:v>401.6</c:v>
                </c:pt>
                <c:pt idx="21">
                  <c:v>404.85</c:v>
                </c:pt>
                <c:pt idx="22">
                  <c:v>401.9</c:v>
                </c:pt>
                <c:pt idx="23">
                  <c:v>400.9</c:v>
                </c:pt>
                <c:pt idx="24">
                  <c:v>402.05</c:v>
                </c:pt>
                <c:pt idx="25">
                  <c:v>406.4</c:v>
                </c:pt>
                <c:pt idx="26">
                  <c:v>405.25</c:v>
                </c:pt>
                <c:pt idx="27">
                  <c:v>408.6</c:v>
                </c:pt>
                <c:pt idx="28">
                  <c:v>410.25</c:v>
                </c:pt>
                <c:pt idx="29">
                  <c:v>409.7</c:v>
                </c:pt>
                <c:pt idx="30">
                  <c:v>409.9</c:v>
                </c:pt>
                <c:pt idx="31">
                  <c:v>418.3</c:v>
                </c:pt>
                <c:pt idx="32">
                  <c:v>427.2</c:v>
                </c:pt>
                <c:pt idx="33">
                  <c:v>430.85</c:v>
                </c:pt>
                <c:pt idx="34">
                  <c:v>441.1</c:v>
                </c:pt>
                <c:pt idx="35">
                  <c:v>448.15</c:v>
                </c:pt>
                <c:pt idx="36">
                  <c:v>455.15</c:v>
                </c:pt>
                <c:pt idx="37">
                  <c:v>454.35</c:v>
                </c:pt>
                <c:pt idx="38">
                  <c:v>462.55</c:v>
                </c:pt>
                <c:pt idx="39">
                  <c:v>447.5</c:v>
                </c:pt>
                <c:pt idx="40">
                  <c:v>436.2</c:v>
                </c:pt>
                <c:pt idx="41">
                  <c:v>433.35</c:v>
                </c:pt>
                <c:pt idx="42">
                  <c:v>435.45</c:v>
                </c:pt>
                <c:pt idx="43">
                  <c:v>440.1</c:v>
                </c:pt>
                <c:pt idx="44">
                  <c:v>441.6</c:v>
                </c:pt>
                <c:pt idx="45">
                  <c:v>440.2</c:v>
                </c:pt>
                <c:pt idx="46">
                  <c:v>437</c:v>
                </c:pt>
                <c:pt idx="47">
                  <c:v>437.55</c:v>
                </c:pt>
                <c:pt idx="48">
                  <c:v>437.7</c:v>
                </c:pt>
                <c:pt idx="49">
                  <c:v>440.2</c:v>
                </c:pt>
                <c:pt idx="50">
                  <c:v>432.85</c:v>
                </c:pt>
                <c:pt idx="51">
                  <c:v>437.35</c:v>
                </c:pt>
                <c:pt idx="52">
                  <c:v>436.6</c:v>
                </c:pt>
                <c:pt idx="53">
                  <c:v>439.05</c:v>
                </c:pt>
                <c:pt idx="54">
                  <c:v>444.9</c:v>
                </c:pt>
                <c:pt idx="55">
                  <c:v>450.1</c:v>
                </c:pt>
                <c:pt idx="56">
                  <c:v>449.55</c:v>
                </c:pt>
                <c:pt idx="57">
                  <c:v>441.1</c:v>
                </c:pt>
                <c:pt idx="58">
                  <c:v>442.65</c:v>
                </c:pt>
                <c:pt idx="59">
                  <c:v>455.6</c:v>
                </c:pt>
                <c:pt idx="60">
                  <c:v>462.65</c:v>
                </c:pt>
                <c:pt idx="61">
                  <c:v>457.82</c:v>
                </c:pt>
                <c:pt idx="62">
                  <c:v>457.54</c:v>
                </c:pt>
                <c:pt idx="63">
                  <c:v>451.25</c:v>
                </c:pt>
                <c:pt idx="64">
                  <c:v>452.76</c:v>
                </c:pt>
                <c:pt idx="65">
                  <c:v>451.2</c:v>
                </c:pt>
                <c:pt idx="66">
                  <c:v>452.62</c:v>
                </c:pt>
                <c:pt idx="67">
                  <c:v>448.65</c:v>
                </c:pt>
                <c:pt idx="68">
                  <c:v>439.57</c:v>
                </c:pt>
                <c:pt idx="69">
                  <c:v>441.36</c:v>
                </c:pt>
                <c:pt idx="70">
                  <c:v>445.1</c:v>
                </c:pt>
                <c:pt idx="71">
                  <c:v>444.2</c:v>
                </c:pt>
                <c:pt idx="72">
                  <c:v>444.72</c:v>
                </c:pt>
                <c:pt idx="73">
                  <c:v>444.63</c:v>
                </c:pt>
                <c:pt idx="74">
                  <c:v>435.73</c:v>
                </c:pt>
                <c:pt idx="75">
                  <c:v>440.13</c:v>
                </c:pt>
                <c:pt idx="76">
                  <c:v>440.32</c:v>
                </c:pt>
                <c:pt idx="77">
                  <c:v>439.85</c:v>
                </c:pt>
                <c:pt idx="78">
                  <c:v>445.71</c:v>
                </c:pt>
                <c:pt idx="79">
                  <c:v>442.26</c:v>
                </c:pt>
                <c:pt idx="80">
                  <c:v>441.88</c:v>
                </c:pt>
                <c:pt idx="81">
                  <c:v>447.04</c:v>
                </c:pt>
                <c:pt idx="82">
                  <c:v>451.44</c:v>
                </c:pt>
                <c:pt idx="83">
                  <c:v>451.01</c:v>
                </c:pt>
                <c:pt idx="84">
                  <c:v>449.26</c:v>
                </c:pt>
                <c:pt idx="85">
                  <c:v>451.2</c:v>
                </c:pt>
                <c:pt idx="86">
                  <c:v>451.25</c:v>
                </c:pt>
                <c:pt idx="87">
                  <c:v>451.06</c:v>
                </c:pt>
                <c:pt idx="88">
                  <c:v>449.02</c:v>
                </c:pt>
                <c:pt idx="89">
                  <c:v>432.47</c:v>
                </c:pt>
                <c:pt idx="90">
                  <c:v>442.12</c:v>
                </c:pt>
                <c:pt idx="91">
                  <c:v>441.36</c:v>
                </c:pt>
                <c:pt idx="92">
                  <c:v>440.8</c:v>
                </c:pt>
                <c:pt idx="93">
                  <c:v>446.71</c:v>
                </c:pt>
                <c:pt idx="94">
                  <c:v>447.32</c:v>
                </c:pt>
                <c:pt idx="95">
                  <c:v>451.2</c:v>
                </c:pt>
                <c:pt idx="96">
                  <c:v>452.24</c:v>
                </c:pt>
                <c:pt idx="97">
                  <c:v>452.1</c:v>
                </c:pt>
                <c:pt idx="98">
                  <c:v>455.13</c:v>
                </c:pt>
                <c:pt idx="99">
                  <c:v>454.27</c:v>
                </c:pt>
                <c:pt idx="100">
                  <c:v>458.44</c:v>
                </c:pt>
                <c:pt idx="101">
                  <c:v>463.83</c:v>
                </c:pt>
                <c:pt idx="102">
                  <c:v>462.41</c:v>
                </c:pt>
                <c:pt idx="103">
                  <c:v>465.01</c:v>
                </c:pt>
                <c:pt idx="104">
                  <c:v>461.61</c:v>
                </c:pt>
                <c:pt idx="105">
                  <c:v>458.01</c:v>
                </c:pt>
                <c:pt idx="106">
                  <c:v>456.26</c:v>
                </c:pt>
                <c:pt idx="107">
                  <c:v>446.23</c:v>
                </c:pt>
                <c:pt idx="108">
                  <c:v>454.42</c:v>
                </c:pt>
                <c:pt idx="109">
                  <c:v>455.79</c:v>
                </c:pt>
                <c:pt idx="110">
                  <c:v>457.54</c:v>
                </c:pt>
                <c:pt idx="111">
                  <c:v>460.42</c:v>
                </c:pt>
                <c:pt idx="112">
                  <c:v>462.51</c:v>
                </c:pt>
                <c:pt idx="113">
                  <c:v>466.57</c:v>
                </c:pt>
                <c:pt idx="114">
                  <c:v>471.64</c:v>
                </c:pt>
                <c:pt idx="115">
                  <c:v>470.12</c:v>
                </c:pt>
                <c:pt idx="116">
                  <c:v>461.84</c:v>
                </c:pt>
                <c:pt idx="117">
                  <c:v>465.49</c:v>
                </c:pt>
                <c:pt idx="118">
                  <c:v>465.15</c:v>
                </c:pt>
                <c:pt idx="119">
                  <c:v>480.53</c:v>
                </c:pt>
                <c:pt idx="120">
                  <c:v>482.66</c:v>
                </c:pt>
                <c:pt idx="121">
                  <c:v>476.36</c:v>
                </c:pt>
                <c:pt idx="122">
                  <c:v>485.07</c:v>
                </c:pt>
                <c:pt idx="123">
                  <c:v>488.33</c:v>
                </c:pt>
                <c:pt idx="124">
                  <c:v>490.18</c:v>
                </c:pt>
                <c:pt idx="125">
                  <c:v>494.48</c:v>
                </c:pt>
                <c:pt idx="126">
                  <c:v>494.53</c:v>
                </c:pt>
                <c:pt idx="127">
                  <c:v>489.61</c:v>
                </c:pt>
                <c:pt idx="128">
                  <c:v>487.43</c:v>
                </c:pt>
                <c:pt idx="129">
                  <c:v>489.04</c:v>
                </c:pt>
                <c:pt idx="130">
                  <c:v>486.63</c:v>
                </c:pt>
                <c:pt idx="131">
                  <c:v>480.81</c:v>
                </c:pt>
                <c:pt idx="132">
                  <c:v>479.96</c:v>
                </c:pt>
                <c:pt idx="133">
                  <c:v>480.34</c:v>
                </c:pt>
                <c:pt idx="134">
                  <c:v>483.51</c:v>
                </c:pt>
                <c:pt idx="135">
                  <c:v>486.11</c:v>
                </c:pt>
                <c:pt idx="136">
                  <c:v>491.45</c:v>
                </c:pt>
                <c:pt idx="137">
                  <c:v>486.58</c:v>
                </c:pt>
                <c:pt idx="138">
                  <c:v>485.87</c:v>
                </c:pt>
                <c:pt idx="139">
                  <c:v>484.12</c:v>
                </c:pt>
                <c:pt idx="140">
                  <c:v>474.61</c:v>
                </c:pt>
                <c:pt idx="141">
                  <c:v>483.6</c:v>
                </c:pt>
                <c:pt idx="142">
                  <c:v>479.01</c:v>
                </c:pt>
                <c:pt idx="143">
                  <c:v>481.9</c:v>
                </c:pt>
                <c:pt idx="144">
                  <c:v>482.51</c:v>
                </c:pt>
                <c:pt idx="145">
                  <c:v>474.8</c:v>
                </c:pt>
                <c:pt idx="146">
                  <c:v>477.83</c:v>
                </c:pt>
                <c:pt idx="147">
                  <c:v>470.45</c:v>
                </c:pt>
                <c:pt idx="148">
                  <c:v>473.57</c:v>
                </c:pt>
                <c:pt idx="149">
                  <c:v>478.4</c:v>
                </c:pt>
                <c:pt idx="150">
                  <c:v>478.49</c:v>
                </c:pt>
                <c:pt idx="151">
                  <c:v>477.31</c:v>
                </c:pt>
                <c:pt idx="152">
                  <c:v>478.11</c:v>
                </c:pt>
                <c:pt idx="153">
                  <c:v>471.87</c:v>
                </c:pt>
                <c:pt idx="154">
                  <c:v>474.38</c:v>
                </c:pt>
                <c:pt idx="155">
                  <c:v>475.51</c:v>
                </c:pt>
                <c:pt idx="156">
                  <c:v>465.63</c:v>
                </c:pt>
                <c:pt idx="157">
                  <c:v>463.55</c:v>
                </c:pt>
                <c:pt idx="158">
                  <c:v>467.9</c:v>
                </c:pt>
                <c:pt idx="159">
                  <c:v>469.13</c:v>
                </c:pt>
                <c:pt idx="160">
                  <c:v>468.04</c:v>
                </c:pt>
                <c:pt idx="161">
                  <c:v>466.05</c:v>
                </c:pt>
                <c:pt idx="162">
                  <c:v>460.05</c:v>
                </c:pt>
                <c:pt idx="163">
                  <c:v>459.76</c:v>
                </c:pt>
                <c:pt idx="164">
                  <c:v>462.7</c:v>
                </c:pt>
                <c:pt idx="165">
                  <c:v>467.05</c:v>
                </c:pt>
                <c:pt idx="166">
                  <c:v>468.61</c:v>
                </c:pt>
                <c:pt idx="167">
                  <c:v>463.45</c:v>
                </c:pt>
                <c:pt idx="168">
                  <c:v>469.27</c:v>
                </c:pt>
                <c:pt idx="169">
                  <c:v>475.09</c:v>
                </c:pt>
                <c:pt idx="170">
                  <c:v>463.5</c:v>
                </c:pt>
                <c:pt idx="171">
                  <c:v>467.38</c:v>
                </c:pt>
                <c:pt idx="172">
                  <c:v>465.63</c:v>
                </c:pt>
                <c:pt idx="173">
                  <c:v>441.36</c:v>
                </c:pt>
                <c:pt idx="174">
                  <c:v>448.93</c:v>
                </c:pt>
                <c:pt idx="175">
                  <c:v>444.86</c:v>
                </c:pt>
                <c:pt idx="176">
                  <c:v>440.42</c:v>
                </c:pt>
                <c:pt idx="177">
                  <c:v>438.38</c:v>
                </c:pt>
                <c:pt idx="178">
                  <c:v>434.27</c:v>
                </c:pt>
                <c:pt idx="179">
                  <c:v>433.89</c:v>
                </c:pt>
                <c:pt idx="180">
                  <c:v>427.08</c:v>
                </c:pt>
                <c:pt idx="181">
                  <c:v>428.17</c:v>
                </c:pt>
                <c:pt idx="182">
                  <c:v>419.65</c:v>
                </c:pt>
                <c:pt idx="183">
                  <c:v>410.24</c:v>
                </c:pt>
                <c:pt idx="184">
                  <c:v>405.89</c:v>
                </c:pt>
                <c:pt idx="185">
                  <c:v>405.18</c:v>
                </c:pt>
                <c:pt idx="186">
                  <c:v>402.53</c:v>
                </c:pt>
                <c:pt idx="187">
                  <c:v>405.89</c:v>
                </c:pt>
                <c:pt idx="188">
                  <c:v>401.96</c:v>
                </c:pt>
                <c:pt idx="189">
                  <c:v>402.62</c:v>
                </c:pt>
                <c:pt idx="190">
                  <c:v>401.06</c:v>
                </c:pt>
                <c:pt idx="191">
                  <c:v>400.45</c:v>
                </c:pt>
                <c:pt idx="192">
                  <c:v>400.45</c:v>
                </c:pt>
                <c:pt idx="193">
                  <c:v>396.95</c:v>
                </c:pt>
                <c:pt idx="194">
                  <c:v>400.45</c:v>
                </c:pt>
                <c:pt idx="195">
                  <c:v>400.78</c:v>
                </c:pt>
                <c:pt idx="196">
                  <c:v>405.6</c:v>
                </c:pt>
                <c:pt idx="197">
                  <c:v>407.87</c:v>
                </c:pt>
                <c:pt idx="198">
                  <c:v>407.07</c:v>
                </c:pt>
                <c:pt idx="199">
                  <c:v>408.96</c:v>
                </c:pt>
                <c:pt idx="200">
                  <c:v>409.62</c:v>
                </c:pt>
                <c:pt idx="201">
                  <c:v>413.31</c:v>
                </c:pt>
                <c:pt idx="202">
                  <c:v>415.44</c:v>
                </c:pt>
                <c:pt idx="203">
                  <c:v>411.89</c:v>
                </c:pt>
                <c:pt idx="204">
                  <c:v>407.07</c:v>
                </c:pt>
                <c:pt idx="205">
                  <c:v>392.79</c:v>
                </c:pt>
                <c:pt idx="206">
                  <c:v>407.12</c:v>
                </c:pt>
                <c:pt idx="207">
                  <c:v>403.43</c:v>
                </c:pt>
                <c:pt idx="208">
                  <c:v>400.97</c:v>
                </c:pt>
                <c:pt idx="209">
                  <c:v>407.68</c:v>
                </c:pt>
                <c:pt idx="210">
                  <c:v>405.84</c:v>
                </c:pt>
                <c:pt idx="211">
                  <c:v>408.2</c:v>
                </c:pt>
                <c:pt idx="212">
                  <c:v>412.65</c:v>
                </c:pt>
                <c:pt idx="213">
                  <c:v>417.52</c:v>
                </c:pt>
                <c:pt idx="214">
                  <c:v>416.15</c:v>
                </c:pt>
                <c:pt idx="215">
                  <c:v>411.33</c:v>
                </c:pt>
                <c:pt idx="216">
                  <c:v>412.74</c:v>
                </c:pt>
                <c:pt idx="217">
                  <c:v>408.16</c:v>
                </c:pt>
                <c:pt idx="218">
                  <c:v>404.7</c:v>
                </c:pt>
                <c:pt idx="219">
                  <c:v>406.5</c:v>
                </c:pt>
                <c:pt idx="220">
                  <c:v>408.54</c:v>
                </c:pt>
                <c:pt idx="221">
                  <c:v>409.95</c:v>
                </c:pt>
                <c:pt idx="222">
                  <c:v>402.15</c:v>
                </c:pt>
                <c:pt idx="223">
                  <c:v>417.19</c:v>
                </c:pt>
                <c:pt idx="224">
                  <c:v>416.58</c:v>
                </c:pt>
                <c:pt idx="225">
                  <c:v>411.28</c:v>
                </c:pt>
                <c:pt idx="226">
                  <c:v>412.89</c:v>
                </c:pt>
                <c:pt idx="227">
                  <c:v>415.3</c:v>
                </c:pt>
                <c:pt idx="228">
                  <c:v>412.13</c:v>
                </c:pt>
                <c:pt idx="229">
                  <c:v>414.54</c:v>
                </c:pt>
                <c:pt idx="230">
                  <c:v>416.25</c:v>
                </c:pt>
                <c:pt idx="231">
                  <c:v>413.93</c:v>
                </c:pt>
                <c:pt idx="232">
                  <c:v>405.74</c:v>
                </c:pt>
                <c:pt idx="233">
                  <c:v>406.03</c:v>
                </c:pt>
                <c:pt idx="234">
                  <c:v>402.34</c:v>
                </c:pt>
                <c:pt idx="235">
                  <c:v>401.82</c:v>
                </c:pt>
                <c:pt idx="236">
                  <c:v>396.24</c:v>
                </c:pt>
                <c:pt idx="237">
                  <c:v>402.91</c:v>
                </c:pt>
                <c:pt idx="238">
                  <c:v>402.91</c:v>
                </c:pt>
                <c:pt idx="239">
                  <c:v>406.88</c:v>
                </c:pt>
                <c:pt idx="240">
                  <c:v>413.36</c:v>
                </c:pt>
                <c:pt idx="241">
                  <c:v>403.33</c:v>
                </c:pt>
                <c:pt idx="242">
                  <c:v>405.93</c:v>
                </c:pt>
                <c:pt idx="243">
                  <c:v>404.47</c:v>
                </c:pt>
                <c:pt idx="244">
                  <c:v>399.93</c:v>
                </c:pt>
                <c:pt idx="245">
                  <c:v>402.24</c:v>
                </c:pt>
                <c:pt idx="246">
                  <c:v>402.86</c:v>
                </c:pt>
                <c:pt idx="247">
                  <c:v>403.66</c:v>
                </c:pt>
                <c:pt idx="248">
                  <c:v>405.23</c:v>
                </c:pt>
                <c:pt idx="249">
                  <c:v>404.89</c:v>
                </c:pt>
                <c:pt idx="250">
                  <c:v>404.56</c:v>
                </c:pt>
                <c:pt idx="251">
                  <c:v>405.46</c:v>
                </c:pt>
                <c:pt idx="252">
                  <c:v>398.51</c:v>
                </c:pt>
                <c:pt idx="253">
                  <c:v>393.26</c:v>
                </c:pt>
                <c:pt idx="254">
                  <c:v>387.44</c:v>
                </c:pt>
                <c:pt idx="255">
                  <c:v>394.91</c:v>
                </c:pt>
                <c:pt idx="256">
                  <c:v>396.47</c:v>
                </c:pt>
                <c:pt idx="257">
                  <c:v>396.99</c:v>
                </c:pt>
                <c:pt idx="258">
                  <c:v>399.64</c:v>
                </c:pt>
                <c:pt idx="259">
                  <c:v>382.61</c:v>
                </c:pt>
                <c:pt idx="260">
                  <c:v>387.3</c:v>
                </c:pt>
                <c:pt idx="261">
                  <c:v>391.22</c:v>
                </c:pt>
                <c:pt idx="262">
                  <c:v>385.83</c:v>
                </c:pt>
                <c:pt idx="263">
                  <c:v>384.22</c:v>
                </c:pt>
                <c:pt idx="264">
                  <c:v>387.01</c:v>
                </c:pt>
                <c:pt idx="265">
                  <c:v>387.39</c:v>
                </c:pt>
                <c:pt idx="266">
                  <c:v>384.36</c:v>
                </c:pt>
                <c:pt idx="267">
                  <c:v>386.26</c:v>
                </c:pt>
                <c:pt idx="268">
                  <c:v>388.95</c:v>
                </c:pt>
                <c:pt idx="269">
                  <c:v>387.11</c:v>
                </c:pt>
                <c:pt idx="270">
                  <c:v>389.19</c:v>
                </c:pt>
                <c:pt idx="271">
                  <c:v>392.08</c:v>
                </c:pt>
                <c:pt idx="272">
                  <c:v>381.57</c:v>
                </c:pt>
                <c:pt idx="273">
                  <c:v>384.18</c:v>
                </c:pt>
                <c:pt idx="274">
                  <c:v>387.16</c:v>
                </c:pt>
                <c:pt idx="275">
                  <c:v>382.76</c:v>
                </c:pt>
                <c:pt idx="276">
                  <c:v>382.1</c:v>
                </c:pt>
                <c:pt idx="277">
                  <c:v>389.33</c:v>
                </c:pt>
                <c:pt idx="278">
                  <c:v>384.79</c:v>
                </c:pt>
                <c:pt idx="279">
                  <c:v>384.89</c:v>
                </c:pt>
                <c:pt idx="280">
                  <c:v>393.07</c:v>
                </c:pt>
                <c:pt idx="281">
                  <c:v>392.17</c:v>
                </c:pt>
                <c:pt idx="282">
                  <c:v>408.49</c:v>
                </c:pt>
                <c:pt idx="283">
                  <c:v>408.11</c:v>
                </c:pt>
                <c:pt idx="284">
                  <c:v>414.4</c:v>
                </c:pt>
                <c:pt idx="285">
                  <c:v>416.34</c:v>
                </c:pt>
                <c:pt idx="286">
                  <c:v>418.99</c:v>
                </c:pt>
                <c:pt idx="287">
                  <c:v>417.71</c:v>
                </c:pt>
                <c:pt idx="288">
                  <c:v>414.4</c:v>
                </c:pt>
                <c:pt idx="289">
                  <c:v>425.52</c:v>
                </c:pt>
                <c:pt idx="290">
                  <c:v>431.05</c:v>
                </c:pt>
                <c:pt idx="291">
                  <c:v>438.57</c:v>
                </c:pt>
                <c:pt idx="292">
                  <c:v>434.5</c:v>
                </c:pt>
                <c:pt idx="293">
                  <c:v>468.4</c:v>
                </c:pt>
                <c:pt idx="294">
                  <c:v>446.05</c:v>
                </c:pt>
                <c:pt idx="295">
                  <c:v>440.37</c:v>
                </c:pt>
                <c:pt idx="296">
                  <c:v>441.41</c:v>
                </c:pt>
                <c:pt idx="297">
                  <c:v>446.8</c:v>
                </c:pt>
                <c:pt idx="298">
                  <c:v>442.36</c:v>
                </c:pt>
                <c:pt idx="299">
                  <c:v>441.5</c:v>
                </c:pt>
                <c:pt idx="300">
                  <c:v>437.67</c:v>
                </c:pt>
                <c:pt idx="301">
                  <c:v>438.29</c:v>
                </c:pt>
                <c:pt idx="302">
                  <c:v>439.47</c:v>
                </c:pt>
                <c:pt idx="303">
                  <c:v>440.37</c:v>
                </c:pt>
                <c:pt idx="304">
                  <c:v>448.36</c:v>
                </c:pt>
                <c:pt idx="305">
                  <c:v>450.68</c:v>
                </c:pt>
                <c:pt idx="306">
                  <c:v>451.48</c:v>
                </c:pt>
                <c:pt idx="307">
                  <c:v>444.96</c:v>
                </c:pt>
                <c:pt idx="308">
                  <c:v>442.78</c:v>
                </c:pt>
                <c:pt idx="309">
                  <c:v>437.15</c:v>
                </c:pt>
                <c:pt idx="310">
                  <c:v>439.05</c:v>
                </c:pt>
                <c:pt idx="311">
                  <c:v>432.42</c:v>
                </c:pt>
                <c:pt idx="312">
                  <c:v>431.81</c:v>
                </c:pt>
                <c:pt idx="313">
                  <c:v>430.63</c:v>
                </c:pt>
                <c:pt idx="314">
                  <c:v>427.08</c:v>
                </c:pt>
                <c:pt idx="315">
                  <c:v>426.65</c:v>
                </c:pt>
                <c:pt idx="316">
                  <c:v>431.48</c:v>
                </c:pt>
                <c:pt idx="317">
                  <c:v>427.27</c:v>
                </c:pt>
                <c:pt idx="318">
                  <c:v>433.46</c:v>
                </c:pt>
                <c:pt idx="319">
                  <c:v>435.26</c:v>
                </c:pt>
                <c:pt idx="320">
                  <c:v>431.05</c:v>
                </c:pt>
                <c:pt idx="321">
                  <c:v>428.64</c:v>
                </c:pt>
                <c:pt idx="322">
                  <c:v>428.02</c:v>
                </c:pt>
                <c:pt idx="323">
                  <c:v>424.9</c:v>
                </c:pt>
                <c:pt idx="324">
                  <c:v>433.37</c:v>
                </c:pt>
                <c:pt idx="325">
                  <c:v>438.24</c:v>
                </c:pt>
                <c:pt idx="326">
                  <c:v>427.36</c:v>
                </c:pt>
                <c:pt idx="327">
                  <c:v>429.54</c:v>
                </c:pt>
                <c:pt idx="328">
                  <c:v>425.52</c:v>
                </c:pt>
                <c:pt idx="329">
                  <c:v>412.27</c:v>
                </c:pt>
                <c:pt idx="330">
                  <c:v>413.6</c:v>
                </c:pt>
                <c:pt idx="331">
                  <c:v>411.75</c:v>
                </c:pt>
                <c:pt idx="332">
                  <c:v>414.16</c:v>
                </c:pt>
                <c:pt idx="333">
                  <c:v>416.58</c:v>
                </c:pt>
                <c:pt idx="334">
                  <c:v>415.96</c:v>
                </c:pt>
                <c:pt idx="335">
                  <c:v>412.7</c:v>
                </c:pt>
                <c:pt idx="336">
                  <c:v>413.22</c:v>
                </c:pt>
                <c:pt idx="337">
                  <c:v>415.54</c:v>
                </c:pt>
                <c:pt idx="338">
                  <c:v>414.97</c:v>
                </c:pt>
                <c:pt idx="339">
                  <c:v>418.09</c:v>
                </c:pt>
                <c:pt idx="340">
                  <c:v>412.46</c:v>
                </c:pt>
                <c:pt idx="341">
                  <c:v>438.45</c:v>
                </c:pt>
                <c:pt idx="342">
                  <c:v>412.98</c:v>
                </c:pt>
                <c:pt idx="343">
                  <c:v>410.95</c:v>
                </c:pt>
                <c:pt idx="344">
                  <c:v>413.36</c:v>
                </c:pt>
                <c:pt idx="345">
                  <c:v>409.34</c:v>
                </c:pt>
                <c:pt idx="346">
                  <c:v>411.85</c:v>
                </c:pt>
                <c:pt idx="347">
                  <c:v>409.86</c:v>
                </c:pt>
                <c:pt idx="348">
                  <c:v>407.87</c:v>
                </c:pt>
                <c:pt idx="349">
                  <c:v>404.99</c:v>
                </c:pt>
                <c:pt idx="350">
                  <c:v>405.27</c:v>
                </c:pt>
                <c:pt idx="351">
                  <c:v>407.21</c:v>
                </c:pt>
                <c:pt idx="352">
                  <c:v>410.33</c:v>
                </c:pt>
                <c:pt idx="353">
                  <c:v>410.9</c:v>
                </c:pt>
                <c:pt idx="354">
                  <c:v>409.34</c:v>
                </c:pt>
                <c:pt idx="355">
                  <c:v>412.37</c:v>
                </c:pt>
                <c:pt idx="356">
                  <c:v>414.64</c:v>
                </c:pt>
                <c:pt idx="357">
                  <c:v>426.08</c:v>
                </c:pt>
                <c:pt idx="358">
                  <c:v>427.27</c:v>
                </c:pt>
                <c:pt idx="359">
                  <c:v>428.97</c:v>
                </c:pt>
                <c:pt idx="360">
                  <c:v>424.71</c:v>
                </c:pt>
                <c:pt idx="361">
                  <c:v>424.14</c:v>
                </c:pt>
                <c:pt idx="362">
                  <c:v>426.37</c:v>
                </c:pt>
                <c:pt idx="363">
                  <c:v>424.05</c:v>
                </c:pt>
                <c:pt idx="364">
                  <c:v>420.41</c:v>
                </c:pt>
                <c:pt idx="365">
                  <c:v>416.67</c:v>
                </c:pt>
                <c:pt idx="366">
                  <c:v>418.28</c:v>
                </c:pt>
                <c:pt idx="367">
                  <c:v>412.51</c:v>
                </c:pt>
                <c:pt idx="368">
                  <c:v>412.56</c:v>
                </c:pt>
                <c:pt idx="369">
                  <c:v>416.01</c:v>
                </c:pt>
                <c:pt idx="370">
                  <c:v>420.41</c:v>
                </c:pt>
                <c:pt idx="371">
                  <c:v>416.95</c:v>
                </c:pt>
                <c:pt idx="372">
                  <c:v>424.9</c:v>
                </c:pt>
                <c:pt idx="373">
                  <c:v>418.56</c:v>
                </c:pt>
                <c:pt idx="374">
                  <c:v>418.7</c:v>
                </c:pt>
                <c:pt idx="375">
                  <c:v>419.18</c:v>
                </c:pt>
                <c:pt idx="376">
                  <c:v>423.34</c:v>
                </c:pt>
                <c:pt idx="377">
                  <c:v>428.5</c:v>
                </c:pt>
                <c:pt idx="378">
                  <c:v>427.64</c:v>
                </c:pt>
                <c:pt idx="379">
                  <c:v>424.14</c:v>
                </c:pt>
                <c:pt idx="380">
                  <c:v>425.66</c:v>
                </c:pt>
                <c:pt idx="381">
                  <c:v>429.02</c:v>
                </c:pt>
                <c:pt idx="382">
                  <c:v>426.79</c:v>
                </c:pt>
                <c:pt idx="383">
                  <c:v>423.06</c:v>
                </c:pt>
                <c:pt idx="384">
                  <c:v>418.75</c:v>
                </c:pt>
                <c:pt idx="385">
                  <c:v>421.83</c:v>
                </c:pt>
                <c:pt idx="386">
                  <c:v>423.29</c:v>
                </c:pt>
                <c:pt idx="387">
                  <c:v>419.18</c:v>
                </c:pt>
                <c:pt idx="388">
                  <c:v>413.88</c:v>
                </c:pt>
                <c:pt idx="389">
                  <c:v>417.24</c:v>
                </c:pt>
                <c:pt idx="390">
                  <c:v>415.96</c:v>
                </c:pt>
                <c:pt idx="391">
                  <c:v>418.89</c:v>
                </c:pt>
                <c:pt idx="392">
                  <c:v>416.34</c:v>
                </c:pt>
                <c:pt idx="393">
                  <c:v>417.57</c:v>
                </c:pt>
                <c:pt idx="394">
                  <c:v>419.42</c:v>
                </c:pt>
                <c:pt idx="395">
                  <c:v>426.56</c:v>
                </c:pt>
                <c:pt idx="396">
                  <c:v>426.13</c:v>
                </c:pt>
                <c:pt idx="397">
                  <c:v>429.73</c:v>
                </c:pt>
                <c:pt idx="398">
                  <c:v>423.63</c:v>
                </c:pt>
                <c:pt idx="399">
                  <c:v>417.81</c:v>
                </c:pt>
                <c:pt idx="400">
                  <c:v>417.19</c:v>
                </c:pt>
                <c:pt idx="401">
                  <c:v>425.94</c:v>
                </c:pt>
                <c:pt idx="402">
                  <c:v>424.95</c:v>
                </c:pt>
                <c:pt idx="403">
                  <c:v>424.52</c:v>
                </c:pt>
                <c:pt idx="404">
                  <c:v>427.36</c:v>
                </c:pt>
                <c:pt idx="405">
                  <c:v>433.89</c:v>
                </c:pt>
                <c:pt idx="406">
                  <c:v>427.93</c:v>
                </c:pt>
                <c:pt idx="407">
                  <c:v>430.34</c:v>
                </c:pt>
                <c:pt idx="408">
                  <c:v>430.39</c:v>
                </c:pt>
                <c:pt idx="409">
                  <c:v>431.43</c:v>
                </c:pt>
                <c:pt idx="410">
                  <c:v>435.26</c:v>
                </c:pt>
                <c:pt idx="411">
                  <c:v>439.71</c:v>
                </c:pt>
                <c:pt idx="412">
                  <c:v>440.56</c:v>
                </c:pt>
                <c:pt idx="413">
                  <c:v>443.16</c:v>
                </c:pt>
                <c:pt idx="414">
                  <c:v>439.94</c:v>
                </c:pt>
                <c:pt idx="415">
                  <c:v>446.76</c:v>
                </c:pt>
                <c:pt idx="416">
                  <c:v>437.34</c:v>
                </c:pt>
                <c:pt idx="417">
                  <c:v>445.9</c:v>
                </c:pt>
                <c:pt idx="418">
                  <c:v>463.97</c:v>
                </c:pt>
                <c:pt idx="419">
                  <c:v>465.58</c:v>
                </c:pt>
                <c:pt idx="420">
                  <c:v>453</c:v>
                </c:pt>
                <c:pt idx="421">
                  <c:v>446.99</c:v>
                </c:pt>
                <c:pt idx="422">
                  <c:v>446.85</c:v>
                </c:pt>
                <c:pt idx="423">
                  <c:v>447.37</c:v>
                </c:pt>
                <c:pt idx="424">
                  <c:v>446.52</c:v>
                </c:pt>
                <c:pt idx="425">
                  <c:v>446.8</c:v>
                </c:pt>
                <c:pt idx="426">
                  <c:v>447.61</c:v>
                </c:pt>
                <c:pt idx="427">
                  <c:v>440.7</c:v>
                </c:pt>
                <c:pt idx="428">
                  <c:v>443.11</c:v>
                </c:pt>
                <c:pt idx="429">
                  <c:v>448.32</c:v>
                </c:pt>
                <c:pt idx="430">
                  <c:v>449.45</c:v>
                </c:pt>
                <c:pt idx="431">
                  <c:v>441.17</c:v>
                </c:pt>
                <c:pt idx="432">
                  <c:v>438.24</c:v>
                </c:pt>
                <c:pt idx="433">
                  <c:v>427.22</c:v>
                </c:pt>
                <c:pt idx="434">
                  <c:v>425.09</c:v>
                </c:pt>
                <c:pt idx="435">
                  <c:v>421.07</c:v>
                </c:pt>
                <c:pt idx="436">
                  <c:v>421.64</c:v>
                </c:pt>
                <c:pt idx="437">
                  <c:v>420.74</c:v>
                </c:pt>
                <c:pt idx="438">
                  <c:v>423.48</c:v>
                </c:pt>
                <c:pt idx="439">
                  <c:v>422.92</c:v>
                </c:pt>
                <c:pt idx="440">
                  <c:v>428.4</c:v>
                </c:pt>
                <c:pt idx="441">
                  <c:v>429.11</c:v>
                </c:pt>
                <c:pt idx="442">
                  <c:v>428.64</c:v>
                </c:pt>
                <c:pt idx="443">
                  <c:v>423.91</c:v>
                </c:pt>
                <c:pt idx="444">
                  <c:v>420.5</c:v>
                </c:pt>
                <c:pt idx="445">
                  <c:v>421.35</c:v>
                </c:pt>
                <c:pt idx="446">
                  <c:v>413.36</c:v>
                </c:pt>
                <c:pt idx="447">
                  <c:v>414.78</c:v>
                </c:pt>
                <c:pt idx="448">
                  <c:v>418.99</c:v>
                </c:pt>
                <c:pt idx="449">
                  <c:v>419.98</c:v>
                </c:pt>
                <c:pt idx="450">
                  <c:v>418.89</c:v>
                </c:pt>
                <c:pt idx="451">
                  <c:v>416.86</c:v>
                </c:pt>
                <c:pt idx="452">
                  <c:v>419.46</c:v>
                </c:pt>
                <c:pt idx="453">
                  <c:v>415.96</c:v>
                </c:pt>
                <c:pt idx="454">
                  <c:v>421.45</c:v>
                </c:pt>
                <c:pt idx="455">
                  <c:v>425.61</c:v>
                </c:pt>
                <c:pt idx="456">
                  <c:v>422.25</c:v>
                </c:pt>
                <c:pt idx="457">
                  <c:v>417.08</c:v>
                </c:pt>
                <c:pt idx="458">
                  <c:v>414.78</c:v>
                </c:pt>
                <c:pt idx="459">
                  <c:v>407.59</c:v>
                </c:pt>
                <c:pt idx="460">
                  <c:v>403.5</c:v>
                </c:pt>
                <c:pt idx="461">
                  <c:v>399.36</c:v>
                </c:pt>
                <c:pt idx="462">
                  <c:v>394.75</c:v>
                </c:pt>
                <c:pt idx="463">
                  <c:v>394.61</c:v>
                </c:pt>
                <c:pt idx="464">
                  <c:v>402.04</c:v>
                </c:pt>
                <c:pt idx="465">
                  <c:v>398.61</c:v>
                </c:pt>
                <c:pt idx="466">
                  <c:v>402.23</c:v>
                </c:pt>
                <c:pt idx="467">
                  <c:v>395.32</c:v>
                </c:pt>
                <c:pt idx="468">
                  <c:v>395.27</c:v>
                </c:pt>
                <c:pt idx="469">
                  <c:v>399.92</c:v>
                </c:pt>
                <c:pt idx="470">
                  <c:v>398.46</c:v>
                </c:pt>
                <c:pt idx="471">
                  <c:v>405.66</c:v>
                </c:pt>
                <c:pt idx="472">
                  <c:v>403.12</c:v>
                </c:pt>
                <c:pt idx="473">
                  <c:v>399.22</c:v>
                </c:pt>
                <c:pt idx="474">
                  <c:v>401.61</c:v>
                </c:pt>
                <c:pt idx="475">
                  <c:v>399.08</c:v>
                </c:pt>
                <c:pt idx="476">
                  <c:v>400.11</c:v>
                </c:pt>
                <c:pt idx="477">
                  <c:v>391.13</c:v>
                </c:pt>
                <c:pt idx="478">
                  <c:v>387.61</c:v>
                </c:pt>
                <c:pt idx="479">
                  <c:v>386.95</c:v>
                </c:pt>
                <c:pt idx="480">
                  <c:v>384.27</c:v>
                </c:pt>
                <c:pt idx="481">
                  <c:v>383.85</c:v>
                </c:pt>
                <c:pt idx="482">
                  <c:v>376.37</c:v>
                </c:pt>
                <c:pt idx="483">
                  <c:v>374.91</c:v>
                </c:pt>
                <c:pt idx="484">
                  <c:v>374.68</c:v>
                </c:pt>
                <c:pt idx="485">
                  <c:v>376.23</c:v>
                </c:pt>
                <c:pt idx="486">
                  <c:v>371.95</c:v>
                </c:pt>
                <c:pt idx="487">
                  <c:v>370.02</c:v>
                </c:pt>
                <c:pt idx="488">
                  <c:v>372.33</c:v>
                </c:pt>
                <c:pt idx="489">
                  <c:v>365.32</c:v>
                </c:pt>
                <c:pt idx="490">
                  <c:v>364.19</c:v>
                </c:pt>
                <c:pt idx="491">
                  <c:v>363.3</c:v>
                </c:pt>
                <c:pt idx="492">
                  <c:v>356.25</c:v>
                </c:pt>
                <c:pt idx="493">
                  <c:v>360.58</c:v>
                </c:pt>
                <c:pt idx="494">
                  <c:v>359.87</c:v>
                </c:pt>
                <c:pt idx="495">
                  <c:v>357.05</c:v>
                </c:pt>
                <c:pt idx="496">
                  <c:v>357.47</c:v>
                </c:pt>
                <c:pt idx="497">
                  <c:v>356.06</c:v>
                </c:pt>
                <c:pt idx="498">
                  <c:v>357.89</c:v>
                </c:pt>
                <c:pt idx="499">
                  <c:v>355.17</c:v>
                </c:pt>
                <c:pt idx="500">
                  <c:v>354.42</c:v>
                </c:pt>
                <c:pt idx="501">
                  <c:v>356.16</c:v>
                </c:pt>
                <c:pt idx="502">
                  <c:v>353.1</c:v>
                </c:pt>
                <c:pt idx="503">
                  <c:v>358.65</c:v>
                </c:pt>
                <c:pt idx="504">
                  <c:v>356.72</c:v>
                </c:pt>
                <c:pt idx="505">
                  <c:v>357</c:v>
                </c:pt>
                <c:pt idx="506">
                  <c:v>360.72</c:v>
                </c:pt>
                <c:pt idx="507">
                  <c:v>364.81</c:v>
                </c:pt>
                <c:pt idx="508">
                  <c:v>364.33</c:v>
                </c:pt>
                <c:pt idx="509">
                  <c:v>368.94</c:v>
                </c:pt>
                <c:pt idx="510">
                  <c:v>364.95</c:v>
                </c:pt>
                <c:pt idx="511">
                  <c:v>361.94</c:v>
                </c:pt>
                <c:pt idx="512">
                  <c:v>353.1</c:v>
                </c:pt>
                <c:pt idx="513">
                  <c:v>356.06</c:v>
                </c:pt>
                <c:pt idx="514">
                  <c:v>354.18</c:v>
                </c:pt>
                <c:pt idx="515">
                  <c:v>359.35</c:v>
                </c:pt>
                <c:pt idx="516">
                  <c:v>362.08</c:v>
                </c:pt>
                <c:pt idx="517">
                  <c:v>364.43</c:v>
                </c:pt>
                <c:pt idx="518">
                  <c:v>360.9</c:v>
                </c:pt>
                <c:pt idx="519">
                  <c:v>359.4</c:v>
                </c:pt>
                <c:pt idx="520">
                  <c:v>361.09</c:v>
                </c:pt>
                <c:pt idx="521">
                  <c:v>360.48</c:v>
                </c:pt>
                <c:pt idx="522">
                  <c:v>359.68</c:v>
                </c:pt>
                <c:pt idx="523">
                  <c:v>359.35</c:v>
                </c:pt>
                <c:pt idx="524">
                  <c:v>363.35</c:v>
                </c:pt>
                <c:pt idx="525">
                  <c:v>351.83</c:v>
                </c:pt>
                <c:pt idx="526">
                  <c:v>349.15</c:v>
                </c:pt>
                <c:pt idx="527">
                  <c:v>351.88</c:v>
                </c:pt>
                <c:pt idx="528">
                  <c:v>353.1</c:v>
                </c:pt>
                <c:pt idx="529">
                  <c:v>350.94</c:v>
                </c:pt>
                <c:pt idx="530">
                  <c:v>360.48</c:v>
                </c:pt>
                <c:pt idx="531">
                  <c:v>357.89</c:v>
                </c:pt>
                <c:pt idx="532">
                  <c:v>355.97</c:v>
                </c:pt>
                <c:pt idx="533">
                  <c:v>339.8</c:v>
                </c:pt>
                <c:pt idx="534">
                  <c:v>331.29</c:v>
                </c:pt>
                <c:pt idx="535">
                  <c:v>324.19</c:v>
                </c:pt>
                <c:pt idx="536">
                  <c:v>325.32</c:v>
                </c:pt>
                <c:pt idx="537">
                  <c:v>318.97000000000003</c:v>
                </c:pt>
                <c:pt idx="538">
                  <c:v>318.69</c:v>
                </c:pt>
                <c:pt idx="539">
                  <c:v>317.56</c:v>
                </c:pt>
                <c:pt idx="540">
                  <c:v>314.60000000000002</c:v>
                </c:pt>
                <c:pt idx="541">
                  <c:v>312.29000000000002</c:v>
                </c:pt>
                <c:pt idx="542">
                  <c:v>314.64</c:v>
                </c:pt>
                <c:pt idx="543">
                  <c:v>312.39</c:v>
                </c:pt>
                <c:pt idx="544">
                  <c:v>310.45999999999998</c:v>
                </c:pt>
                <c:pt idx="545">
                  <c:v>309.10000000000002</c:v>
                </c:pt>
                <c:pt idx="546">
                  <c:v>310.13</c:v>
                </c:pt>
                <c:pt idx="547">
                  <c:v>311.95999999999998</c:v>
                </c:pt>
                <c:pt idx="548">
                  <c:v>313.47000000000003</c:v>
                </c:pt>
                <c:pt idx="549">
                  <c:v>317.83999999999997</c:v>
                </c:pt>
                <c:pt idx="550">
                  <c:v>315.02</c:v>
                </c:pt>
                <c:pt idx="551">
                  <c:v>313.52</c:v>
                </c:pt>
                <c:pt idx="552">
                  <c:v>307.45</c:v>
                </c:pt>
                <c:pt idx="553">
                  <c:v>311.31</c:v>
                </c:pt>
                <c:pt idx="554">
                  <c:v>312.95</c:v>
                </c:pt>
                <c:pt idx="555">
                  <c:v>311.73</c:v>
                </c:pt>
                <c:pt idx="556">
                  <c:v>315.3</c:v>
                </c:pt>
                <c:pt idx="557">
                  <c:v>314.41000000000003</c:v>
                </c:pt>
                <c:pt idx="558">
                  <c:v>313.23</c:v>
                </c:pt>
                <c:pt idx="559">
                  <c:v>314.60000000000002</c:v>
                </c:pt>
                <c:pt idx="560">
                  <c:v>307.17</c:v>
                </c:pt>
                <c:pt idx="561">
                  <c:v>312.58</c:v>
                </c:pt>
                <c:pt idx="562">
                  <c:v>315.11</c:v>
                </c:pt>
                <c:pt idx="563">
                  <c:v>319.82</c:v>
                </c:pt>
                <c:pt idx="564">
                  <c:v>320.14</c:v>
                </c:pt>
                <c:pt idx="565">
                  <c:v>333.05</c:v>
                </c:pt>
                <c:pt idx="566">
                  <c:v>336.77</c:v>
                </c:pt>
                <c:pt idx="567">
                  <c:v>343.29</c:v>
                </c:pt>
                <c:pt idx="568">
                  <c:v>343.48</c:v>
                </c:pt>
                <c:pt idx="569">
                  <c:v>341.1</c:v>
                </c:pt>
                <c:pt idx="570">
                  <c:v>339.31</c:v>
                </c:pt>
                <c:pt idx="571">
                  <c:v>336.33</c:v>
                </c:pt>
                <c:pt idx="572">
                  <c:v>338.02</c:v>
                </c:pt>
                <c:pt idx="573">
                  <c:v>335.23</c:v>
                </c:pt>
                <c:pt idx="574">
                  <c:v>334.69</c:v>
                </c:pt>
                <c:pt idx="575">
                  <c:v>335.09</c:v>
                </c:pt>
                <c:pt idx="576">
                  <c:v>337.47</c:v>
                </c:pt>
                <c:pt idx="577">
                  <c:v>337.92</c:v>
                </c:pt>
                <c:pt idx="578">
                  <c:v>340.2</c:v>
                </c:pt>
                <c:pt idx="579">
                  <c:v>337.97</c:v>
                </c:pt>
                <c:pt idx="580">
                  <c:v>338.22</c:v>
                </c:pt>
                <c:pt idx="581">
                  <c:v>338.66</c:v>
                </c:pt>
                <c:pt idx="582">
                  <c:v>337.72</c:v>
                </c:pt>
                <c:pt idx="583">
                  <c:v>338.17</c:v>
                </c:pt>
                <c:pt idx="584">
                  <c:v>335.14</c:v>
                </c:pt>
                <c:pt idx="585">
                  <c:v>338.96</c:v>
                </c:pt>
                <c:pt idx="586">
                  <c:v>341.6</c:v>
                </c:pt>
                <c:pt idx="587">
                  <c:v>341.99</c:v>
                </c:pt>
                <c:pt idx="588">
                  <c:v>343.14</c:v>
                </c:pt>
                <c:pt idx="589">
                  <c:v>345.07</c:v>
                </c:pt>
                <c:pt idx="590">
                  <c:v>354.17</c:v>
                </c:pt>
                <c:pt idx="591">
                  <c:v>353.82</c:v>
                </c:pt>
                <c:pt idx="592">
                  <c:v>358.49</c:v>
                </c:pt>
                <c:pt idx="593">
                  <c:v>351.34</c:v>
                </c:pt>
                <c:pt idx="594">
                  <c:v>351.43</c:v>
                </c:pt>
                <c:pt idx="595">
                  <c:v>351.53</c:v>
                </c:pt>
                <c:pt idx="596">
                  <c:v>352.48</c:v>
                </c:pt>
                <c:pt idx="597">
                  <c:v>347.36</c:v>
                </c:pt>
                <c:pt idx="598">
                  <c:v>346.57</c:v>
                </c:pt>
                <c:pt idx="599">
                  <c:v>343.68</c:v>
                </c:pt>
                <c:pt idx="600">
                  <c:v>343.68</c:v>
                </c:pt>
                <c:pt idx="601">
                  <c:v>344.18</c:v>
                </c:pt>
                <c:pt idx="602">
                  <c:v>345.57</c:v>
                </c:pt>
                <c:pt idx="603">
                  <c:v>343.48</c:v>
                </c:pt>
                <c:pt idx="604">
                  <c:v>347.56</c:v>
                </c:pt>
                <c:pt idx="605">
                  <c:v>344.23</c:v>
                </c:pt>
                <c:pt idx="606">
                  <c:v>338.22</c:v>
                </c:pt>
                <c:pt idx="607">
                  <c:v>330.22</c:v>
                </c:pt>
                <c:pt idx="608">
                  <c:v>330.07</c:v>
                </c:pt>
                <c:pt idx="609">
                  <c:v>326.64</c:v>
                </c:pt>
                <c:pt idx="610">
                  <c:v>328.08</c:v>
                </c:pt>
                <c:pt idx="611">
                  <c:v>324.3</c:v>
                </c:pt>
                <c:pt idx="612">
                  <c:v>325.83999999999997</c:v>
                </c:pt>
                <c:pt idx="613">
                  <c:v>332.05</c:v>
                </c:pt>
                <c:pt idx="614">
                  <c:v>334.59</c:v>
                </c:pt>
                <c:pt idx="615">
                  <c:v>330.81</c:v>
                </c:pt>
                <c:pt idx="616">
                  <c:v>322.41000000000003</c:v>
                </c:pt>
                <c:pt idx="617">
                  <c:v>330.17</c:v>
                </c:pt>
                <c:pt idx="618">
                  <c:v>331.01</c:v>
                </c:pt>
                <c:pt idx="619">
                  <c:v>322.95999999999998</c:v>
                </c:pt>
                <c:pt idx="620">
                  <c:v>332.8</c:v>
                </c:pt>
                <c:pt idx="621">
                  <c:v>330.56</c:v>
                </c:pt>
                <c:pt idx="622">
                  <c:v>344.28</c:v>
                </c:pt>
                <c:pt idx="623">
                  <c:v>342.94</c:v>
                </c:pt>
                <c:pt idx="624">
                  <c:v>338.86</c:v>
                </c:pt>
                <c:pt idx="625">
                  <c:v>333.94</c:v>
                </c:pt>
                <c:pt idx="626">
                  <c:v>333.55</c:v>
                </c:pt>
                <c:pt idx="627">
                  <c:v>329.27</c:v>
                </c:pt>
                <c:pt idx="628">
                  <c:v>332.05</c:v>
                </c:pt>
                <c:pt idx="629">
                  <c:v>333.3</c:v>
                </c:pt>
                <c:pt idx="630">
                  <c:v>332.35</c:v>
                </c:pt>
                <c:pt idx="631">
                  <c:v>328.87</c:v>
                </c:pt>
                <c:pt idx="632">
                  <c:v>328.48</c:v>
                </c:pt>
                <c:pt idx="633">
                  <c:v>327.88</c:v>
                </c:pt>
                <c:pt idx="634">
                  <c:v>324.10000000000002</c:v>
                </c:pt>
                <c:pt idx="635">
                  <c:v>325.14999999999998</c:v>
                </c:pt>
                <c:pt idx="636">
                  <c:v>326.83999999999997</c:v>
                </c:pt>
                <c:pt idx="637">
                  <c:v>321.17</c:v>
                </c:pt>
                <c:pt idx="638">
                  <c:v>315.64999999999998</c:v>
                </c:pt>
                <c:pt idx="639">
                  <c:v>318.54000000000002</c:v>
                </c:pt>
                <c:pt idx="640">
                  <c:v>311.63</c:v>
                </c:pt>
                <c:pt idx="641">
                  <c:v>310.98</c:v>
                </c:pt>
                <c:pt idx="642">
                  <c:v>310.44</c:v>
                </c:pt>
                <c:pt idx="643">
                  <c:v>312.18</c:v>
                </c:pt>
                <c:pt idx="644">
                  <c:v>313.97000000000003</c:v>
                </c:pt>
                <c:pt idx="645">
                  <c:v>312.48</c:v>
                </c:pt>
                <c:pt idx="646">
                  <c:v>310.08999999999997</c:v>
                </c:pt>
                <c:pt idx="647">
                  <c:v>313.72000000000003</c:v>
                </c:pt>
                <c:pt idx="648">
                  <c:v>310.64</c:v>
                </c:pt>
                <c:pt idx="649">
                  <c:v>308.64999999999998</c:v>
                </c:pt>
                <c:pt idx="650">
                  <c:v>306.66000000000003</c:v>
                </c:pt>
                <c:pt idx="651">
                  <c:v>304.38</c:v>
                </c:pt>
                <c:pt idx="652">
                  <c:v>309.3</c:v>
                </c:pt>
                <c:pt idx="653">
                  <c:v>311.23</c:v>
                </c:pt>
                <c:pt idx="654">
                  <c:v>308.95</c:v>
                </c:pt>
                <c:pt idx="655">
                  <c:v>307.61</c:v>
                </c:pt>
                <c:pt idx="656">
                  <c:v>306.26</c:v>
                </c:pt>
                <c:pt idx="657">
                  <c:v>308.05</c:v>
                </c:pt>
                <c:pt idx="658">
                  <c:v>305.62</c:v>
                </c:pt>
                <c:pt idx="659">
                  <c:v>301.19</c:v>
                </c:pt>
                <c:pt idx="660">
                  <c:v>301.58999999999997</c:v>
                </c:pt>
                <c:pt idx="661">
                  <c:v>302.29000000000002</c:v>
                </c:pt>
                <c:pt idx="662">
                  <c:v>300.60000000000002</c:v>
                </c:pt>
                <c:pt idx="663">
                  <c:v>299.26</c:v>
                </c:pt>
                <c:pt idx="664">
                  <c:v>298.70999999999998</c:v>
                </c:pt>
                <c:pt idx="665">
                  <c:v>297.72000000000003</c:v>
                </c:pt>
                <c:pt idx="666">
                  <c:v>296.37</c:v>
                </c:pt>
                <c:pt idx="667">
                  <c:v>292.8</c:v>
                </c:pt>
                <c:pt idx="668">
                  <c:v>293.49</c:v>
                </c:pt>
                <c:pt idx="669">
                  <c:v>291.75</c:v>
                </c:pt>
                <c:pt idx="670">
                  <c:v>289.07</c:v>
                </c:pt>
                <c:pt idx="671">
                  <c:v>292.25</c:v>
                </c:pt>
                <c:pt idx="672">
                  <c:v>290.91000000000003</c:v>
                </c:pt>
                <c:pt idx="673">
                  <c:v>293.19</c:v>
                </c:pt>
                <c:pt idx="674">
                  <c:v>291.26</c:v>
                </c:pt>
                <c:pt idx="675">
                  <c:v>290.16000000000003</c:v>
                </c:pt>
                <c:pt idx="676">
                  <c:v>287.52999999999997</c:v>
                </c:pt>
                <c:pt idx="677">
                  <c:v>285.14</c:v>
                </c:pt>
                <c:pt idx="678">
                  <c:v>290.11</c:v>
                </c:pt>
                <c:pt idx="679">
                  <c:v>282.61</c:v>
                </c:pt>
                <c:pt idx="680">
                  <c:v>271.83</c:v>
                </c:pt>
                <c:pt idx="681">
                  <c:v>272.37</c:v>
                </c:pt>
                <c:pt idx="682">
                  <c:v>270.18</c:v>
                </c:pt>
                <c:pt idx="683">
                  <c:v>268.3</c:v>
                </c:pt>
                <c:pt idx="684">
                  <c:v>264.22000000000003</c:v>
                </c:pt>
                <c:pt idx="685">
                  <c:v>263.87</c:v>
                </c:pt>
                <c:pt idx="686">
                  <c:v>263.68</c:v>
                </c:pt>
                <c:pt idx="687">
                  <c:v>268.25</c:v>
                </c:pt>
                <c:pt idx="688">
                  <c:v>262.48</c:v>
                </c:pt>
                <c:pt idx="689">
                  <c:v>261.69</c:v>
                </c:pt>
                <c:pt idx="690">
                  <c:v>259.10000000000002</c:v>
                </c:pt>
                <c:pt idx="691">
                  <c:v>261.79000000000002</c:v>
                </c:pt>
                <c:pt idx="692">
                  <c:v>263.83</c:v>
                </c:pt>
                <c:pt idx="693">
                  <c:v>263.02999999999997</c:v>
                </c:pt>
                <c:pt idx="694">
                  <c:v>268.5</c:v>
                </c:pt>
                <c:pt idx="695">
                  <c:v>269.19</c:v>
                </c:pt>
                <c:pt idx="696">
                  <c:v>266.26</c:v>
                </c:pt>
                <c:pt idx="697">
                  <c:v>272.22000000000003</c:v>
                </c:pt>
                <c:pt idx="698">
                  <c:v>273.12</c:v>
                </c:pt>
                <c:pt idx="699">
                  <c:v>271.02999999999997</c:v>
                </c:pt>
                <c:pt idx="700">
                  <c:v>271.83</c:v>
                </c:pt>
                <c:pt idx="701">
                  <c:v>270.18</c:v>
                </c:pt>
                <c:pt idx="702">
                  <c:v>268.99</c:v>
                </c:pt>
                <c:pt idx="703">
                  <c:v>267.39999999999998</c:v>
                </c:pt>
                <c:pt idx="704">
                  <c:v>267.55</c:v>
                </c:pt>
                <c:pt idx="705">
                  <c:v>265.07</c:v>
                </c:pt>
                <c:pt idx="706">
                  <c:v>271.02999999999997</c:v>
                </c:pt>
                <c:pt idx="707">
                  <c:v>269.19</c:v>
                </c:pt>
                <c:pt idx="708">
                  <c:v>272.82</c:v>
                </c:pt>
                <c:pt idx="709">
                  <c:v>278.29000000000002</c:v>
                </c:pt>
                <c:pt idx="710">
                  <c:v>273.95999999999998</c:v>
                </c:pt>
                <c:pt idx="711">
                  <c:v>266.8</c:v>
                </c:pt>
                <c:pt idx="712">
                  <c:v>264.7</c:v>
                </c:pt>
                <c:pt idx="713">
                  <c:v>254.1</c:v>
                </c:pt>
                <c:pt idx="714">
                  <c:v>258.60000000000002</c:v>
                </c:pt>
                <c:pt idx="715">
                  <c:v>251.35</c:v>
                </c:pt>
                <c:pt idx="716">
                  <c:v>254.09</c:v>
                </c:pt>
                <c:pt idx="717">
                  <c:v>259.75</c:v>
                </c:pt>
                <c:pt idx="718">
                  <c:v>261.33999999999997</c:v>
                </c:pt>
                <c:pt idx="719">
                  <c:v>266.64999999999998</c:v>
                </c:pt>
                <c:pt idx="720">
                  <c:v>262.05</c:v>
                </c:pt>
                <c:pt idx="721">
                  <c:v>259.75</c:v>
                </c:pt>
                <c:pt idx="722">
                  <c:v>263.14999999999998</c:v>
                </c:pt>
                <c:pt idx="723">
                  <c:v>259.55</c:v>
                </c:pt>
                <c:pt idx="724">
                  <c:v>261.10000000000002</c:v>
                </c:pt>
                <c:pt idx="725">
                  <c:v>257.5</c:v>
                </c:pt>
                <c:pt idx="726">
                  <c:v>258.95</c:v>
                </c:pt>
                <c:pt idx="727">
                  <c:v>255.25</c:v>
                </c:pt>
                <c:pt idx="728">
                  <c:v>261.10000000000002</c:v>
                </c:pt>
                <c:pt idx="729">
                  <c:v>260.39999999999998</c:v>
                </c:pt>
                <c:pt idx="730">
                  <c:v>259.55</c:v>
                </c:pt>
                <c:pt idx="731">
                  <c:v>261.55</c:v>
                </c:pt>
                <c:pt idx="732">
                  <c:v>268.45</c:v>
                </c:pt>
                <c:pt idx="733">
                  <c:v>269.55</c:v>
                </c:pt>
                <c:pt idx="734">
                  <c:v>263.18</c:v>
                </c:pt>
                <c:pt idx="735">
                  <c:v>267.5</c:v>
                </c:pt>
                <c:pt idx="736">
                  <c:v>266.16000000000003</c:v>
                </c:pt>
                <c:pt idx="737">
                  <c:v>256.64999999999998</c:v>
                </c:pt>
                <c:pt idx="738">
                  <c:v>259.60000000000002</c:v>
                </c:pt>
                <c:pt idx="739">
                  <c:v>259.45</c:v>
                </c:pt>
                <c:pt idx="740">
                  <c:v>255.45</c:v>
                </c:pt>
                <c:pt idx="741">
                  <c:v>253.3</c:v>
                </c:pt>
                <c:pt idx="742">
                  <c:v>250.65</c:v>
                </c:pt>
                <c:pt idx="743">
                  <c:v>249.2</c:v>
                </c:pt>
                <c:pt idx="744">
                  <c:v>254.6</c:v>
                </c:pt>
                <c:pt idx="745">
                  <c:v>257.05</c:v>
                </c:pt>
                <c:pt idx="746">
                  <c:v>253.35</c:v>
                </c:pt>
                <c:pt idx="747">
                  <c:v>254.85</c:v>
                </c:pt>
                <c:pt idx="748">
                  <c:v>252</c:v>
                </c:pt>
                <c:pt idx="749">
                  <c:v>249.75</c:v>
                </c:pt>
                <c:pt idx="750">
                  <c:v>244.5</c:v>
                </c:pt>
                <c:pt idx="751">
                  <c:v>244.9</c:v>
                </c:pt>
                <c:pt idx="752">
                  <c:v>242.6</c:v>
                </c:pt>
                <c:pt idx="753">
                  <c:v>237.85</c:v>
                </c:pt>
                <c:pt idx="754">
                  <c:v>239</c:v>
                </c:pt>
                <c:pt idx="755">
                  <c:v>236.35</c:v>
                </c:pt>
                <c:pt idx="756">
                  <c:v>232</c:v>
                </c:pt>
                <c:pt idx="757">
                  <c:v>229.25</c:v>
                </c:pt>
                <c:pt idx="758">
                  <c:v>226.9</c:v>
                </c:pt>
                <c:pt idx="759">
                  <c:v>224.95</c:v>
                </c:pt>
                <c:pt idx="760">
                  <c:v>225.5</c:v>
                </c:pt>
                <c:pt idx="761">
                  <c:v>219.4</c:v>
                </c:pt>
                <c:pt idx="762">
                  <c:v>215.3</c:v>
                </c:pt>
                <c:pt idx="763">
                  <c:v>215.85</c:v>
                </c:pt>
                <c:pt idx="764">
                  <c:v>213.95</c:v>
                </c:pt>
                <c:pt idx="765">
                  <c:v>208.5</c:v>
                </c:pt>
                <c:pt idx="766">
                  <c:v>215.95</c:v>
                </c:pt>
                <c:pt idx="767">
                  <c:v>214.85</c:v>
                </c:pt>
                <c:pt idx="768">
                  <c:v>218</c:v>
                </c:pt>
                <c:pt idx="769">
                  <c:v>221.9</c:v>
                </c:pt>
                <c:pt idx="770">
                  <c:v>222.65</c:v>
                </c:pt>
                <c:pt idx="771">
                  <c:v>222.75</c:v>
                </c:pt>
                <c:pt idx="772">
                  <c:v>223</c:v>
                </c:pt>
                <c:pt idx="773">
                  <c:v>219.45</c:v>
                </c:pt>
                <c:pt idx="774">
                  <c:v>232.45</c:v>
                </c:pt>
                <c:pt idx="775">
                  <c:v>232.25</c:v>
                </c:pt>
                <c:pt idx="776">
                  <c:v>230.15</c:v>
                </c:pt>
                <c:pt idx="777">
                  <c:v>231.25</c:v>
                </c:pt>
                <c:pt idx="778">
                  <c:v>230.2</c:v>
                </c:pt>
                <c:pt idx="779">
                  <c:v>234.3</c:v>
                </c:pt>
                <c:pt idx="780">
                  <c:v>234.45</c:v>
                </c:pt>
                <c:pt idx="781">
                  <c:v>232.15</c:v>
                </c:pt>
                <c:pt idx="782">
                  <c:v>227.75</c:v>
                </c:pt>
                <c:pt idx="783">
                  <c:v>220.2</c:v>
                </c:pt>
                <c:pt idx="784">
                  <c:v>217.6</c:v>
                </c:pt>
                <c:pt idx="785">
                  <c:v>214.6</c:v>
                </c:pt>
                <c:pt idx="786">
                  <c:v>214.3</c:v>
                </c:pt>
                <c:pt idx="787">
                  <c:v>211.8</c:v>
                </c:pt>
                <c:pt idx="788">
                  <c:v>217.05</c:v>
                </c:pt>
                <c:pt idx="789">
                  <c:v>218.75</c:v>
                </c:pt>
                <c:pt idx="790">
                  <c:v>220.35</c:v>
                </c:pt>
                <c:pt idx="791">
                  <c:v>220.75</c:v>
                </c:pt>
                <c:pt idx="792">
                  <c:v>224.6</c:v>
                </c:pt>
                <c:pt idx="793">
                  <c:v>222.6</c:v>
                </c:pt>
                <c:pt idx="794">
                  <c:v>223.95</c:v>
                </c:pt>
                <c:pt idx="795">
                  <c:v>222.75</c:v>
                </c:pt>
                <c:pt idx="796">
                  <c:v>221.95</c:v>
                </c:pt>
                <c:pt idx="797">
                  <c:v>223.3</c:v>
                </c:pt>
                <c:pt idx="798">
                  <c:v>218.4</c:v>
                </c:pt>
                <c:pt idx="799">
                  <c:v>218.7</c:v>
                </c:pt>
                <c:pt idx="800">
                  <c:v>220.55</c:v>
                </c:pt>
                <c:pt idx="801">
                  <c:v>220.25</c:v>
                </c:pt>
                <c:pt idx="802">
                  <c:v>219.1</c:v>
                </c:pt>
                <c:pt idx="803">
                  <c:v>218.05</c:v>
                </c:pt>
                <c:pt idx="804">
                  <c:v>216</c:v>
                </c:pt>
                <c:pt idx="805">
                  <c:v>216.75</c:v>
                </c:pt>
                <c:pt idx="806">
                  <c:v>220.05</c:v>
                </c:pt>
                <c:pt idx="807">
                  <c:v>217.55</c:v>
                </c:pt>
                <c:pt idx="808">
                  <c:v>218</c:v>
                </c:pt>
                <c:pt idx="809">
                  <c:v>217.3</c:v>
                </c:pt>
                <c:pt idx="810">
                  <c:v>212</c:v>
                </c:pt>
                <c:pt idx="811">
                  <c:v>212.5</c:v>
                </c:pt>
                <c:pt idx="812">
                  <c:v>212.4</c:v>
                </c:pt>
                <c:pt idx="813">
                  <c:v>217.95</c:v>
                </c:pt>
                <c:pt idx="814">
                  <c:v>222.9</c:v>
                </c:pt>
                <c:pt idx="815">
                  <c:v>224.05</c:v>
                </c:pt>
                <c:pt idx="816">
                  <c:v>228.6</c:v>
                </c:pt>
                <c:pt idx="817">
                  <c:v>234.6</c:v>
                </c:pt>
                <c:pt idx="818">
                  <c:v>236.1</c:v>
                </c:pt>
                <c:pt idx="819">
                  <c:v>235.4</c:v>
                </c:pt>
                <c:pt idx="820">
                  <c:v>224.95</c:v>
                </c:pt>
                <c:pt idx="821">
                  <c:v>220.65</c:v>
                </c:pt>
                <c:pt idx="822">
                  <c:v>217.9</c:v>
                </c:pt>
                <c:pt idx="823">
                  <c:v>221.65</c:v>
                </c:pt>
                <c:pt idx="824">
                  <c:v>225.45</c:v>
                </c:pt>
                <c:pt idx="825">
                  <c:v>221.9</c:v>
                </c:pt>
                <c:pt idx="826">
                  <c:v>221.15</c:v>
                </c:pt>
                <c:pt idx="827">
                  <c:v>221.5</c:v>
                </c:pt>
                <c:pt idx="828">
                  <c:v>224</c:v>
                </c:pt>
                <c:pt idx="829">
                  <c:v>231.3</c:v>
                </c:pt>
                <c:pt idx="830">
                  <c:v>227.7</c:v>
                </c:pt>
                <c:pt idx="831">
                  <c:v>231.6</c:v>
                </c:pt>
                <c:pt idx="832">
                  <c:v>230.9</c:v>
                </c:pt>
                <c:pt idx="833">
                  <c:v>237.5</c:v>
                </c:pt>
                <c:pt idx="834">
                  <c:v>239.5</c:v>
                </c:pt>
                <c:pt idx="835">
                  <c:v>235.45</c:v>
                </c:pt>
                <c:pt idx="836">
                  <c:v>238.1</c:v>
                </c:pt>
                <c:pt idx="837">
                  <c:v>232.9</c:v>
                </c:pt>
                <c:pt idx="838">
                  <c:v>230</c:v>
                </c:pt>
                <c:pt idx="839">
                  <c:v>230.85</c:v>
                </c:pt>
                <c:pt idx="840">
                  <c:v>228.75</c:v>
                </c:pt>
                <c:pt idx="841">
                  <c:v>229.8</c:v>
                </c:pt>
                <c:pt idx="842">
                  <c:v>226.55</c:v>
                </c:pt>
                <c:pt idx="843">
                  <c:v>222.45</c:v>
                </c:pt>
                <c:pt idx="844">
                  <c:v>225.6</c:v>
                </c:pt>
                <c:pt idx="845">
                  <c:v>226.85</c:v>
                </c:pt>
                <c:pt idx="846">
                  <c:v>223.2</c:v>
                </c:pt>
                <c:pt idx="847">
                  <c:v>225.1</c:v>
                </c:pt>
                <c:pt idx="848">
                  <c:v>238.45</c:v>
                </c:pt>
                <c:pt idx="849">
                  <c:v>236.7</c:v>
                </c:pt>
                <c:pt idx="850">
                  <c:v>233.4</c:v>
                </c:pt>
                <c:pt idx="851">
                  <c:v>236.6</c:v>
                </c:pt>
                <c:pt idx="852">
                  <c:v>244.7</c:v>
                </c:pt>
                <c:pt idx="853">
                  <c:v>246.6</c:v>
                </c:pt>
                <c:pt idx="854">
                  <c:v>245.95</c:v>
                </c:pt>
                <c:pt idx="855">
                  <c:v>262.55</c:v>
                </c:pt>
                <c:pt idx="856">
                  <c:v>256.55</c:v>
                </c:pt>
                <c:pt idx="857">
                  <c:v>249.2</c:v>
                </c:pt>
                <c:pt idx="858">
                  <c:v>241.3</c:v>
                </c:pt>
                <c:pt idx="859">
                  <c:v>238.05</c:v>
                </c:pt>
                <c:pt idx="860">
                  <c:v>231.7</c:v>
                </c:pt>
                <c:pt idx="861">
                  <c:v>232.95</c:v>
                </c:pt>
                <c:pt idx="862">
                  <c:v>231.25</c:v>
                </c:pt>
                <c:pt idx="863">
                  <c:v>234.7</c:v>
                </c:pt>
                <c:pt idx="864">
                  <c:v>236.6</c:v>
                </c:pt>
                <c:pt idx="865">
                  <c:v>235.35</c:v>
                </c:pt>
                <c:pt idx="866">
                  <c:v>236.15</c:v>
                </c:pt>
                <c:pt idx="867">
                  <c:v>238.1</c:v>
                </c:pt>
                <c:pt idx="868">
                  <c:v>237.75</c:v>
                </c:pt>
                <c:pt idx="869">
                  <c:v>238.7</c:v>
                </c:pt>
                <c:pt idx="870">
                  <c:v>238.45</c:v>
                </c:pt>
                <c:pt idx="871">
                  <c:v>242.5</c:v>
                </c:pt>
                <c:pt idx="872">
                  <c:v>243.5</c:v>
                </c:pt>
                <c:pt idx="873">
                  <c:v>241.5</c:v>
                </c:pt>
                <c:pt idx="874">
                  <c:v>233.75</c:v>
                </c:pt>
                <c:pt idx="875">
                  <c:v>231.15</c:v>
                </c:pt>
                <c:pt idx="876">
                  <c:v>216</c:v>
                </c:pt>
                <c:pt idx="877">
                  <c:v>216.1</c:v>
                </c:pt>
                <c:pt idx="878">
                  <c:v>214.15</c:v>
                </c:pt>
                <c:pt idx="879">
                  <c:v>212.65</c:v>
                </c:pt>
                <c:pt idx="880">
                  <c:v>211.25</c:v>
                </c:pt>
                <c:pt idx="881">
                  <c:v>211.75</c:v>
                </c:pt>
                <c:pt idx="882">
                  <c:v>209.3</c:v>
                </c:pt>
                <c:pt idx="883">
                  <c:v>210.6</c:v>
                </c:pt>
                <c:pt idx="884">
                  <c:v>209.75</c:v>
                </c:pt>
                <c:pt idx="885">
                  <c:v>209.5</c:v>
                </c:pt>
                <c:pt idx="886">
                  <c:v>211.3</c:v>
                </c:pt>
                <c:pt idx="887">
                  <c:v>208</c:v>
                </c:pt>
                <c:pt idx="888">
                  <c:v>205.9</c:v>
                </c:pt>
                <c:pt idx="889">
                  <c:v>204.6</c:v>
                </c:pt>
                <c:pt idx="890">
                  <c:v>206.4</c:v>
                </c:pt>
                <c:pt idx="891">
                  <c:v>205.75</c:v>
                </c:pt>
                <c:pt idx="892">
                  <c:v>206.3</c:v>
                </c:pt>
                <c:pt idx="893">
                  <c:v>208.9</c:v>
                </c:pt>
                <c:pt idx="894">
                  <c:v>208.95</c:v>
                </c:pt>
                <c:pt idx="895">
                  <c:v>209.2</c:v>
                </c:pt>
                <c:pt idx="896">
                  <c:v>210.9</c:v>
                </c:pt>
                <c:pt idx="897">
                  <c:v>211.45</c:v>
                </c:pt>
                <c:pt idx="898">
                  <c:v>208.9</c:v>
                </c:pt>
                <c:pt idx="899">
                  <c:v>208.65</c:v>
                </c:pt>
                <c:pt idx="900">
                  <c:v>209.85</c:v>
                </c:pt>
                <c:pt idx="901">
                  <c:v>213.8</c:v>
                </c:pt>
                <c:pt idx="902">
                  <c:v>214.25</c:v>
                </c:pt>
                <c:pt idx="903">
                  <c:v>215.25</c:v>
                </c:pt>
                <c:pt idx="904">
                  <c:v>208.6</c:v>
                </c:pt>
                <c:pt idx="905">
                  <c:v>209.9</c:v>
                </c:pt>
                <c:pt idx="906">
                  <c:v>207.3</c:v>
                </c:pt>
                <c:pt idx="907">
                  <c:v>204.95</c:v>
                </c:pt>
                <c:pt idx="908">
                  <c:v>206.05</c:v>
                </c:pt>
                <c:pt idx="909">
                  <c:v>209.1</c:v>
                </c:pt>
                <c:pt idx="910">
                  <c:v>208.65</c:v>
                </c:pt>
                <c:pt idx="911">
                  <c:v>211.15</c:v>
                </c:pt>
                <c:pt idx="912">
                  <c:v>212.4</c:v>
                </c:pt>
                <c:pt idx="913">
                  <c:v>207</c:v>
                </c:pt>
                <c:pt idx="914">
                  <c:v>206.8</c:v>
                </c:pt>
                <c:pt idx="915">
                  <c:v>207.75</c:v>
                </c:pt>
                <c:pt idx="916">
                  <c:v>207.9</c:v>
                </c:pt>
                <c:pt idx="917">
                  <c:v>206.25</c:v>
                </c:pt>
                <c:pt idx="918">
                  <c:v>204.1</c:v>
                </c:pt>
                <c:pt idx="919">
                  <c:v>201.85</c:v>
                </c:pt>
                <c:pt idx="920">
                  <c:v>201.1</c:v>
                </c:pt>
                <c:pt idx="921">
                  <c:v>201.35</c:v>
                </c:pt>
                <c:pt idx="922">
                  <c:v>202</c:v>
                </c:pt>
                <c:pt idx="923">
                  <c:v>203.75</c:v>
                </c:pt>
                <c:pt idx="924">
                  <c:v>202.5</c:v>
                </c:pt>
                <c:pt idx="925">
                  <c:v>203.65</c:v>
                </c:pt>
                <c:pt idx="926">
                  <c:v>202.4</c:v>
                </c:pt>
                <c:pt idx="927">
                  <c:v>203</c:v>
                </c:pt>
                <c:pt idx="928">
                  <c:v>202.7</c:v>
                </c:pt>
                <c:pt idx="929">
                  <c:v>203.3</c:v>
                </c:pt>
                <c:pt idx="930">
                  <c:v>203.6</c:v>
                </c:pt>
                <c:pt idx="931">
                  <c:v>205.05</c:v>
                </c:pt>
                <c:pt idx="932">
                  <c:v>203.25</c:v>
                </c:pt>
                <c:pt idx="933">
                  <c:v>203.95</c:v>
                </c:pt>
                <c:pt idx="934">
                  <c:v>205.1</c:v>
                </c:pt>
                <c:pt idx="935">
                  <c:v>204.45</c:v>
                </c:pt>
                <c:pt idx="936">
                  <c:v>204.55</c:v>
                </c:pt>
                <c:pt idx="937">
                  <c:v>205.65</c:v>
                </c:pt>
                <c:pt idx="938">
                  <c:v>207.85</c:v>
                </c:pt>
                <c:pt idx="939">
                  <c:v>207.05</c:v>
                </c:pt>
                <c:pt idx="940">
                  <c:v>207.3</c:v>
                </c:pt>
                <c:pt idx="941">
                  <c:v>207.9</c:v>
                </c:pt>
                <c:pt idx="942">
                  <c:v>209.3</c:v>
                </c:pt>
                <c:pt idx="943">
                  <c:v>212.5</c:v>
                </c:pt>
                <c:pt idx="944">
                  <c:v>213.65</c:v>
                </c:pt>
                <c:pt idx="945">
                  <c:v>211.45</c:v>
                </c:pt>
                <c:pt idx="946">
                  <c:v>208.75</c:v>
                </c:pt>
                <c:pt idx="947">
                  <c:v>209.05</c:v>
                </c:pt>
                <c:pt idx="948">
                  <c:v>209</c:v>
                </c:pt>
                <c:pt idx="949">
                  <c:v>215.25</c:v>
                </c:pt>
                <c:pt idx="950">
                  <c:v>216.6</c:v>
                </c:pt>
                <c:pt idx="951">
                  <c:v>212.9</c:v>
                </c:pt>
                <c:pt idx="952">
                  <c:v>211.15</c:v>
                </c:pt>
                <c:pt idx="953">
                  <c:v>210.6</c:v>
                </c:pt>
                <c:pt idx="954">
                  <c:v>210.9</c:v>
                </c:pt>
                <c:pt idx="955">
                  <c:v>211.5</c:v>
                </c:pt>
                <c:pt idx="956">
                  <c:v>209.05</c:v>
                </c:pt>
                <c:pt idx="957">
                  <c:v>207</c:v>
                </c:pt>
                <c:pt idx="958">
                  <c:v>207.75</c:v>
                </c:pt>
                <c:pt idx="959">
                  <c:v>210.05</c:v>
                </c:pt>
                <c:pt idx="960">
                  <c:v>212.6</c:v>
                </c:pt>
                <c:pt idx="961">
                  <c:v>212.25</c:v>
                </c:pt>
                <c:pt idx="962">
                  <c:v>203.25</c:v>
                </c:pt>
                <c:pt idx="963">
                  <c:v>204</c:v>
                </c:pt>
                <c:pt idx="964">
                  <c:v>205.55</c:v>
                </c:pt>
                <c:pt idx="965">
                  <c:v>205.35</c:v>
                </c:pt>
                <c:pt idx="966">
                  <c:v>202.75</c:v>
                </c:pt>
                <c:pt idx="967">
                  <c:v>201.4</c:v>
                </c:pt>
                <c:pt idx="968">
                  <c:v>199.6</c:v>
                </c:pt>
                <c:pt idx="969">
                  <c:v>200.95</c:v>
                </c:pt>
                <c:pt idx="970">
                  <c:v>202.6</c:v>
                </c:pt>
                <c:pt idx="971">
                  <c:v>204.3</c:v>
                </c:pt>
                <c:pt idx="972">
                  <c:v>205.5</c:v>
                </c:pt>
                <c:pt idx="973">
                  <c:v>205.4</c:v>
                </c:pt>
                <c:pt idx="974">
                  <c:v>205.3</c:v>
                </c:pt>
                <c:pt idx="975">
                  <c:v>205.35</c:v>
                </c:pt>
                <c:pt idx="976">
                  <c:v>205.9</c:v>
                </c:pt>
                <c:pt idx="977">
                  <c:v>203.55</c:v>
                </c:pt>
                <c:pt idx="978">
                  <c:v>205.6</c:v>
                </c:pt>
                <c:pt idx="979">
                  <c:v>207.95</c:v>
                </c:pt>
                <c:pt idx="980">
                  <c:v>206.7</c:v>
                </c:pt>
                <c:pt idx="981">
                  <c:v>208.7</c:v>
                </c:pt>
                <c:pt idx="982">
                  <c:v>205.3</c:v>
                </c:pt>
                <c:pt idx="983">
                  <c:v>213.1</c:v>
                </c:pt>
                <c:pt idx="984">
                  <c:v>213.25</c:v>
                </c:pt>
                <c:pt idx="985">
                  <c:v>213.8</c:v>
                </c:pt>
                <c:pt idx="986">
                  <c:v>212.65</c:v>
                </c:pt>
                <c:pt idx="987">
                  <c:v>212.55</c:v>
                </c:pt>
                <c:pt idx="988">
                  <c:v>220.05</c:v>
                </c:pt>
                <c:pt idx="989">
                  <c:v>218.5</c:v>
                </c:pt>
                <c:pt idx="990">
                  <c:v>214.55</c:v>
                </c:pt>
                <c:pt idx="991">
                  <c:v>210.9</c:v>
                </c:pt>
                <c:pt idx="992">
                  <c:v>211.6</c:v>
                </c:pt>
                <c:pt idx="993">
                  <c:v>215.95</c:v>
                </c:pt>
                <c:pt idx="994">
                  <c:v>222.2</c:v>
                </c:pt>
                <c:pt idx="995">
                  <c:v>226</c:v>
                </c:pt>
                <c:pt idx="996">
                  <c:v>217.65</c:v>
                </c:pt>
                <c:pt idx="997">
                  <c:v>210.6</c:v>
                </c:pt>
                <c:pt idx="998">
                  <c:v>207.85</c:v>
                </c:pt>
                <c:pt idx="999">
                  <c:v>205.45</c:v>
                </c:pt>
                <c:pt idx="1000">
                  <c:v>205.2</c:v>
                </c:pt>
                <c:pt idx="1001">
                  <c:v>206.5</c:v>
                </c:pt>
                <c:pt idx="1002">
                  <c:v>207.8</c:v>
                </c:pt>
                <c:pt idx="1003">
                  <c:v>208</c:v>
                </c:pt>
                <c:pt idx="1004">
                  <c:v>208.55</c:v>
                </c:pt>
                <c:pt idx="1005">
                  <c:v>209.7</c:v>
                </c:pt>
                <c:pt idx="1006">
                  <c:v>209.95</c:v>
                </c:pt>
                <c:pt idx="1007">
                  <c:v>209.9</c:v>
                </c:pt>
                <c:pt idx="1008">
                  <c:v>206.9</c:v>
                </c:pt>
                <c:pt idx="1009">
                  <c:v>203.85</c:v>
                </c:pt>
                <c:pt idx="1010">
                  <c:v>209.15</c:v>
                </c:pt>
                <c:pt idx="1011">
                  <c:v>208.85</c:v>
                </c:pt>
                <c:pt idx="1012">
                  <c:v>208.5</c:v>
                </c:pt>
                <c:pt idx="1013">
                  <c:v>207.05</c:v>
                </c:pt>
                <c:pt idx="1014">
                  <c:v>215.95</c:v>
                </c:pt>
                <c:pt idx="1015">
                  <c:v>218.85</c:v>
                </c:pt>
                <c:pt idx="1016">
                  <c:v>217.75</c:v>
                </c:pt>
                <c:pt idx="1017">
                  <c:v>218.25</c:v>
                </c:pt>
                <c:pt idx="1018">
                  <c:v>218.6</c:v>
                </c:pt>
                <c:pt idx="1019">
                  <c:v>226.45</c:v>
                </c:pt>
                <c:pt idx="1020">
                  <c:v>227.55</c:v>
                </c:pt>
                <c:pt idx="1021">
                  <c:v>229</c:v>
                </c:pt>
                <c:pt idx="1022">
                  <c:v>233.1</c:v>
                </c:pt>
                <c:pt idx="1023">
                  <c:v>216.75</c:v>
                </c:pt>
                <c:pt idx="1024">
                  <c:v>218.2</c:v>
                </c:pt>
                <c:pt idx="1025">
                  <c:v>215.95</c:v>
                </c:pt>
                <c:pt idx="1026">
                  <c:v>203.25</c:v>
                </c:pt>
                <c:pt idx="1027">
                  <c:v>206.6</c:v>
                </c:pt>
                <c:pt idx="1028">
                  <c:v>210.65</c:v>
                </c:pt>
                <c:pt idx="1029">
                  <c:v>207.8</c:v>
                </c:pt>
                <c:pt idx="1030">
                  <c:v>210.7</c:v>
                </c:pt>
                <c:pt idx="1031">
                  <c:v>213.7</c:v>
                </c:pt>
                <c:pt idx="1032">
                  <c:v>217.65</c:v>
                </c:pt>
                <c:pt idx="1033">
                  <c:v>218.85</c:v>
                </c:pt>
                <c:pt idx="1034">
                  <c:v>219.75</c:v>
                </c:pt>
                <c:pt idx="1035">
                  <c:v>217.85</c:v>
                </c:pt>
                <c:pt idx="1036">
                  <c:v>214.15</c:v>
                </c:pt>
                <c:pt idx="1037">
                  <c:v>211.25</c:v>
                </c:pt>
                <c:pt idx="1038">
                  <c:v>206.45</c:v>
                </c:pt>
                <c:pt idx="1039">
                  <c:v>202.5</c:v>
                </c:pt>
                <c:pt idx="1040">
                  <c:v>201.5</c:v>
                </c:pt>
                <c:pt idx="1041">
                  <c:v>202.8</c:v>
                </c:pt>
                <c:pt idx="1042">
                  <c:v>205.4</c:v>
                </c:pt>
                <c:pt idx="1043">
                  <c:v>211.45</c:v>
                </c:pt>
                <c:pt idx="1044">
                  <c:v>213.4</c:v>
                </c:pt>
                <c:pt idx="1045">
                  <c:v>213.85</c:v>
                </c:pt>
                <c:pt idx="1046">
                  <c:v>209</c:v>
                </c:pt>
                <c:pt idx="1047">
                  <c:v>211.15</c:v>
                </c:pt>
                <c:pt idx="1048">
                  <c:v>211.55</c:v>
                </c:pt>
                <c:pt idx="1049">
                  <c:v>209.5</c:v>
                </c:pt>
                <c:pt idx="1050">
                  <c:v>208.6</c:v>
                </c:pt>
                <c:pt idx="1051">
                  <c:v>207.75</c:v>
                </c:pt>
                <c:pt idx="1052">
                  <c:v>203.4</c:v>
                </c:pt>
                <c:pt idx="1053">
                  <c:v>202.95</c:v>
                </c:pt>
                <c:pt idx="1054">
                  <c:v>214.5</c:v>
                </c:pt>
                <c:pt idx="1055">
                  <c:v>213.05</c:v>
                </c:pt>
                <c:pt idx="1056">
                  <c:v>214</c:v>
                </c:pt>
                <c:pt idx="1057">
                  <c:v>213.55</c:v>
                </c:pt>
                <c:pt idx="1058">
                  <c:v>215.9</c:v>
                </c:pt>
                <c:pt idx="1059">
                  <c:v>216.3</c:v>
                </c:pt>
                <c:pt idx="1060">
                  <c:v>212.7</c:v>
                </c:pt>
                <c:pt idx="1061">
                  <c:v>205.4</c:v>
                </c:pt>
                <c:pt idx="1062">
                  <c:v>202.45</c:v>
                </c:pt>
                <c:pt idx="1063">
                  <c:v>203.15</c:v>
                </c:pt>
                <c:pt idx="1064">
                  <c:v>198.2</c:v>
                </c:pt>
                <c:pt idx="1065">
                  <c:v>196.2</c:v>
                </c:pt>
                <c:pt idx="1066">
                  <c:v>195.95</c:v>
                </c:pt>
                <c:pt idx="1067">
                  <c:v>194.4</c:v>
                </c:pt>
                <c:pt idx="1068">
                  <c:v>193.65</c:v>
                </c:pt>
                <c:pt idx="1069">
                  <c:v>194.8</c:v>
                </c:pt>
                <c:pt idx="1070">
                  <c:v>193.85</c:v>
                </c:pt>
                <c:pt idx="1071">
                  <c:v>195.55</c:v>
                </c:pt>
                <c:pt idx="1072">
                  <c:v>190.85</c:v>
                </c:pt>
                <c:pt idx="1073">
                  <c:v>191.7</c:v>
                </c:pt>
                <c:pt idx="1074">
                  <c:v>187.9</c:v>
                </c:pt>
                <c:pt idx="1075">
                  <c:v>184.05</c:v>
                </c:pt>
                <c:pt idx="1076">
                  <c:v>187.35</c:v>
                </c:pt>
                <c:pt idx="1077">
                  <c:v>188.6</c:v>
                </c:pt>
                <c:pt idx="1078">
                  <c:v>187.1</c:v>
                </c:pt>
                <c:pt idx="1079">
                  <c:v>188</c:v>
                </c:pt>
                <c:pt idx="1080">
                  <c:v>185.3</c:v>
                </c:pt>
                <c:pt idx="1081">
                  <c:v>178.35</c:v>
                </c:pt>
                <c:pt idx="1082">
                  <c:v>172.8</c:v>
                </c:pt>
                <c:pt idx="1083">
                  <c:v>173.95</c:v>
                </c:pt>
                <c:pt idx="1084">
                  <c:v>174.75</c:v>
                </c:pt>
                <c:pt idx="1085">
                  <c:v>169.8</c:v>
                </c:pt>
                <c:pt idx="1086">
                  <c:v>170.1</c:v>
                </c:pt>
                <c:pt idx="1087">
                  <c:v>166.75</c:v>
                </c:pt>
                <c:pt idx="1088">
                  <c:v>165.25</c:v>
                </c:pt>
                <c:pt idx="1089">
                  <c:v>163.85</c:v>
                </c:pt>
                <c:pt idx="1090">
                  <c:v>165.5</c:v>
                </c:pt>
                <c:pt idx="1091">
                  <c:v>167.2</c:v>
                </c:pt>
                <c:pt idx="1092">
                  <c:v>168.55</c:v>
                </c:pt>
                <c:pt idx="1093">
                  <c:v>170.75</c:v>
                </c:pt>
                <c:pt idx="1094">
                  <c:v>168.55</c:v>
                </c:pt>
                <c:pt idx="1095">
                  <c:v>167.65</c:v>
                </c:pt>
                <c:pt idx="1096">
                  <c:v>167.45</c:v>
                </c:pt>
                <c:pt idx="1097">
                  <c:v>168.25</c:v>
                </c:pt>
                <c:pt idx="1098">
                  <c:v>165.7</c:v>
                </c:pt>
                <c:pt idx="1099">
                  <c:v>165.05</c:v>
                </c:pt>
                <c:pt idx="1100">
                  <c:v>167.8</c:v>
                </c:pt>
                <c:pt idx="1101">
                  <c:v>170.15</c:v>
                </c:pt>
                <c:pt idx="1102">
                  <c:v>172.2</c:v>
                </c:pt>
                <c:pt idx="1103">
                  <c:v>167.85</c:v>
                </c:pt>
                <c:pt idx="1104">
                  <c:v>167.15</c:v>
                </c:pt>
                <c:pt idx="1105">
                  <c:v>169.5</c:v>
                </c:pt>
                <c:pt idx="1106">
                  <c:v>169.9</c:v>
                </c:pt>
                <c:pt idx="1107">
                  <c:v>169.25</c:v>
                </c:pt>
                <c:pt idx="1108">
                  <c:v>170.85</c:v>
                </c:pt>
                <c:pt idx="1109">
                  <c:v>171.7</c:v>
                </c:pt>
                <c:pt idx="1110">
                  <c:v>169.4</c:v>
                </c:pt>
                <c:pt idx="1111">
                  <c:v>173.3</c:v>
                </c:pt>
                <c:pt idx="1112">
                  <c:v>170.75</c:v>
                </c:pt>
                <c:pt idx="1113">
                  <c:v>166.55</c:v>
                </c:pt>
                <c:pt idx="1114">
                  <c:v>172.5</c:v>
                </c:pt>
                <c:pt idx="1115">
                  <c:v>174.2</c:v>
                </c:pt>
                <c:pt idx="1116">
                  <c:v>175.75</c:v>
                </c:pt>
                <c:pt idx="1117">
                  <c:v>179.1</c:v>
                </c:pt>
                <c:pt idx="1118">
                  <c:v>178.6</c:v>
                </c:pt>
                <c:pt idx="1119">
                  <c:v>180.65</c:v>
                </c:pt>
                <c:pt idx="1120">
                  <c:v>181.8</c:v>
                </c:pt>
                <c:pt idx="1121">
                  <c:v>183.35</c:v>
                </c:pt>
                <c:pt idx="1122">
                  <c:v>183.95</c:v>
                </c:pt>
                <c:pt idx="1123">
                  <c:v>184.9</c:v>
                </c:pt>
                <c:pt idx="1124">
                  <c:v>183.8</c:v>
                </c:pt>
                <c:pt idx="1125">
                  <c:v>188.15</c:v>
                </c:pt>
                <c:pt idx="1126">
                  <c:v>189.1</c:v>
                </c:pt>
                <c:pt idx="1127">
                  <c:v>186.7</c:v>
                </c:pt>
                <c:pt idx="1128">
                  <c:v>191.6</c:v>
                </c:pt>
                <c:pt idx="1129">
                  <c:v>191.35</c:v>
                </c:pt>
                <c:pt idx="1130">
                  <c:v>190.2</c:v>
                </c:pt>
                <c:pt idx="1131">
                  <c:v>191.1</c:v>
                </c:pt>
                <c:pt idx="1132">
                  <c:v>195.55</c:v>
                </c:pt>
                <c:pt idx="1133">
                  <c:v>194.25</c:v>
                </c:pt>
                <c:pt idx="1134">
                  <c:v>194.95</c:v>
                </c:pt>
                <c:pt idx="1135">
                  <c:v>195.4</c:v>
                </c:pt>
                <c:pt idx="1136">
                  <c:v>196.7</c:v>
                </c:pt>
                <c:pt idx="1137">
                  <c:v>196.8</c:v>
                </c:pt>
                <c:pt idx="1138">
                  <c:v>195.8</c:v>
                </c:pt>
                <c:pt idx="1139">
                  <c:v>198.45</c:v>
                </c:pt>
                <c:pt idx="1140">
                  <c:v>198.55</c:v>
                </c:pt>
                <c:pt idx="1141">
                  <c:v>198.75</c:v>
                </c:pt>
                <c:pt idx="1142">
                  <c:v>196.4</c:v>
                </c:pt>
                <c:pt idx="1143">
                  <c:v>201.45</c:v>
                </c:pt>
                <c:pt idx="1144">
                  <c:v>204.2</c:v>
                </c:pt>
                <c:pt idx="1145">
                  <c:v>203.05</c:v>
                </c:pt>
                <c:pt idx="1146">
                  <c:v>198.85</c:v>
                </c:pt>
                <c:pt idx="1147">
                  <c:v>196.05</c:v>
                </c:pt>
                <c:pt idx="1148">
                  <c:v>195.35</c:v>
                </c:pt>
                <c:pt idx="1149">
                  <c:v>192.8</c:v>
                </c:pt>
                <c:pt idx="1150">
                  <c:v>193.65</c:v>
                </c:pt>
                <c:pt idx="1151">
                  <c:v>192.6</c:v>
                </c:pt>
                <c:pt idx="1152">
                  <c:v>194.15</c:v>
                </c:pt>
                <c:pt idx="1153">
                  <c:v>193.35</c:v>
                </c:pt>
                <c:pt idx="1154">
                  <c:v>196.7</c:v>
                </c:pt>
                <c:pt idx="1155">
                  <c:v>195.4</c:v>
                </c:pt>
                <c:pt idx="1156">
                  <c:v>196.4</c:v>
                </c:pt>
                <c:pt idx="1157">
                  <c:v>199.6</c:v>
                </c:pt>
                <c:pt idx="1158">
                  <c:v>200.7</c:v>
                </c:pt>
                <c:pt idx="1159">
                  <c:v>196.55</c:v>
                </c:pt>
                <c:pt idx="1160">
                  <c:v>192.25</c:v>
                </c:pt>
                <c:pt idx="1161">
                  <c:v>192.7</c:v>
                </c:pt>
                <c:pt idx="1162">
                  <c:v>194.05</c:v>
                </c:pt>
                <c:pt idx="1163">
                  <c:v>193.85</c:v>
                </c:pt>
                <c:pt idx="1164">
                  <c:v>198.7</c:v>
                </c:pt>
                <c:pt idx="1165">
                  <c:v>195.9</c:v>
                </c:pt>
                <c:pt idx="1166">
                  <c:v>197.55</c:v>
                </c:pt>
                <c:pt idx="1167">
                  <c:v>194.35</c:v>
                </c:pt>
                <c:pt idx="1168">
                  <c:v>195.45</c:v>
                </c:pt>
                <c:pt idx="1169">
                  <c:v>196.3</c:v>
                </c:pt>
                <c:pt idx="1170">
                  <c:v>194.25</c:v>
                </c:pt>
                <c:pt idx="1171">
                  <c:v>199.8</c:v>
                </c:pt>
                <c:pt idx="1172">
                  <c:v>207.55</c:v>
                </c:pt>
                <c:pt idx="1173">
                  <c:v>205.85</c:v>
                </c:pt>
                <c:pt idx="1174">
                  <c:v>202.9</c:v>
                </c:pt>
                <c:pt idx="1175">
                  <c:v>194.65</c:v>
                </c:pt>
                <c:pt idx="1176">
                  <c:v>197.25</c:v>
                </c:pt>
                <c:pt idx="1177">
                  <c:v>195.2</c:v>
                </c:pt>
                <c:pt idx="1178">
                  <c:v>202.1</c:v>
                </c:pt>
                <c:pt idx="1179">
                  <c:v>191.85</c:v>
                </c:pt>
                <c:pt idx="1180">
                  <c:v>185.85</c:v>
                </c:pt>
                <c:pt idx="1181">
                  <c:v>185</c:v>
                </c:pt>
                <c:pt idx="1182">
                  <c:v>184.05</c:v>
                </c:pt>
                <c:pt idx="1183">
                  <c:v>186.6</c:v>
                </c:pt>
                <c:pt idx="1184">
                  <c:v>181.2</c:v>
                </c:pt>
                <c:pt idx="1185">
                  <c:v>185</c:v>
                </c:pt>
                <c:pt idx="1186">
                  <c:v>187.2</c:v>
                </c:pt>
                <c:pt idx="1187">
                  <c:v>193.9</c:v>
                </c:pt>
                <c:pt idx="1188">
                  <c:v>194.25</c:v>
                </c:pt>
                <c:pt idx="1189">
                  <c:v>199.05</c:v>
                </c:pt>
                <c:pt idx="1190">
                  <c:v>198.5</c:v>
                </c:pt>
                <c:pt idx="1191">
                  <c:v>197.65</c:v>
                </c:pt>
                <c:pt idx="1192">
                  <c:v>200</c:v>
                </c:pt>
                <c:pt idx="1193">
                  <c:v>200.15</c:v>
                </c:pt>
                <c:pt idx="1194">
                  <c:v>196.7</c:v>
                </c:pt>
                <c:pt idx="1195">
                  <c:v>197.25</c:v>
                </c:pt>
                <c:pt idx="1196">
                  <c:v>200.55</c:v>
                </c:pt>
                <c:pt idx="1197">
                  <c:v>197.35</c:v>
                </c:pt>
                <c:pt idx="1198">
                  <c:v>190.65</c:v>
                </c:pt>
                <c:pt idx="1199">
                  <c:v>192.15</c:v>
                </c:pt>
                <c:pt idx="1200">
                  <c:v>191.7</c:v>
                </c:pt>
                <c:pt idx="1201">
                  <c:v>186.35</c:v>
                </c:pt>
                <c:pt idx="1202">
                  <c:v>188.95</c:v>
                </c:pt>
                <c:pt idx="1203">
                  <c:v>175.75</c:v>
                </c:pt>
                <c:pt idx="1204">
                  <c:v>170.75</c:v>
                </c:pt>
                <c:pt idx="1205">
                  <c:v>164.75</c:v>
                </c:pt>
                <c:pt idx="1206">
                  <c:v>164.65</c:v>
                </c:pt>
                <c:pt idx="1207">
                  <c:v>163.80000000000001</c:v>
                </c:pt>
                <c:pt idx="1208">
                  <c:v>165.4</c:v>
                </c:pt>
                <c:pt idx="1209">
                  <c:v>165.05</c:v>
                </c:pt>
                <c:pt idx="1210">
                  <c:v>158.44999999999999</c:v>
                </c:pt>
                <c:pt idx="1211">
                  <c:v>158.25</c:v>
                </c:pt>
                <c:pt idx="1212">
                  <c:v>161</c:v>
                </c:pt>
                <c:pt idx="1213">
                  <c:v>163.9</c:v>
                </c:pt>
                <c:pt idx="1214">
                  <c:v>173.9</c:v>
                </c:pt>
                <c:pt idx="1215">
                  <c:v>174.05</c:v>
                </c:pt>
                <c:pt idx="1216">
                  <c:v>182.05</c:v>
                </c:pt>
                <c:pt idx="1217">
                  <c:v>182.15</c:v>
                </c:pt>
                <c:pt idx="1218">
                  <c:v>179.45</c:v>
                </c:pt>
                <c:pt idx="1219">
                  <c:v>179.85</c:v>
                </c:pt>
                <c:pt idx="1220">
                  <c:v>180.05</c:v>
                </c:pt>
                <c:pt idx="1221">
                  <c:v>180.55</c:v>
                </c:pt>
                <c:pt idx="1222">
                  <c:v>182.25</c:v>
                </c:pt>
                <c:pt idx="1223">
                  <c:v>179.6</c:v>
                </c:pt>
                <c:pt idx="1224">
                  <c:v>180.7</c:v>
                </c:pt>
                <c:pt idx="1225">
                  <c:v>188.1</c:v>
                </c:pt>
                <c:pt idx="1226">
                  <c:v>186.35</c:v>
                </c:pt>
                <c:pt idx="1227">
                  <c:v>189.35</c:v>
                </c:pt>
                <c:pt idx="1228">
                  <c:v>181.6</c:v>
                </c:pt>
                <c:pt idx="1229">
                  <c:v>185.25</c:v>
                </c:pt>
                <c:pt idx="1230">
                  <c:v>178.65</c:v>
                </c:pt>
                <c:pt idx="1231">
                  <c:v>181.55</c:v>
                </c:pt>
                <c:pt idx="1232">
                  <c:v>177.9</c:v>
                </c:pt>
                <c:pt idx="1233">
                  <c:v>166.4</c:v>
                </c:pt>
              </c:numCache>
            </c:numRef>
          </c:val>
          <c:smooth val="0"/>
          <c:extLst>
            <c:ext xmlns:c16="http://schemas.microsoft.com/office/drawing/2014/chart" uri="{C3380CC4-5D6E-409C-BE32-E72D297353CC}">
              <c16:uniqueId val="{00000000-D9B8-406F-8253-4AC6512B165D}"/>
            </c:ext>
          </c:extLst>
        </c:ser>
        <c:dLbls>
          <c:showLegendKey val="0"/>
          <c:showVal val="0"/>
          <c:showCatName val="0"/>
          <c:showSerName val="0"/>
          <c:showPercent val="0"/>
          <c:showBubbleSize val="0"/>
        </c:dLbls>
        <c:smooth val="0"/>
        <c:axId val="308661455"/>
        <c:axId val="308663375"/>
      </c:lineChart>
      <c:dateAx>
        <c:axId val="308661455"/>
        <c:scaling>
          <c:orientation val="minMax"/>
          <c:min val="44287"/>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9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63375"/>
        <c:crosses val="autoZero"/>
        <c:auto val="1"/>
        <c:lblOffset val="100"/>
        <c:baseTimeUnit val="days"/>
      </c:dateAx>
      <c:valAx>
        <c:axId val="308663375"/>
        <c:scaling>
          <c:orientation val="minMax"/>
          <c:max val="500"/>
          <c:min val="10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61455"/>
        <c:crosses val="autoZero"/>
        <c:crossBetween val="between"/>
        <c:majorUnit val="100"/>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47488370884333"/>
          <c:y val="9.0090090090090086E-2"/>
          <c:w val="0.69352321058877542"/>
          <c:h val="0.55322497694544936"/>
        </c:manualLayout>
      </c:layout>
      <c:areaChart>
        <c:grouping val="stacked"/>
        <c:varyColors val="0"/>
        <c:ser>
          <c:idx val="0"/>
          <c:order val="0"/>
          <c:tx>
            <c:strRef>
              <c:f>'Share price'!$D$2</c:f>
              <c:strCache>
                <c:ptCount val="1"/>
                <c:pt idx="0">
                  <c:v>Vol.</c:v>
                </c:pt>
              </c:strCache>
            </c:strRef>
          </c:tx>
          <c:spPr>
            <a:solidFill>
              <a:schemeClr val="tx2">
                <a:lumMod val="60000"/>
                <a:lumOff val="40000"/>
              </a:schemeClr>
            </a:solidFill>
            <a:ln>
              <a:noFill/>
            </a:ln>
            <a:effectLst/>
          </c:spPr>
          <c:cat>
            <c:numRef>
              <c:f>'Share price'!$B$3:$B$1236</c:f>
              <c:numCache>
                <c:formatCode>m/d/yyyy</c:formatCode>
                <c:ptCount val="1234"/>
                <c:pt idx="0">
                  <c:v>45744</c:v>
                </c:pt>
                <c:pt idx="1">
                  <c:v>45743</c:v>
                </c:pt>
                <c:pt idx="2">
                  <c:v>45742</c:v>
                </c:pt>
                <c:pt idx="3">
                  <c:v>45741</c:v>
                </c:pt>
                <c:pt idx="4">
                  <c:v>45740</c:v>
                </c:pt>
                <c:pt idx="5">
                  <c:v>45737</c:v>
                </c:pt>
                <c:pt idx="6">
                  <c:v>45736</c:v>
                </c:pt>
                <c:pt idx="7">
                  <c:v>45735</c:v>
                </c:pt>
                <c:pt idx="8">
                  <c:v>45734</c:v>
                </c:pt>
                <c:pt idx="9">
                  <c:v>45733</c:v>
                </c:pt>
                <c:pt idx="10">
                  <c:v>45729</c:v>
                </c:pt>
                <c:pt idx="11">
                  <c:v>45728</c:v>
                </c:pt>
                <c:pt idx="12">
                  <c:v>45727</c:v>
                </c:pt>
                <c:pt idx="13">
                  <c:v>45726</c:v>
                </c:pt>
                <c:pt idx="14">
                  <c:v>45723</c:v>
                </c:pt>
                <c:pt idx="15">
                  <c:v>45722</c:v>
                </c:pt>
                <c:pt idx="16">
                  <c:v>45721</c:v>
                </c:pt>
                <c:pt idx="17">
                  <c:v>45720</c:v>
                </c:pt>
                <c:pt idx="18">
                  <c:v>45719</c:v>
                </c:pt>
                <c:pt idx="19">
                  <c:v>45716</c:v>
                </c:pt>
                <c:pt idx="20">
                  <c:v>45715</c:v>
                </c:pt>
                <c:pt idx="21">
                  <c:v>45713</c:v>
                </c:pt>
                <c:pt idx="22">
                  <c:v>45712</c:v>
                </c:pt>
                <c:pt idx="23">
                  <c:v>45709</c:v>
                </c:pt>
                <c:pt idx="24">
                  <c:v>45708</c:v>
                </c:pt>
                <c:pt idx="25">
                  <c:v>45707</c:v>
                </c:pt>
                <c:pt idx="26">
                  <c:v>45706</c:v>
                </c:pt>
                <c:pt idx="27">
                  <c:v>45705</c:v>
                </c:pt>
                <c:pt idx="28">
                  <c:v>45702</c:v>
                </c:pt>
                <c:pt idx="29">
                  <c:v>45701</c:v>
                </c:pt>
                <c:pt idx="30">
                  <c:v>45700</c:v>
                </c:pt>
                <c:pt idx="31">
                  <c:v>45699</c:v>
                </c:pt>
                <c:pt idx="32">
                  <c:v>45698</c:v>
                </c:pt>
                <c:pt idx="33">
                  <c:v>45695</c:v>
                </c:pt>
                <c:pt idx="34">
                  <c:v>45694</c:v>
                </c:pt>
                <c:pt idx="35">
                  <c:v>45693</c:v>
                </c:pt>
                <c:pt idx="36">
                  <c:v>45692</c:v>
                </c:pt>
                <c:pt idx="37">
                  <c:v>45691</c:v>
                </c:pt>
                <c:pt idx="38">
                  <c:v>45689</c:v>
                </c:pt>
                <c:pt idx="39">
                  <c:v>45688</c:v>
                </c:pt>
                <c:pt idx="40">
                  <c:v>45687</c:v>
                </c:pt>
                <c:pt idx="41">
                  <c:v>45686</c:v>
                </c:pt>
                <c:pt idx="42">
                  <c:v>45685</c:v>
                </c:pt>
                <c:pt idx="43">
                  <c:v>45684</c:v>
                </c:pt>
                <c:pt idx="44">
                  <c:v>45681</c:v>
                </c:pt>
                <c:pt idx="45">
                  <c:v>45680</c:v>
                </c:pt>
                <c:pt idx="46">
                  <c:v>45679</c:v>
                </c:pt>
                <c:pt idx="47">
                  <c:v>45678</c:v>
                </c:pt>
                <c:pt idx="48">
                  <c:v>45677</c:v>
                </c:pt>
                <c:pt idx="49">
                  <c:v>45674</c:v>
                </c:pt>
                <c:pt idx="50">
                  <c:v>45673</c:v>
                </c:pt>
                <c:pt idx="51">
                  <c:v>45672</c:v>
                </c:pt>
                <c:pt idx="52">
                  <c:v>45671</c:v>
                </c:pt>
                <c:pt idx="53">
                  <c:v>45670</c:v>
                </c:pt>
                <c:pt idx="54">
                  <c:v>45667</c:v>
                </c:pt>
                <c:pt idx="55">
                  <c:v>45666</c:v>
                </c:pt>
                <c:pt idx="56">
                  <c:v>45665</c:v>
                </c:pt>
                <c:pt idx="57">
                  <c:v>45664</c:v>
                </c:pt>
                <c:pt idx="58">
                  <c:v>45663</c:v>
                </c:pt>
                <c:pt idx="59">
                  <c:v>45660</c:v>
                </c:pt>
                <c:pt idx="60">
                  <c:v>45659</c:v>
                </c:pt>
                <c:pt idx="61">
                  <c:v>45658</c:v>
                </c:pt>
                <c:pt idx="62">
                  <c:v>45657</c:v>
                </c:pt>
                <c:pt idx="63">
                  <c:v>45656</c:v>
                </c:pt>
                <c:pt idx="64">
                  <c:v>45653</c:v>
                </c:pt>
                <c:pt idx="65">
                  <c:v>45652</c:v>
                </c:pt>
                <c:pt idx="66">
                  <c:v>45650</c:v>
                </c:pt>
                <c:pt idx="67">
                  <c:v>45649</c:v>
                </c:pt>
                <c:pt idx="68">
                  <c:v>45646</c:v>
                </c:pt>
                <c:pt idx="69">
                  <c:v>45645</c:v>
                </c:pt>
                <c:pt idx="70">
                  <c:v>45644</c:v>
                </c:pt>
                <c:pt idx="71">
                  <c:v>45643</c:v>
                </c:pt>
                <c:pt idx="72">
                  <c:v>45642</c:v>
                </c:pt>
                <c:pt idx="73">
                  <c:v>45639</c:v>
                </c:pt>
                <c:pt idx="74">
                  <c:v>45638</c:v>
                </c:pt>
                <c:pt idx="75">
                  <c:v>45637</c:v>
                </c:pt>
                <c:pt idx="76">
                  <c:v>45636</c:v>
                </c:pt>
                <c:pt idx="77">
                  <c:v>45635</c:v>
                </c:pt>
                <c:pt idx="78">
                  <c:v>45632</c:v>
                </c:pt>
                <c:pt idx="79">
                  <c:v>45631</c:v>
                </c:pt>
                <c:pt idx="80">
                  <c:v>45630</c:v>
                </c:pt>
                <c:pt idx="81">
                  <c:v>45629</c:v>
                </c:pt>
                <c:pt idx="82">
                  <c:v>45628</c:v>
                </c:pt>
                <c:pt idx="83">
                  <c:v>45625</c:v>
                </c:pt>
                <c:pt idx="84">
                  <c:v>45624</c:v>
                </c:pt>
                <c:pt idx="85">
                  <c:v>45623</c:v>
                </c:pt>
                <c:pt idx="86">
                  <c:v>45622</c:v>
                </c:pt>
                <c:pt idx="87">
                  <c:v>45621</c:v>
                </c:pt>
                <c:pt idx="88">
                  <c:v>45618</c:v>
                </c:pt>
                <c:pt idx="89">
                  <c:v>45617</c:v>
                </c:pt>
                <c:pt idx="90">
                  <c:v>45615</c:v>
                </c:pt>
                <c:pt idx="91">
                  <c:v>45614</c:v>
                </c:pt>
                <c:pt idx="92">
                  <c:v>45610</c:v>
                </c:pt>
                <c:pt idx="93">
                  <c:v>45609</c:v>
                </c:pt>
                <c:pt idx="94">
                  <c:v>45608</c:v>
                </c:pt>
                <c:pt idx="95">
                  <c:v>45607</c:v>
                </c:pt>
                <c:pt idx="96">
                  <c:v>45604</c:v>
                </c:pt>
                <c:pt idx="97">
                  <c:v>45603</c:v>
                </c:pt>
                <c:pt idx="98">
                  <c:v>45602</c:v>
                </c:pt>
                <c:pt idx="99">
                  <c:v>45601</c:v>
                </c:pt>
                <c:pt idx="100">
                  <c:v>45600</c:v>
                </c:pt>
                <c:pt idx="101">
                  <c:v>45597</c:v>
                </c:pt>
                <c:pt idx="102">
                  <c:v>45596</c:v>
                </c:pt>
                <c:pt idx="103">
                  <c:v>45595</c:v>
                </c:pt>
                <c:pt idx="104">
                  <c:v>45594</c:v>
                </c:pt>
                <c:pt idx="105">
                  <c:v>45593</c:v>
                </c:pt>
                <c:pt idx="106">
                  <c:v>45590</c:v>
                </c:pt>
                <c:pt idx="107">
                  <c:v>45589</c:v>
                </c:pt>
                <c:pt idx="108">
                  <c:v>45588</c:v>
                </c:pt>
                <c:pt idx="109">
                  <c:v>45587</c:v>
                </c:pt>
                <c:pt idx="110">
                  <c:v>45586</c:v>
                </c:pt>
                <c:pt idx="111">
                  <c:v>45583</c:v>
                </c:pt>
                <c:pt idx="112">
                  <c:v>45582</c:v>
                </c:pt>
                <c:pt idx="113">
                  <c:v>45581</c:v>
                </c:pt>
                <c:pt idx="114">
                  <c:v>45580</c:v>
                </c:pt>
                <c:pt idx="115">
                  <c:v>45579</c:v>
                </c:pt>
                <c:pt idx="116">
                  <c:v>45576</c:v>
                </c:pt>
                <c:pt idx="117">
                  <c:v>45575</c:v>
                </c:pt>
                <c:pt idx="118">
                  <c:v>45574</c:v>
                </c:pt>
                <c:pt idx="119">
                  <c:v>45573</c:v>
                </c:pt>
                <c:pt idx="120">
                  <c:v>45572</c:v>
                </c:pt>
                <c:pt idx="121">
                  <c:v>45569</c:v>
                </c:pt>
                <c:pt idx="122">
                  <c:v>45568</c:v>
                </c:pt>
                <c:pt idx="123">
                  <c:v>45566</c:v>
                </c:pt>
                <c:pt idx="124">
                  <c:v>45565</c:v>
                </c:pt>
                <c:pt idx="125">
                  <c:v>45562</c:v>
                </c:pt>
                <c:pt idx="126">
                  <c:v>45561</c:v>
                </c:pt>
                <c:pt idx="127">
                  <c:v>45560</c:v>
                </c:pt>
                <c:pt idx="128">
                  <c:v>45559</c:v>
                </c:pt>
                <c:pt idx="129">
                  <c:v>45558</c:v>
                </c:pt>
                <c:pt idx="130">
                  <c:v>45555</c:v>
                </c:pt>
                <c:pt idx="131">
                  <c:v>45554</c:v>
                </c:pt>
                <c:pt idx="132">
                  <c:v>45553</c:v>
                </c:pt>
                <c:pt idx="133">
                  <c:v>45552</c:v>
                </c:pt>
                <c:pt idx="134">
                  <c:v>45551</c:v>
                </c:pt>
                <c:pt idx="135">
                  <c:v>45548</c:v>
                </c:pt>
                <c:pt idx="136">
                  <c:v>45547</c:v>
                </c:pt>
                <c:pt idx="137">
                  <c:v>45546</c:v>
                </c:pt>
                <c:pt idx="138">
                  <c:v>45545</c:v>
                </c:pt>
                <c:pt idx="139">
                  <c:v>45544</c:v>
                </c:pt>
                <c:pt idx="140">
                  <c:v>45541</c:v>
                </c:pt>
                <c:pt idx="141">
                  <c:v>45540</c:v>
                </c:pt>
                <c:pt idx="142">
                  <c:v>45539</c:v>
                </c:pt>
                <c:pt idx="143">
                  <c:v>45538</c:v>
                </c:pt>
                <c:pt idx="144">
                  <c:v>45537</c:v>
                </c:pt>
                <c:pt idx="145">
                  <c:v>45534</c:v>
                </c:pt>
                <c:pt idx="146">
                  <c:v>45533</c:v>
                </c:pt>
                <c:pt idx="147">
                  <c:v>45532</c:v>
                </c:pt>
                <c:pt idx="148">
                  <c:v>45531</c:v>
                </c:pt>
                <c:pt idx="149">
                  <c:v>45530</c:v>
                </c:pt>
                <c:pt idx="150">
                  <c:v>45527</c:v>
                </c:pt>
                <c:pt idx="151">
                  <c:v>45526</c:v>
                </c:pt>
                <c:pt idx="152">
                  <c:v>45525</c:v>
                </c:pt>
                <c:pt idx="153">
                  <c:v>45524</c:v>
                </c:pt>
                <c:pt idx="154">
                  <c:v>45523</c:v>
                </c:pt>
                <c:pt idx="155">
                  <c:v>45520</c:v>
                </c:pt>
                <c:pt idx="156">
                  <c:v>45518</c:v>
                </c:pt>
                <c:pt idx="157">
                  <c:v>45517</c:v>
                </c:pt>
                <c:pt idx="158">
                  <c:v>45516</c:v>
                </c:pt>
                <c:pt idx="159">
                  <c:v>45513</c:v>
                </c:pt>
                <c:pt idx="160">
                  <c:v>45512</c:v>
                </c:pt>
                <c:pt idx="161">
                  <c:v>45511</c:v>
                </c:pt>
                <c:pt idx="162">
                  <c:v>45510</c:v>
                </c:pt>
                <c:pt idx="163">
                  <c:v>45509</c:v>
                </c:pt>
                <c:pt idx="164">
                  <c:v>45506</c:v>
                </c:pt>
                <c:pt idx="165">
                  <c:v>45505</c:v>
                </c:pt>
                <c:pt idx="166">
                  <c:v>45504</c:v>
                </c:pt>
                <c:pt idx="167">
                  <c:v>45503</c:v>
                </c:pt>
                <c:pt idx="168">
                  <c:v>45502</c:v>
                </c:pt>
                <c:pt idx="169">
                  <c:v>45499</c:v>
                </c:pt>
                <c:pt idx="170">
                  <c:v>45498</c:v>
                </c:pt>
                <c:pt idx="171">
                  <c:v>45497</c:v>
                </c:pt>
                <c:pt idx="172">
                  <c:v>45496</c:v>
                </c:pt>
                <c:pt idx="173">
                  <c:v>45495</c:v>
                </c:pt>
                <c:pt idx="174">
                  <c:v>45492</c:v>
                </c:pt>
                <c:pt idx="175">
                  <c:v>45491</c:v>
                </c:pt>
                <c:pt idx="176">
                  <c:v>45489</c:v>
                </c:pt>
                <c:pt idx="177">
                  <c:v>45488</c:v>
                </c:pt>
                <c:pt idx="178">
                  <c:v>45485</c:v>
                </c:pt>
                <c:pt idx="179">
                  <c:v>45484</c:v>
                </c:pt>
                <c:pt idx="180">
                  <c:v>45483</c:v>
                </c:pt>
                <c:pt idx="181">
                  <c:v>45482</c:v>
                </c:pt>
                <c:pt idx="182">
                  <c:v>45481</c:v>
                </c:pt>
                <c:pt idx="183">
                  <c:v>45478</c:v>
                </c:pt>
                <c:pt idx="184">
                  <c:v>45477</c:v>
                </c:pt>
                <c:pt idx="185">
                  <c:v>45476</c:v>
                </c:pt>
                <c:pt idx="186">
                  <c:v>45475</c:v>
                </c:pt>
                <c:pt idx="187">
                  <c:v>45474</c:v>
                </c:pt>
                <c:pt idx="188">
                  <c:v>45471</c:v>
                </c:pt>
                <c:pt idx="189">
                  <c:v>45470</c:v>
                </c:pt>
                <c:pt idx="190">
                  <c:v>45469</c:v>
                </c:pt>
                <c:pt idx="191">
                  <c:v>45468</c:v>
                </c:pt>
                <c:pt idx="192">
                  <c:v>45467</c:v>
                </c:pt>
                <c:pt idx="193">
                  <c:v>45464</c:v>
                </c:pt>
                <c:pt idx="194">
                  <c:v>45463</c:v>
                </c:pt>
                <c:pt idx="195">
                  <c:v>45462</c:v>
                </c:pt>
                <c:pt idx="196">
                  <c:v>45461</c:v>
                </c:pt>
                <c:pt idx="197">
                  <c:v>45457</c:v>
                </c:pt>
                <c:pt idx="198">
                  <c:v>45456</c:v>
                </c:pt>
                <c:pt idx="199">
                  <c:v>45455</c:v>
                </c:pt>
                <c:pt idx="200">
                  <c:v>45454</c:v>
                </c:pt>
                <c:pt idx="201">
                  <c:v>45453</c:v>
                </c:pt>
                <c:pt idx="202">
                  <c:v>45450</c:v>
                </c:pt>
                <c:pt idx="203">
                  <c:v>45449</c:v>
                </c:pt>
                <c:pt idx="204">
                  <c:v>45448</c:v>
                </c:pt>
                <c:pt idx="205">
                  <c:v>45447</c:v>
                </c:pt>
                <c:pt idx="206">
                  <c:v>45446</c:v>
                </c:pt>
                <c:pt idx="207">
                  <c:v>45443</c:v>
                </c:pt>
                <c:pt idx="208">
                  <c:v>45442</c:v>
                </c:pt>
                <c:pt idx="209">
                  <c:v>45441</c:v>
                </c:pt>
                <c:pt idx="210">
                  <c:v>45440</c:v>
                </c:pt>
                <c:pt idx="211">
                  <c:v>45439</c:v>
                </c:pt>
                <c:pt idx="212">
                  <c:v>45436</c:v>
                </c:pt>
                <c:pt idx="213">
                  <c:v>45435</c:v>
                </c:pt>
                <c:pt idx="214">
                  <c:v>45434</c:v>
                </c:pt>
                <c:pt idx="215">
                  <c:v>45433</c:v>
                </c:pt>
                <c:pt idx="216">
                  <c:v>45429</c:v>
                </c:pt>
                <c:pt idx="217">
                  <c:v>45428</c:v>
                </c:pt>
                <c:pt idx="218">
                  <c:v>45427</c:v>
                </c:pt>
                <c:pt idx="219">
                  <c:v>45426</c:v>
                </c:pt>
                <c:pt idx="220">
                  <c:v>45425</c:v>
                </c:pt>
                <c:pt idx="221">
                  <c:v>45422</c:v>
                </c:pt>
                <c:pt idx="222">
                  <c:v>45421</c:v>
                </c:pt>
                <c:pt idx="223">
                  <c:v>45420</c:v>
                </c:pt>
                <c:pt idx="224">
                  <c:v>45419</c:v>
                </c:pt>
                <c:pt idx="225">
                  <c:v>45418</c:v>
                </c:pt>
                <c:pt idx="226">
                  <c:v>45415</c:v>
                </c:pt>
                <c:pt idx="227">
                  <c:v>45414</c:v>
                </c:pt>
                <c:pt idx="228">
                  <c:v>45412</c:v>
                </c:pt>
                <c:pt idx="229">
                  <c:v>45411</c:v>
                </c:pt>
                <c:pt idx="230">
                  <c:v>45408</c:v>
                </c:pt>
                <c:pt idx="231">
                  <c:v>45407</c:v>
                </c:pt>
                <c:pt idx="232">
                  <c:v>45406</c:v>
                </c:pt>
                <c:pt idx="233">
                  <c:v>45405</c:v>
                </c:pt>
                <c:pt idx="234">
                  <c:v>45404</c:v>
                </c:pt>
                <c:pt idx="235">
                  <c:v>45401</c:v>
                </c:pt>
                <c:pt idx="236">
                  <c:v>45400</c:v>
                </c:pt>
                <c:pt idx="237">
                  <c:v>45398</c:v>
                </c:pt>
                <c:pt idx="238">
                  <c:v>45397</c:v>
                </c:pt>
                <c:pt idx="239">
                  <c:v>45394</c:v>
                </c:pt>
                <c:pt idx="240">
                  <c:v>45392</c:v>
                </c:pt>
                <c:pt idx="241">
                  <c:v>45391</c:v>
                </c:pt>
                <c:pt idx="242">
                  <c:v>45390</c:v>
                </c:pt>
                <c:pt idx="243">
                  <c:v>45387</c:v>
                </c:pt>
                <c:pt idx="244">
                  <c:v>45386</c:v>
                </c:pt>
                <c:pt idx="245">
                  <c:v>45385</c:v>
                </c:pt>
                <c:pt idx="246">
                  <c:v>45384</c:v>
                </c:pt>
                <c:pt idx="247">
                  <c:v>45383</c:v>
                </c:pt>
                <c:pt idx="248">
                  <c:v>45379</c:v>
                </c:pt>
                <c:pt idx="249">
                  <c:v>45378</c:v>
                </c:pt>
                <c:pt idx="250">
                  <c:v>45377</c:v>
                </c:pt>
                <c:pt idx="251">
                  <c:v>45373</c:v>
                </c:pt>
                <c:pt idx="252">
                  <c:v>45372</c:v>
                </c:pt>
                <c:pt idx="253">
                  <c:v>45371</c:v>
                </c:pt>
                <c:pt idx="254">
                  <c:v>45370</c:v>
                </c:pt>
                <c:pt idx="255">
                  <c:v>45369</c:v>
                </c:pt>
                <c:pt idx="256">
                  <c:v>45366</c:v>
                </c:pt>
                <c:pt idx="257">
                  <c:v>45365</c:v>
                </c:pt>
                <c:pt idx="258">
                  <c:v>45364</c:v>
                </c:pt>
                <c:pt idx="259">
                  <c:v>45363</c:v>
                </c:pt>
                <c:pt idx="260">
                  <c:v>45362</c:v>
                </c:pt>
                <c:pt idx="261">
                  <c:v>45358</c:v>
                </c:pt>
                <c:pt idx="262">
                  <c:v>45357</c:v>
                </c:pt>
                <c:pt idx="263">
                  <c:v>45356</c:v>
                </c:pt>
                <c:pt idx="264">
                  <c:v>45355</c:v>
                </c:pt>
                <c:pt idx="265">
                  <c:v>45352</c:v>
                </c:pt>
                <c:pt idx="266">
                  <c:v>45351</c:v>
                </c:pt>
                <c:pt idx="267">
                  <c:v>45350</c:v>
                </c:pt>
                <c:pt idx="268">
                  <c:v>45349</c:v>
                </c:pt>
                <c:pt idx="269">
                  <c:v>45348</c:v>
                </c:pt>
                <c:pt idx="270">
                  <c:v>45345</c:v>
                </c:pt>
                <c:pt idx="271">
                  <c:v>45344</c:v>
                </c:pt>
                <c:pt idx="272">
                  <c:v>45343</c:v>
                </c:pt>
                <c:pt idx="273">
                  <c:v>45342</c:v>
                </c:pt>
                <c:pt idx="274">
                  <c:v>45341</c:v>
                </c:pt>
                <c:pt idx="275">
                  <c:v>45338</c:v>
                </c:pt>
                <c:pt idx="276">
                  <c:v>45337</c:v>
                </c:pt>
                <c:pt idx="277">
                  <c:v>45336</c:v>
                </c:pt>
                <c:pt idx="278">
                  <c:v>45335</c:v>
                </c:pt>
                <c:pt idx="279">
                  <c:v>45334</c:v>
                </c:pt>
                <c:pt idx="280">
                  <c:v>45331</c:v>
                </c:pt>
                <c:pt idx="281">
                  <c:v>45330</c:v>
                </c:pt>
                <c:pt idx="282">
                  <c:v>45329</c:v>
                </c:pt>
                <c:pt idx="283">
                  <c:v>45328</c:v>
                </c:pt>
                <c:pt idx="284">
                  <c:v>45327</c:v>
                </c:pt>
                <c:pt idx="285">
                  <c:v>45324</c:v>
                </c:pt>
                <c:pt idx="286">
                  <c:v>45323</c:v>
                </c:pt>
                <c:pt idx="287">
                  <c:v>45322</c:v>
                </c:pt>
                <c:pt idx="288">
                  <c:v>45321</c:v>
                </c:pt>
                <c:pt idx="289">
                  <c:v>45320</c:v>
                </c:pt>
                <c:pt idx="290">
                  <c:v>45316</c:v>
                </c:pt>
                <c:pt idx="291">
                  <c:v>45315</c:v>
                </c:pt>
                <c:pt idx="292">
                  <c:v>45314</c:v>
                </c:pt>
                <c:pt idx="293">
                  <c:v>45311</c:v>
                </c:pt>
                <c:pt idx="294">
                  <c:v>45310</c:v>
                </c:pt>
                <c:pt idx="295">
                  <c:v>45309</c:v>
                </c:pt>
                <c:pt idx="296">
                  <c:v>45308</c:v>
                </c:pt>
                <c:pt idx="297">
                  <c:v>45307</c:v>
                </c:pt>
                <c:pt idx="298">
                  <c:v>45306</c:v>
                </c:pt>
                <c:pt idx="299">
                  <c:v>45303</c:v>
                </c:pt>
                <c:pt idx="300">
                  <c:v>45302</c:v>
                </c:pt>
                <c:pt idx="301">
                  <c:v>45301</c:v>
                </c:pt>
                <c:pt idx="302">
                  <c:v>45300</c:v>
                </c:pt>
                <c:pt idx="303">
                  <c:v>45299</c:v>
                </c:pt>
                <c:pt idx="304">
                  <c:v>45296</c:v>
                </c:pt>
                <c:pt idx="305">
                  <c:v>45295</c:v>
                </c:pt>
                <c:pt idx="306">
                  <c:v>45294</c:v>
                </c:pt>
                <c:pt idx="307">
                  <c:v>45293</c:v>
                </c:pt>
                <c:pt idx="308">
                  <c:v>45292</c:v>
                </c:pt>
                <c:pt idx="309">
                  <c:v>45289</c:v>
                </c:pt>
                <c:pt idx="310">
                  <c:v>45288</c:v>
                </c:pt>
                <c:pt idx="311">
                  <c:v>45287</c:v>
                </c:pt>
                <c:pt idx="312">
                  <c:v>45286</c:v>
                </c:pt>
                <c:pt idx="313">
                  <c:v>45282</c:v>
                </c:pt>
                <c:pt idx="314">
                  <c:v>45281</c:v>
                </c:pt>
                <c:pt idx="315">
                  <c:v>45280</c:v>
                </c:pt>
                <c:pt idx="316">
                  <c:v>45279</c:v>
                </c:pt>
                <c:pt idx="317">
                  <c:v>45278</c:v>
                </c:pt>
                <c:pt idx="318">
                  <c:v>45275</c:v>
                </c:pt>
                <c:pt idx="319">
                  <c:v>45274</c:v>
                </c:pt>
                <c:pt idx="320">
                  <c:v>45273</c:v>
                </c:pt>
                <c:pt idx="321">
                  <c:v>45272</c:v>
                </c:pt>
                <c:pt idx="322">
                  <c:v>45271</c:v>
                </c:pt>
                <c:pt idx="323">
                  <c:v>45268</c:v>
                </c:pt>
                <c:pt idx="324">
                  <c:v>45267</c:v>
                </c:pt>
                <c:pt idx="325">
                  <c:v>45266</c:v>
                </c:pt>
                <c:pt idx="326">
                  <c:v>45265</c:v>
                </c:pt>
                <c:pt idx="327">
                  <c:v>45264</c:v>
                </c:pt>
                <c:pt idx="328">
                  <c:v>45261</c:v>
                </c:pt>
                <c:pt idx="329">
                  <c:v>45260</c:v>
                </c:pt>
                <c:pt idx="330">
                  <c:v>45259</c:v>
                </c:pt>
                <c:pt idx="331">
                  <c:v>45258</c:v>
                </c:pt>
                <c:pt idx="332">
                  <c:v>45254</c:v>
                </c:pt>
                <c:pt idx="333">
                  <c:v>45253</c:v>
                </c:pt>
                <c:pt idx="334">
                  <c:v>45252</c:v>
                </c:pt>
                <c:pt idx="335">
                  <c:v>45251</c:v>
                </c:pt>
                <c:pt idx="336">
                  <c:v>45250</c:v>
                </c:pt>
                <c:pt idx="337">
                  <c:v>45247</c:v>
                </c:pt>
                <c:pt idx="338">
                  <c:v>45246</c:v>
                </c:pt>
                <c:pt idx="339">
                  <c:v>45245</c:v>
                </c:pt>
                <c:pt idx="340">
                  <c:v>45243</c:v>
                </c:pt>
                <c:pt idx="341">
                  <c:v>45242</c:v>
                </c:pt>
                <c:pt idx="342">
                  <c:v>45240</c:v>
                </c:pt>
                <c:pt idx="343">
                  <c:v>45239</c:v>
                </c:pt>
                <c:pt idx="344">
                  <c:v>45238</c:v>
                </c:pt>
                <c:pt idx="345">
                  <c:v>45237</c:v>
                </c:pt>
                <c:pt idx="346">
                  <c:v>45236</c:v>
                </c:pt>
                <c:pt idx="347">
                  <c:v>45233</c:v>
                </c:pt>
                <c:pt idx="348">
                  <c:v>45232</c:v>
                </c:pt>
                <c:pt idx="349">
                  <c:v>45231</c:v>
                </c:pt>
                <c:pt idx="350">
                  <c:v>45230</c:v>
                </c:pt>
                <c:pt idx="351">
                  <c:v>45229</c:v>
                </c:pt>
                <c:pt idx="352">
                  <c:v>45226</c:v>
                </c:pt>
                <c:pt idx="353">
                  <c:v>45225</c:v>
                </c:pt>
                <c:pt idx="354">
                  <c:v>45224</c:v>
                </c:pt>
                <c:pt idx="355">
                  <c:v>45222</c:v>
                </c:pt>
                <c:pt idx="356">
                  <c:v>45219</c:v>
                </c:pt>
                <c:pt idx="357">
                  <c:v>45218</c:v>
                </c:pt>
                <c:pt idx="358">
                  <c:v>45217</c:v>
                </c:pt>
                <c:pt idx="359">
                  <c:v>45216</c:v>
                </c:pt>
                <c:pt idx="360">
                  <c:v>45215</c:v>
                </c:pt>
                <c:pt idx="361">
                  <c:v>45212</c:v>
                </c:pt>
                <c:pt idx="362">
                  <c:v>45211</c:v>
                </c:pt>
                <c:pt idx="363">
                  <c:v>45210</c:v>
                </c:pt>
                <c:pt idx="364">
                  <c:v>45209</c:v>
                </c:pt>
                <c:pt idx="365">
                  <c:v>45208</c:v>
                </c:pt>
                <c:pt idx="366">
                  <c:v>45205</c:v>
                </c:pt>
                <c:pt idx="367">
                  <c:v>45204</c:v>
                </c:pt>
                <c:pt idx="368">
                  <c:v>45203</c:v>
                </c:pt>
                <c:pt idx="369">
                  <c:v>45202</c:v>
                </c:pt>
                <c:pt idx="370">
                  <c:v>45198</c:v>
                </c:pt>
                <c:pt idx="371">
                  <c:v>45197</c:v>
                </c:pt>
                <c:pt idx="372">
                  <c:v>45196</c:v>
                </c:pt>
                <c:pt idx="373">
                  <c:v>45195</c:v>
                </c:pt>
                <c:pt idx="374">
                  <c:v>45194</c:v>
                </c:pt>
                <c:pt idx="375">
                  <c:v>45191</c:v>
                </c:pt>
                <c:pt idx="376">
                  <c:v>45190</c:v>
                </c:pt>
                <c:pt idx="377">
                  <c:v>45189</c:v>
                </c:pt>
                <c:pt idx="378">
                  <c:v>45187</c:v>
                </c:pt>
                <c:pt idx="379">
                  <c:v>45184</c:v>
                </c:pt>
                <c:pt idx="380">
                  <c:v>45183</c:v>
                </c:pt>
                <c:pt idx="381">
                  <c:v>45182</c:v>
                </c:pt>
                <c:pt idx="382">
                  <c:v>45181</c:v>
                </c:pt>
                <c:pt idx="383">
                  <c:v>45180</c:v>
                </c:pt>
                <c:pt idx="384">
                  <c:v>45177</c:v>
                </c:pt>
                <c:pt idx="385">
                  <c:v>45176</c:v>
                </c:pt>
                <c:pt idx="386">
                  <c:v>45175</c:v>
                </c:pt>
                <c:pt idx="387">
                  <c:v>45174</c:v>
                </c:pt>
                <c:pt idx="388">
                  <c:v>45173</c:v>
                </c:pt>
                <c:pt idx="389">
                  <c:v>45170</c:v>
                </c:pt>
                <c:pt idx="390">
                  <c:v>45169</c:v>
                </c:pt>
                <c:pt idx="391">
                  <c:v>45168</c:v>
                </c:pt>
                <c:pt idx="392">
                  <c:v>45167</c:v>
                </c:pt>
                <c:pt idx="393">
                  <c:v>45166</c:v>
                </c:pt>
                <c:pt idx="394">
                  <c:v>45163</c:v>
                </c:pt>
                <c:pt idx="395">
                  <c:v>45162</c:v>
                </c:pt>
                <c:pt idx="396">
                  <c:v>45161</c:v>
                </c:pt>
                <c:pt idx="397">
                  <c:v>45160</c:v>
                </c:pt>
                <c:pt idx="398">
                  <c:v>45159</c:v>
                </c:pt>
                <c:pt idx="399">
                  <c:v>45156</c:v>
                </c:pt>
                <c:pt idx="400">
                  <c:v>45155</c:v>
                </c:pt>
                <c:pt idx="401">
                  <c:v>45154</c:v>
                </c:pt>
                <c:pt idx="402">
                  <c:v>45152</c:v>
                </c:pt>
                <c:pt idx="403">
                  <c:v>45149</c:v>
                </c:pt>
                <c:pt idx="404">
                  <c:v>45148</c:v>
                </c:pt>
                <c:pt idx="405">
                  <c:v>45147</c:v>
                </c:pt>
                <c:pt idx="406">
                  <c:v>45146</c:v>
                </c:pt>
                <c:pt idx="407">
                  <c:v>45145</c:v>
                </c:pt>
                <c:pt idx="408">
                  <c:v>45142</c:v>
                </c:pt>
                <c:pt idx="409">
                  <c:v>45141</c:v>
                </c:pt>
                <c:pt idx="410">
                  <c:v>45140</c:v>
                </c:pt>
                <c:pt idx="411">
                  <c:v>45139</c:v>
                </c:pt>
                <c:pt idx="412">
                  <c:v>45138</c:v>
                </c:pt>
                <c:pt idx="413">
                  <c:v>45135</c:v>
                </c:pt>
                <c:pt idx="414">
                  <c:v>45134</c:v>
                </c:pt>
                <c:pt idx="415">
                  <c:v>45133</c:v>
                </c:pt>
                <c:pt idx="416">
                  <c:v>45132</c:v>
                </c:pt>
                <c:pt idx="417">
                  <c:v>45131</c:v>
                </c:pt>
                <c:pt idx="418">
                  <c:v>45128</c:v>
                </c:pt>
                <c:pt idx="419">
                  <c:v>45127</c:v>
                </c:pt>
                <c:pt idx="420">
                  <c:v>45126</c:v>
                </c:pt>
                <c:pt idx="421">
                  <c:v>45125</c:v>
                </c:pt>
                <c:pt idx="422">
                  <c:v>45124</c:v>
                </c:pt>
                <c:pt idx="423">
                  <c:v>45121</c:v>
                </c:pt>
                <c:pt idx="424">
                  <c:v>45120</c:v>
                </c:pt>
                <c:pt idx="425">
                  <c:v>45119</c:v>
                </c:pt>
                <c:pt idx="426">
                  <c:v>45118</c:v>
                </c:pt>
                <c:pt idx="427">
                  <c:v>45117</c:v>
                </c:pt>
                <c:pt idx="428">
                  <c:v>45114</c:v>
                </c:pt>
                <c:pt idx="429">
                  <c:v>45113</c:v>
                </c:pt>
                <c:pt idx="430">
                  <c:v>45112</c:v>
                </c:pt>
                <c:pt idx="431">
                  <c:v>45111</c:v>
                </c:pt>
                <c:pt idx="432">
                  <c:v>45110</c:v>
                </c:pt>
                <c:pt idx="433">
                  <c:v>45107</c:v>
                </c:pt>
                <c:pt idx="434">
                  <c:v>45105</c:v>
                </c:pt>
                <c:pt idx="435">
                  <c:v>45104</c:v>
                </c:pt>
                <c:pt idx="436">
                  <c:v>45103</c:v>
                </c:pt>
                <c:pt idx="437">
                  <c:v>45100</c:v>
                </c:pt>
                <c:pt idx="438">
                  <c:v>45099</c:v>
                </c:pt>
                <c:pt idx="439">
                  <c:v>45098</c:v>
                </c:pt>
                <c:pt idx="440">
                  <c:v>45097</c:v>
                </c:pt>
                <c:pt idx="441">
                  <c:v>45096</c:v>
                </c:pt>
                <c:pt idx="442">
                  <c:v>45093</c:v>
                </c:pt>
                <c:pt idx="443">
                  <c:v>45092</c:v>
                </c:pt>
                <c:pt idx="444">
                  <c:v>45091</c:v>
                </c:pt>
                <c:pt idx="445">
                  <c:v>45090</c:v>
                </c:pt>
                <c:pt idx="446">
                  <c:v>45089</c:v>
                </c:pt>
                <c:pt idx="447">
                  <c:v>45086</c:v>
                </c:pt>
                <c:pt idx="448">
                  <c:v>45085</c:v>
                </c:pt>
                <c:pt idx="449">
                  <c:v>45084</c:v>
                </c:pt>
                <c:pt idx="450">
                  <c:v>45083</c:v>
                </c:pt>
                <c:pt idx="451">
                  <c:v>45082</c:v>
                </c:pt>
                <c:pt idx="452">
                  <c:v>45079</c:v>
                </c:pt>
                <c:pt idx="453">
                  <c:v>45078</c:v>
                </c:pt>
                <c:pt idx="454">
                  <c:v>45077</c:v>
                </c:pt>
                <c:pt idx="455">
                  <c:v>45076</c:v>
                </c:pt>
                <c:pt idx="456">
                  <c:v>45075</c:v>
                </c:pt>
                <c:pt idx="457">
                  <c:v>45072</c:v>
                </c:pt>
                <c:pt idx="458">
                  <c:v>45071</c:v>
                </c:pt>
                <c:pt idx="459">
                  <c:v>45070</c:v>
                </c:pt>
                <c:pt idx="460">
                  <c:v>45069</c:v>
                </c:pt>
                <c:pt idx="461">
                  <c:v>45068</c:v>
                </c:pt>
                <c:pt idx="462">
                  <c:v>45065</c:v>
                </c:pt>
                <c:pt idx="463">
                  <c:v>45064</c:v>
                </c:pt>
                <c:pt idx="464">
                  <c:v>45063</c:v>
                </c:pt>
                <c:pt idx="465">
                  <c:v>45062</c:v>
                </c:pt>
                <c:pt idx="466">
                  <c:v>45061</c:v>
                </c:pt>
                <c:pt idx="467">
                  <c:v>45058</c:v>
                </c:pt>
                <c:pt idx="468">
                  <c:v>45057</c:v>
                </c:pt>
                <c:pt idx="469">
                  <c:v>45056</c:v>
                </c:pt>
                <c:pt idx="470">
                  <c:v>45055</c:v>
                </c:pt>
                <c:pt idx="471">
                  <c:v>45054</c:v>
                </c:pt>
                <c:pt idx="472">
                  <c:v>45051</c:v>
                </c:pt>
                <c:pt idx="473">
                  <c:v>45050</c:v>
                </c:pt>
                <c:pt idx="474">
                  <c:v>45049</c:v>
                </c:pt>
                <c:pt idx="475">
                  <c:v>45048</c:v>
                </c:pt>
                <c:pt idx="476">
                  <c:v>45044</c:v>
                </c:pt>
                <c:pt idx="477">
                  <c:v>45043</c:v>
                </c:pt>
                <c:pt idx="478">
                  <c:v>45042</c:v>
                </c:pt>
                <c:pt idx="479">
                  <c:v>45041</c:v>
                </c:pt>
                <c:pt idx="480">
                  <c:v>45040</c:v>
                </c:pt>
                <c:pt idx="481">
                  <c:v>45037</c:v>
                </c:pt>
                <c:pt idx="482">
                  <c:v>45036</c:v>
                </c:pt>
                <c:pt idx="483">
                  <c:v>45035</c:v>
                </c:pt>
                <c:pt idx="484">
                  <c:v>45034</c:v>
                </c:pt>
                <c:pt idx="485">
                  <c:v>45033</c:v>
                </c:pt>
                <c:pt idx="486">
                  <c:v>45029</c:v>
                </c:pt>
                <c:pt idx="487">
                  <c:v>45028</c:v>
                </c:pt>
                <c:pt idx="488">
                  <c:v>45027</c:v>
                </c:pt>
                <c:pt idx="489">
                  <c:v>45026</c:v>
                </c:pt>
                <c:pt idx="490">
                  <c:v>45022</c:v>
                </c:pt>
                <c:pt idx="491">
                  <c:v>45021</c:v>
                </c:pt>
                <c:pt idx="492">
                  <c:v>45019</c:v>
                </c:pt>
                <c:pt idx="493">
                  <c:v>45016</c:v>
                </c:pt>
                <c:pt idx="494">
                  <c:v>45014</c:v>
                </c:pt>
                <c:pt idx="495">
                  <c:v>45013</c:v>
                </c:pt>
                <c:pt idx="496">
                  <c:v>45012</c:v>
                </c:pt>
                <c:pt idx="497">
                  <c:v>45009</c:v>
                </c:pt>
                <c:pt idx="498">
                  <c:v>45008</c:v>
                </c:pt>
                <c:pt idx="499">
                  <c:v>45007</c:v>
                </c:pt>
                <c:pt idx="500">
                  <c:v>45006</c:v>
                </c:pt>
                <c:pt idx="501">
                  <c:v>45005</c:v>
                </c:pt>
                <c:pt idx="502">
                  <c:v>45002</c:v>
                </c:pt>
                <c:pt idx="503">
                  <c:v>45001</c:v>
                </c:pt>
                <c:pt idx="504">
                  <c:v>45000</c:v>
                </c:pt>
                <c:pt idx="505">
                  <c:v>44999</c:v>
                </c:pt>
                <c:pt idx="506">
                  <c:v>44998</c:v>
                </c:pt>
                <c:pt idx="507">
                  <c:v>44995</c:v>
                </c:pt>
                <c:pt idx="508">
                  <c:v>44994</c:v>
                </c:pt>
                <c:pt idx="509">
                  <c:v>44993</c:v>
                </c:pt>
                <c:pt idx="510">
                  <c:v>44991</c:v>
                </c:pt>
                <c:pt idx="511">
                  <c:v>44988</c:v>
                </c:pt>
                <c:pt idx="512">
                  <c:v>44987</c:v>
                </c:pt>
                <c:pt idx="513">
                  <c:v>44986</c:v>
                </c:pt>
                <c:pt idx="514">
                  <c:v>44985</c:v>
                </c:pt>
                <c:pt idx="515">
                  <c:v>44984</c:v>
                </c:pt>
                <c:pt idx="516">
                  <c:v>44981</c:v>
                </c:pt>
                <c:pt idx="517">
                  <c:v>44980</c:v>
                </c:pt>
                <c:pt idx="518">
                  <c:v>44979</c:v>
                </c:pt>
                <c:pt idx="519">
                  <c:v>44978</c:v>
                </c:pt>
                <c:pt idx="520">
                  <c:v>44977</c:v>
                </c:pt>
                <c:pt idx="521">
                  <c:v>44974</c:v>
                </c:pt>
                <c:pt idx="522">
                  <c:v>44973</c:v>
                </c:pt>
                <c:pt idx="523">
                  <c:v>44972</c:v>
                </c:pt>
                <c:pt idx="524">
                  <c:v>44971</c:v>
                </c:pt>
                <c:pt idx="525">
                  <c:v>44970</c:v>
                </c:pt>
                <c:pt idx="526">
                  <c:v>44967</c:v>
                </c:pt>
                <c:pt idx="527">
                  <c:v>44966</c:v>
                </c:pt>
                <c:pt idx="528">
                  <c:v>44965</c:v>
                </c:pt>
                <c:pt idx="529">
                  <c:v>44964</c:v>
                </c:pt>
                <c:pt idx="530">
                  <c:v>44963</c:v>
                </c:pt>
                <c:pt idx="531">
                  <c:v>44960</c:v>
                </c:pt>
                <c:pt idx="532">
                  <c:v>44959</c:v>
                </c:pt>
                <c:pt idx="533">
                  <c:v>44958</c:v>
                </c:pt>
                <c:pt idx="534">
                  <c:v>44957</c:v>
                </c:pt>
                <c:pt idx="535">
                  <c:v>44956</c:v>
                </c:pt>
                <c:pt idx="536">
                  <c:v>44953</c:v>
                </c:pt>
                <c:pt idx="537">
                  <c:v>44951</c:v>
                </c:pt>
                <c:pt idx="538">
                  <c:v>44950</c:v>
                </c:pt>
                <c:pt idx="539">
                  <c:v>44949</c:v>
                </c:pt>
                <c:pt idx="540">
                  <c:v>44946</c:v>
                </c:pt>
                <c:pt idx="541">
                  <c:v>44945</c:v>
                </c:pt>
                <c:pt idx="542">
                  <c:v>44944</c:v>
                </c:pt>
                <c:pt idx="543">
                  <c:v>44943</c:v>
                </c:pt>
                <c:pt idx="544">
                  <c:v>44942</c:v>
                </c:pt>
                <c:pt idx="545">
                  <c:v>44939</c:v>
                </c:pt>
                <c:pt idx="546">
                  <c:v>44938</c:v>
                </c:pt>
                <c:pt idx="547">
                  <c:v>44937</c:v>
                </c:pt>
                <c:pt idx="548">
                  <c:v>44936</c:v>
                </c:pt>
                <c:pt idx="549">
                  <c:v>44935</c:v>
                </c:pt>
                <c:pt idx="550">
                  <c:v>44932</c:v>
                </c:pt>
                <c:pt idx="551">
                  <c:v>44931</c:v>
                </c:pt>
                <c:pt idx="552">
                  <c:v>44930</c:v>
                </c:pt>
                <c:pt idx="553">
                  <c:v>44929</c:v>
                </c:pt>
                <c:pt idx="554">
                  <c:v>44928</c:v>
                </c:pt>
                <c:pt idx="555">
                  <c:v>44925</c:v>
                </c:pt>
                <c:pt idx="556">
                  <c:v>44924</c:v>
                </c:pt>
                <c:pt idx="557">
                  <c:v>44923</c:v>
                </c:pt>
                <c:pt idx="558">
                  <c:v>44922</c:v>
                </c:pt>
                <c:pt idx="559">
                  <c:v>44921</c:v>
                </c:pt>
                <c:pt idx="560">
                  <c:v>44918</c:v>
                </c:pt>
                <c:pt idx="561">
                  <c:v>44917</c:v>
                </c:pt>
                <c:pt idx="562">
                  <c:v>44916</c:v>
                </c:pt>
                <c:pt idx="563">
                  <c:v>44915</c:v>
                </c:pt>
                <c:pt idx="564">
                  <c:v>44914</c:v>
                </c:pt>
                <c:pt idx="565">
                  <c:v>44911</c:v>
                </c:pt>
                <c:pt idx="566">
                  <c:v>44910</c:v>
                </c:pt>
                <c:pt idx="567">
                  <c:v>44909</c:v>
                </c:pt>
                <c:pt idx="568">
                  <c:v>44908</c:v>
                </c:pt>
                <c:pt idx="569">
                  <c:v>44907</c:v>
                </c:pt>
                <c:pt idx="570">
                  <c:v>44904</c:v>
                </c:pt>
                <c:pt idx="571">
                  <c:v>44903</c:v>
                </c:pt>
                <c:pt idx="572">
                  <c:v>44902</c:v>
                </c:pt>
                <c:pt idx="573">
                  <c:v>44901</c:v>
                </c:pt>
                <c:pt idx="574">
                  <c:v>44900</c:v>
                </c:pt>
                <c:pt idx="575">
                  <c:v>44897</c:v>
                </c:pt>
                <c:pt idx="576">
                  <c:v>44896</c:v>
                </c:pt>
                <c:pt idx="577">
                  <c:v>44895</c:v>
                </c:pt>
                <c:pt idx="578">
                  <c:v>44894</c:v>
                </c:pt>
                <c:pt idx="579">
                  <c:v>44893</c:v>
                </c:pt>
                <c:pt idx="580">
                  <c:v>44890</c:v>
                </c:pt>
                <c:pt idx="581">
                  <c:v>44889</c:v>
                </c:pt>
                <c:pt idx="582">
                  <c:v>44888</c:v>
                </c:pt>
                <c:pt idx="583">
                  <c:v>44887</c:v>
                </c:pt>
                <c:pt idx="584">
                  <c:v>44886</c:v>
                </c:pt>
                <c:pt idx="585">
                  <c:v>44883</c:v>
                </c:pt>
                <c:pt idx="586">
                  <c:v>44882</c:v>
                </c:pt>
                <c:pt idx="587">
                  <c:v>44881</c:v>
                </c:pt>
                <c:pt idx="588">
                  <c:v>44880</c:v>
                </c:pt>
                <c:pt idx="589">
                  <c:v>44879</c:v>
                </c:pt>
                <c:pt idx="590">
                  <c:v>44876</c:v>
                </c:pt>
                <c:pt idx="591">
                  <c:v>44875</c:v>
                </c:pt>
                <c:pt idx="592">
                  <c:v>44874</c:v>
                </c:pt>
                <c:pt idx="593">
                  <c:v>44872</c:v>
                </c:pt>
                <c:pt idx="594">
                  <c:v>44869</c:v>
                </c:pt>
                <c:pt idx="595">
                  <c:v>44868</c:v>
                </c:pt>
                <c:pt idx="596">
                  <c:v>44867</c:v>
                </c:pt>
                <c:pt idx="597">
                  <c:v>44866</c:v>
                </c:pt>
                <c:pt idx="598">
                  <c:v>44865</c:v>
                </c:pt>
                <c:pt idx="599">
                  <c:v>44862</c:v>
                </c:pt>
                <c:pt idx="600">
                  <c:v>44861</c:v>
                </c:pt>
                <c:pt idx="601">
                  <c:v>44859</c:v>
                </c:pt>
                <c:pt idx="602">
                  <c:v>44858</c:v>
                </c:pt>
                <c:pt idx="603">
                  <c:v>44855</c:v>
                </c:pt>
                <c:pt idx="604">
                  <c:v>44854</c:v>
                </c:pt>
                <c:pt idx="605">
                  <c:v>44853</c:v>
                </c:pt>
                <c:pt idx="606">
                  <c:v>44852</c:v>
                </c:pt>
                <c:pt idx="607">
                  <c:v>44851</c:v>
                </c:pt>
                <c:pt idx="608">
                  <c:v>44848</c:v>
                </c:pt>
                <c:pt idx="609">
                  <c:v>44847</c:v>
                </c:pt>
                <c:pt idx="610">
                  <c:v>44846</c:v>
                </c:pt>
                <c:pt idx="611">
                  <c:v>44845</c:v>
                </c:pt>
                <c:pt idx="612">
                  <c:v>44844</c:v>
                </c:pt>
                <c:pt idx="613">
                  <c:v>44841</c:v>
                </c:pt>
                <c:pt idx="614">
                  <c:v>44840</c:v>
                </c:pt>
                <c:pt idx="615">
                  <c:v>44838</c:v>
                </c:pt>
                <c:pt idx="616">
                  <c:v>44837</c:v>
                </c:pt>
                <c:pt idx="617">
                  <c:v>44834</c:v>
                </c:pt>
                <c:pt idx="618">
                  <c:v>44833</c:v>
                </c:pt>
                <c:pt idx="619">
                  <c:v>44832</c:v>
                </c:pt>
                <c:pt idx="620">
                  <c:v>44831</c:v>
                </c:pt>
                <c:pt idx="621">
                  <c:v>44830</c:v>
                </c:pt>
                <c:pt idx="622">
                  <c:v>44827</c:v>
                </c:pt>
                <c:pt idx="623">
                  <c:v>44826</c:v>
                </c:pt>
                <c:pt idx="624">
                  <c:v>44825</c:v>
                </c:pt>
                <c:pt idx="625">
                  <c:v>44824</c:v>
                </c:pt>
                <c:pt idx="626">
                  <c:v>44823</c:v>
                </c:pt>
                <c:pt idx="627">
                  <c:v>44820</c:v>
                </c:pt>
                <c:pt idx="628">
                  <c:v>44819</c:v>
                </c:pt>
                <c:pt idx="629">
                  <c:v>44818</c:v>
                </c:pt>
                <c:pt idx="630">
                  <c:v>44817</c:v>
                </c:pt>
                <c:pt idx="631">
                  <c:v>44816</c:v>
                </c:pt>
                <c:pt idx="632">
                  <c:v>44813</c:v>
                </c:pt>
                <c:pt idx="633">
                  <c:v>44812</c:v>
                </c:pt>
                <c:pt idx="634">
                  <c:v>44811</c:v>
                </c:pt>
                <c:pt idx="635">
                  <c:v>44810</c:v>
                </c:pt>
                <c:pt idx="636">
                  <c:v>44809</c:v>
                </c:pt>
                <c:pt idx="637">
                  <c:v>44806</c:v>
                </c:pt>
                <c:pt idx="638">
                  <c:v>44805</c:v>
                </c:pt>
                <c:pt idx="639">
                  <c:v>44803</c:v>
                </c:pt>
                <c:pt idx="640">
                  <c:v>44802</c:v>
                </c:pt>
                <c:pt idx="641">
                  <c:v>44799</c:v>
                </c:pt>
                <c:pt idx="642">
                  <c:v>44798</c:v>
                </c:pt>
                <c:pt idx="643">
                  <c:v>44797</c:v>
                </c:pt>
                <c:pt idx="644">
                  <c:v>44796</c:v>
                </c:pt>
                <c:pt idx="645">
                  <c:v>44795</c:v>
                </c:pt>
                <c:pt idx="646">
                  <c:v>44792</c:v>
                </c:pt>
                <c:pt idx="647">
                  <c:v>44791</c:v>
                </c:pt>
                <c:pt idx="648">
                  <c:v>44790</c:v>
                </c:pt>
                <c:pt idx="649">
                  <c:v>44789</c:v>
                </c:pt>
                <c:pt idx="650">
                  <c:v>44785</c:v>
                </c:pt>
                <c:pt idx="651">
                  <c:v>44784</c:v>
                </c:pt>
                <c:pt idx="652">
                  <c:v>44783</c:v>
                </c:pt>
                <c:pt idx="653">
                  <c:v>44781</c:v>
                </c:pt>
                <c:pt idx="654">
                  <c:v>44778</c:v>
                </c:pt>
                <c:pt idx="655">
                  <c:v>44777</c:v>
                </c:pt>
                <c:pt idx="656">
                  <c:v>44776</c:v>
                </c:pt>
                <c:pt idx="657">
                  <c:v>44775</c:v>
                </c:pt>
                <c:pt idx="658">
                  <c:v>44774</c:v>
                </c:pt>
                <c:pt idx="659">
                  <c:v>44771</c:v>
                </c:pt>
                <c:pt idx="660">
                  <c:v>44770</c:v>
                </c:pt>
                <c:pt idx="661">
                  <c:v>44769</c:v>
                </c:pt>
                <c:pt idx="662">
                  <c:v>44768</c:v>
                </c:pt>
                <c:pt idx="663">
                  <c:v>44767</c:v>
                </c:pt>
                <c:pt idx="664">
                  <c:v>44764</c:v>
                </c:pt>
                <c:pt idx="665">
                  <c:v>44763</c:v>
                </c:pt>
                <c:pt idx="666">
                  <c:v>44762</c:v>
                </c:pt>
                <c:pt idx="667">
                  <c:v>44761</c:v>
                </c:pt>
                <c:pt idx="668">
                  <c:v>44760</c:v>
                </c:pt>
                <c:pt idx="669">
                  <c:v>44757</c:v>
                </c:pt>
                <c:pt idx="670">
                  <c:v>44756</c:v>
                </c:pt>
                <c:pt idx="671">
                  <c:v>44755</c:v>
                </c:pt>
                <c:pt idx="672">
                  <c:v>44754</c:v>
                </c:pt>
                <c:pt idx="673">
                  <c:v>44753</c:v>
                </c:pt>
                <c:pt idx="674">
                  <c:v>44750</c:v>
                </c:pt>
                <c:pt idx="675">
                  <c:v>44749</c:v>
                </c:pt>
                <c:pt idx="676">
                  <c:v>44748</c:v>
                </c:pt>
                <c:pt idx="677">
                  <c:v>44747</c:v>
                </c:pt>
                <c:pt idx="678">
                  <c:v>44746</c:v>
                </c:pt>
                <c:pt idx="679">
                  <c:v>44743</c:v>
                </c:pt>
                <c:pt idx="680">
                  <c:v>44742</c:v>
                </c:pt>
                <c:pt idx="681">
                  <c:v>44741</c:v>
                </c:pt>
                <c:pt idx="682">
                  <c:v>44740</c:v>
                </c:pt>
                <c:pt idx="683">
                  <c:v>44739</c:v>
                </c:pt>
                <c:pt idx="684">
                  <c:v>44736</c:v>
                </c:pt>
                <c:pt idx="685">
                  <c:v>44735</c:v>
                </c:pt>
                <c:pt idx="686">
                  <c:v>44734</c:v>
                </c:pt>
                <c:pt idx="687">
                  <c:v>44733</c:v>
                </c:pt>
                <c:pt idx="688">
                  <c:v>44732</c:v>
                </c:pt>
                <c:pt idx="689">
                  <c:v>44729</c:v>
                </c:pt>
                <c:pt idx="690">
                  <c:v>44728</c:v>
                </c:pt>
                <c:pt idx="691">
                  <c:v>44727</c:v>
                </c:pt>
                <c:pt idx="692">
                  <c:v>44726</c:v>
                </c:pt>
                <c:pt idx="693">
                  <c:v>44725</c:v>
                </c:pt>
                <c:pt idx="694">
                  <c:v>44722</c:v>
                </c:pt>
                <c:pt idx="695">
                  <c:v>44721</c:v>
                </c:pt>
                <c:pt idx="696">
                  <c:v>44720</c:v>
                </c:pt>
                <c:pt idx="697">
                  <c:v>44719</c:v>
                </c:pt>
                <c:pt idx="698">
                  <c:v>44718</c:v>
                </c:pt>
                <c:pt idx="699">
                  <c:v>44715</c:v>
                </c:pt>
                <c:pt idx="700">
                  <c:v>44714</c:v>
                </c:pt>
                <c:pt idx="701">
                  <c:v>44713</c:v>
                </c:pt>
                <c:pt idx="702">
                  <c:v>44712</c:v>
                </c:pt>
                <c:pt idx="703">
                  <c:v>44711</c:v>
                </c:pt>
                <c:pt idx="704">
                  <c:v>44708</c:v>
                </c:pt>
                <c:pt idx="705">
                  <c:v>44707</c:v>
                </c:pt>
                <c:pt idx="706">
                  <c:v>44706</c:v>
                </c:pt>
                <c:pt idx="707">
                  <c:v>44705</c:v>
                </c:pt>
                <c:pt idx="708">
                  <c:v>44704</c:v>
                </c:pt>
                <c:pt idx="709">
                  <c:v>44701</c:v>
                </c:pt>
                <c:pt idx="710">
                  <c:v>44700</c:v>
                </c:pt>
                <c:pt idx="711">
                  <c:v>44699</c:v>
                </c:pt>
                <c:pt idx="712">
                  <c:v>44698</c:v>
                </c:pt>
                <c:pt idx="713">
                  <c:v>44697</c:v>
                </c:pt>
                <c:pt idx="714">
                  <c:v>44694</c:v>
                </c:pt>
                <c:pt idx="715">
                  <c:v>44693</c:v>
                </c:pt>
                <c:pt idx="716">
                  <c:v>44692</c:v>
                </c:pt>
                <c:pt idx="717">
                  <c:v>44691</c:v>
                </c:pt>
                <c:pt idx="718">
                  <c:v>44690</c:v>
                </c:pt>
                <c:pt idx="719">
                  <c:v>44687</c:v>
                </c:pt>
                <c:pt idx="720">
                  <c:v>44686</c:v>
                </c:pt>
                <c:pt idx="721">
                  <c:v>44685</c:v>
                </c:pt>
                <c:pt idx="722">
                  <c:v>44683</c:v>
                </c:pt>
                <c:pt idx="723">
                  <c:v>44680</c:v>
                </c:pt>
                <c:pt idx="724">
                  <c:v>44679</c:v>
                </c:pt>
                <c:pt idx="725">
                  <c:v>44678</c:v>
                </c:pt>
                <c:pt idx="726">
                  <c:v>44677</c:v>
                </c:pt>
                <c:pt idx="727">
                  <c:v>44676</c:v>
                </c:pt>
                <c:pt idx="728">
                  <c:v>44673</c:v>
                </c:pt>
                <c:pt idx="729">
                  <c:v>44672</c:v>
                </c:pt>
                <c:pt idx="730">
                  <c:v>44671</c:v>
                </c:pt>
                <c:pt idx="731">
                  <c:v>44670</c:v>
                </c:pt>
                <c:pt idx="732">
                  <c:v>44669</c:v>
                </c:pt>
                <c:pt idx="733">
                  <c:v>44664</c:v>
                </c:pt>
                <c:pt idx="734">
                  <c:v>44663</c:v>
                </c:pt>
                <c:pt idx="735">
                  <c:v>44662</c:v>
                </c:pt>
                <c:pt idx="736">
                  <c:v>44659</c:v>
                </c:pt>
                <c:pt idx="737">
                  <c:v>44658</c:v>
                </c:pt>
                <c:pt idx="738">
                  <c:v>44657</c:v>
                </c:pt>
                <c:pt idx="739">
                  <c:v>44656</c:v>
                </c:pt>
                <c:pt idx="740">
                  <c:v>44655</c:v>
                </c:pt>
                <c:pt idx="741">
                  <c:v>44652</c:v>
                </c:pt>
                <c:pt idx="742">
                  <c:v>44651</c:v>
                </c:pt>
                <c:pt idx="743">
                  <c:v>44650</c:v>
                </c:pt>
                <c:pt idx="744">
                  <c:v>44649</c:v>
                </c:pt>
                <c:pt idx="745">
                  <c:v>44648</c:v>
                </c:pt>
                <c:pt idx="746">
                  <c:v>44645</c:v>
                </c:pt>
                <c:pt idx="747">
                  <c:v>44644</c:v>
                </c:pt>
                <c:pt idx="748">
                  <c:v>44643</c:v>
                </c:pt>
                <c:pt idx="749">
                  <c:v>44642</c:v>
                </c:pt>
                <c:pt idx="750">
                  <c:v>44641</c:v>
                </c:pt>
                <c:pt idx="751">
                  <c:v>44637</c:v>
                </c:pt>
                <c:pt idx="752">
                  <c:v>44636</c:v>
                </c:pt>
                <c:pt idx="753">
                  <c:v>44635</c:v>
                </c:pt>
                <c:pt idx="754">
                  <c:v>44634</c:v>
                </c:pt>
                <c:pt idx="755">
                  <c:v>44631</c:v>
                </c:pt>
                <c:pt idx="756">
                  <c:v>44630</c:v>
                </c:pt>
                <c:pt idx="757">
                  <c:v>44629</c:v>
                </c:pt>
                <c:pt idx="758">
                  <c:v>44628</c:v>
                </c:pt>
                <c:pt idx="759">
                  <c:v>44627</c:v>
                </c:pt>
                <c:pt idx="760">
                  <c:v>44624</c:v>
                </c:pt>
                <c:pt idx="761">
                  <c:v>44623</c:v>
                </c:pt>
                <c:pt idx="762">
                  <c:v>44622</c:v>
                </c:pt>
                <c:pt idx="763">
                  <c:v>44620</c:v>
                </c:pt>
                <c:pt idx="764">
                  <c:v>44617</c:v>
                </c:pt>
                <c:pt idx="765">
                  <c:v>44616</c:v>
                </c:pt>
                <c:pt idx="766">
                  <c:v>44615</c:v>
                </c:pt>
                <c:pt idx="767">
                  <c:v>44614</c:v>
                </c:pt>
                <c:pt idx="768">
                  <c:v>44613</c:v>
                </c:pt>
                <c:pt idx="769">
                  <c:v>44610</c:v>
                </c:pt>
                <c:pt idx="770">
                  <c:v>44609</c:v>
                </c:pt>
                <c:pt idx="771">
                  <c:v>44608</c:v>
                </c:pt>
                <c:pt idx="772">
                  <c:v>44607</c:v>
                </c:pt>
                <c:pt idx="773">
                  <c:v>44606</c:v>
                </c:pt>
                <c:pt idx="774">
                  <c:v>44603</c:v>
                </c:pt>
                <c:pt idx="775">
                  <c:v>44602</c:v>
                </c:pt>
                <c:pt idx="776">
                  <c:v>44601</c:v>
                </c:pt>
                <c:pt idx="777">
                  <c:v>44600</c:v>
                </c:pt>
                <c:pt idx="778">
                  <c:v>44599</c:v>
                </c:pt>
                <c:pt idx="779">
                  <c:v>44596</c:v>
                </c:pt>
                <c:pt idx="780">
                  <c:v>44595</c:v>
                </c:pt>
                <c:pt idx="781">
                  <c:v>44594</c:v>
                </c:pt>
                <c:pt idx="782">
                  <c:v>44593</c:v>
                </c:pt>
                <c:pt idx="783">
                  <c:v>44592</c:v>
                </c:pt>
                <c:pt idx="784">
                  <c:v>44589</c:v>
                </c:pt>
                <c:pt idx="785">
                  <c:v>44588</c:v>
                </c:pt>
                <c:pt idx="786">
                  <c:v>44586</c:v>
                </c:pt>
                <c:pt idx="787">
                  <c:v>44585</c:v>
                </c:pt>
                <c:pt idx="788">
                  <c:v>44582</c:v>
                </c:pt>
                <c:pt idx="789">
                  <c:v>44581</c:v>
                </c:pt>
                <c:pt idx="790">
                  <c:v>44580</c:v>
                </c:pt>
                <c:pt idx="791">
                  <c:v>44579</c:v>
                </c:pt>
                <c:pt idx="792">
                  <c:v>44578</c:v>
                </c:pt>
                <c:pt idx="793">
                  <c:v>44575</c:v>
                </c:pt>
                <c:pt idx="794">
                  <c:v>44574</c:v>
                </c:pt>
                <c:pt idx="795">
                  <c:v>44573</c:v>
                </c:pt>
                <c:pt idx="796">
                  <c:v>44572</c:v>
                </c:pt>
                <c:pt idx="797">
                  <c:v>44571</c:v>
                </c:pt>
                <c:pt idx="798">
                  <c:v>44568</c:v>
                </c:pt>
                <c:pt idx="799">
                  <c:v>44567</c:v>
                </c:pt>
                <c:pt idx="800">
                  <c:v>44566</c:v>
                </c:pt>
                <c:pt idx="801">
                  <c:v>44565</c:v>
                </c:pt>
                <c:pt idx="802">
                  <c:v>44564</c:v>
                </c:pt>
                <c:pt idx="803">
                  <c:v>44561</c:v>
                </c:pt>
                <c:pt idx="804">
                  <c:v>44560</c:v>
                </c:pt>
                <c:pt idx="805">
                  <c:v>44559</c:v>
                </c:pt>
                <c:pt idx="806">
                  <c:v>44558</c:v>
                </c:pt>
                <c:pt idx="807">
                  <c:v>44557</c:v>
                </c:pt>
                <c:pt idx="808">
                  <c:v>44554</c:v>
                </c:pt>
                <c:pt idx="809">
                  <c:v>44553</c:v>
                </c:pt>
                <c:pt idx="810">
                  <c:v>44552</c:v>
                </c:pt>
                <c:pt idx="811">
                  <c:v>44551</c:v>
                </c:pt>
                <c:pt idx="812">
                  <c:v>44550</c:v>
                </c:pt>
                <c:pt idx="813">
                  <c:v>44547</c:v>
                </c:pt>
                <c:pt idx="814">
                  <c:v>44546</c:v>
                </c:pt>
                <c:pt idx="815">
                  <c:v>44545</c:v>
                </c:pt>
                <c:pt idx="816">
                  <c:v>44544</c:v>
                </c:pt>
                <c:pt idx="817">
                  <c:v>44543</c:v>
                </c:pt>
                <c:pt idx="818">
                  <c:v>44540</c:v>
                </c:pt>
                <c:pt idx="819">
                  <c:v>44539</c:v>
                </c:pt>
                <c:pt idx="820">
                  <c:v>44538</c:v>
                </c:pt>
                <c:pt idx="821">
                  <c:v>44537</c:v>
                </c:pt>
                <c:pt idx="822">
                  <c:v>44536</c:v>
                </c:pt>
                <c:pt idx="823">
                  <c:v>44533</c:v>
                </c:pt>
                <c:pt idx="824">
                  <c:v>44532</c:v>
                </c:pt>
                <c:pt idx="825">
                  <c:v>44531</c:v>
                </c:pt>
                <c:pt idx="826">
                  <c:v>44530</c:v>
                </c:pt>
                <c:pt idx="827">
                  <c:v>44529</c:v>
                </c:pt>
                <c:pt idx="828">
                  <c:v>44526</c:v>
                </c:pt>
                <c:pt idx="829">
                  <c:v>44525</c:v>
                </c:pt>
                <c:pt idx="830">
                  <c:v>44524</c:v>
                </c:pt>
                <c:pt idx="831">
                  <c:v>44523</c:v>
                </c:pt>
                <c:pt idx="832">
                  <c:v>44522</c:v>
                </c:pt>
                <c:pt idx="833">
                  <c:v>44518</c:v>
                </c:pt>
                <c:pt idx="834">
                  <c:v>44517</c:v>
                </c:pt>
                <c:pt idx="835">
                  <c:v>44516</c:v>
                </c:pt>
                <c:pt idx="836">
                  <c:v>44515</c:v>
                </c:pt>
                <c:pt idx="837">
                  <c:v>44512</c:v>
                </c:pt>
                <c:pt idx="838">
                  <c:v>44511</c:v>
                </c:pt>
                <c:pt idx="839">
                  <c:v>44510</c:v>
                </c:pt>
                <c:pt idx="840">
                  <c:v>44509</c:v>
                </c:pt>
                <c:pt idx="841">
                  <c:v>44508</c:v>
                </c:pt>
                <c:pt idx="842">
                  <c:v>44504</c:v>
                </c:pt>
                <c:pt idx="843">
                  <c:v>44503</c:v>
                </c:pt>
                <c:pt idx="844">
                  <c:v>44502</c:v>
                </c:pt>
                <c:pt idx="845">
                  <c:v>44501</c:v>
                </c:pt>
                <c:pt idx="846">
                  <c:v>44498</c:v>
                </c:pt>
                <c:pt idx="847">
                  <c:v>44497</c:v>
                </c:pt>
                <c:pt idx="848">
                  <c:v>44496</c:v>
                </c:pt>
                <c:pt idx="849">
                  <c:v>44495</c:v>
                </c:pt>
                <c:pt idx="850">
                  <c:v>44494</c:v>
                </c:pt>
                <c:pt idx="851">
                  <c:v>44491</c:v>
                </c:pt>
                <c:pt idx="852">
                  <c:v>44490</c:v>
                </c:pt>
                <c:pt idx="853">
                  <c:v>44489</c:v>
                </c:pt>
                <c:pt idx="854">
                  <c:v>44488</c:v>
                </c:pt>
                <c:pt idx="855">
                  <c:v>44487</c:v>
                </c:pt>
                <c:pt idx="856">
                  <c:v>44483</c:v>
                </c:pt>
                <c:pt idx="857">
                  <c:v>44482</c:v>
                </c:pt>
                <c:pt idx="858">
                  <c:v>44481</c:v>
                </c:pt>
                <c:pt idx="859">
                  <c:v>44480</c:v>
                </c:pt>
                <c:pt idx="860">
                  <c:v>44477</c:v>
                </c:pt>
                <c:pt idx="861">
                  <c:v>44476</c:v>
                </c:pt>
                <c:pt idx="862">
                  <c:v>44475</c:v>
                </c:pt>
                <c:pt idx="863">
                  <c:v>44474</c:v>
                </c:pt>
                <c:pt idx="864">
                  <c:v>44473</c:v>
                </c:pt>
                <c:pt idx="865">
                  <c:v>44470</c:v>
                </c:pt>
                <c:pt idx="866">
                  <c:v>44469</c:v>
                </c:pt>
                <c:pt idx="867">
                  <c:v>44468</c:v>
                </c:pt>
                <c:pt idx="868">
                  <c:v>44467</c:v>
                </c:pt>
                <c:pt idx="869">
                  <c:v>44466</c:v>
                </c:pt>
                <c:pt idx="870">
                  <c:v>44463</c:v>
                </c:pt>
                <c:pt idx="871">
                  <c:v>44462</c:v>
                </c:pt>
                <c:pt idx="872">
                  <c:v>44461</c:v>
                </c:pt>
                <c:pt idx="873">
                  <c:v>44460</c:v>
                </c:pt>
                <c:pt idx="874">
                  <c:v>44459</c:v>
                </c:pt>
                <c:pt idx="875">
                  <c:v>44456</c:v>
                </c:pt>
                <c:pt idx="876">
                  <c:v>44454</c:v>
                </c:pt>
                <c:pt idx="877">
                  <c:v>44453</c:v>
                </c:pt>
                <c:pt idx="878">
                  <c:v>44452</c:v>
                </c:pt>
                <c:pt idx="879">
                  <c:v>44448</c:v>
                </c:pt>
                <c:pt idx="880">
                  <c:v>44447</c:v>
                </c:pt>
                <c:pt idx="881">
                  <c:v>44446</c:v>
                </c:pt>
                <c:pt idx="882">
                  <c:v>44445</c:v>
                </c:pt>
                <c:pt idx="883">
                  <c:v>44442</c:v>
                </c:pt>
                <c:pt idx="884">
                  <c:v>44441</c:v>
                </c:pt>
                <c:pt idx="885">
                  <c:v>44440</c:v>
                </c:pt>
                <c:pt idx="886">
                  <c:v>44439</c:v>
                </c:pt>
                <c:pt idx="887">
                  <c:v>44438</c:v>
                </c:pt>
                <c:pt idx="888">
                  <c:v>44435</c:v>
                </c:pt>
                <c:pt idx="889">
                  <c:v>44434</c:v>
                </c:pt>
                <c:pt idx="890">
                  <c:v>44433</c:v>
                </c:pt>
                <c:pt idx="891">
                  <c:v>44432</c:v>
                </c:pt>
                <c:pt idx="892">
                  <c:v>44431</c:v>
                </c:pt>
                <c:pt idx="893">
                  <c:v>44428</c:v>
                </c:pt>
                <c:pt idx="894">
                  <c:v>44426</c:v>
                </c:pt>
                <c:pt idx="895">
                  <c:v>44425</c:v>
                </c:pt>
                <c:pt idx="896">
                  <c:v>44424</c:v>
                </c:pt>
                <c:pt idx="897">
                  <c:v>44421</c:v>
                </c:pt>
                <c:pt idx="898">
                  <c:v>44420</c:v>
                </c:pt>
                <c:pt idx="899">
                  <c:v>44419</c:v>
                </c:pt>
                <c:pt idx="900">
                  <c:v>44418</c:v>
                </c:pt>
                <c:pt idx="901">
                  <c:v>44417</c:v>
                </c:pt>
                <c:pt idx="902">
                  <c:v>44414</c:v>
                </c:pt>
                <c:pt idx="903">
                  <c:v>44413</c:v>
                </c:pt>
                <c:pt idx="904">
                  <c:v>44412</c:v>
                </c:pt>
                <c:pt idx="905">
                  <c:v>44411</c:v>
                </c:pt>
                <c:pt idx="906">
                  <c:v>44410</c:v>
                </c:pt>
                <c:pt idx="907">
                  <c:v>44407</c:v>
                </c:pt>
                <c:pt idx="908">
                  <c:v>44406</c:v>
                </c:pt>
                <c:pt idx="909">
                  <c:v>44405</c:v>
                </c:pt>
                <c:pt idx="910">
                  <c:v>44404</c:v>
                </c:pt>
                <c:pt idx="911">
                  <c:v>44403</c:v>
                </c:pt>
                <c:pt idx="912">
                  <c:v>44400</c:v>
                </c:pt>
                <c:pt idx="913">
                  <c:v>44399</c:v>
                </c:pt>
                <c:pt idx="914">
                  <c:v>44397</c:v>
                </c:pt>
                <c:pt idx="915">
                  <c:v>44396</c:v>
                </c:pt>
                <c:pt idx="916">
                  <c:v>44393</c:v>
                </c:pt>
                <c:pt idx="917">
                  <c:v>44392</c:v>
                </c:pt>
                <c:pt idx="918">
                  <c:v>44391</c:v>
                </c:pt>
                <c:pt idx="919">
                  <c:v>44390</c:v>
                </c:pt>
                <c:pt idx="920">
                  <c:v>44389</c:v>
                </c:pt>
                <c:pt idx="921">
                  <c:v>44386</c:v>
                </c:pt>
                <c:pt idx="922">
                  <c:v>44385</c:v>
                </c:pt>
                <c:pt idx="923">
                  <c:v>44384</c:v>
                </c:pt>
                <c:pt idx="924">
                  <c:v>44383</c:v>
                </c:pt>
                <c:pt idx="925">
                  <c:v>44382</c:v>
                </c:pt>
                <c:pt idx="926">
                  <c:v>44379</c:v>
                </c:pt>
                <c:pt idx="927">
                  <c:v>44378</c:v>
                </c:pt>
                <c:pt idx="928">
                  <c:v>44377</c:v>
                </c:pt>
                <c:pt idx="929">
                  <c:v>44376</c:v>
                </c:pt>
                <c:pt idx="930">
                  <c:v>44375</c:v>
                </c:pt>
                <c:pt idx="931">
                  <c:v>44372</c:v>
                </c:pt>
                <c:pt idx="932">
                  <c:v>44371</c:v>
                </c:pt>
                <c:pt idx="933">
                  <c:v>44370</c:v>
                </c:pt>
                <c:pt idx="934">
                  <c:v>44369</c:v>
                </c:pt>
                <c:pt idx="935">
                  <c:v>44368</c:v>
                </c:pt>
                <c:pt idx="936">
                  <c:v>44365</c:v>
                </c:pt>
                <c:pt idx="937">
                  <c:v>44364</c:v>
                </c:pt>
                <c:pt idx="938">
                  <c:v>44363</c:v>
                </c:pt>
                <c:pt idx="939">
                  <c:v>44362</c:v>
                </c:pt>
                <c:pt idx="940">
                  <c:v>44361</c:v>
                </c:pt>
                <c:pt idx="941">
                  <c:v>44358</c:v>
                </c:pt>
                <c:pt idx="942">
                  <c:v>44357</c:v>
                </c:pt>
                <c:pt idx="943">
                  <c:v>44356</c:v>
                </c:pt>
                <c:pt idx="944">
                  <c:v>44355</c:v>
                </c:pt>
                <c:pt idx="945">
                  <c:v>44354</c:v>
                </c:pt>
                <c:pt idx="946">
                  <c:v>44351</c:v>
                </c:pt>
                <c:pt idx="947">
                  <c:v>44350</c:v>
                </c:pt>
                <c:pt idx="948">
                  <c:v>44349</c:v>
                </c:pt>
                <c:pt idx="949">
                  <c:v>44348</c:v>
                </c:pt>
                <c:pt idx="950">
                  <c:v>44347</c:v>
                </c:pt>
                <c:pt idx="951">
                  <c:v>44344</c:v>
                </c:pt>
                <c:pt idx="952">
                  <c:v>44343</c:v>
                </c:pt>
                <c:pt idx="953">
                  <c:v>44342</c:v>
                </c:pt>
                <c:pt idx="954">
                  <c:v>44341</c:v>
                </c:pt>
                <c:pt idx="955">
                  <c:v>44340</c:v>
                </c:pt>
                <c:pt idx="956">
                  <c:v>44337</c:v>
                </c:pt>
                <c:pt idx="957">
                  <c:v>44336</c:v>
                </c:pt>
                <c:pt idx="958">
                  <c:v>44335</c:v>
                </c:pt>
                <c:pt idx="959">
                  <c:v>44334</c:v>
                </c:pt>
                <c:pt idx="960">
                  <c:v>44333</c:v>
                </c:pt>
                <c:pt idx="961">
                  <c:v>44330</c:v>
                </c:pt>
                <c:pt idx="962">
                  <c:v>44328</c:v>
                </c:pt>
                <c:pt idx="963">
                  <c:v>44327</c:v>
                </c:pt>
                <c:pt idx="964">
                  <c:v>44326</c:v>
                </c:pt>
                <c:pt idx="965">
                  <c:v>44323</c:v>
                </c:pt>
                <c:pt idx="966">
                  <c:v>44322</c:v>
                </c:pt>
                <c:pt idx="967">
                  <c:v>44321</c:v>
                </c:pt>
                <c:pt idx="968">
                  <c:v>44320</c:v>
                </c:pt>
                <c:pt idx="969">
                  <c:v>44319</c:v>
                </c:pt>
                <c:pt idx="970">
                  <c:v>44316</c:v>
                </c:pt>
                <c:pt idx="971">
                  <c:v>44315</c:v>
                </c:pt>
                <c:pt idx="972">
                  <c:v>44314</c:v>
                </c:pt>
                <c:pt idx="973">
                  <c:v>44313</c:v>
                </c:pt>
                <c:pt idx="974">
                  <c:v>44312</c:v>
                </c:pt>
                <c:pt idx="975">
                  <c:v>44309</c:v>
                </c:pt>
                <c:pt idx="976">
                  <c:v>44308</c:v>
                </c:pt>
                <c:pt idx="977">
                  <c:v>44306</c:v>
                </c:pt>
                <c:pt idx="978">
                  <c:v>44305</c:v>
                </c:pt>
                <c:pt idx="979">
                  <c:v>44302</c:v>
                </c:pt>
                <c:pt idx="980">
                  <c:v>44301</c:v>
                </c:pt>
                <c:pt idx="981">
                  <c:v>44299</c:v>
                </c:pt>
                <c:pt idx="982">
                  <c:v>44298</c:v>
                </c:pt>
                <c:pt idx="983">
                  <c:v>44295</c:v>
                </c:pt>
                <c:pt idx="984">
                  <c:v>44294</c:v>
                </c:pt>
                <c:pt idx="985">
                  <c:v>44293</c:v>
                </c:pt>
                <c:pt idx="986">
                  <c:v>44292</c:v>
                </c:pt>
                <c:pt idx="987">
                  <c:v>44291</c:v>
                </c:pt>
                <c:pt idx="988">
                  <c:v>44287</c:v>
                </c:pt>
                <c:pt idx="989">
                  <c:v>44286</c:v>
                </c:pt>
                <c:pt idx="990">
                  <c:v>44285</c:v>
                </c:pt>
                <c:pt idx="991">
                  <c:v>44281</c:v>
                </c:pt>
                <c:pt idx="992">
                  <c:v>44280</c:v>
                </c:pt>
                <c:pt idx="993">
                  <c:v>44279</c:v>
                </c:pt>
                <c:pt idx="994">
                  <c:v>44278</c:v>
                </c:pt>
                <c:pt idx="995">
                  <c:v>44277</c:v>
                </c:pt>
                <c:pt idx="996">
                  <c:v>44273</c:v>
                </c:pt>
                <c:pt idx="997">
                  <c:v>44272</c:v>
                </c:pt>
                <c:pt idx="998">
                  <c:v>44271</c:v>
                </c:pt>
                <c:pt idx="999">
                  <c:v>44270</c:v>
                </c:pt>
                <c:pt idx="1000">
                  <c:v>44267</c:v>
                </c:pt>
                <c:pt idx="1001">
                  <c:v>44265</c:v>
                </c:pt>
                <c:pt idx="1002">
                  <c:v>44264</c:v>
                </c:pt>
                <c:pt idx="1003">
                  <c:v>44263</c:v>
                </c:pt>
                <c:pt idx="1004">
                  <c:v>44260</c:v>
                </c:pt>
                <c:pt idx="1005">
                  <c:v>44259</c:v>
                </c:pt>
                <c:pt idx="1006">
                  <c:v>44258</c:v>
                </c:pt>
                <c:pt idx="1007">
                  <c:v>44257</c:v>
                </c:pt>
                <c:pt idx="1008">
                  <c:v>44256</c:v>
                </c:pt>
                <c:pt idx="1009">
                  <c:v>44253</c:v>
                </c:pt>
                <c:pt idx="1010">
                  <c:v>44252</c:v>
                </c:pt>
                <c:pt idx="1011">
                  <c:v>44251</c:v>
                </c:pt>
                <c:pt idx="1012">
                  <c:v>44250</c:v>
                </c:pt>
                <c:pt idx="1013">
                  <c:v>44249</c:v>
                </c:pt>
                <c:pt idx="1014">
                  <c:v>44246</c:v>
                </c:pt>
                <c:pt idx="1015">
                  <c:v>44245</c:v>
                </c:pt>
                <c:pt idx="1016">
                  <c:v>44244</c:v>
                </c:pt>
                <c:pt idx="1017">
                  <c:v>44243</c:v>
                </c:pt>
                <c:pt idx="1018">
                  <c:v>44242</c:v>
                </c:pt>
                <c:pt idx="1019">
                  <c:v>44238</c:v>
                </c:pt>
                <c:pt idx="1020">
                  <c:v>44237</c:v>
                </c:pt>
                <c:pt idx="1021">
                  <c:v>44236</c:v>
                </c:pt>
                <c:pt idx="1022">
                  <c:v>44235</c:v>
                </c:pt>
                <c:pt idx="1023">
                  <c:v>44230</c:v>
                </c:pt>
                <c:pt idx="1024">
                  <c:v>44229</c:v>
                </c:pt>
                <c:pt idx="1025">
                  <c:v>44228</c:v>
                </c:pt>
                <c:pt idx="1026">
                  <c:v>44225</c:v>
                </c:pt>
                <c:pt idx="1027">
                  <c:v>44224</c:v>
                </c:pt>
                <c:pt idx="1028">
                  <c:v>44223</c:v>
                </c:pt>
                <c:pt idx="1029">
                  <c:v>44221</c:v>
                </c:pt>
                <c:pt idx="1030">
                  <c:v>44218</c:v>
                </c:pt>
                <c:pt idx="1031">
                  <c:v>44217</c:v>
                </c:pt>
                <c:pt idx="1032">
                  <c:v>44216</c:v>
                </c:pt>
                <c:pt idx="1033">
                  <c:v>44215</c:v>
                </c:pt>
                <c:pt idx="1034">
                  <c:v>44214</c:v>
                </c:pt>
                <c:pt idx="1035">
                  <c:v>44211</c:v>
                </c:pt>
                <c:pt idx="1036">
                  <c:v>44210</c:v>
                </c:pt>
                <c:pt idx="1037">
                  <c:v>44209</c:v>
                </c:pt>
                <c:pt idx="1038">
                  <c:v>44208</c:v>
                </c:pt>
                <c:pt idx="1039">
                  <c:v>44207</c:v>
                </c:pt>
                <c:pt idx="1040">
                  <c:v>44204</c:v>
                </c:pt>
                <c:pt idx="1041">
                  <c:v>44203</c:v>
                </c:pt>
                <c:pt idx="1042">
                  <c:v>44202</c:v>
                </c:pt>
                <c:pt idx="1043">
                  <c:v>44201</c:v>
                </c:pt>
                <c:pt idx="1044">
                  <c:v>44200</c:v>
                </c:pt>
                <c:pt idx="1045">
                  <c:v>44197</c:v>
                </c:pt>
                <c:pt idx="1046">
                  <c:v>44196</c:v>
                </c:pt>
                <c:pt idx="1047">
                  <c:v>44195</c:v>
                </c:pt>
                <c:pt idx="1048">
                  <c:v>44194</c:v>
                </c:pt>
                <c:pt idx="1049">
                  <c:v>44193</c:v>
                </c:pt>
                <c:pt idx="1050">
                  <c:v>44189</c:v>
                </c:pt>
                <c:pt idx="1051">
                  <c:v>44188</c:v>
                </c:pt>
                <c:pt idx="1052">
                  <c:v>44187</c:v>
                </c:pt>
                <c:pt idx="1053">
                  <c:v>44186</c:v>
                </c:pt>
                <c:pt idx="1054">
                  <c:v>44183</c:v>
                </c:pt>
                <c:pt idx="1055">
                  <c:v>44182</c:v>
                </c:pt>
                <c:pt idx="1056">
                  <c:v>44181</c:v>
                </c:pt>
                <c:pt idx="1057">
                  <c:v>44180</c:v>
                </c:pt>
                <c:pt idx="1058">
                  <c:v>44179</c:v>
                </c:pt>
                <c:pt idx="1059">
                  <c:v>44176</c:v>
                </c:pt>
                <c:pt idx="1060">
                  <c:v>44175</c:v>
                </c:pt>
                <c:pt idx="1061">
                  <c:v>44174</c:v>
                </c:pt>
                <c:pt idx="1062">
                  <c:v>44173</c:v>
                </c:pt>
                <c:pt idx="1063">
                  <c:v>44172</c:v>
                </c:pt>
                <c:pt idx="1064">
                  <c:v>44169</c:v>
                </c:pt>
                <c:pt idx="1065">
                  <c:v>44168</c:v>
                </c:pt>
                <c:pt idx="1066">
                  <c:v>44167</c:v>
                </c:pt>
                <c:pt idx="1067">
                  <c:v>44166</c:v>
                </c:pt>
                <c:pt idx="1068">
                  <c:v>44162</c:v>
                </c:pt>
                <c:pt idx="1069">
                  <c:v>44161</c:v>
                </c:pt>
                <c:pt idx="1070">
                  <c:v>44160</c:v>
                </c:pt>
                <c:pt idx="1071">
                  <c:v>44159</c:v>
                </c:pt>
                <c:pt idx="1072">
                  <c:v>44158</c:v>
                </c:pt>
                <c:pt idx="1073">
                  <c:v>44155</c:v>
                </c:pt>
                <c:pt idx="1074">
                  <c:v>44154</c:v>
                </c:pt>
                <c:pt idx="1075">
                  <c:v>44153</c:v>
                </c:pt>
                <c:pt idx="1076">
                  <c:v>44152</c:v>
                </c:pt>
                <c:pt idx="1077">
                  <c:v>44149</c:v>
                </c:pt>
                <c:pt idx="1078">
                  <c:v>44148</c:v>
                </c:pt>
                <c:pt idx="1079">
                  <c:v>44147</c:v>
                </c:pt>
                <c:pt idx="1080">
                  <c:v>44146</c:v>
                </c:pt>
                <c:pt idx="1081">
                  <c:v>44145</c:v>
                </c:pt>
                <c:pt idx="1082">
                  <c:v>44144</c:v>
                </c:pt>
                <c:pt idx="1083">
                  <c:v>44141</c:v>
                </c:pt>
                <c:pt idx="1084">
                  <c:v>44140</c:v>
                </c:pt>
                <c:pt idx="1085">
                  <c:v>44139</c:v>
                </c:pt>
                <c:pt idx="1086">
                  <c:v>44138</c:v>
                </c:pt>
                <c:pt idx="1087">
                  <c:v>44137</c:v>
                </c:pt>
                <c:pt idx="1088">
                  <c:v>44134</c:v>
                </c:pt>
                <c:pt idx="1089">
                  <c:v>44133</c:v>
                </c:pt>
                <c:pt idx="1090">
                  <c:v>44132</c:v>
                </c:pt>
                <c:pt idx="1091">
                  <c:v>44131</c:v>
                </c:pt>
                <c:pt idx="1092">
                  <c:v>44130</c:v>
                </c:pt>
                <c:pt idx="1093">
                  <c:v>44127</c:v>
                </c:pt>
                <c:pt idx="1094">
                  <c:v>44126</c:v>
                </c:pt>
                <c:pt idx="1095">
                  <c:v>44125</c:v>
                </c:pt>
                <c:pt idx="1096">
                  <c:v>44124</c:v>
                </c:pt>
                <c:pt idx="1097">
                  <c:v>44123</c:v>
                </c:pt>
                <c:pt idx="1098">
                  <c:v>44120</c:v>
                </c:pt>
                <c:pt idx="1099">
                  <c:v>44119</c:v>
                </c:pt>
                <c:pt idx="1100">
                  <c:v>44118</c:v>
                </c:pt>
                <c:pt idx="1101">
                  <c:v>44117</c:v>
                </c:pt>
                <c:pt idx="1102">
                  <c:v>44116</c:v>
                </c:pt>
                <c:pt idx="1103">
                  <c:v>44113</c:v>
                </c:pt>
                <c:pt idx="1104">
                  <c:v>44112</c:v>
                </c:pt>
                <c:pt idx="1105">
                  <c:v>44111</c:v>
                </c:pt>
                <c:pt idx="1106">
                  <c:v>44110</c:v>
                </c:pt>
                <c:pt idx="1107">
                  <c:v>44109</c:v>
                </c:pt>
                <c:pt idx="1108">
                  <c:v>44105</c:v>
                </c:pt>
                <c:pt idx="1109">
                  <c:v>44104</c:v>
                </c:pt>
                <c:pt idx="1110">
                  <c:v>44103</c:v>
                </c:pt>
                <c:pt idx="1111">
                  <c:v>44102</c:v>
                </c:pt>
                <c:pt idx="1112">
                  <c:v>44099</c:v>
                </c:pt>
                <c:pt idx="1113">
                  <c:v>44098</c:v>
                </c:pt>
                <c:pt idx="1114">
                  <c:v>44097</c:v>
                </c:pt>
                <c:pt idx="1115">
                  <c:v>44096</c:v>
                </c:pt>
                <c:pt idx="1116">
                  <c:v>44095</c:v>
                </c:pt>
                <c:pt idx="1117">
                  <c:v>44092</c:v>
                </c:pt>
                <c:pt idx="1118">
                  <c:v>44091</c:v>
                </c:pt>
                <c:pt idx="1119">
                  <c:v>44090</c:v>
                </c:pt>
                <c:pt idx="1120">
                  <c:v>44089</c:v>
                </c:pt>
                <c:pt idx="1121">
                  <c:v>44088</c:v>
                </c:pt>
                <c:pt idx="1122">
                  <c:v>44085</c:v>
                </c:pt>
                <c:pt idx="1123">
                  <c:v>44084</c:v>
                </c:pt>
                <c:pt idx="1124">
                  <c:v>44083</c:v>
                </c:pt>
                <c:pt idx="1125">
                  <c:v>44082</c:v>
                </c:pt>
                <c:pt idx="1126">
                  <c:v>44081</c:v>
                </c:pt>
                <c:pt idx="1127">
                  <c:v>44078</c:v>
                </c:pt>
                <c:pt idx="1128">
                  <c:v>44077</c:v>
                </c:pt>
                <c:pt idx="1129">
                  <c:v>44076</c:v>
                </c:pt>
                <c:pt idx="1130">
                  <c:v>44075</c:v>
                </c:pt>
                <c:pt idx="1131">
                  <c:v>44074</c:v>
                </c:pt>
                <c:pt idx="1132">
                  <c:v>44071</c:v>
                </c:pt>
                <c:pt idx="1133">
                  <c:v>44070</c:v>
                </c:pt>
                <c:pt idx="1134">
                  <c:v>44069</c:v>
                </c:pt>
                <c:pt idx="1135">
                  <c:v>44068</c:v>
                </c:pt>
                <c:pt idx="1136">
                  <c:v>44067</c:v>
                </c:pt>
                <c:pt idx="1137">
                  <c:v>44064</c:v>
                </c:pt>
                <c:pt idx="1138">
                  <c:v>44063</c:v>
                </c:pt>
                <c:pt idx="1139">
                  <c:v>44062</c:v>
                </c:pt>
                <c:pt idx="1140">
                  <c:v>44061</c:v>
                </c:pt>
                <c:pt idx="1141">
                  <c:v>44060</c:v>
                </c:pt>
                <c:pt idx="1142">
                  <c:v>44057</c:v>
                </c:pt>
                <c:pt idx="1143">
                  <c:v>44056</c:v>
                </c:pt>
                <c:pt idx="1144">
                  <c:v>44055</c:v>
                </c:pt>
                <c:pt idx="1145">
                  <c:v>44054</c:v>
                </c:pt>
                <c:pt idx="1146">
                  <c:v>44053</c:v>
                </c:pt>
                <c:pt idx="1147">
                  <c:v>44050</c:v>
                </c:pt>
                <c:pt idx="1148">
                  <c:v>44049</c:v>
                </c:pt>
                <c:pt idx="1149">
                  <c:v>44048</c:v>
                </c:pt>
                <c:pt idx="1150">
                  <c:v>44047</c:v>
                </c:pt>
                <c:pt idx="1151">
                  <c:v>44046</c:v>
                </c:pt>
                <c:pt idx="1152">
                  <c:v>44043</c:v>
                </c:pt>
                <c:pt idx="1153">
                  <c:v>44042</c:v>
                </c:pt>
                <c:pt idx="1154">
                  <c:v>44041</c:v>
                </c:pt>
                <c:pt idx="1155">
                  <c:v>44040</c:v>
                </c:pt>
                <c:pt idx="1156">
                  <c:v>44039</c:v>
                </c:pt>
                <c:pt idx="1157">
                  <c:v>44036</c:v>
                </c:pt>
                <c:pt idx="1158">
                  <c:v>44035</c:v>
                </c:pt>
                <c:pt idx="1159">
                  <c:v>44034</c:v>
                </c:pt>
                <c:pt idx="1160">
                  <c:v>44033</c:v>
                </c:pt>
                <c:pt idx="1161">
                  <c:v>44032</c:v>
                </c:pt>
                <c:pt idx="1162">
                  <c:v>44029</c:v>
                </c:pt>
                <c:pt idx="1163">
                  <c:v>44028</c:v>
                </c:pt>
                <c:pt idx="1164">
                  <c:v>44027</c:v>
                </c:pt>
                <c:pt idx="1165">
                  <c:v>44026</c:v>
                </c:pt>
                <c:pt idx="1166">
                  <c:v>44025</c:v>
                </c:pt>
                <c:pt idx="1167">
                  <c:v>44022</c:v>
                </c:pt>
                <c:pt idx="1168">
                  <c:v>44021</c:v>
                </c:pt>
                <c:pt idx="1169">
                  <c:v>44020</c:v>
                </c:pt>
                <c:pt idx="1170">
                  <c:v>44019</c:v>
                </c:pt>
                <c:pt idx="1171">
                  <c:v>44018</c:v>
                </c:pt>
                <c:pt idx="1172">
                  <c:v>44015</c:v>
                </c:pt>
                <c:pt idx="1173">
                  <c:v>44014</c:v>
                </c:pt>
                <c:pt idx="1174">
                  <c:v>44013</c:v>
                </c:pt>
                <c:pt idx="1175">
                  <c:v>44012</c:v>
                </c:pt>
                <c:pt idx="1176">
                  <c:v>44011</c:v>
                </c:pt>
                <c:pt idx="1177">
                  <c:v>44008</c:v>
                </c:pt>
                <c:pt idx="1178">
                  <c:v>44007</c:v>
                </c:pt>
                <c:pt idx="1179">
                  <c:v>44006</c:v>
                </c:pt>
                <c:pt idx="1180">
                  <c:v>44005</c:v>
                </c:pt>
                <c:pt idx="1181">
                  <c:v>44004</c:v>
                </c:pt>
                <c:pt idx="1182">
                  <c:v>44001</c:v>
                </c:pt>
                <c:pt idx="1183">
                  <c:v>44000</c:v>
                </c:pt>
                <c:pt idx="1184">
                  <c:v>43999</c:v>
                </c:pt>
                <c:pt idx="1185">
                  <c:v>43998</c:v>
                </c:pt>
                <c:pt idx="1186">
                  <c:v>43997</c:v>
                </c:pt>
                <c:pt idx="1187">
                  <c:v>43994</c:v>
                </c:pt>
                <c:pt idx="1188">
                  <c:v>43993</c:v>
                </c:pt>
                <c:pt idx="1189">
                  <c:v>43992</c:v>
                </c:pt>
                <c:pt idx="1190">
                  <c:v>43991</c:v>
                </c:pt>
                <c:pt idx="1191">
                  <c:v>43990</c:v>
                </c:pt>
                <c:pt idx="1192">
                  <c:v>43987</c:v>
                </c:pt>
                <c:pt idx="1193">
                  <c:v>43986</c:v>
                </c:pt>
                <c:pt idx="1194">
                  <c:v>43985</c:v>
                </c:pt>
                <c:pt idx="1195">
                  <c:v>43984</c:v>
                </c:pt>
                <c:pt idx="1196">
                  <c:v>43983</c:v>
                </c:pt>
                <c:pt idx="1197">
                  <c:v>43980</c:v>
                </c:pt>
                <c:pt idx="1198">
                  <c:v>43979</c:v>
                </c:pt>
                <c:pt idx="1199">
                  <c:v>43978</c:v>
                </c:pt>
                <c:pt idx="1200">
                  <c:v>43977</c:v>
                </c:pt>
                <c:pt idx="1201">
                  <c:v>43973</c:v>
                </c:pt>
                <c:pt idx="1202">
                  <c:v>43972</c:v>
                </c:pt>
                <c:pt idx="1203">
                  <c:v>43971</c:v>
                </c:pt>
                <c:pt idx="1204">
                  <c:v>43970</c:v>
                </c:pt>
                <c:pt idx="1205">
                  <c:v>43969</c:v>
                </c:pt>
                <c:pt idx="1206">
                  <c:v>43966</c:v>
                </c:pt>
                <c:pt idx="1207">
                  <c:v>43965</c:v>
                </c:pt>
                <c:pt idx="1208">
                  <c:v>43964</c:v>
                </c:pt>
                <c:pt idx="1209">
                  <c:v>43963</c:v>
                </c:pt>
                <c:pt idx="1210">
                  <c:v>43962</c:v>
                </c:pt>
                <c:pt idx="1211">
                  <c:v>43959</c:v>
                </c:pt>
                <c:pt idx="1212">
                  <c:v>43958</c:v>
                </c:pt>
                <c:pt idx="1213">
                  <c:v>43957</c:v>
                </c:pt>
                <c:pt idx="1214">
                  <c:v>43956</c:v>
                </c:pt>
                <c:pt idx="1215">
                  <c:v>43955</c:v>
                </c:pt>
                <c:pt idx="1216">
                  <c:v>43951</c:v>
                </c:pt>
                <c:pt idx="1217">
                  <c:v>43950</c:v>
                </c:pt>
                <c:pt idx="1218">
                  <c:v>43949</c:v>
                </c:pt>
                <c:pt idx="1219">
                  <c:v>43948</c:v>
                </c:pt>
                <c:pt idx="1220">
                  <c:v>43945</c:v>
                </c:pt>
                <c:pt idx="1221">
                  <c:v>43944</c:v>
                </c:pt>
                <c:pt idx="1222">
                  <c:v>43943</c:v>
                </c:pt>
                <c:pt idx="1223">
                  <c:v>43942</c:v>
                </c:pt>
                <c:pt idx="1224">
                  <c:v>43941</c:v>
                </c:pt>
                <c:pt idx="1225">
                  <c:v>43938</c:v>
                </c:pt>
                <c:pt idx="1226">
                  <c:v>43937</c:v>
                </c:pt>
                <c:pt idx="1227">
                  <c:v>43936</c:v>
                </c:pt>
                <c:pt idx="1228">
                  <c:v>43934</c:v>
                </c:pt>
                <c:pt idx="1229">
                  <c:v>43930</c:v>
                </c:pt>
                <c:pt idx="1230">
                  <c:v>43929</c:v>
                </c:pt>
                <c:pt idx="1231">
                  <c:v>43928</c:v>
                </c:pt>
                <c:pt idx="1232">
                  <c:v>43924</c:v>
                </c:pt>
                <c:pt idx="1233">
                  <c:v>43922</c:v>
                </c:pt>
              </c:numCache>
            </c:numRef>
          </c:cat>
          <c:val>
            <c:numRef>
              <c:f>'Share price'!$D$3:$D$1236</c:f>
              <c:numCache>
                <c:formatCode>General</c:formatCode>
                <c:ptCount val="1234"/>
                <c:pt idx="0">
                  <c:v>12.98</c:v>
                </c:pt>
                <c:pt idx="1">
                  <c:v>18.64</c:v>
                </c:pt>
                <c:pt idx="2">
                  <c:v>13.89</c:v>
                </c:pt>
                <c:pt idx="3">
                  <c:v>20.34</c:v>
                </c:pt>
                <c:pt idx="4">
                  <c:v>14.36</c:v>
                </c:pt>
                <c:pt idx="5">
                  <c:v>25.3</c:v>
                </c:pt>
                <c:pt idx="6">
                  <c:v>16.989999999999998</c:v>
                </c:pt>
                <c:pt idx="7">
                  <c:v>12.83</c:v>
                </c:pt>
                <c:pt idx="8">
                  <c:v>13.86</c:v>
                </c:pt>
                <c:pt idx="9">
                  <c:v>5.26</c:v>
                </c:pt>
                <c:pt idx="10">
                  <c:v>8.1999999999999993</c:v>
                </c:pt>
                <c:pt idx="11">
                  <c:v>13.84</c:v>
                </c:pt>
                <c:pt idx="12">
                  <c:v>11.1</c:v>
                </c:pt>
                <c:pt idx="13">
                  <c:v>9.7899999999999991</c:v>
                </c:pt>
                <c:pt idx="14">
                  <c:v>11.18</c:v>
                </c:pt>
                <c:pt idx="15">
                  <c:v>17.87</c:v>
                </c:pt>
                <c:pt idx="16">
                  <c:v>15.67</c:v>
                </c:pt>
                <c:pt idx="17">
                  <c:v>13.4</c:v>
                </c:pt>
                <c:pt idx="18">
                  <c:v>10.7</c:v>
                </c:pt>
                <c:pt idx="19">
                  <c:v>31.95</c:v>
                </c:pt>
                <c:pt idx="20">
                  <c:v>19.05</c:v>
                </c:pt>
                <c:pt idx="21">
                  <c:v>15.76</c:v>
                </c:pt>
                <c:pt idx="22">
                  <c:v>7.04</c:v>
                </c:pt>
                <c:pt idx="23">
                  <c:v>8.24</c:v>
                </c:pt>
                <c:pt idx="24">
                  <c:v>15.36</c:v>
                </c:pt>
                <c:pt idx="25">
                  <c:v>7.08</c:v>
                </c:pt>
                <c:pt idx="26">
                  <c:v>13</c:v>
                </c:pt>
                <c:pt idx="27">
                  <c:v>11.98</c:v>
                </c:pt>
                <c:pt idx="28">
                  <c:v>14.12</c:v>
                </c:pt>
                <c:pt idx="29">
                  <c:v>12.99</c:v>
                </c:pt>
                <c:pt idx="30">
                  <c:v>13.88</c:v>
                </c:pt>
                <c:pt idx="31">
                  <c:v>14.29</c:v>
                </c:pt>
                <c:pt idx="32">
                  <c:v>12.23</c:v>
                </c:pt>
                <c:pt idx="33">
                  <c:v>18.88</c:v>
                </c:pt>
                <c:pt idx="34">
                  <c:v>17.47</c:v>
                </c:pt>
                <c:pt idx="35">
                  <c:v>12.84</c:v>
                </c:pt>
                <c:pt idx="36">
                  <c:v>18.920000000000002</c:v>
                </c:pt>
                <c:pt idx="37">
                  <c:v>16.989999999999998</c:v>
                </c:pt>
                <c:pt idx="38">
                  <c:v>30.39</c:v>
                </c:pt>
                <c:pt idx="39">
                  <c:v>13.55</c:v>
                </c:pt>
                <c:pt idx="40">
                  <c:v>22.5</c:v>
                </c:pt>
                <c:pt idx="41">
                  <c:v>15.16</c:v>
                </c:pt>
                <c:pt idx="42">
                  <c:v>20.81</c:v>
                </c:pt>
                <c:pt idx="43">
                  <c:v>10.48</c:v>
                </c:pt>
                <c:pt idx="44">
                  <c:v>9.67</c:v>
                </c:pt>
                <c:pt idx="45">
                  <c:v>8.89</c:v>
                </c:pt>
                <c:pt idx="46">
                  <c:v>9.6199999999999992</c:v>
                </c:pt>
                <c:pt idx="47">
                  <c:v>15.69</c:v>
                </c:pt>
                <c:pt idx="48">
                  <c:v>8.74</c:v>
                </c:pt>
                <c:pt idx="49">
                  <c:v>11.27</c:v>
                </c:pt>
                <c:pt idx="50">
                  <c:v>15.77</c:v>
                </c:pt>
                <c:pt idx="51">
                  <c:v>9.7899999999999991</c:v>
                </c:pt>
                <c:pt idx="52">
                  <c:v>18.05</c:v>
                </c:pt>
                <c:pt idx="53">
                  <c:v>17.8</c:v>
                </c:pt>
                <c:pt idx="54">
                  <c:v>9.15</c:v>
                </c:pt>
                <c:pt idx="55">
                  <c:v>19.73</c:v>
                </c:pt>
                <c:pt idx="56">
                  <c:v>13.48</c:v>
                </c:pt>
                <c:pt idx="57">
                  <c:v>14.29</c:v>
                </c:pt>
                <c:pt idx="58">
                  <c:v>22.01</c:v>
                </c:pt>
                <c:pt idx="59">
                  <c:v>37.07</c:v>
                </c:pt>
                <c:pt idx="60">
                  <c:v>26.12</c:v>
                </c:pt>
                <c:pt idx="61">
                  <c:v>18.23</c:v>
                </c:pt>
                <c:pt idx="62">
                  <c:v>13.28</c:v>
                </c:pt>
                <c:pt idx="63">
                  <c:v>13.07</c:v>
                </c:pt>
                <c:pt idx="64">
                  <c:v>16.28</c:v>
                </c:pt>
                <c:pt idx="65">
                  <c:v>8.85</c:v>
                </c:pt>
                <c:pt idx="66">
                  <c:v>11.56</c:v>
                </c:pt>
                <c:pt idx="67">
                  <c:v>18.84</c:v>
                </c:pt>
                <c:pt idx="68">
                  <c:v>19.48</c:v>
                </c:pt>
                <c:pt idx="69">
                  <c:v>14.6</c:v>
                </c:pt>
                <c:pt idx="70">
                  <c:v>12.37</c:v>
                </c:pt>
                <c:pt idx="71">
                  <c:v>19.84</c:v>
                </c:pt>
                <c:pt idx="72">
                  <c:v>9.01</c:v>
                </c:pt>
                <c:pt idx="73">
                  <c:v>31.75</c:v>
                </c:pt>
                <c:pt idx="74">
                  <c:v>12.88</c:v>
                </c:pt>
                <c:pt idx="75">
                  <c:v>6.75</c:v>
                </c:pt>
                <c:pt idx="76">
                  <c:v>8.82</c:v>
                </c:pt>
                <c:pt idx="77">
                  <c:v>11.7</c:v>
                </c:pt>
                <c:pt idx="78">
                  <c:v>7.55</c:v>
                </c:pt>
                <c:pt idx="79">
                  <c:v>26.42</c:v>
                </c:pt>
                <c:pt idx="80">
                  <c:v>13.44</c:v>
                </c:pt>
                <c:pt idx="81">
                  <c:v>22.22</c:v>
                </c:pt>
                <c:pt idx="82">
                  <c:v>5.48</c:v>
                </c:pt>
                <c:pt idx="83">
                  <c:v>8.35</c:v>
                </c:pt>
                <c:pt idx="84">
                  <c:v>14.41</c:v>
                </c:pt>
                <c:pt idx="85">
                  <c:v>7.07</c:v>
                </c:pt>
                <c:pt idx="86">
                  <c:v>6.54</c:v>
                </c:pt>
                <c:pt idx="87">
                  <c:v>13.89</c:v>
                </c:pt>
                <c:pt idx="88">
                  <c:v>19.46</c:v>
                </c:pt>
                <c:pt idx="89">
                  <c:v>19.559999999999999</c:v>
                </c:pt>
                <c:pt idx="90">
                  <c:v>6.86</c:v>
                </c:pt>
                <c:pt idx="91">
                  <c:v>8.14</c:v>
                </c:pt>
                <c:pt idx="92">
                  <c:v>11.64</c:v>
                </c:pt>
                <c:pt idx="93">
                  <c:v>11.12</c:v>
                </c:pt>
                <c:pt idx="94">
                  <c:v>5.04</c:v>
                </c:pt>
                <c:pt idx="95">
                  <c:v>5.49</c:v>
                </c:pt>
                <c:pt idx="96">
                  <c:v>6.09</c:v>
                </c:pt>
                <c:pt idx="97">
                  <c:v>8.92</c:v>
                </c:pt>
                <c:pt idx="98">
                  <c:v>11.31</c:v>
                </c:pt>
                <c:pt idx="99">
                  <c:v>7.33</c:v>
                </c:pt>
                <c:pt idx="100">
                  <c:v>8.43</c:v>
                </c:pt>
                <c:pt idx="101">
                  <c:v>1.46</c:v>
                </c:pt>
                <c:pt idx="102">
                  <c:v>7.81</c:v>
                </c:pt>
                <c:pt idx="103">
                  <c:v>6.39</c:v>
                </c:pt>
                <c:pt idx="104">
                  <c:v>6.87</c:v>
                </c:pt>
                <c:pt idx="105">
                  <c:v>8.61</c:v>
                </c:pt>
                <c:pt idx="106">
                  <c:v>30.96</c:v>
                </c:pt>
                <c:pt idx="107">
                  <c:v>13.09</c:v>
                </c:pt>
                <c:pt idx="108">
                  <c:v>10.16</c:v>
                </c:pt>
                <c:pt idx="109">
                  <c:v>12.3</c:v>
                </c:pt>
                <c:pt idx="110">
                  <c:v>7.4</c:v>
                </c:pt>
                <c:pt idx="111">
                  <c:v>21.78</c:v>
                </c:pt>
                <c:pt idx="112">
                  <c:v>7.39</c:v>
                </c:pt>
                <c:pt idx="113">
                  <c:v>6.68</c:v>
                </c:pt>
                <c:pt idx="114">
                  <c:v>8.0399999999999991</c:v>
                </c:pt>
                <c:pt idx="115">
                  <c:v>6.71</c:v>
                </c:pt>
                <c:pt idx="116">
                  <c:v>14.39</c:v>
                </c:pt>
                <c:pt idx="117">
                  <c:v>12.8</c:v>
                </c:pt>
                <c:pt idx="118">
                  <c:v>23.95</c:v>
                </c:pt>
                <c:pt idx="119">
                  <c:v>9.5</c:v>
                </c:pt>
                <c:pt idx="120">
                  <c:v>16.48</c:v>
                </c:pt>
                <c:pt idx="121">
                  <c:v>18.23</c:v>
                </c:pt>
                <c:pt idx="122">
                  <c:v>15.87</c:v>
                </c:pt>
                <c:pt idx="123">
                  <c:v>5.09</c:v>
                </c:pt>
                <c:pt idx="124">
                  <c:v>10.53</c:v>
                </c:pt>
                <c:pt idx="125">
                  <c:v>17.25</c:v>
                </c:pt>
                <c:pt idx="126">
                  <c:v>15.49</c:v>
                </c:pt>
                <c:pt idx="127">
                  <c:v>8.48</c:v>
                </c:pt>
                <c:pt idx="128">
                  <c:v>6.76</c:v>
                </c:pt>
                <c:pt idx="129">
                  <c:v>7.8</c:v>
                </c:pt>
                <c:pt idx="130">
                  <c:v>23.81</c:v>
                </c:pt>
                <c:pt idx="131">
                  <c:v>13.93</c:v>
                </c:pt>
                <c:pt idx="132">
                  <c:v>5.43</c:v>
                </c:pt>
                <c:pt idx="133">
                  <c:v>10.49</c:v>
                </c:pt>
                <c:pt idx="134">
                  <c:v>7.53</c:v>
                </c:pt>
                <c:pt idx="135">
                  <c:v>8.83</c:v>
                </c:pt>
                <c:pt idx="136">
                  <c:v>18.38</c:v>
                </c:pt>
                <c:pt idx="137">
                  <c:v>14.92</c:v>
                </c:pt>
                <c:pt idx="138">
                  <c:v>10.91</c:v>
                </c:pt>
                <c:pt idx="139">
                  <c:v>13.74</c:v>
                </c:pt>
                <c:pt idx="140">
                  <c:v>13.72</c:v>
                </c:pt>
                <c:pt idx="141">
                  <c:v>10.9</c:v>
                </c:pt>
                <c:pt idx="142">
                  <c:v>8.41</c:v>
                </c:pt>
                <c:pt idx="143">
                  <c:v>12.02</c:v>
                </c:pt>
                <c:pt idx="144">
                  <c:v>15.89</c:v>
                </c:pt>
                <c:pt idx="145">
                  <c:v>14.95</c:v>
                </c:pt>
                <c:pt idx="146">
                  <c:v>18.670000000000002</c:v>
                </c:pt>
                <c:pt idx="147">
                  <c:v>7.78</c:v>
                </c:pt>
                <c:pt idx="148">
                  <c:v>7.95</c:v>
                </c:pt>
                <c:pt idx="149">
                  <c:v>7.83</c:v>
                </c:pt>
                <c:pt idx="150">
                  <c:v>7.89</c:v>
                </c:pt>
                <c:pt idx="151">
                  <c:v>8.36</c:v>
                </c:pt>
                <c:pt idx="152">
                  <c:v>8.4700000000000006</c:v>
                </c:pt>
                <c:pt idx="153">
                  <c:v>6.63</c:v>
                </c:pt>
                <c:pt idx="154">
                  <c:v>10.199999999999999</c:v>
                </c:pt>
                <c:pt idx="155">
                  <c:v>13.14</c:v>
                </c:pt>
                <c:pt idx="156">
                  <c:v>9.25</c:v>
                </c:pt>
                <c:pt idx="157">
                  <c:v>7.76</c:v>
                </c:pt>
                <c:pt idx="158">
                  <c:v>9.08</c:v>
                </c:pt>
                <c:pt idx="159">
                  <c:v>9.1999999999999993</c:v>
                </c:pt>
                <c:pt idx="160">
                  <c:v>20.56</c:v>
                </c:pt>
                <c:pt idx="161">
                  <c:v>10.9</c:v>
                </c:pt>
                <c:pt idx="162">
                  <c:v>13.72</c:v>
                </c:pt>
                <c:pt idx="163">
                  <c:v>24.09</c:v>
                </c:pt>
                <c:pt idx="164">
                  <c:v>21.32</c:v>
                </c:pt>
                <c:pt idx="165">
                  <c:v>11.67</c:v>
                </c:pt>
                <c:pt idx="166">
                  <c:v>11.54</c:v>
                </c:pt>
                <c:pt idx="167">
                  <c:v>13.38</c:v>
                </c:pt>
                <c:pt idx="168">
                  <c:v>12.5</c:v>
                </c:pt>
                <c:pt idx="169">
                  <c:v>20.74</c:v>
                </c:pt>
                <c:pt idx="170">
                  <c:v>17.88</c:v>
                </c:pt>
                <c:pt idx="171">
                  <c:v>42.07</c:v>
                </c:pt>
                <c:pt idx="172">
                  <c:v>54.04</c:v>
                </c:pt>
                <c:pt idx="173">
                  <c:v>18.07</c:v>
                </c:pt>
                <c:pt idx="174">
                  <c:v>24.98</c:v>
                </c:pt>
                <c:pt idx="175">
                  <c:v>21.09</c:v>
                </c:pt>
                <c:pt idx="176">
                  <c:v>13</c:v>
                </c:pt>
                <c:pt idx="177">
                  <c:v>16.25</c:v>
                </c:pt>
                <c:pt idx="178">
                  <c:v>18.96</c:v>
                </c:pt>
                <c:pt idx="179">
                  <c:v>18.829999999999998</c:v>
                </c:pt>
                <c:pt idx="180">
                  <c:v>11.62</c:v>
                </c:pt>
                <c:pt idx="181">
                  <c:v>26.47</c:v>
                </c:pt>
                <c:pt idx="182">
                  <c:v>20.52</c:v>
                </c:pt>
                <c:pt idx="183">
                  <c:v>12.93</c:v>
                </c:pt>
                <c:pt idx="184">
                  <c:v>9.1300000000000008</c:v>
                </c:pt>
                <c:pt idx="185">
                  <c:v>7.16</c:v>
                </c:pt>
                <c:pt idx="186">
                  <c:v>10.76</c:v>
                </c:pt>
                <c:pt idx="187">
                  <c:v>12.89</c:v>
                </c:pt>
                <c:pt idx="188">
                  <c:v>17.87</c:v>
                </c:pt>
                <c:pt idx="189">
                  <c:v>37.01</c:v>
                </c:pt>
                <c:pt idx="190">
                  <c:v>11.08</c:v>
                </c:pt>
                <c:pt idx="191">
                  <c:v>10.26</c:v>
                </c:pt>
                <c:pt idx="192">
                  <c:v>9.36</c:v>
                </c:pt>
                <c:pt idx="193">
                  <c:v>25.21</c:v>
                </c:pt>
                <c:pt idx="194">
                  <c:v>14.59</c:v>
                </c:pt>
                <c:pt idx="195">
                  <c:v>10.91</c:v>
                </c:pt>
                <c:pt idx="196">
                  <c:v>14.1</c:v>
                </c:pt>
                <c:pt idx="197">
                  <c:v>9.2200000000000006</c:v>
                </c:pt>
                <c:pt idx="198">
                  <c:v>9.2799999999999994</c:v>
                </c:pt>
                <c:pt idx="199">
                  <c:v>10.35</c:v>
                </c:pt>
                <c:pt idx="200">
                  <c:v>12.67</c:v>
                </c:pt>
                <c:pt idx="201">
                  <c:v>11.43</c:v>
                </c:pt>
                <c:pt idx="202">
                  <c:v>28.45</c:v>
                </c:pt>
                <c:pt idx="203">
                  <c:v>31.12</c:v>
                </c:pt>
                <c:pt idx="204">
                  <c:v>27.15</c:v>
                </c:pt>
                <c:pt idx="205">
                  <c:v>46.02</c:v>
                </c:pt>
                <c:pt idx="206">
                  <c:v>15.52</c:v>
                </c:pt>
                <c:pt idx="207">
                  <c:v>28.21</c:v>
                </c:pt>
                <c:pt idx="208">
                  <c:v>20.52</c:v>
                </c:pt>
                <c:pt idx="209">
                  <c:v>10.43</c:v>
                </c:pt>
                <c:pt idx="210">
                  <c:v>9.31</c:v>
                </c:pt>
                <c:pt idx="211">
                  <c:v>11.83</c:v>
                </c:pt>
                <c:pt idx="212">
                  <c:v>12.76</c:v>
                </c:pt>
                <c:pt idx="213">
                  <c:v>26.23</c:v>
                </c:pt>
                <c:pt idx="214">
                  <c:v>10.63</c:v>
                </c:pt>
                <c:pt idx="215">
                  <c:v>10.76</c:v>
                </c:pt>
                <c:pt idx="216">
                  <c:v>11.45</c:v>
                </c:pt>
                <c:pt idx="217">
                  <c:v>23.03</c:v>
                </c:pt>
                <c:pt idx="218">
                  <c:v>7.57</c:v>
                </c:pt>
                <c:pt idx="219">
                  <c:v>11</c:v>
                </c:pt>
                <c:pt idx="220">
                  <c:v>7.3</c:v>
                </c:pt>
                <c:pt idx="221">
                  <c:v>13.99</c:v>
                </c:pt>
                <c:pt idx="222">
                  <c:v>23.41</c:v>
                </c:pt>
                <c:pt idx="223">
                  <c:v>10.51</c:v>
                </c:pt>
                <c:pt idx="224">
                  <c:v>25.97</c:v>
                </c:pt>
                <c:pt idx="225">
                  <c:v>10.36</c:v>
                </c:pt>
                <c:pt idx="226">
                  <c:v>22.9</c:v>
                </c:pt>
                <c:pt idx="227">
                  <c:v>23.23</c:v>
                </c:pt>
                <c:pt idx="228">
                  <c:v>12.06</c:v>
                </c:pt>
                <c:pt idx="229">
                  <c:v>11.63</c:v>
                </c:pt>
                <c:pt idx="230">
                  <c:v>14.77</c:v>
                </c:pt>
                <c:pt idx="231">
                  <c:v>29.21</c:v>
                </c:pt>
                <c:pt idx="232">
                  <c:v>5.85</c:v>
                </c:pt>
                <c:pt idx="233">
                  <c:v>12.02</c:v>
                </c:pt>
                <c:pt idx="234">
                  <c:v>7.11</c:v>
                </c:pt>
                <c:pt idx="235">
                  <c:v>16.579999999999998</c:v>
                </c:pt>
                <c:pt idx="236">
                  <c:v>21.31</c:v>
                </c:pt>
                <c:pt idx="237">
                  <c:v>9.9700000000000006</c:v>
                </c:pt>
                <c:pt idx="238">
                  <c:v>8.75</c:v>
                </c:pt>
                <c:pt idx="239">
                  <c:v>18.09</c:v>
                </c:pt>
                <c:pt idx="240">
                  <c:v>14.01</c:v>
                </c:pt>
                <c:pt idx="241">
                  <c:v>6.71</c:v>
                </c:pt>
                <c:pt idx="242">
                  <c:v>8.52</c:v>
                </c:pt>
                <c:pt idx="243">
                  <c:v>16.149999999999999</c:v>
                </c:pt>
                <c:pt idx="244">
                  <c:v>18.36</c:v>
                </c:pt>
                <c:pt idx="245">
                  <c:v>12.66</c:v>
                </c:pt>
                <c:pt idx="246">
                  <c:v>8.85</c:v>
                </c:pt>
                <c:pt idx="247">
                  <c:v>9.3800000000000008</c:v>
                </c:pt>
                <c:pt idx="248">
                  <c:v>27.93</c:v>
                </c:pt>
                <c:pt idx="249">
                  <c:v>12.23</c:v>
                </c:pt>
                <c:pt idx="250">
                  <c:v>10.27</c:v>
                </c:pt>
                <c:pt idx="251">
                  <c:v>38.86</c:v>
                </c:pt>
                <c:pt idx="252">
                  <c:v>19.23</c:v>
                </c:pt>
                <c:pt idx="253">
                  <c:v>19.61</c:v>
                </c:pt>
                <c:pt idx="254">
                  <c:v>20.99</c:v>
                </c:pt>
                <c:pt idx="255">
                  <c:v>15.93</c:v>
                </c:pt>
                <c:pt idx="256">
                  <c:v>73.25</c:v>
                </c:pt>
                <c:pt idx="257">
                  <c:v>30.76</c:v>
                </c:pt>
                <c:pt idx="258">
                  <c:v>101.61</c:v>
                </c:pt>
                <c:pt idx="259">
                  <c:v>34.880000000000003</c:v>
                </c:pt>
                <c:pt idx="260">
                  <c:v>17.62</c:v>
                </c:pt>
                <c:pt idx="261">
                  <c:v>23.02</c:v>
                </c:pt>
                <c:pt idx="262">
                  <c:v>11.11</c:v>
                </c:pt>
                <c:pt idx="263">
                  <c:v>9.73</c:v>
                </c:pt>
                <c:pt idx="264">
                  <c:v>6.84</c:v>
                </c:pt>
                <c:pt idx="265">
                  <c:v>12.4</c:v>
                </c:pt>
                <c:pt idx="266">
                  <c:v>14.9</c:v>
                </c:pt>
                <c:pt idx="267">
                  <c:v>8.6199999999999992</c:v>
                </c:pt>
                <c:pt idx="268">
                  <c:v>7.78</c:v>
                </c:pt>
                <c:pt idx="269">
                  <c:v>7.98</c:v>
                </c:pt>
                <c:pt idx="270">
                  <c:v>11.15</c:v>
                </c:pt>
                <c:pt idx="271">
                  <c:v>18.600000000000001</c:v>
                </c:pt>
                <c:pt idx="272">
                  <c:v>19.41</c:v>
                </c:pt>
                <c:pt idx="273">
                  <c:v>14.08</c:v>
                </c:pt>
                <c:pt idx="274">
                  <c:v>16.95</c:v>
                </c:pt>
                <c:pt idx="275">
                  <c:v>37.520000000000003</c:v>
                </c:pt>
                <c:pt idx="276">
                  <c:v>20.38</c:v>
                </c:pt>
                <c:pt idx="277">
                  <c:v>12.15</c:v>
                </c:pt>
                <c:pt idx="278">
                  <c:v>15.61</c:v>
                </c:pt>
                <c:pt idx="279">
                  <c:v>10.91</c:v>
                </c:pt>
                <c:pt idx="280">
                  <c:v>32.28</c:v>
                </c:pt>
                <c:pt idx="281">
                  <c:v>48.18</c:v>
                </c:pt>
                <c:pt idx="282">
                  <c:v>12.88</c:v>
                </c:pt>
                <c:pt idx="283">
                  <c:v>18.760000000000002</c:v>
                </c:pt>
                <c:pt idx="284">
                  <c:v>12.04</c:v>
                </c:pt>
                <c:pt idx="285">
                  <c:v>17.16</c:v>
                </c:pt>
                <c:pt idx="286">
                  <c:v>19.170000000000002</c:v>
                </c:pt>
                <c:pt idx="287">
                  <c:v>19.88</c:v>
                </c:pt>
                <c:pt idx="288">
                  <c:v>43.51</c:v>
                </c:pt>
                <c:pt idx="289">
                  <c:v>17.87</c:v>
                </c:pt>
                <c:pt idx="290">
                  <c:v>19.68</c:v>
                </c:pt>
                <c:pt idx="291">
                  <c:v>21.63</c:v>
                </c:pt>
                <c:pt idx="292">
                  <c:v>8.4</c:v>
                </c:pt>
                <c:pt idx="293">
                  <c:v>3.3</c:v>
                </c:pt>
                <c:pt idx="294">
                  <c:v>12.2</c:v>
                </c:pt>
                <c:pt idx="295">
                  <c:v>9.14</c:v>
                </c:pt>
                <c:pt idx="296">
                  <c:v>11.11</c:v>
                </c:pt>
                <c:pt idx="297">
                  <c:v>12.07</c:v>
                </c:pt>
                <c:pt idx="298">
                  <c:v>6.9</c:v>
                </c:pt>
                <c:pt idx="299">
                  <c:v>9.35</c:v>
                </c:pt>
                <c:pt idx="300">
                  <c:v>6.53</c:v>
                </c:pt>
                <c:pt idx="301">
                  <c:v>5.9</c:v>
                </c:pt>
                <c:pt idx="302">
                  <c:v>5.7</c:v>
                </c:pt>
                <c:pt idx="303">
                  <c:v>8</c:v>
                </c:pt>
                <c:pt idx="304">
                  <c:v>9.2100000000000009</c:v>
                </c:pt>
                <c:pt idx="305">
                  <c:v>11.79</c:v>
                </c:pt>
                <c:pt idx="306">
                  <c:v>24.04</c:v>
                </c:pt>
                <c:pt idx="307">
                  <c:v>10.52</c:v>
                </c:pt>
                <c:pt idx="308">
                  <c:v>9.35</c:v>
                </c:pt>
                <c:pt idx="309">
                  <c:v>12.89</c:v>
                </c:pt>
                <c:pt idx="310">
                  <c:v>20.7</c:v>
                </c:pt>
                <c:pt idx="311">
                  <c:v>7.54</c:v>
                </c:pt>
                <c:pt idx="312">
                  <c:v>5.87</c:v>
                </c:pt>
                <c:pt idx="313">
                  <c:v>11.03</c:v>
                </c:pt>
                <c:pt idx="314">
                  <c:v>11.15</c:v>
                </c:pt>
                <c:pt idx="315">
                  <c:v>10.37</c:v>
                </c:pt>
                <c:pt idx="316">
                  <c:v>10.27</c:v>
                </c:pt>
                <c:pt idx="317">
                  <c:v>12.03</c:v>
                </c:pt>
                <c:pt idx="318">
                  <c:v>15.79</c:v>
                </c:pt>
                <c:pt idx="319">
                  <c:v>14.37</c:v>
                </c:pt>
                <c:pt idx="320">
                  <c:v>11.28</c:v>
                </c:pt>
                <c:pt idx="321">
                  <c:v>10.16</c:v>
                </c:pt>
                <c:pt idx="322">
                  <c:v>6.6</c:v>
                </c:pt>
                <c:pt idx="323">
                  <c:v>18.670000000000002</c:v>
                </c:pt>
                <c:pt idx="324">
                  <c:v>11.31</c:v>
                </c:pt>
                <c:pt idx="325">
                  <c:v>20.420000000000002</c:v>
                </c:pt>
                <c:pt idx="326">
                  <c:v>12.14</c:v>
                </c:pt>
                <c:pt idx="327">
                  <c:v>12.8</c:v>
                </c:pt>
                <c:pt idx="328">
                  <c:v>19.34</c:v>
                </c:pt>
                <c:pt idx="329">
                  <c:v>15.13</c:v>
                </c:pt>
                <c:pt idx="330">
                  <c:v>13.79</c:v>
                </c:pt>
                <c:pt idx="331">
                  <c:v>8.75</c:v>
                </c:pt>
                <c:pt idx="332">
                  <c:v>6.82</c:v>
                </c:pt>
                <c:pt idx="333">
                  <c:v>6.37</c:v>
                </c:pt>
                <c:pt idx="334">
                  <c:v>4.8899999999999997</c:v>
                </c:pt>
                <c:pt idx="335">
                  <c:v>6</c:v>
                </c:pt>
                <c:pt idx="336">
                  <c:v>4.34</c:v>
                </c:pt>
                <c:pt idx="337">
                  <c:v>6.66</c:v>
                </c:pt>
                <c:pt idx="338">
                  <c:v>10.86</c:v>
                </c:pt>
                <c:pt idx="339">
                  <c:v>7.44</c:v>
                </c:pt>
                <c:pt idx="340">
                  <c:v>3.74</c:v>
                </c:pt>
                <c:pt idx="341">
                  <c:v>1.18</c:v>
                </c:pt>
                <c:pt idx="342">
                  <c:v>4.08</c:v>
                </c:pt>
                <c:pt idx="343">
                  <c:v>7.79</c:v>
                </c:pt>
                <c:pt idx="344">
                  <c:v>6.98</c:v>
                </c:pt>
                <c:pt idx="345">
                  <c:v>5.12</c:v>
                </c:pt>
                <c:pt idx="346">
                  <c:v>7.31</c:v>
                </c:pt>
                <c:pt idx="347">
                  <c:v>13.8</c:v>
                </c:pt>
                <c:pt idx="348">
                  <c:v>8.15</c:v>
                </c:pt>
                <c:pt idx="349">
                  <c:v>7.99</c:v>
                </c:pt>
                <c:pt idx="350">
                  <c:v>8.6199999999999992</c:v>
                </c:pt>
                <c:pt idx="351">
                  <c:v>7.62</c:v>
                </c:pt>
                <c:pt idx="352">
                  <c:v>13.13</c:v>
                </c:pt>
                <c:pt idx="353">
                  <c:v>18.8</c:v>
                </c:pt>
                <c:pt idx="354">
                  <c:v>10.89</c:v>
                </c:pt>
                <c:pt idx="355">
                  <c:v>7.28</c:v>
                </c:pt>
                <c:pt idx="356">
                  <c:v>13.02</c:v>
                </c:pt>
                <c:pt idx="357">
                  <c:v>9.4700000000000006</c:v>
                </c:pt>
                <c:pt idx="358">
                  <c:v>6.89</c:v>
                </c:pt>
                <c:pt idx="359">
                  <c:v>6.94</c:v>
                </c:pt>
                <c:pt idx="360">
                  <c:v>4.21</c:v>
                </c:pt>
                <c:pt idx="361">
                  <c:v>7.63</c:v>
                </c:pt>
                <c:pt idx="362">
                  <c:v>11.77</c:v>
                </c:pt>
                <c:pt idx="363">
                  <c:v>7.65</c:v>
                </c:pt>
                <c:pt idx="364">
                  <c:v>5.01</c:v>
                </c:pt>
                <c:pt idx="365">
                  <c:v>5.61</c:v>
                </c:pt>
                <c:pt idx="366">
                  <c:v>8.42</c:v>
                </c:pt>
                <c:pt idx="367">
                  <c:v>10.029999999999999</c:v>
                </c:pt>
                <c:pt idx="368">
                  <c:v>13.4</c:v>
                </c:pt>
                <c:pt idx="369">
                  <c:v>7.48</c:v>
                </c:pt>
                <c:pt idx="370">
                  <c:v>8.16</c:v>
                </c:pt>
                <c:pt idx="371">
                  <c:v>10.220000000000001</c:v>
                </c:pt>
                <c:pt idx="372">
                  <c:v>10.49</c:v>
                </c:pt>
                <c:pt idx="373">
                  <c:v>5.33</c:v>
                </c:pt>
                <c:pt idx="374">
                  <c:v>5.78</c:v>
                </c:pt>
                <c:pt idx="375">
                  <c:v>7.51</c:v>
                </c:pt>
                <c:pt idx="376">
                  <c:v>10.72</c:v>
                </c:pt>
                <c:pt idx="377">
                  <c:v>9.9600000000000009</c:v>
                </c:pt>
                <c:pt idx="378">
                  <c:v>8.1999999999999993</c:v>
                </c:pt>
                <c:pt idx="379">
                  <c:v>15.08</c:v>
                </c:pt>
                <c:pt idx="380">
                  <c:v>14.43</c:v>
                </c:pt>
                <c:pt idx="381">
                  <c:v>11.81</c:v>
                </c:pt>
                <c:pt idx="382">
                  <c:v>14.41</c:v>
                </c:pt>
                <c:pt idx="383">
                  <c:v>9.32</c:v>
                </c:pt>
                <c:pt idx="384">
                  <c:v>9.94</c:v>
                </c:pt>
                <c:pt idx="385">
                  <c:v>8.09</c:v>
                </c:pt>
                <c:pt idx="386">
                  <c:v>12.86</c:v>
                </c:pt>
                <c:pt idx="387">
                  <c:v>8.3800000000000008</c:v>
                </c:pt>
                <c:pt idx="388">
                  <c:v>13.6</c:v>
                </c:pt>
                <c:pt idx="389">
                  <c:v>11.44</c:v>
                </c:pt>
                <c:pt idx="390">
                  <c:v>19.899999999999999</c:v>
                </c:pt>
                <c:pt idx="391">
                  <c:v>7.36</c:v>
                </c:pt>
                <c:pt idx="392">
                  <c:v>9.48</c:v>
                </c:pt>
                <c:pt idx="393">
                  <c:v>6.91</c:v>
                </c:pt>
                <c:pt idx="394">
                  <c:v>9.27</c:v>
                </c:pt>
                <c:pt idx="395">
                  <c:v>6.09</c:v>
                </c:pt>
                <c:pt idx="396">
                  <c:v>8.4499999999999993</c:v>
                </c:pt>
                <c:pt idx="397">
                  <c:v>9.85</c:v>
                </c:pt>
                <c:pt idx="398">
                  <c:v>9.57</c:v>
                </c:pt>
                <c:pt idx="399">
                  <c:v>19.32</c:v>
                </c:pt>
                <c:pt idx="400">
                  <c:v>16.27</c:v>
                </c:pt>
                <c:pt idx="401">
                  <c:v>14.92</c:v>
                </c:pt>
                <c:pt idx="402">
                  <c:v>7.56</c:v>
                </c:pt>
                <c:pt idx="403">
                  <c:v>11.58</c:v>
                </c:pt>
                <c:pt idx="404">
                  <c:v>13.19</c:v>
                </c:pt>
                <c:pt idx="405">
                  <c:v>9.76</c:v>
                </c:pt>
                <c:pt idx="406">
                  <c:v>6.39</c:v>
                </c:pt>
                <c:pt idx="407">
                  <c:v>9.16</c:v>
                </c:pt>
                <c:pt idx="408">
                  <c:v>6.83</c:v>
                </c:pt>
                <c:pt idx="409">
                  <c:v>10.62</c:v>
                </c:pt>
                <c:pt idx="410">
                  <c:v>10.32</c:v>
                </c:pt>
                <c:pt idx="411">
                  <c:v>6.44</c:v>
                </c:pt>
                <c:pt idx="412">
                  <c:v>8.19</c:v>
                </c:pt>
                <c:pt idx="413">
                  <c:v>9.98</c:v>
                </c:pt>
                <c:pt idx="414">
                  <c:v>13.99</c:v>
                </c:pt>
                <c:pt idx="415">
                  <c:v>18.14</c:v>
                </c:pt>
                <c:pt idx="416">
                  <c:v>43.53</c:v>
                </c:pt>
                <c:pt idx="417">
                  <c:v>38.979999999999997</c:v>
                </c:pt>
                <c:pt idx="418">
                  <c:v>13.97</c:v>
                </c:pt>
                <c:pt idx="419">
                  <c:v>20.25</c:v>
                </c:pt>
                <c:pt idx="420">
                  <c:v>13.87</c:v>
                </c:pt>
                <c:pt idx="421">
                  <c:v>5.35</c:v>
                </c:pt>
                <c:pt idx="422">
                  <c:v>6.09</c:v>
                </c:pt>
                <c:pt idx="423">
                  <c:v>5.08</c:v>
                </c:pt>
                <c:pt idx="424">
                  <c:v>7.91</c:v>
                </c:pt>
                <c:pt idx="425">
                  <c:v>12.34</c:v>
                </c:pt>
                <c:pt idx="426">
                  <c:v>8.4600000000000009</c:v>
                </c:pt>
                <c:pt idx="427">
                  <c:v>6.52</c:v>
                </c:pt>
                <c:pt idx="428">
                  <c:v>7.32</c:v>
                </c:pt>
                <c:pt idx="429">
                  <c:v>9.4700000000000006</c:v>
                </c:pt>
                <c:pt idx="430">
                  <c:v>16.25</c:v>
                </c:pt>
                <c:pt idx="431">
                  <c:v>7.73</c:v>
                </c:pt>
                <c:pt idx="432">
                  <c:v>10.7</c:v>
                </c:pt>
                <c:pt idx="433">
                  <c:v>9.11</c:v>
                </c:pt>
                <c:pt idx="434">
                  <c:v>12.08</c:v>
                </c:pt>
                <c:pt idx="435">
                  <c:v>4.87</c:v>
                </c:pt>
                <c:pt idx="436">
                  <c:v>5.48</c:v>
                </c:pt>
                <c:pt idx="437">
                  <c:v>6.09</c:v>
                </c:pt>
                <c:pt idx="438">
                  <c:v>6.64</c:v>
                </c:pt>
                <c:pt idx="439">
                  <c:v>6.06</c:v>
                </c:pt>
                <c:pt idx="440">
                  <c:v>4.47</c:v>
                </c:pt>
                <c:pt idx="441">
                  <c:v>4.1900000000000004</c:v>
                </c:pt>
                <c:pt idx="442">
                  <c:v>11.73</c:v>
                </c:pt>
                <c:pt idx="443">
                  <c:v>7.5</c:v>
                </c:pt>
                <c:pt idx="444">
                  <c:v>8.6999999999999993</c:v>
                </c:pt>
                <c:pt idx="445">
                  <c:v>16.11</c:v>
                </c:pt>
                <c:pt idx="446">
                  <c:v>8.7200000000000006</c:v>
                </c:pt>
                <c:pt idx="447">
                  <c:v>7.06</c:v>
                </c:pt>
                <c:pt idx="448">
                  <c:v>7.02</c:v>
                </c:pt>
                <c:pt idx="449">
                  <c:v>7.54</c:v>
                </c:pt>
                <c:pt idx="450">
                  <c:v>6.45</c:v>
                </c:pt>
                <c:pt idx="451">
                  <c:v>7.15</c:v>
                </c:pt>
                <c:pt idx="452">
                  <c:v>9.1999999999999993</c:v>
                </c:pt>
                <c:pt idx="453">
                  <c:v>8.8000000000000007</c:v>
                </c:pt>
                <c:pt idx="454">
                  <c:v>14.27</c:v>
                </c:pt>
                <c:pt idx="455">
                  <c:v>18.899999999999999</c:v>
                </c:pt>
                <c:pt idx="456">
                  <c:v>19.829999999999998</c:v>
                </c:pt>
                <c:pt idx="457">
                  <c:v>13</c:v>
                </c:pt>
                <c:pt idx="458">
                  <c:v>18.2</c:v>
                </c:pt>
                <c:pt idx="459">
                  <c:v>11.48</c:v>
                </c:pt>
                <c:pt idx="460">
                  <c:v>8.73</c:v>
                </c:pt>
                <c:pt idx="461">
                  <c:v>15.42</c:v>
                </c:pt>
                <c:pt idx="462">
                  <c:v>25.77</c:v>
                </c:pt>
                <c:pt idx="463">
                  <c:v>24</c:v>
                </c:pt>
                <c:pt idx="464">
                  <c:v>9.48</c:v>
                </c:pt>
                <c:pt idx="465">
                  <c:v>7.99</c:v>
                </c:pt>
                <c:pt idx="466">
                  <c:v>9.15</c:v>
                </c:pt>
                <c:pt idx="467">
                  <c:v>11.14</c:v>
                </c:pt>
                <c:pt idx="468">
                  <c:v>15.98</c:v>
                </c:pt>
                <c:pt idx="469">
                  <c:v>9.75</c:v>
                </c:pt>
                <c:pt idx="470">
                  <c:v>9.99</c:v>
                </c:pt>
                <c:pt idx="471">
                  <c:v>7.24</c:v>
                </c:pt>
                <c:pt idx="472">
                  <c:v>12.41</c:v>
                </c:pt>
                <c:pt idx="473">
                  <c:v>7.98</c:v>
                </c:pt>
                <c:pt idx="474">
                  <c:v>7.33</c:v>
                </c:pt>
                <c:pt idx="475">
                  <c:v>10.25</c:v>
                </c:pt>
                <c:pt idx="476">
                  <c:v>12.72</c:v>
                </c:pt>
                <c:pt idx="477">
                  <c:v>12.61</c:v>
                </c:pt>
                <c:pt idx="478">
                  <c:v>7.62</c:v>
                </c:pt>
                <c:pt idx="479">
                  <c:v>8.84</c:v>
                </c:pt>
                <c:pt idx="480">
                  <c:v>5.98</c:v>
                </c:pt>
                <c:pt idx="481">
                  <c:v>14.25</c:v>
                </c:pt>
                <c:pt idx="482">
                  <c:v>6.67</c:v>
                </c:pt>
                <c:pt idx="483">
                  <c:v>9.74</c:v>
                </c:pt>
                <c:pt idx="484">
                  <c:v>9.49</c:v>
                </c:pt>
                <c:pt idx="485">
                  <c:v>11.04</c:v>
                </c:pt>
                <c:pt idx="486">
                  <c:v>6.06</c:v>
                </c:pt>
                <c:pt idx="487">
                  <c:v>9.75</c:v>
                </c:pt>
                <c:pt idx="488">
                  <c:v>18.239999999999998</c:v>
                </c:pt>
                <c:pt idx="489">
                  <c:v>6.78</c:v>
                </c:pt>
                <c:pt idx="490">
                  <c:v>12.9</c:v>
                </c:pt>
                <c:pt idx="491">
                  <c:v>11.61</c:v>
                </c:pt>
                <c:pt idx="492">
                  <c:v>7.06</c:v>
                </c:pt>
                <c:pt idx="493">
                  <c:v>9.51</c:v>
                </c:pt>
                <c:pt idx="494">
                  <c:v>10.16</c:v>
                </c:pt>
                <c:pt idx="495">
                  <c:v>9.17</c:v>
                </c:pt>
                <c:pt idx="496">
                  <c:v>10.82</c:v>
                </c:pt>
                <c:pt idx="497">
                  <c:v>9.93</c:v>
                </c:pt>
                <c:pt idx="498">
                  <c:v>9.75</c:v>
                </c:pt>
                <c:pt idx="499">
                  <c:v>4.7699999999999996</c:v>
                </c:pt>
                <c:pt idx="500">
                  <c:v>11.61</c:v>
                </c:pt>
                <c:pt idx="501">
                  <c:v>10.119999999999999</c:v>
                </c:pt>
                <c:pt idx="502">
                  <c:v>48.9</c:v>
                </c:pt>
                <c:pt idx="503">
                  <c:v>15.71</c:v>
                </c:pt>
                <c:pt idx="504">
                  <c:v>8.42</c:v>
                </c:pt>
                <c:pt idx="505">
                  <c:v>10.23</c:v>
                </c:pt>
                <c:pt idx="506">
                  <c:v>8.7899999999999991</c:v>
                </c:pt>
                <c:pt idx="507">
                  <c:v>8.36</c:v>
                </c:pt>
                <c:pt idx="508">
                  <c:v>9.6300000000000008</c:v>
                </c:pt>
                <c:pt idx="509">
                  <c:v>8.92</c:v>
                </c:pt>
                <c:pt idx="510">
                  <c:v>10.71</c:v>
                </c:pt>
                <c:pt idx="511">
                  <c:v>8.18</c:v>
                </c:pt>
                <c:pt idx="512">
                  <c:v>5.0199999999999996</c:v>
                </c:pt>
                <c:pt idx="513">
                  <c:v>7.77</c:v>
                </c:pt>
                <c:pt idx="514">
                  <c:v>16.37</c:v>
                </c:pt>
                <c:pt idx="515">
                  <c:v>8.14</c:v>
                </c:pt>
                <c:pt idx="516">
                  <c:v>12.91</c:v>
                </c:pt>
                <c:pt idx="517">
                  <c:v>18.829999999999998</c:v>
                </c:pt>
                <c:pt idx="518">
                  <c:v>8.9600000000000009</c:v>
                </c:pt>
                <c:pt idx="519">
                  <c:v>8.26</c:v>
                </c:pt>
                <c:pt idx="520">
                  <c:v>7.8</c:v>
                </c:pt>
                <c:pt idx="521">
                  <c:v>7.67</c:v>
                </c:pt>
                <c:pt idx="522">
                  <c:v>9.7799999999999994</c:v>
                </c:pt>
                <c:pt idx="523">
                  <c:v>12.21</c:v>
                </c:pt>
                <c:pt idx="524">
                  <c:v>29.13</c:v>
                </c:pt>
                <c:pt idx="525">
                  <c:v>9.9</c:v>
                </c:pt>
                <c:pt idx="526">
                  <c:v>10.28</c:v>
                </c:pt>
                <c:pt idx="527">
                  <c:v>11.86</c:v>
                </c:pt>
                <c:pt idx="528">
                  <c:v>10.42</c:v>
                </c:pt>
                <c:pt idx="529">
                  <c:v>20.64</c:v>
                </c:pt>
                <c:pt idx="530">
                  <c:v>25.79</c:v>
                </c:pt>
                <c:pt idx="531">
                  <c:v>22.3</c:v>
                </c:pt>
                <c:pt idx="532">
                  <c:v>55.75</c:v>
                </c:pt>
                <c:pt idx="533">
                  <c:v>64.52</c:v>
                </c:pt>
                <c:pt idx="534">
                  <c:v>17.13</c:v>
                </c:pt>
                <c:pt idx="535">
                  <c:v>14.09</c:v>
                </c:pt>
                <c:pt idx="536">
                  <c:v>21.04</c:v>
                </c:pt>
                <c:pt idx="537">
                  <c:v>12.5</c:v>
                </c:pt>
                <c:pt idx="538">
                  <c:v>12.3</c:v>
                </c:pt>
                <c:pt idx="539">
                  <c:v>7.12</c:v>
                </c:pt>
                <c:pt idx="540">
                  <c:v>13.1</c:v>
                </c:pt>
                <c:pt idx="541">
                  <c:v>8.35</c:v>
                </c:pt>
                <c:pt idx="542">
                  <c:v>12.56</c:v>
                </c:pt>
                <c:pt idx="543">
                  <c:v>13.71</c:v>
                </c:pt>
                <c:pt idx="544">
                  <c:v>8.25</c:v>
                </c:pt>
                <c:pt idx="545">
                  <c:v>14.41</c:v>
                </c:pt>
                <c:pt idx="546">
                  <c:v>6.64</c:v>
                </c:pt>
                <c:pt idx="547">
                  <c:v>4.58</c:v>
                </c:pt>
                <c:pt idx="548">
                  <c:v>6.95</c:v>
                </c:pt>
                <c:pt idx="549">
                  <c:v>10.62</c:v>
                </c:pt>
                <c:pt idx="550">
                  <c:v>8.2799999999999994</c:v>
                </c:pt>
                <c:pt idx="551">
                  <c:v>8.17</c:v>
                </c:pt>
                <c:pt idx="552">
                  <c:v>6.69</c:v>
                </c:pt>
                <c:pt idx="553">
                  <c:v>6</c:v>
                </c:pt>
                <c:pt idx="554">
                  <c:v>5.95</c:v>
                </c:pt>
                <c:pt idx="555">
                  <c:v>6.96</c:v>
                </c:pt>
                <c:pt idx="556">
                  <c:v>8.11</c:v>
                </c:pt>
                <c:pt idx="557">
                  <c:v>7.74</c:v>
                </c:pt>
                <c:pt idx="558">
                  <c:v>6.73</c:v>
                </c:pt>
                <c:pt idx="559">
                  <c:v>9.57</c:v>
                </c:pt>
                <c:pt idx="560">
                  <c:v>10.07</c:v>
                </c:pt>
                <c:pt idx="561">
                  <c:v>6.58</c:v>
                </c:pt>
                <c:pt idx="562">
                  <c:v>7.05</c:v>
                </c:pt>
                <c:pt idx="563">
                  <c:v>5.48</c:v>
                </c:pt>
                <c:pt idx="564">
                  <c:v>7.81</c:v>
                </c:pt>
                <c:pt idx="565">
                  <c:v>12.43</c:v>
                </c:pt>
                <c:pt idx="566">
                  <c:v>8.15</c:v>
                </c:pt>
                <c:pt idx="567">
                  <c:v>7.38</c:v>
                </c:pt>
                <c:pt idx="568">
                  <c:v>10.69</c:v>
                </c:pt>
                <c:pt idx="569">
                  <c:v>11.21</c:v>
                </c:pt>
                <c:pt idx="570">
                  <c:v>8.1300000000000008</c:v>
                </c:pt>
                <c:pt idx="571">
                  <c:v>6.2</c:v>
                </c:pt>
                <c:pt idx="572">
                  <c:v>9.81</c:v>
                </c:pt>
                <c:pt idx="573">
                  <c:v>6.33</c:v>
                </c:pt>
                <c:pt idx="574">
                  <c:v>9.7200000000000006</c:v>
                </c:pt>
                <c:pt idx="575">
                  <c:v>8.39</c:v>
                </c:pt>
                <c:pt idx="576">
                  <c:v>16.63</c:v>
                </c:pt>
                <c:pt idx="577">
                  <c:v>22.56</c:v>
                </c:pt>
                <c:pt idx="578">
                  <c:v>10.19</c:v>
                </c:pt>
                <c:pt idx="579">
                  <c:v>9.9</c:v>
                </c:pt>
                <c:pt idx="580">
                  <c:v>6.93</c:v>
                </c:pt>
                <c:pt idx="581">
                  <c:v>8.14</c:v>
                </c:pt>
                <c:pt idx="582">
                  <c:v>7.77</c:v>
                </c:pt>
                <c:pt idx="583">
                  <c:v>6.5</c:v>
                </c:pt>
                <c:pt idx="584">
                  <c:v>9.1999999999999993</c:v>
                </c:pt>
                <c:pt idx="585">
                  <c:v>7.84</c:v>
                </c:pt>
                <c:pt idx="586">
                  <c:v>9.99</c:v>
                </c:pt>
                <c:pt idx="587">
                  <c:v>7.6</c:v>
                </c:pt>
                <c:pt idx="588">
                  <c:v>15.45</c:v>
                </c:pt>
                <c:pt idx="589">
                  <c:v>17.64</c:v>
                </c:pt>
                <c:pt idx="590">
                  <c:v>10.95</c:v>
                </c:pt>
                <c:pt idx="591">
                  <c:v>19.329999999999998</c:v>
                </c:pt>
                <c:pt idx="592">
                  <c:v>20.61</c:v>
                </c:pt>
                <c:pt idx="593">
                  <c:v>10.050000000000001</c:v>
                </c:pt>
                <c:pt idx="594">
                  <c:v>8.39</c:v>
                </c:pt>
                <c:pt idx="595">
                  <c:v>10.74</c:v>
                </c:pt>
                <c:pt idx="596">
                  <c:v>16.78</c:v>
                </c:pt>
                <c:pt idx="597">
                  <c:v>19.670000000000002</c:v>
                </c:pt>
                <c:pt idx="598">
                  <c:v>13.83</c:v>
                </c:pt>
                <c:pt idx="599">
                  <c:v>13.07</c:v>
                </c:pt>
                <c:pt idx="600">
                  <c:v>18.559999999999999</c:v>
                </c:pt>
                <c:pt idx="601">
                  <c:v>17.239999999999998</c:v>
                </c:pt>
                <c:pt idx="602">
                  <c:v>3.17</c:v>
                </c:pt>
                <c:pt idx="603">
                  <c:v>27.37</c:v>
                </c:pt>
                <c:pt idx="604">
                  <c:v>18.47</c:v>
                </c:pt>
                <c:pt idx="605">
                  <c:v>16.3</c:v>
                </c:pt>
                <c:pt idx="606">
                  <c:v>20.89</c:v>
                </c:pt>
                <c:pt idx="607">
                  <c:v>6.93</c:v>
                </c:pt>
                <c:pt idx="608">
                  <c:v>6.42</c:v>
                </c:pt>
                <c:pt idx="609">
                  <c:v>7.27</c:v>
                </c:pt>
                <c:pt idx="610">
                  <c:v>10.34</c:v>
                </c:pt>
                <c:pt idx="611">
                  <c:v>10.61</c:v>
                </c:pt>
                <c:pt idx="612">
                  <c:v>9.39</c:v>
                </c:pt>
                <c:pt idx="613">
                  <c:v>10.51</c:v>
                </c:pt>
                <c:pt idx="614">
                  <c:v>22.24</c:v>
                </c:pt>
                <c:pt idx="615">
                  <c:v>8.8000000000000007</c:v>
                </c:pt>
                <c:pt idx="616">
                  <c:v>9.11</c:v>
                </c:pt>
                <c:pt idx="617">
                  <c:v>12.43</c:v>
                </c:pt>
                <c:pt idx="618">
                  <c:v>18.28</c:v>
                </c:pt>
                <c:pt idx="619">
                  <c:v>15.55</c:v>
                </c:pt>
                <c:pt idx="620">
                  <c:v>9.99</c:v>
                </c:pt>
                <c:pt idx="621">
                  <c:v>16.21</c:v>
                </c:pt>
                <c:pt idx="622">
                  <c:v>22.84</c:v>
                </c:pt>
                <c:pt idx="623">
                  <c:v>24.18</c:v>
                </c:pt>
                <c:pt idx="624">
                  <c:v>20.99</c:v>
                </c:pt>
                <c:pt idx="625">
                  <c:v>9.5299999999999994</c:v>
                </c:pt>
                <c:pt idx="626">
                  <c:v>14.37</c:v>
                </c:pt>
                <c:pt idx="627">
                  <c:v>12.49</c:v>
                </c:pt>
                <c:pt idx="628">
                  <c:v>8.42</c:v>
                </c:pt>
                <c:pt idx="629">
                  <c:v>12.27</c:v>
                </c:pt>
                <c:pt idx="630">
                  <c:v>10.52</c:v>
                </c:pt>
                <c:pt idx="631">
                  <c:v>8.7100000000000009</c:v>
                </c:pt>
                <c:pt idx="632">
                  <c:v>9.41</c:v>
                </c:pt>
                <c:pt idx="633">
                  <c:v>10.91</c:v>
                </c:pt>
                <c:pt idx="634">
                  <c:v>8.09</c:v>
                </c:pt>
                <c:pt idx="635">
                  <c:v>11.97</c:v>
                </c:pt>
                <c:pt idx="636">
                  <c:v>17.47</c:v>
                </c:pt>
                <c:pt idx="637">
                  <c:v>25.76</c:v>
                </c:pt>
                <c:pt idx="638">
                  <c:v>13.25</c:v>
                </c:pt>
                <c:pt idx="639">
                  <c:v>17.829999999999998</c:v>
                </c:pt>
                <c:pt idx="640">
                  <c:v>11.36</c:v>
                </c:pt>
                <c:pt idx="641">
                  <c:v>6.96</c:v>
                </c:pt>
                <c:pt idx="642">
                  <c:v>7.76</c:v>
                </c:pt>
                <c:pt idx="643">
                  <c:v>11.35</c:v>
                </c:pt>
                <c:pt idx="644">
                  <c:v>9.34</c:v>
                </c:pt>
                <c:pt idx="645">
                  <c:v>11.36</c:v>
                </c:pt>
                <c:pt idx="646">
                  <c:v>10.42</c:v>
                </c:pt>
                <c:pt idx="647">
                  <c:v>9.8800000000000008</c:v>
                </c:pt>
                <c:pt idx="648">
                  <c:v>7.98</c:v>
                </c:pt>
                <c:pt idx="649">
                  <c:v>8.61</c:v>
                </c:pt>
                <c:pt idx="650">
                  <c:v>6.42</c:v>
                </c:pt>
                <c:pt idx="651">
                  <c:v>10.89</c:v>
                </c:pt>
                <c:pt idx="652">
                  <c:v>8.92</c:v>
                </c:pt>
                <c:pt idx="653">
                  <c:v>8.31</c:v>
                </c:pt>
                <c:pt idx="654">
                  <c:v>10.09</c:v>
                </c:pt>
                <c:pt idx="655">
                  <c:v>15.9</c:v>
                </c:pt>
                <c:pt idx="656">
                  <c:v>17.7</c:v>
                </c:pt>
                <c:pt idx="657">
                  <c:v>38.979999999999997</c:v>
                </c:pt>
                <c:pt idx="658">
                  <c:v>15.89</c:v>
                </c:pt>
                <c:pt idx="659">
                  <c:v>16.93</c:v>
                </c:pt>
                <c:pt idx="660">
                  <c:v>10.84</c:v>
                </c:pt>
                <c:pt idx="661">
                  <c:v>9.35</c:v>
                </c:pt>
                <c:pt idx="662">
                  <c:v>9.74</c:v>
                </c:pt>
                <c:pt idx="663">
                  <c:v>10.64</c:v>
                </c:pt>
                <c:pt idx="664">
                  <c:v>9.9700000000000006</c:v>
                </c:pt>
                <c:pt idx="665">
                  <c:v>16.04</c:v>
                </c:pt>
                <c:pt idx="666">
                  <c:v>15.79</c:v>
                </c:pt>
                <c:pt idx="667">
                  <c:v>9.19</c:v>
                </c:pt>
                <c:pt idx="668">
                  <c:v>11.32</c:v>
                </c:pt>
                <c:pt idx="669">
                  <c:v>11.03</c:v>
                </c:pt>
                <c:pt idx="670">
                  <c:v>13.41</c:v>
                </c:pt>
                <c:pt idx="671">
                  <c:v>9.2799999999999994</c:v>
                </c:pt>
                <c:pt idx="672">
                  <c:v>14.07</c:v>
                </c:pt>
                <c:pt idx="673">
                  <c:v>12.35</c:v>
                </c:pt>
                <c:pt idx="674">
                  <c:v>11.11</c:v>
                </c:pt>
                <c:pt idx="675">
                  <c:v>13.79</c:v>
                </c:pt>
                <c:pt idx="676">
                  <c:v>18.29</c:v>
                </c:pt>
                <c:pt idx="677">
                  <c:v>18.57</c:v>
                </c:pt>
                <c:pt idx="678">
                  <c:v>39.880000000000003</c:v>
                </c:pt>
                <c:pt idx="679">
                  <c:v>35.17</c:v>
                </c:pt>
                <c:pt idx="680">
                  <c:v>19.260000000000002</c:v>
                </c:pt>
                <c:pt idx="681">
                  <c:v>16.02</c:v>
                </c:pt>
                <c:pt idx="682">
                  <c:v>11.24</c:v>
                </c:pt>
                <c:pt idx="683">
                  <c:v>8.17</c:v>
                </c:pt>
                <c:pt idx="684">
                  <c:v>7.01</c:v>
                </c:pt>
                <c:pt idx="685">
                  <c:v>9.07</c:v>
                </c:pt>
                <c:pt idx="686">
                  <c:v>11.32</c:v>
                </c:pt>
                <c:pt idx="687">
                  <c:v>13.88</c:v>
                </c:pt>
                <c:pt idx="688">
                  <c:v>17.079999999999998</c:v>
                </c:pt>
                <c:pt idx="689">
                  <c:v>16.649999999999999</c:v>
                </c:pt>
                <c:pt idx="690">
                  <c:v>14.29</c:v>
                </c:pt>
                <c:pt idx="691">
                  <c:v>5.0599999999999996</c:v>
                </c:pt>
                <c:pt idx="692">
                  <c:v>7.42</c:v>
                </c:pt>
                <c:pt idx="693">
                  <c:v>11.09</c:v>
                </c:pt>
                <c:pt idx="694">
                  <c:v>8.3699999999999992</c:v>
                </c:pt>
                <c:pt idx="695">
                  <c:v>9.86</c:v>
                </c:pt>
                <c:pt idx="696">
                  <c:v>14.36</c:v>
                </c:pt>
                <c:pt idx="697">
                  <c:v>10.83</c:v>
                </c:pt>
                <c:pt idx="698">
                  <c:v>10.93</c:v>
                </c:pt>
                <c:pt idx="699">
                  <c:v>12.49</c:v>
                </c:pt>
                <c:pt idx="700">
                  <c:v>14.24</c:v>
                </c:pt>
                <c:pt idx="701">
                  <c:v>14.7</c:v>
                </c:pt>
                <c:pt idx="702">
                  <c:v>23.21</c:v>
                </c:pt>
                <c:pt idx="703">
                  <c:v>11.82</c:v>
                </c:pt>
                <c:pt idx="704">
                  <c:v>13.47</c:v>
                </c:pt>
                <c:pt idx="705">
                  <c:v>18.420000000000002</c:v>
                </c:pt>
                <c:pt idx="706">
                  <c:v>15.29</c:v>
                </c:pt>
                <c:pt idx="707">
                  <c:v>15.55</c:v>
                </c:pt>
                <c:pt idx="708">
                  <c:v>21.7</c:v>
                </c:pt>
                <c:pt idx="709">
                  <c:v>32.369999999999997</c:v>
                </c:pt>
                <c:pt idx="710">
                  <c:v>78.290000000000006</c:v>
                </c:pt>
                <c:pt idx="711">
                  <c:v>20.2</c:v>
                </c:pt>
                <c:pt idx="712">
                  <c:v>17.8</c:v>
                </c:pt>
                <c:pt idx="713">
                  <c:v>8.19</c:v>
                </c:pt>
                <c:pt idx="714">
                  <c:v>11.92</c:v>
                </c:pt>
                <c:pt idx="715">
                  <c:v>20.04</c:v>
                </c:pt>
                <c:pt idx="716">
                  <c:v>17.34</c:v>
                </c:pt>
                <c:pt idx="717">
                  <c:v>18.03</c:v>
                </c:pt>
                <c:pt idx="718">
                  <c:v>21.4</c:v>
                </c:pt>
                <c:pt idx="719">
                  <c:v>34.49</c:v>
                </c:pt>
                <c:pt idx="720">
                  <c:v>17.93</c:v>
                </c:pt>
                <c:pt idx="721">
                  <c:v>25.95</c:v>
                </c:pt>
                <c:pt idx="722">
                  <c:v>18.97</c:v>
                </c:pt>
                <c:pt idx="723">
                  <c:v>20.420000000000002</c:v>
                </c:pt>
                <c:pt idx="724">
                  <c:v>27.92</c:v>
                </c:pt>
                <c:pt idx="725">
                  <c:v>16.579999999999998</c:v>
                </c:pt>
                <c:pt idx="726">
                  <c:v>20.54</c:v>
                </c:pt>
                <c:pt idx="727">
                  <c:v>24.21</c:v>
                </c:pt>
                <c:pt idx="728">
                  <c:v>15.67</c:v>
                </c:pt>
                <c:pt idx="729">
                  <c:v>23.41</c:v>
                </c:pt>
                <c:pt idx="730">
                  <c:v>24.51</c:v>
                </c:pt>
                <c:pt idx="731">
                  <c:v>23.38</c:v>
                </c:pt>
                <c:pt idx="732">
                  <c:v>24.4</c:v>
                </c:pt>
                <c:pt idx="733">
                  <c:v>21.41</c:v>
                </c:pt>
                <c:pt idx="734">
                  <c:v>23.55</c:v>
                </c:pt>
                <c:pt idx="735">
                  <c:v>46.15</c:v>
                </c:pt>
                <c:pt idx="736">
                  <c:v>37.83</c:v>
                </c:pt>
                <c:pt idx="737">
                  <c:v>16.059999999999999</c:v>
                </c:pt>
                <c:pt idx="738">
                  <c:v>19.600000000000001</c:v>
                </c:pt>
                <c:pt idx="739">
                  <c:v>27.18</c:v>
                </c:pt>
                <c:pt idx="740">
                  <c:v>15.91</c:v>
                </c:pt>
                <c:pt idx="741">
                  <c:v>14.31</c:v>
                </c:pt>
                <c:pt idx="742">
                  <c:v>25.66</c:v>
                </c:pt>
                <c:pt idx="743">
                  <c:v>17.600000000000001</c:v>
                </c:pt>
                <c:pt idx="744">
                  <c:v>18.12</c:v>
                </c:pt>
                <c:pt idx="745">
                  <c:v>24.92</c:v>
                </c:pt>
                <c:pt idx="746">
                  <c:v>29.28</c:v>
                </c:pt>
                <c:pt idx="747">
                  <c:v>38.24</c:v>
                </c:pt>
                <c:pt idx="748">
                  <c:v>40.49</c:v>
                </c:pt>
                <c:pt idx="749">
                  <c:v>36.950000000000003</c:v>
                </c:pt>
                <c:pt idx="750">
                  <c:v>27.98</c:v>
                </c:pt>
                <c:pt idx="751">
                  <c:v>34.22</c:v>
                </c:pt>
                <c:pt idx="752">
                  <c:v>21.63</c:v>
                </c:pt>
                <c:pt idx="753">
                  <c:v>33</c:v>
                </c:pt>
                <c:pt idx="754">
                  <c:v>35.11</c:v>
                </c:pt>
                <c:pt idx="755">
                  <c:v>41.7</c:v>
                </c:pt>
                <c:pt idx="756">
                  <c:v>36.130000000000003</c:v>
                </c:pt>
                <c:pt idx="757">
                  <c:v>42.29</c:v>
                </c:pt>
                <c:pt idx="758">
                  <c:v>36.04</c:v>
                </c:pt>
                <c:pt idx="759">
                  <c:v>45.26</c:v>
                </c:pt>
                <c:pt idx="760">
                  <c:v>66.84</c:v>
                </c:pt>
                <c:pt idx="761">
                  <c:v>28.53</c:v>
                </c:pt>
                <c:pt idx="762">
                  <c:v>19.3</c:v>
                </c:pt>
                <c:pt idx="763">
                  <c:v>20.03</c:v>
                </c:pt>
                <c:pt idx="764">
                  <c:v>23.63</c:v>
                </c:pt>
                <c:pt idx="765">
                  <c:v>41.34</c:v>
                </c:pt>
                <c:pt idx="766">
                  <c:v>11.01</c:v>
                </c:pt>
                <c:pt idx="767">
                  <c:v>25.75</c:v>
                </c:pt>
                <c:pt idx="768">
                  <c:v>16.13</c:v>
                </c:pt>
                <c:pt idx="769">
                  <c:v>8.67</c:v>
                </c:pt>
                <c:pt idx="770">
                  <c:v>14.02</c:v>
                </c:pt>
                <c:pt idx="771">
                  <c:v>11.23</c:v>
                </c:pt>
                <c:pt idx="772">
                  <c:v>12.88</c:v>
                </c:pt>
                <c:pt idx="773">
                  <c:v>22.75</c:v>
                </c:pt>
                <c:pt idx="774">
                  <c:v>18.100000000000001</c:v>
                </c:pt>
                <c:pt idx="775">
                  <c:v>19.559999999999999</c:v>
                </c:pt>
                <c:pt idx="776">
                  <c:v>11.89</c:v>
                </c:pt>
                <c:pt idx="777">
                  <c:v>16.2</c:v>
                </c:pt>
                <c:pt idx="778">
                  <c:v>24.17</c:v>
                </c:pt>
                <c:pt idx="779">
                  <c:v>56.71</c:v>
                </c:pt>
                <c:pt idx="780">
                  <c:v>27.85</c:v>
                </c:pt>
                <c:pt idx="781">
                  <c:v>41.13</c:v>
                </c:pt>
                <c:pt idx="782">
                  <c:v>43.21</c:v>
                </c:pt>
                <c:pt idx="783">
                  <c:v>15.04</c:v>
                </c:pt>
                <c:pt idx="784">
                  <c:v>15.28</c:v>
                </c:pt>
                <c:pt idx="785">
                  <c:v>23.15</c:v>
                </c:pt>
                <c:pt idx="786">
                  <c:v>18.32</c:v>
                </c:pt>
                <c:pt idx="787">
                  <c:v>17.350000000000001</c:v>
                </c:pt>
                <c:pt idx="788">
                  <c:v>16.59</c:v>
                </c:pt>
                <c:pt idx="789">
                  <c:v>17.329999999999998</c:v>
                </c:pt>
                <c:pt idx="790">
                  <c:v>11.47</c:v>
                </c:pt>
                <c:pt idx="791">
                  <c:v>14.39</c:v>
                </c:pt>
                <c:pt idx="792">
                  <c:v>12.32</c:v>
                </c:pt>
                <c:pt idx="793">
                  <c:v>10.57</c:v>
                </c:pt>
                <c:pt idx="794">
                  <c:v>11.5</c:v>
                </c:pt>
                <c:pt idx="795">
                  <c:v>13.16</c:v>
                </c:pt>
                <c:pt idx="796">
                  <c:v>8.02</c:v>
                </c:pt>
                <c:pt idx="797">
                  <c:v>15.84</c:v>
                </c:pt>
                <c:pt idx="798">
                  <c:v>8.86</c:v>
                </c:pt>
                <c:pt idx="799">
                  <c:v>8.9499999999999993</c:v>
                </c:pt>
                <c:pt idx="800">
                  <c:v>11.23</c:v>
                </c:pt>
                <c:pt idx="801">
                  <c:v>9.0500000000000007</c:v>
                </c:pt>
                <c:pt idx="802">
                  <c:v>7.77</c:v>
                </c:pt>
                <c:pt idx="803">
                  <c:v>7.58</c:v>
                </c:pt>
                <c:pt idx="804">
                  <c:v>9.74</c:v>
                </c:pt>
                <c:pt idx="805">
                  <c:v>11.48</c:v>
                </c:pt>
                <c:pt idx="806">
                  <c:v>11.57</c:v>
                </c:pt>
                <c:pt idx="807">
                  <c:v>8.15</c:v>
                </c:pt>
                <c:pt idx="808">
                  <c:v>16.579999999999998</c:v>
                </c:pt>
                <c:pt idx="809">
                  <c:v>22.21</c:v>
                </c:pt>
                <c:pt idx="810">
                  <c:v>17.239999999999998</c:v>
                </c:pt>
                <c:pt idx="811">
                  <c:v>19.399999999999999</c:v>
                </c:pt>
                <c:pt idx="812">
                  <c:v>37.340000000000003</c:v>
                </c:pt>
                <c:pt idx="813">
                  <c:v>29.68</c:v>
                </c:pt>
                <c:pt idx="814">
                  <c:v>24.2</c:v>
                </c:pt>
                <c:pt idx="815">
                  <c:v>34.65</c:v>
                </c:pt>
                <c:pt idx="816">
                  <c:v>37.51</c:v>
                </c:pt>
                <c:pt idx="817">
                  <c:v>22.05</c:v>
                </c:pt>
                <c:pt idx="818">
                  <c:v>35.159999999999997</c:v>
                </c:pt>
                <c:pt idx="819">
                  <c:v>38.24</c:v>
                </c:pt>
                <c:pt idx="820">
                  <c:v>9.86</c:v>
                </c:pt>
                <c:pt idx="821">
                  <c:v>8.9</c:v>
                </c:pt>
                <c:pt idx="822">
                  <c:v>13.14</c:v>
                </c:pt>
                <c:pt idx="823">
                  <c:v>13.79</c:v>
                </c:pt>
                <c:pt idx="824">
                  <c:v>15.9</c:v>
                </c:pt>
                <c:pt idx="825">
                  <c:v>13</c:v>
                </c:pt>
                <c:pt idx="826">
                  <c:v>23.5</c:v>
                </c:pt>
                <c:pt idx="827">
                  <c:v>22.13</c:v>
                </c:pt>
                <c:pt idx="828">
                  <c:v>27.03</c:v>
                </c:pt>
                <c:pt idx="829">
                  <c:v>23.9</c:v>
                </c:pt>
                <c:pt idx="830">
                  <c:v>14.14</c:v>
                </c:pt>
                <c:pt idx="831">
                  <c:v>13.43</c:v>
                </c:pt>
                <c:pt idx="832">
                  <c:v>22.57</c:v>
                </c:pt>
                <c:pt idx="833">
                  <c:v>20.23</c:v>
                </c:pt>
                <c:pt idx="834">
                  <c:v>46.7</c:v>
                </c:pt>
                <c:pt idx="835">
                  <c:v>14.68</c:v>
                </c:pt>
                <c:pt idx="836">
                  <c:v>38.76</c:v>
                </c:pt>
                <c:pt idx="837">
                  <c:v>11.86</c:v>
                </c:pt>
                <c:pt idx="838">
                  <c:v>8.1300000000000008</c:v>
                </c:pt>
                <c:pt idx="839">
                  <c:v>13.43</c:v>
                </c:pt>
                <c:pt idx="840">
                  <c:v>11.52</c:v>
                </c:pt>
                <c:pt idx="841">
                  <c:v>20.27</c:v>
                </c:pt>
                <c:pt idx="842">
                  <c:v>7.02</c:v>
                </c:pt>
                <c:pt idx="843">
                  <c:v>17.84</c:v>
                </c:pt>
                <c:pt idx="844">
                  <c:v>14.34</c:v>
                </c:pt>
                <c:pt idx="845">
                  <c:v>23.2</c:v>
                </c:pt>
                <c:pt idx="846">
                  <c:v>26.64</c:v>
                </c:pt>
                <c:pt idx="847">
                  <c:v>46.28</c:v>
                </c:pt>
                <c:pt idx="848">
                  <c:v>25.91</c:v>
                </c:pt>
                <c:pt idx="849">
                  <c:v>18.93</c:v>
                </c:pt>
                <c:pt idx="850">
                  <c:v>22.33</c:v>
                </c:pt>
                <c:pt idx="851">
                  <c:v>35.54</c:v>
                </c:pt>
                <c:pt idx="852">
                  <c:v>22.52</c:v>
                </c:pt>
                <c:pt idx="853">
                  <c:v>47.82</c:v>
                </c:pt>
                <c:pt idx="854">
                  <c:v>59.06</c:v>
                </c:pt>
                <c:pt idx="855">
                  <c:v>60.29</c:v>
                </c:pt>
                <c:pt idx="856">
                  <c:v>85.41</c:v>
                </c:pt>
                <c:pt idx="857">
                  <c:v>50.16</c:v>
                </c:pt>
                <c:pt idx="858">
                  <c:v>29.22</c:v>
                </c:pt>
                <c:pt idx="859">
                  <c:v>21.18</c:v>
                </c:pt>
                <c:pt idx="860">
                  <c:v>9.74</c:v>
                </c:pt>
                <c:pt idx="861">
                  <c:v>10.37</c:v>
                </c:pt>
                <c:pt idx="862">
                  <c:v>17.510000000000002</c:v>
                </c:pt>
                <c:pt idx="863">
                  <c:v>9.2200000000000006</c:v>
                </c:pt>
                <c:pt idx="864">
                  <c:v>10.69</c:v>
                </c:pt>
                <c:pt idx="865">
                  <c:v>15.96</c:v>
                </c:pt>
                <c:pt idx="866">
                  <c:v>16.36</c:v>
                </c:pt>
                <c:pt idx="867">
                  <c:v>15.45</c:v>
                </c:pt>
                <c:pt idx="868">
                  <c:v>15.71</c:v>
                </c:pt>
                <c:pt idx="869">
                  <c:v>22.89</c:v>
                </c:pt>
                <c:pt idx="870">
                  <c:v>24.82</c:v>
                </c:pt>
                <c:pt idx="871">
                  <c:v>21.79</c:v>
                </c:pt>
                <c:pt idx="872">
                  <c:v>52.62</c:v>
                </c:pt>
                <c:pt idx="873">
                  <c:v>56.67</c:v>
                </c:pt>
                <c:pt idx="874">
                  <c:v>70.39</c:v>
                </c:pt>
                <c:pt idx="875">
                  <c:v>79.5</c:v>
                </c:pt>
                <c:pt idx="876">
                  <c:v>20.25</c:v>
                </c:pt>
                <c:pt idx="877">
                  <c:v>19.62</c:v>
                </c:pt>
                <c:pt idx="878">
                  <c:v>16.04</c:v>
                </c:pt>
                <c:pt idx="879">
                  <c:v>19.05</c:v>
                </c:pt>
                <c:pt idx="880">
                  <c:v>17.23</c:v>
                </c:pt>
                <c:pt idx="881">
                  <c:v>37.49</c:v>
                </c:pt>
                <c:pt idx="882">
                  <c:v>10.63</c:v>
                </c:pt>
                <c:pt idx="883">
                  <c:v>10.23</c:v>
                </c:pt>
                <c:pt idx="884">
                  <c:v>14.32</c:v>
                </c:pt>
                <c:pt idx="885">
                  <c:v>16.239999999999998</c:v>
                </c:pt>
                <c:pt idx="886">
                  <c:v>25.81</c:v>
                </c:pt>
                <c:pt idx="887">
                  <c:v>12.08</c:v>
                </c:pt>
                <c:pt idx="888">
                  <c:v>10.48</c:v>
                </c:pt>
                <c:pt idx="889">
                  <c:v>14.84</c:v>
                </c:pt>
                <c:pt idx="890">
                  <c:v>10.59</c:v>
                </c:pt>
                <c:pt idx="891">
                  <c:v>12.49</c:v>
                </c:pt>
                <c:pt idx="892">
                  <c:v>9.94</c:v>
                </c:pt>
                <c:pt idx="893">
                  <c:v>19.420000000000002</c:v>
                </c:pt>
                <c:pt idx="894">
                  <c:v>10.74</c:v>
                </c:pt>
                <c:pt idx="895">
                  <c:v>7.86</c:v>
                </c:pt>
                <c:pt idx="896">
                  <c:v>11.19</c:v>
                </c:pt>
                <c:pt idx="897">
                  <c:v>18.850000000000001</c:v>
                </c:pt>
                <c:pt idx="898">
                  <c:v>27.69</c:v>
                </c:pt>
                <c:pt idx="899">
                  <c:v>15.42</c:v>
                </c:pt>
                <c:pt idx="900">
                  <c:v>18.16</c:v>
                </c:pt>
                <c:pt idx="901">
                  <c:v>20.36</c:v>
                </c:pt>
                <c:pt idx="902">
                  <c:v>23.58</c:v>
                </c:pt>
                <c:pt idx="903">
                  <c:v>47.18</c:v>
                </c:pt>
                <c:pt idx="904">
                  <c:v>11</c:v>
                </c:pt>
                <c:pt idx="905">
                  <c:v>18.47</c:v>
                </c:pt>
                <c:pt idx="906">
                  <c:v>9.67</c:v>
                </c:pt>
                <c:pt idx="907">
                  <c:v>14.94</c:v>
                </c:pt>
                <c:pt idx="908">
                  <c:v>15.6</c:v>
                </c:pt>
                <c:pt idx="909">
                  <c:v>14.74</c:v>
                </c:pt>
                <c:pt idx="910">
                  <c:v>24.44</c:v>
                </c:pt>
                <c:pt idx="911">
                  <c:v>47.26</c:v>
                </c:pt>
                <c:pt idx="912">
                  <c:v>44.53</c:v>
                </c:pt>
                <c:pt idx="913">
                  <c:v>18.309999999999999</c:v>
                </c:pt>
                <c:pt idx="914">
                  <c:v>23.66</c:v>
                </c:pt>
                <c:pt idx="915">
                  <c:v>16.46</c:v>
                </c:pt>
                <c:pt idx="916">
                  <c:v>29.02</c:v>
                </c:pt>
                <c:pt idx="917">
                  <c:v>28.85</c:v>
                </c:pt>
                <c:pt idx="918">
                  <c:v>20.48</c:v>
                </c:pt>
                <c:pt idx="919">
                  <c:v>10.83</c:v>
                </c:pt>
                <c:pt idx="920">
                  <c:v>13.09</c:v>
                </c:pt>
                <c:pt idx="921">
                  <c:v>11.83</c:v>
                </c:pt>
                <c:pt idx="922">
                  <c:v>20.93</c:v>
                </c:pt>
                <c:pt idx="923">
                  <c:v>17.88</c:v>
                </c:pt>
                <c:pt idx="924">
                  <c:v>11.09</c:v>
                </c:pt>
                <c:pt idx="925">
                  <c:v>10.25</c:v>
                </c:pt>
                <c:pt idx="926">
                  <c:v>12.7</c:v>
                </c:pt>
                <c:pt idx="927">
                  <c:v>10.19</c:v>
                </c:pt>
                <c:pt idx="928">
                  <c:v>15.94</c:v>
                </c:pt>
                <c:pt idx="929">
                  <c:v>13.33</c:v>
                </c:pt>
                <c:pt idx="930">
                  <c:v>14.63</c:v>
                </c:pt>
                <c:pt idx="931">
                  <c:v>13.88</c:v>
                </c:pt>
                <c:pt idx="932">
                  <c:v>22.44</c:v>
                </c:pt>
                <c:pt idx="933">
                  <c:v>12.58</c:v>
                </c:pt>
                <c:pt idx="934">
                  <c:v>18.04</c:v>
                </c:pt>
                <c:pt idx="935">
                  <c:v>19.07</c:v>
                </c:pt>
                <c:pt idx="936">
                  <c:v>23.57</c:v>
                </c:pt>
                <c:pt idx="937">
                  <c:v>21.48</c:v>
                </c:pt>
                <c:pt idx="938">
                  <c:v>20.100000000000001</c:v>
                </c:pt>
                <c:pt idx="939">
                  <c:v>14.85</c:v>
                </c:pt>
                <c:pt idx="940">
                  <c:v>17.68</c:v>
                </c:pt>
                <c:pt idx="941">
                  <c:v>21.42</c:v>
                </c:pt>
                <c:pt idx="942">
                  <c:v>30.72</c:v>
                </c:pt>
                <c:pt idx="943">
                  <c:v>24.89</c:v>
                </c:pt>
                <c:pt idx="944">
                  <c:v>21.26</c:v>
                </c:pt>
                <c:pt idx="945">
                  <c:v>31.43</c:v>
                </c:pt>
                <c:pt idx="946">
                  <c:v>30.13</c:v>
                </c:pt>
                <c:pt idx="947">
                  <c:v>46.66</c:v>
                </c:pt>
                <c:pt idx="948">
                  <c:v>96.65</c:v>
                </c:pt>
                <c:pt idx="949">
                  <c:v>38.76</c:v>
                </c:pt>
                <c:pt idx="950">
                  <c:v>73.040000000000006</c:v>
                </c:pt>
                <c:pt idx="951">
                  <c:v>25.6</c:v>
                </c:pt>
                <c:pt idx="952">
                  <c:v>47.55</c:v>
                </c:pt>
                <c:pt idx="953">
                  <c:v>17.579999999999998</c:v>
                </c:pt>
                <c:pt idx="954">
                  <c:v>25.33</c:v>
                </c:pt>
                <c:pt idx="955">
                  <c:v>28.87</c:v>
                </c:pt>
                <c:pt idx="956">
                  <c:v>22.64</c:v>
                </c:pt>
                <c:pt idx="957">
                  <c:v>20.88</c:v>
                </c:pt>
                <c:pt idx="958">
                  <c:v>24.41</c:v>
                </c:pt>
                <c:pt idx="959">
                  <c:v>30.48</c:v>
                </c:pt>
                <c:pt idx="960">
                  <c:v>38</c:v>
                </c:pt>
                <c:pt idx="961">
                  <c:v>61.65</c:v>
                </c:pt>
                <c:pt idx="962">
                  <c:v>16.54</c:v>
                </c:pt>
                <c:pt idx="963">
                  <c:v>13.75</c:v>
                </c:pt>
                <c:pt idx="964">
                  <c:v>16.3</c:v>
                </c:pt>
                <c:pt idx="965">
                  <c:v>19.46</c:v>
                </c:pt>
                <c:pt idx="966">
                  <c:v>14.32</c:v>
                </c:pt>
                <c:pt idx="967">
                  <c:v>13.86</c:v>
                </c:pt>
                <c:pt idx="968">
                  <c:v>18.260000000000002</c:v>
                </c:pt>
                <c:pt idx="969">
                  <c:v>20.61</c:v>
                </c:pt>
                <c:pt idx="970">
                  <c:v>16.5</c:v>
                </c:pt>
                <c:pt idx="971">
                  <c:v>13.1</c:v>
                </c:pt>
                <c:pt idx="972">
                  <c:v>12.71</c:v>
                </c:pt>
                <c:pt idx="973">
                  <c:v>11.44</c:v>
                </c:pt>
                <c:pt idx="974">
                  <c:v>19.89</c:v>
                </c:pt>
                <c:pt idx="975">
                  <c:v>19.63</c:v>
                </c:pt>
                <c:pt idx="976">
                  <c:v>23.14</c:v>
                </c:pt>
                <c:pt idx="977">
                  <c:v>21.36</c:v>
                </c:pt>
                <c:pt idx="978">
                  <c:v>15.79</c:v>
                </c:pt>
                <c:pt idx="979">
                  <c:v>13.31</c:v>
                </c:pt>
                <c:pt idx="980">
                  <c:v>17.53</c:v>
                </c:pt>
                <c:pt idx="981">
                  <c:v>20.25</c:v>
                </c:pt>
                <c:pt idx="982">
                  <c:v>34.51</c:v>
                </c:pt>
                <c:pt idx="983">
                  <c:v>16.36</c:v>
                </c:pt>
                <c:pt idx="984">
                  <c:v>14.12</c:v>
                </c:pt>
                <c:pt idx="985">
                  <c:v>15.2</c:v>
                </c:pt>
                <c:pt idx="986">
                  <c:v>25.67</c:v>
                </c:pt>
                <c:pt idx="987">
                  <c:v>31.38</c:v>
                </c:pt>
                <c:pt idx="988">
                  <c:v>29.06</c:v>
                </c:pt>
                <c:pt idx="989">
                  <c:v>36.49</c:v>
                </c:pt>
                <c:pt idx="990">
                  <c:v>27.79</c:v>
                </c:pt>
                <c:pt idx="991">
                  <c:v>26.08</c:v>
                </c:pt>
                <c:pt idx="992">
                  <c:v>40.68</c:v>
                </c:pt>
                <c:pt idx="993">
                  <c:v>27.61</c:v>
                </c:pt>
                <c:pt idx="994">
                  <c:v>41.56</c:v>
                </c:pt>
                <c:pt idx="995">
                  <c:v>46.05</c:v>
                </c:pt>
                <c:pt idx="996">
                  <c:v>91.99</c:v>
                </c:pt>
                <c:pt idx="997">
                  <c:v>78.58</c:v>
                </c:pt>
                <c:pt idx="998">
                  <c:v>48.76</c:v>
                </c:pt>
                <c:pt idx="999">
                  <c:v>41.12</c:v>
                </c:pt>
                <c:pt idx="1000">
                  <c:v>30.79</c:v>
                </c:pt>
                <c:pt idx="1001">
                  <c:v>19.600000000000001</c:v>
                </c:pt>
                <c:pt idx="1002">
                  <c:v>22.59</c:v>
                </c:pt>
                <c:pt idx="1003">
                  <c:v>22.99</c:v>
                </c:pt>
                <c:pt idx="1004">
                  <c:v>17.32</c:v>
                </c:pt>
                <c:pt idx="1005">
                  <c:v>24.9</c:v>
                </c:pt>
                <c:pt idx="1006">
                  <c:v>20.85</c:v>
                </c:pt>
                <c:pt idx="1007">
                  <c:v>25.6</c:v>
                </c:pt>
                <c:pt idx="1008">
                  <c:v>16.23</c:v>
                </c:pt>
                <c:pt idx="1009">
                  <c:v>43.43</c:v>
                </c:pt>
                <c:pt idx="1010">
                  <c:v>25.95</c:v>
                </c:pt>
                <c:pt idx="1011">
                  <c:v>13.16</c:v>
                </c:pt>
                <c:pt idx="1012">
                  <c:v>26.68</c:v>
                </c:pt>
                <c:pt idx="1013">
                  <c:v>51.55</c:v>
                </c:pt>
                <c:pt idx="1014">
                  <c:v>28.13</c:v>
                </c:pt>
                <c:pt idx="1015">
                  <c:v>24.07</c:v>
                </c:pt>
                <c:pt idx="1016">
                  <c:v>19.850000000000001</c:v>
                </c:pt>
                <c:pt idx="1017">
                  <c:v>29.15</c:v>
                </c:pt>
                <c:pt idx="1018">
                  <c:v>31.78</c:v>
                </c:pt>
                <c:pt idx="1019">
                  <c:v>43.63</c:v>
                </c:pt>
                <c:pt idx="1020">
                  <c:v>47.28</c:v>
                </c:pt>
                <c:pt idx="1021">
                  <c:v>70.66</c:v>
                </c:pt>
                <c:pt idx="1022">
                  <c:v>41.5</c:v>
                </c:pt>
                <c:pt idx="1023">
                  <c:v>53.64</c:v>
                </c:pt>
                <c:pt idx="1024">
                  <c:v>48.46</c:v>
                </c:pt>
                <c:pt idx="1025">
                  <c:v>57.74</c:v>
                </c:pt>
                <c:pt idx="1026">
                  <c:v>23.76</c:v>
                </c:pt>
                <c:pt idx="1027">
                  <c:v>22.13</c:v>
                </c:pt>
                <c:pt idx="1028">
                  <c:v>48.47</c:v>
                </c:pt>
                <c:pt idx="1029">
                  <c:v>24.97</c:v>
                </c:pt>
                <c:pt idx="1030">
                  <c:v>24.71</c:v>
                </c:pt>
                <c:pt idx="1031">
                  <c:v>29</c:v>
                </c:pt>
                <c:pt idx="1032">
                  <c:v>44.67</c:v>
                </c:pt>
                <c:pt idx="1033">
                  <c:v>31.79</c:v>
                </c:pt>
                <c:pt idx="1034">
                  <c:v>67.61</c:v>
                </c:pt>
                <c:pt idx="1035">
                  <c:v>58.32</c:v>
                </c:pt>
                <c:pt idx="1036">
                  <c:v>48.3</c:v>
                </c:pt>
                <c:pt idx="1037">
                  <c:v>63.93</c:v>
                </c:pt>
                <c:pt idx="1038">
                  <c:v>35.619999999999997</c:v>
                </c:pt>
                <c:pt idx="1039">
                  <c:v>42.97</c:v>
                </c:pt>
                <c:pt idx="1040">
                  <c:v>56.43</c:v>
                </c:pt>
                <c:pt idx="1041">
                  <c:v>34.950000000000003</c:v>
                </c:pt>
                <c:pt idx="1042">
                  <c:v>49.07</c:v>
                </c:pt>
                <c:pt idx="1043">
                  <c:v>18.02</c:v>
                </c:pt>
                <c:pt idx="1044">
                  <c:v>26.89</c:v>
                </c:pt>
                <c:pt idx="1045">
                  <c:v>19.53</c:v>
                </c:pt>
                <c:pt idx="1046">
                  <c:v>18.25</c:v>
                </c:pt>
                <c:pt idx="1047">
                  <c:v>18.93</c:v>
                </c:pt>
                <c:pt idx="1048">
                  <c:v>26.55</c:v>
                </c:pt>
                <c:pt idx="1049">
                  <c:v>15.74</c:v>
                </c:pt>
                <c:pt idx="1050">
                  <c:v>22.77</c:v>
                </c:pt>
                <c:pt idx="1051">
                  <c:v>23.7</c:v>
                </c:pt>
                <c:pt idx="1052">
                  <c:v>40.99</c:v>
                </c:pt>
                <c:pt idx="1053">
                  <c:v>41.83</c:v>
                </c:pt>
                <c:pt idx="1054">
                  <c:v>23.78</c:v>
                </c:pt>
                <c:pt idx="1055">
                  <c:v>22.39</c:v>
                </c:pt>
                <c:pt idx="1056">
                  <c:v>19.55</c:v>
                </c:pt>
                <c:pt idx="1057">
                  <c:v>23.26</c:v>
                </c:pt>
                <c:pt idx="1058">
                  <c:v>26.99</c:v>
                </c:pt>
                <c:pt idx="1059">
                  <c:v>60.32</c:v>
                </c:pt>
                <c:pt idx="1060">
                  <c:v>65.23</c:v>
                </c:pt>
                <c:pt idx="1061">
                  <c:v>39.68</c:v>
                </c:pt>
                <c:pt idx="1062">
                  <c:v>30.85</c:v>
                </c:pt>
                <c:pt idx="1063">
                  <c:v>35.69</c:v>
                </c:pt>
                <c:pt idx="1064">
                  <c:v>22.15</c:v>
                </c:pt>
                <c:pt idx="1065">
                  <c:v>28.01</c:v>
                </c:pt>
                <c:pt idx="1066">
                  <c:v>28.43</c:v>
                </c:pt>
                <c:pt idx="1067">
                  <c:v>15.89</c:v>
                </c:pt>
                <c:pt idx="1068">
                  <c:v>31.39</c:v>
                </c:pt>
                <c:pt idx="1069">
                  <c:v>24.22</c:v>
                </c:pt>
                <c:pt idx="1070">
                  <c:v>41.66</c:v>
                </c:pt>
                <c:pt idx="1071">
                  <c:v>45.41</c:v>
                </c:pt>
                <c:pt idx="1072">
                  <c:v>23.18</c:v>
                </c:pt>
                <c:pt idx="1073">
                  <c:v>45.31</c:v>
                </c:pt>
                <c:pt idx="1074">
                  <c:v>48.98</c:v>
                </c:pt>
                <c:pt idx="1075">
                  <c:v>26.6</c:v>
                </c:pt>
                <c:pt idx="1076">
                  <c:v>20.95</c:v>
                </c:pt>
                <c:pt idx="1077">
                  <c:v>7.77</c:v>
                </c:pt>
                <c:pt idx="1078">
                  <c:v>28.2</c:v>
                </c:pt>
                <c:pt idx="1079">
                  <c:v>46.37</c:v>
                </c:pt>
                <c:pt idx="1080">
                  <c:v>63.32</c:v>
                </c:pt>
                <c:pt idx="1081">
                  <c:v>57.46</c:v>
                </c:pt>
                <c:pt idx="1082">
                  <c:v>35.29</c:v>
                </c:pt>
                <c:pt idx="1083">
                  <c:v>34.25</c:v>
                </c:pt>
                <c:pt idx="1084">
                  <c:v>27</c:v>
                </c:pt>
                <c:pt idx="1085">
                  <c:v>18.809999999999999</c:v>
                </c:pt>
                <c:pt idx="1086">
                  <c:v>22.6</c:v>
                </c:pt>
                <c:pt idx="1087">
                  <c:v>14.37</c:v>
                </c:pt>
                <c:pt idx="1088">
                  <c:v>16.350000000000001</c:v>
                </c:pt>
                <c:pt idx="1089">
                  <c:v>21.01</c:v>
                </c:pt>
                <c:pt idx="1090">
                  <c:v>16.82</c:v>
                </c:pt>
                <c:pt idx="1091">
                  <c:v>45.89</c:v>
                </c:pt>
                <c:pt idx="1092">
                  <c:v>16.079999999999998</c:v>
                </c:pt>
                <c:pt idx="1093">
                  <c:v>20.149999999999999</c:v>
                </c:pt>
                <c:pt idx="1094">
                  <c:v>22.04</c:v>
                </c:pt>
                <c:pt idx="1095">
                  <c:v>16.48</c:v>
                </c:pt>
                <c:pt idx="1096">
                  <c:v>16.149999999999999</c:v>
                </c:pt>
                <c:pt idx="1097">
                  <c:v>19.02</c:v>
                </c:pt>
                <c:pt idx="1098">
                  <c:v>20.23</c:v>
                </c:pt>
                <c:pt idx="1099">
                  <c:v>27.12</c:v>
                </c:pt>
                <c:pt idx="1100">
                  <c:v>38.22</c:v>
                </c:pt>
                <c:pt idx="1101">
                  <c:v>35.69</c:v>
                </c:pt>
                <c:pt idx="1102">
                  <c:v>66.25</c:v>
                </c:pt>
                <c:pt idx="1103">
                  <c:v>22.37</c:v>
                </c:pt>
                <c:pt idx="1104">
                  <c:v>25.5</c:v>
                </c:pt>
                <c:pt idx="1105">
                  <c:v>16.29</c:v>
                </c:pt>
                <c:pt idx="1106">
                  <c:v>21.89</c:v>
                </c:pt>
                <c:pt idx="1107">
                  <c:v>24.3</c:v>
                </c:pt>
                <c:pt idx="1108">
                  <c:v>19.760000000000002</c:v>
                </c:pt>
                <c:pt idx="1109">
                  <c:v>18.48</c:v>
                </c:pt>
                <c:pt idx="1110">
                  <c:v>25.62</c:v>
                </c:pt>
                <c:pt idx="1111">
                  <c:v>23.19</c:v>
                </c:pt>
                <c:pt idx="1112">
                  <c:v>26.63</c:v>
                </c:pt>
                <c:pt idx="1113">
                  <c:v>31.49</c:v>
                </c:pt>
                <c:pt idx="1114">
                  <c:v>61.79</c:v>
                </c:pt>
                <c:pt idx="1115">
                  <c:v>18.53</c:v>
                </c:pt>
                <c:pt idx="1116">
                  <c:v>23.89</c:v>
                </c:pt>
                <c:pt idx="1117">
                  <c:v>29.78</c:v>
                </c:pt>
                <c:pt idx="1118">
                  <c:v>33.94</c:v>
                </c:pt>
                <c:pt idx="1119">
                  <c:v>50.65</c:v>
                </c:pt>
                <c:pt idx="1120">
                  <c:v>30.77</c:v>
                </c:pt>
                <c:pt idx="1121">
                  <c:v>30.99</c:v>
                </c:pt>
                <c:pt idx="1122">
                  <c:v>19.260000000000002</c:v>
                </c:pt>
                <c:pt idx="1123">
                  <c:v>17.79</c:v>
                </c:pt>
                <c:pt idx="1124">
                  <c:v>27.83</c:v>
                </c:pt>
                <c:pt idx="1125">
                  <c:v>25.59</c:v>
                </c:pt>
                <c:pt idx="1126">
                  <c:v>32.659999999999997</c:v>
                </c:pt>
                <c:pt idx="1127">
                  <c:v>41.39</c:v>
                </c:pt>
                <c:pt idx="1128">
                  <c:v>15.69</c:v>
                </c:pt>
                <c:pt idx="1129">
                  <c:v>20.59</c:v>
                </c:pt>
                <c:pt idx="1130">
                  <c:v>39.78</c:v>
                </c:pt>
                <c:pt idx="1131">
                  <c:v>97</c:v>
                </c:pt>
                <c:pt idx="1132">
                  <c:v>34.65</c:v>
                </c:pt>
                <c:pt idx="1133">
                  <c:v>47.21</c:v>
                </c:pt>
                <c:pt idx="1134">
                  <c:v>22.63</c:v>
                </c:pt>
                <c:pt idx="1135">
                  <c:v>15.2</c:v>
                </c:pt>
                <c:pt idx="1136">
                  <c:v>14.74</c:v>
                </c:pt>
                <c:pt idx="1137">
                  <c:v>17.23</c:v>
                </c:pt>
                <c:pt idx="1138">
                  <c:v>16.91</c:v>
                </c:pt>
                <c:pt idx="1139">
                  <c:v>15.47</c:v>
                </c:pt>
                <c:pt idx="1140">
                  <c:v>12.49</c:v>
                </c:pt>
                <c:pt idx="1141">
                  <c:v>11.74</c:v>
                </c:pt>
                <c:pt idx="1142">
                  <c:v>28.75</c:v>
                </c:pt>
                <c:pt idx="1143">
                  <c:v>22.7</c:v>
                </c:pt>
                <c:pt idx="1144">
                  <c:v>21.29</c:v>
                </c:pt>
                <c:pt idx="1145">
                  <c:v>55.14</c:v>
                </c:pt>
                <c:pt idx="1146">
                  <c:v>16.47</c:v>
                </c:pt>
                <c:pt idx="1147">
                  <c:v>20.91</c:v>
                </c:pt>
                <c:pt idx="1148">
                  <c:v>17.89</c:v>
                </c:pt>
                <c:pt idx="1149">
                  <c:v>48.77</c:v>
                </c:pt>
                <c:pt idx="1150">
                  <c:v>17.190000000000001</c:v>
                </c:pt>
                <c:pt idx="1151">
                  <c:v>13.27</c:v>
                </c:pt>
                <c:pt idx="1152">
                  <c:v>16.649999999999999</c:v>
                </c:pt>
                <c:pt idx="1153">
                  <c:v>16.32</c:v>
                </c:pt>
                <c:pt idx="1154">
                  <c:v>14.83</c:v>
                </c:pt>
                <c:pt idx="1155">
                  <c:v>19.29</c:v>
                </c:pt>
                <c:pt idx="1156">
                  <c:v>22.65</c:v>
                </c:pt>
                <c:pt idx="1157">
                  <c:v>60.19</c:v>
                </c:pt>
                <c:pt idx="1158">
                  <c:v>31.49</c:v>
                </c:pt>
                <c:pt idx="1159">
                  <c:v>32.57</c:v>
                </c:pt>
                <c:pt idx="1160">
                  <c:v>28.01</c:v>
                </c:pt>
                <c:pt idx="1161">
                  <c:v>18.920000000000002</c:v>
                </c:pt>
                <c:pt idx="1162">
                  <c:v>14.88</c:v>
                </c:pt>
                <c:pt idx="1163">
                  <c:v>22.14</c:v>
                </c:pt>
                <c:pt idx="1164">
                  <c:v>23.78</c:v>
                </c:pt>
                <c:pt idx="1165">
                  <c:v>18.48</c:v>
                </c:pt>
                <c:pt idx="1166">
                  <c:v>20.3</c:v>
                </c:pt>
                <c:pt idx="1167">
                  <c:v>16.190000000000001</c:v>
                </c:pt>
                <c:pt idx="1168">
                  <c:v>18.77</c:v>
                </c:pt>
                <c:pt idx="1169">
                  <c:v>21.28</c:v>
                </c:pt>
                <c:pt idx="1170">
                  <c:v>31.28</c:v>
                </c:pt>
                <c:pt idx="1171">
                  <c:v>34.71</c:v>
                </c:pt>
                <c:pt idx="1172">
                  <c:v>37.9</c:v>
                </c:pt>
                <c:pt idx="1173">
                  <c:v>39.32</c:v>
                </c:pt>
                <c:pt idx="1174">
                  <c:v>44.3</c:v>
                </c:pt>
                <c:pt idx="1175">
                  <c:v>41.22</c:v>
                </c:pt>
                <c:pt idx="1176">
                  <c:v>91.5</c:v>
                </c:pt>
                <c:pt idx="1177">
                  <c:v>71.959999999999994</c:v>
                </c:pt>
                <c:pt idx="1178">
                  <c:v>75.58</c:v>
                </c:pt>
                <c:pt idx="1179">
                  <c:v>54.65</c:v>
                </c:pt>
                <c:pt idx="1180">
                  <c:v>26.55</c:v>
                </c:pt>
                <c:pt idx="1181">
                  <c:v>31.4</c:v>
                </c:pt>
                <c:pt idx="1182">
                  <c:v>30.53</c:v>
                </c:pt>
                <c:pt idx="1183">
                  <c:v>28.89</c:v>
                </c:pt>
                <c:pt idx="1184">
                  <c:v>24.03</c:v>
                </c:pt>
                <c:pt idx="1185">
                  <c:v>27.64</c:v>
                </c:pt>
                <c:pt idx="1186">
                  <c:v>24.46</c:v>
                </c:pt>
                <c:pt idx="1187">
                  <c:v>22.56</c:v>
                </c:pt>
                <c:pt idx="1188">
                  <c:v>19.850000000000001</c:v>
                </c:pt>
                <c:pt idx="1189">
                  <c:v>27.2</c:v>
                </c:pt>
                <c:pt idx="1190">
                  <c:v>39.909999999999997</c:v>
                </c:pt>
                <c:pt idx="1191">
                  <c:v>19.559999999999999</c:v>
                </c:pt>
                <c:pt idx="1192">
                  <c:v>14.63</c:v>
                </c:pt>
                <c:pt idx="1193">
                  <c:v>22</c:v>
                </c:pt>
                <c:pt idx="1194">
                  <c:v>18.98</c:v>
                </c:pt>
                <c:pt idx="1195">
                  <c:v>22.63</c:v>
                </c:pt>
                <c:pt idx="1196">
                  <c:v>28.51</c:v>
                </c:pt>
                <c:pt idx="1197">
                  <c:v>35.840000000000003</c:v>
                </c:pt>
                <c:pt idx="1198">
                  <c:v>24.58</c:v>
                </c:pt>
                <c:pt idx="1199">
                  <c:v>24.55</c:v>
                </c:pt>
                <c:pt idx="1200">
                  <c:v>53.24</c:v>
                </c:pt>
                <c:pt idx="1201">
                  <c:v>39.01</c:v>
                </c:pt>
                <c:pt idx="1202">
                  <c:v>58.38</c:v>
                </c:pt>
                <c:pt idx="1203">
                  <c:v>25.32</c:v>
                </c:pt>
                <c:pt idx="1204">
                  <c:v>20.14</c:v>
                </c:pt>
                <c:pt idx="1205">
                  <c:v>20.8</c:v>
                </c:pt>
                <c:pt idx="1206">
                  <c:v>14.95</c:v>
                </c:pt>
                <c:pt idx="1207">
                  <c:v>14.95</c:v>
                </c:pt>
                <c:pt idx="1208">
                  <c:v>20.02</c:v>
                </c:pt>
                <c:pt idx="1209">
                  <c:v>21.39</c:v>
                </c:pt>
                <c:pt idx="1210">
                  <c:v>18.100000000000001</c:v>
                </c:pt>
                <c:pt idx="1211">
                  <c:v>25.31</c:v>
                </c:pt>
                <c:pt idx="1212">
                  <c:v>24.25</c:v>
                </c:pt>
                <c:pt idx="1213">
                  <c:v>65.59</c:v>
                </c:pt>
                <c:pt idx="1214">
                  <c:v>17.71</c:v>
                </c:pt>
                <c:pt idx="1215">
                  <c:v>30.3</c:v>
                </c:pt>
                <c:pt idx="1216">
                  <c:v>30.17</c:v>
                </c:pt>
                <c:pt idx="1217">
                  <c:v>21.46</c:v>
                </c:pt>
                <c:pt idx="1218">
                  <c:v>17.8</c:v>
                </c:pt>
                <c:pt idx="1219">
                  <c:v>13.09</c:v>
                </c:pt>
                <c:pt idx="1220">
                  <c:v>18.05</c:v>
                </c:pt>
                <c:pt idx="1221">
                  <c:v>32.97</c:v>
                </c:pt>
                <c:pt idx="1222">
                  <c:v>25.16</c:v>
                </c:pt>
                <c:pt idx="1223">
                  <c:v>23.33</c:v>
                </c:pt>
                <c:pt idx="1224">
                  <c:v>35.770000000000003</c:v>
                </c:pt>
                <c:pt idx="1225">
                  <c:v>26.67</c:v>
                </c:pt>
                <c:pt idx="1226">
                  <c:v>27.08</c:v>
                </c:pt>
                <c:pt idx="1227">
                  <c:v>49.09</c:v>
                </c:pt>
                <c:pt idx="1228">
                  <c:v>17.739999999999998</c:v>
                </c:pt>
                <c:pt idx="1229">
                  <c:v>42.64</c:v>
                </c:pt>
                <c:pt idx="1230">
                  <c:v>37.56</c:v>
                </c:pt>
                <c:pt idx="1231">
                  <c:v>36.119999999999997</c:v>
                </c:pt>
                <c:pt idx="1232">
                  <c:v>62.87</c:v>
                </c:pt>
                <c:pt idx="1233">
                  <c:v>18.14</c:v>
                </c:pt>
              </c:numCache>
            </c:numRef>
          </c:val>
          <c:extLst>
            <c:ext xmlns:c16="http://schemas.microsoft.com/office/drawing/2014/chart" uri="{C3380CC4-5D6E-409C-BE32-E72D297353CC}">
              <c16:uniqueId val="{00000000-A6C8-4755-B12E-5004D2755817}"/>
            </c:ext>
          </c:extLst>
        </c:ser>
        <c:dLbls>
          <c:showLegendKey val="0"/>
          <c:showVal val="0"/>
          <c:showCatName val="0"/>
          <c:showSerName val="0"/>
          <c:showPercent val="0"/>
          <c:showBubbleSize val="0"/>
        </c:dLbls>
        <c:axId val="2028294287"/>
        <c:axId val="2028300527"/>
      </c:areaChart>
      <c:dateAx>
        <c:axId val="20282942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9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028300527"/>
        <c:crosses val="autoZero"/>
        <c:auto val="0"/>
        <c:lblOffset val="100"/>
        <c:baseTimeUnit val="days"/>
        <c:majorUnit val="12"/>
        <c:majorTimeUnit val="months"/>
      </c:dateAx>
      <c:valAx>
        <c:axId val="2028300527"/>
        <c:scaling>
          <c:orientation val="minMax"/>
          <c:max val="80"/>
          <c:min val="0"/>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94287"/>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3-F8C0-43EF-9767-38B3B273C60A}"/>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2-F8C0-43EF-9767-38B3B273C60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1-F8C0-43EF-9767-38B3B273C60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Analysis'!$G$66:$J$66</c:f>
              <c:numCache>
                <c:formatCode>mmm\-yy</c:formatCode>
                <c:ptCount val="4"/>
                <c:pt idx="0">
                  <c:v>44651</c:v>
                </c:pt>
                <c:pt idx="1">
                  <c:v>45016</c:v>
                </c:pt>
                <c:pt idx="2">
                  <c:v>45382</c:v>
                </c:pt>
                <c:pt idx="3">
                  <c:v>45747</c:v>
                </c:pt>
              </c:numCache>
            </c:numRef>
          </c:cat>
          <c:val>
            <c:numRef>
              <c:f>'DuPont Analysis'!$G$68:$J$68</c:f>
              <c:numCache>
                <c:formatCode>"₹"\ #,##0.0;"₹"\ \(#,##0.0\)</c:formatCode>
                <c:ptCount val="4"/>
                <c:pt idx="0">
                  <c:v>60644.54</c:v>
                </c:pt>
                <c:pt idx="1">
                  <c:v>70919.03</c:v>
                </c:pt>
                <c:pt idx="2">
                  <c:v>67931.94</c:v>
                </c:pt>
                <c:pt idx="3">
                  <c:v>75323.34</c:v>
                </c:pt>
              </c:numCache>
            </c:numRef>
          </c:val>
          <c:extLst>
            <c:ext xmlns:c16="http://schemas.microsoft.com/office/drawing/2014/chart" uri="{C3380CC4-5D6E-409C-BE32-E72D297353CC}">
              <c16:uniqueId val="{00000000-F8C0-43EF-9767-38B3B273C60A}"/>
            </c:ext>
          </c:extLst>
        </c:ser>
        <c:dLbls>
          <c:showLegendKey val="0"/>
          <c:showVal val="0"/>
          <c:showCatName val="0"/>
          <c:showSerName val="0"/>
          <c:showPercent val="0"/>
          <c:showBubbleSize val="0"/>
        </c:dLbls>
        <c:gapWidth val="219"/>
        <c:overlap val="-27"/>
        <c:axId val="666663887"/>
        <c:axId val="666662447"/>
      </c:barChart>
      <c:dateAx>
        <c:axId val="6666638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62447"/>
        <c:crosses val="autoZero"/>
        <c:auto val="1"/>
        <c:lblOffset val="100"/>
        <c:baseTimeUnit val="years"/>
      </c:dateAx>
      <c:valAx>
        <c:axId val="666662447"/>
        <c:scaling>
          <c:orientation val="minMax"/>
        </c:scaling>
        <c:delete val="1"/>
        <c:axPos val="l"/>
        <c:numFmt formatCode="&quot;₹&quot;\ #,##0.0;&quot;₹&quot;\ \(#,##0.0\)" sourceLinked="1"/>
        <c:majorTickMark val="none"/>
        <c:minorTickMark val="none"/>
        <c:tickLblPos val="nextTo"/>
        <c:crossAx val="6666638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80F9-4638-9A45-59BB5E2818F8}"/>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80F9-4638-9A45-59BB5E2818F8}"/>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80F9-4638-9A45-59BB5E2818F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Analysis'!$G$66:$J$66</c:f>
              <c:numCache>
                <c:formatCode>mmm\-yy</c:formatCode>
                <c:ptCount val="4"/>
                <c:pt idx="0">
                  <c:v>44651</c:v>
                </c:pt>
                <c:pt idx="1">
                  <c:v>45016</c:v>
                </c:pt>
                <c:pt idx="2">
                  <c:v>45382</c:v>
                </c:pt>
                <c:pt idx="3">
                  <c:v>45747</c:v>
                </c:pt>
              </c:numCache>
            </c:numRef>
          </c:cat>
          <c:val>
            <c:numRef>
              <c:f>'DuPont Analysis'!$G$67:$J$67</c:f>
              <c:numCache>
                <c:formatCode>"₹"\ #,##0.0;"₹"\ \(#,##0.0\)</c:formatCode>
                <c:ptCount val="4"/>
                <c:pt idx="0">
                  <c:v>15242.66</c:v>
                </c:pt>
                <c:pt idx="1">
                  <c:v>19191.66</c:v>
                </c:pt>
                <c:pt idx="2">
                  <c:v>20458.78</c:v>
                </c:pt>
                <c:pt idx="3">
                  <c:v>34746.629999999997</c:v>
                </c:pt>
              </c:numCache>
            </c:numRef>
          </c:val>
          <c:extLst>
            <c:ext xmlns:c16="http://schemas.microsoft.com/office/drawing/2014/chart" uri="{C3380CC4-5D6E-409C-BE32-E72D297353CC}">
              <c16:uniqueId val="{00000006-80F9-4638-9A45-59BB5E2818F8}"/>
            </c:ext>
          </c:extLst>
        </c:ser>
        <c:dLbls>
          <c:showLegendKey val="0"/>
          <c:showVal val="0"/>
          <c:showCatName val="0"/>
          <c:showSerName val="0"/>
          <c:showPercent val="0"/>
          <c:showBubbleSize val="0"/>
        </c:dLbls>
        <c:gapWidth val="219"/>
        <c:overlap val="-27"/>
        <c:axId val="666663887"/>
        <c:axId val="666662447"/>
      </c:barChart>
      <c:dateAx>
        <c:axId val="6666638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62447"/>
        <c:crosses val="autoZero"/>
        <c:auto val="1"/>
        <c:lblOffset val="100"/>
        <c:baseTimeUnit val="years"/>
      </c:dateAx>
      <c:valAx>
        <c:axId val="666662447"/>
        <c:scaling>
          <c:orientation val="minMax"/>
        </c:scaling>
        <c:delete val="1"/>
        <c:axPos val="l"/>
        <c:numFmt formatCode="&quot;₹&quot;\ #,##0.0;&quot;₹&quot;\ \(#,##0.0\)" sourceLinked="1"/>
        <c:majorTickMark val="none"/>
        <c:minorTickMark val="none"/>
        <c:tickLblPos val="nextTo"/>
        <c:crossAx val="6666638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7E07-4E48-B3B3-D1B19F42B2B3}"/>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7E07-4E48-B3B3-D1B19F42B2B3}"/>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7E07-4E48-B3B3-D1B19F42B2B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Analysis'!$G$66:$J$66</c:f>
              <c:numCache>
                <c:formatCode>mmm\-yy</c:formatCode>
                <c:ptCount val="4"/>
                <c:pt idx="0">
                  <c:v>44651</c:v>
                </c:pt>
                <c:pt idx="1">
                  <c:v>45016</c:v>
                </c:pt>
                <c:pt idx="2">
                  <c:v>45382</c:v>
                </c:pt>
                <c:pt idx="3">
                  <c:v>45747</c:v>
                </c:pt>
              </c:numCache>
            </c:numRef>
          </c:cat>
          <c:val>
            <c:numRef>
              <c:f>'DuPont Analysis'!$G$72:$J$72</c:f>
              <c:numCache>
                <c:formatCode>"₹"\ #,##0.0;"₹"\ \(#,##0.0\)</c:formatCode>
                <c:ptCount val="4"/>
                <c:pt idx="0">
                  <c:v>114076.4</c:v>
                </c:pt>
                <c:pt idx="1">
                  <c:v>124428.97</c:v>
                </c:pt>
                <c:pt idx="2">
                  <c:v>134669.45000000001</c:v>
                </c:pt>
                <c:pt idx="3">
                  <c:v>133879.685</c:v>
                </c:pt>
              </c:numCache>
            </c:numRef>
          </c:val>
          <c:extLst>
            <c:ext xmlns:c16="http://schemas.microsoft.com/office/drawing/2014/chart" uri="{C3380CC4-5D6E-409C-BE32-E72D297353CC}">
              <c16:uniqueId val="{00000006-7E07-4E48-B3B3-D1B19F42B2B3}"/>
            </c:ext>
          </c:extLst>
        </c:ser>
        <c:dLbls>
          <c:showLegendKey val="0"/>
          <c:showVal val="0"/>
          <c:showCatName val="0"/>
          <c:showSerName val="0"/>
          <c:showPercent val="0"/>
          <c:showBubbleSize val="0"/>
        </c:dLbls>
        <c:gapWidth val="219"/>
        <c:overlap val="-27"/>
        <c:axId val="666663887"/>
        <c:axId val="666662447"/>
      </c:barChart>
      <c:dateAx>
        <c:axId val="6666638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62447"/>
        <c:crosses val="autoZero"/>
        <c:auto val="1"/>
        <c:lblOffset val="100"/>
        <c:baseTimeUnit val="years"/>
      </c:dateAx>
      <c:valAx>
        <c:axId val="666662447"/>
        <c:scaling>
          <c:orientation val="minMax"/>
        </c:scaling>
        <c:delete val="1"/>
        <c:axPos val="l"/>
        <c:numFmt formatCode="&quot;₹&quot;\ #,##0.0;&quot;₹&quot;\ \(#,##0.0\)" sourceLinked="1"/>
        <c:majorTickMark val="none"/>
        <c:minorTickMark val="none"/>
        <c:tickLblPos val="nextTo"/>
        <c:crossAx val="6666638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99F1-478D-AE1D-8D6F89241E61}"/>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99F1-478D-AE1D-8D6F89241E61}"/>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99F1-478D-AE1D-8D6F89241E61}"/>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Analysis'!$G$66:$J$66</c:f>
              <c:numCache>
                <c:formatCode>mmm\-yy</c:formatCode>
                <c:ptCount val="4"/>
                <c:pt idx="0">
                  <c:v>44651</c:v>
                </c:pt>
                <c:pt idx="1">
                  <c:v>45016</c:v>
                </c:pt>
                <c:pt idx="2">
                  <c:v>45382</c:v>
                </c:pt>
                <c:pt idx="3">
                  <c:v>45747</c:v>
                </c:pt>
              </c:numCache>
            </c:numRef>
          </c:cat>
          <c:val>
            <c:numRef>
              <c:f>'DuPont Analysis'!$G$79:$J$79</c:f>
              <c:numCache>
                <c:formatCode>0.00%</c:formatCode>
                <c:ptCount val="4"/>
                <c:pt idx="0">
                  <c:v>0.16644978644582792</c:v>
                </c:pt>
                <c:pt idx="1">
                  <c:v>0.19778446964544094</c:v>
                </c:pt>
                <c:pt idx="2">
                  <c:v>0.1922659375036416</c:v>
                </c:pt>
                <c:pt idx="3">
                  <c:v>0.31725700835060339</c:v>
                </c:pt>
              </c:numCache>
            </c:numRef>
          </c:val>
          <c:extLst>
            <c:ext xmlns:c16="http://schemas.microsoft.com/office/drawing/2014/chart" uri="{C3380CC4-5D6E-409C-BE32-E72D297353CC}">
              <c16:uniqueId val="{00000006-99F1-478D-AE1D-8D6F89241E61}"/>
            </c:ext>
          </c:extLst>
        </c:ser>
        <c:dLbls>
          <c:showLegendKey val="0"/>
          <c:showVal val="0"/>
          <c:showCatName val="0"/>
          <c:showSerName val="0"/>
          <c:showPercent val="0"/>
          <c:showBubbleSize val="0"/>
        </c:dLbls>
        <c:gapWidth val="219"/>
        <c:overlap val="-27"/>
        <c:axId val="666663887"/>
        <c:axId val="666662447"/>
      </c:barChart>
      <c:dateAx>
        <c:axId val="6666638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62447"/>
        <c:crosses val="autoZero"/>
        <c:auto val="1"/>
        <c:lblOffset val="100"/>
        <c:baseTimeUnit val="years"/>
      </c:dateAx>
      <c:valAx>
        <c:axId val="666662447"/>
        <c:scaling>
          <c:orientation val="minMax"/>
        </c:scaling>
        <c:delete val="1"/>
        <c:axPos val="l"/>
        <c:numFmt formatCode="0.00%" sourceLinked="1"/>
        <c:majorTickMark val="none"/>
        <c:minorTickMark val="none"/>
        <c:tickLblPos val="nextTo"/>
        <c:crossAx val="6666638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095D-4E34-A469-E5E0D7905930}"/>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095D-4E34-A469-E5E0D790593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095D-4E34-A469-E5E0D790593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Analysis'!$G$66:$J$66</c:f>
              <c:numCache>
                <c:formatCode>mmm\-yy</c:formatCode>
                <c:ptCount val="4"/>
                <c:pt idx="0">
                  <c:v>44651</c:v>
                </c:pt>
                <c:pt idx="1">
                  <c:v>45016</c:v>
                </c:pt>
                <c:pt idx="2">
                  <c:v>45382</c:v>
                </c:pt>
                <c:pt idx="3">
                  <c:v>45747</c:v>
                </c:pt>
              </c:numCache>
            </c:numRef>
          </c:cat>
          <c:val>
            <c:numRef>
              <c:f>'DuPont Analysis'!$G$86:$J$86</c:f>
              <c:numCache>
                <c:formatCode>0.00%</c:formatCode>
                <c:ptCount val="4"/>
                <c:pt idx="0">
                  <c:v>0.13361799636033395</c:v>
                </c:pt>
                <c:pt idx="1">
                  <c:v>0.15423787563298161</c:v>
                </c:pt>
                <c:pt idx="2">
                  <c:v>0.15191849376380462</c:v>
                </c:pt>
                <c:pt idx="3">
                  <c:v>0.2595362395721203</c:v>
                </c:pt>
              </c:numCache>
            </c:numRef>
          </c:val>
          <c:extLst>
            <c:ext xmlns:c16="http://schemas.microsoft.com/office/drawing/2014/chart" uri="{C3380CC4-5D6E-409C-BE32-E72D297353CC}">
              <c16:uniqueId val="{00000006-095D-4E34-A469-E5E0D7905930}"/>
            </c:ext>
          </c:extLst>
        </c:ser>
        <c:dLbls>
          <c:showLegendKey val="0"/>
          <c:showVal val="0"/>
          <c:showCatName val="0"/>
          <c:showSerName val="0"/>
          <c:showPercent val="0"/>
          <c:showBubbleSize val="0"/>
        </c:dLbls>
        <c:gapWidth val="219"/>
        <c:overlap val="-27"/>
        <c:axId val="666663887"/>
        <c:axId val="666662447"/>
      </c:barChart>
      <c:dateAx>
        <c:axId val="6666638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62447"/>
        <c:crosses val="autoZero"/>
        <c:auto val="1"/>
        <c:lblOffset val="100"/>
        <c:baseTimeUnit val="years"/>
      </c:dateAx>
      <c:valAx>
        <c:axId val="666662447"/>
        <c:scaling>
          <c:orientation val="minMax"/>
        </c:scaling>
        <c:delete val="1"/>
        <c:axPos val="l"/>
        <c:numFmt formatCode="0.00%" sourceLinked="1"/>
        <c:majorTickMark val="none"/>
        <c:minorTickMark val="none"/>
        <c:tickLblPos val="nextTo"/>
        <c:crossAx val="6666638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AFB5-4757-A5AE-C253F50441AC}"/>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AFB5-4757-A5AE-C253F50441AC}"/>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AFB5-4757-A5AE-C253F50441AC}"/>
              </c:ext>
            </c:extLst>
          </c:dPt>
          <c:dLbls>
            <c:numFmt formatCode="0.00\x"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Analysis'!$G$66:$J$66</c:f>
              <c:numCache>
                <c:formatCode>mmm\-yy</c:formatCode>
                <c:ptCount val="4"/>
                <c:pt idx="0">
                  <c:v>44651</c:v>
                </c:pt>
                <c:pt idx="1">
                  <c:v>45016</c:v>
                </c:pt>
                <c:pt idx="2">
                  <c:v>45382</c:v>
                </c:pt>
                <c:pt idx="3">
                  <c:v>45747</c:v>
                </c:pt>
              </c:numCache>
            </c:numRef>
          </c:cat>
          <c:val>
            <c:numRef>
              <c:f>'DuPont Analysis'!$G$77:$J$77</c:f>
              <c:numCache>
                <c:formatCode>0.00\x</c:formatCode>
                <c:ptCount val="4"/>
                <c:pt idx="0">
                  <c:v>1.2457138333144508</c:v>
                </c:pt>
                <c:pt idx="1">
                  <c:v>1.2823339846567978</c:v>
                </c:pt>
                <c:pt idx="2">
                  <c:v>1.2655861227966569</c:v>
                </c:pt>
                <c:pt idx="3">
                  <c:v>1.2223996497508149</c:v>
                </c:pt>
              </c:numCache>
            </c:numRef>
          </c:val>
          <c:extLst>
            <c:ext xmlns:c16="http://schemas.microsoft.com/office/drawing/2014/chart" uri="{C3380CC4-5D6E-409C-BE32-E72D297353CC}">
              <c16:uniqueId val="{00000006-AFB5-4757-A5AE-C253F50441AC}"/>
            </c:ext>
          </c:extLst>
        </c:ser>
        <c:dLbls>
          <c:showLegendKey val="0"/>
          <c:showVal val="0"/>
          <c:showCatName val="0"/>
          <c:showSerName val="0"/>
          <c:showPercent val="0"/>
          <c:showBubbleSize val="0"/>
        </c:dLbls>
        <c:gapWidth val="219"/>
        <c:overlap val="-27"/>
        <c:axId val="666663887"/>
        <c:axId val="666662447"/>
      </c:barChart>
      <c:dateAx>
        <c:axId val="6666638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62447"/>
        <c:crosses val="autoZero"/>
        <c:auto val="1"/>
        <c:lblOffset val="100"/>
        <c:baseTimeUnit val="years"/>
      </c:dateAx>
      <c:valAx>
        <c:axId val="666662447"/>
        <c:scaling>
          <c:orientation val="minMax"/>
        </c:scaling>
        <c:delete val="1"/>
        <c:axPos val="l"/>
        <c:numFmt formatCode="0.00\x" sourceLinked="1"/>
        <c:majorTickMark val="none"/>
        <c:minorTickMark val="none"/>
        <c:tickLblPos val="nextTo"/>
        <c:crossAx val="6666638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E53C-47C2-A85A-CA05CC2AC80D}"/>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E53C-47C2-A85A-CA05CC2AC80D}"/>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E53C-47C2-A85A-CA05CC2AC80D}"/>
              </c:ext>
            </c:extLst>
          </c:dPt>
          <c:dLbls>
            <c:numFmt formatCode="0.00\x"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Score'!$G$61:$J$61</c:f>
              <c:numCache>
                <c:formatCode>mmm\-yy</c:formatCode>
                <c:ptCount val="4"/>
                <c:pt idx="0">
                  <c:v>44651</c:v>
                </c:pt>
                <c:pt idx="1">
                  <c:v>45016</c:v>
                </c:pt>
                <c:pt idx="2">
                  <c:v>45382</c:v>
                </c:pt>
                <c:pt idx="3">
                  <c:v>45747</c:v>
                </c:pt>
              </c:numCache>
            </c:numRef>
          </c:cat>
          <c:val>
            <c:numRef>
              <c:f>'Altman Z Score'!$G$64:$J$64</c:f>
              <c:numCache>
                <c:formatCode>0.00\x</c:formatCode>
                <c:ptCount val="4"/>
                <c:pt idx="0">
                  <c:v>0.1348109656430474</c:v>
                </c:pt>
                <c:pt idx="1">
                  <c:v>0.13039245978374234</c:v>
                </c:pt>
                <c:pt idx="2">
                  <c:v>0.14185119183398823</c:v>
                </c:pt>
                <c:pt idx="3">
                  <c:v>0.14259801119738369</c:v>
                </c:pt>
              </c:numCache>
            </c:numRef>
          </c:val>
          <c:extLst>
            <c:ext xmlns:c16="http://schemas.microsoft.com/office/drawing/2014/chart" uri="{C3380CC4-5D6E-409C-BE32-E72D297353CC}">
              <c16:uniqueId val="{00000006-E53C-47C2-A85A-CA05CC2AC80D}"/>
            </c:ext>
          </c:extLst>
        </c:ser>
        <c:dLbls>
          <c:showLegendKey val="0"/>
          <c:showVal val="0"/>
          <c:showCatName val="0"/>
          <c:showSerName val="0"/>
          <c:showPercent val="0"/>
          <c:showBubbleSize val="0"/>
        </c:dLbls>
        <c:gapWidth val="219"/>
        <c:overlap val="-27"/>
        <c:axId val="666663887"/>
        <c:axId val="666662447"/>
      </c:barChart>
      <c:dateAx>
        <c:axId val="6666638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62447"/>
        <c:crosses val="autoZero"/>
        <c:auto val="1"/>
        <c:lblOffset val="100"/>
        <c:baseTimeUnit val="years"/>
      </c:dateAx>
      <c:valAx>
        <c:axId val="666662447"/>
        <c:scaling>
          <c:orientation val="minMax"/>
        </c:scaling>
        <c:delete val="1"/>
        <c:axPos val="l"/>
        <c:numFmt formatCode="0.00\x" sourceLinked="1"/>
        <c:majorTickMark val="none"/>
        <c:minorTickMark val="none"/>
        <c:tickLblPos val="nextTo"/>
        <c:crossAx val="6666638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4641-4E0C-9587-70856C525CBA}"/>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4641-4E0C-9587-70856C525CB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4641-4E0C-9587-70856C525CBA}"/>
              </c:ext>
            </c:extLst>
          </c:dPt>
          <c:dLbls>
            <c:dLbl>
              <c:idx val="2"/>
              <c:numFmt formatCode="0.000\x"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4641-4E0C-9587-70856C525CBA}"/>
                </c:ext>
              </c:extLst>
            </c:dLbl>
            <c:numFmt formatCode="0.00\x"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Score'!$G$67:$J$67</c:f>
              <c:numCache>
                <c:formatCode>mmm\-yy</c:formatCode>
                <c:ptCount val="4"/>
                <c:pt idx="0">
                  <c:v>44651</c:v>
                </c:pt>
                <c:pt idx="1">
                  <c:v>45016</c:v>
                </c:pt>
                <c:pt idx="2">
                  <c:v>45382</c:v>
                </c:pt>
                <c:pt idx="3">
                  <c:v>45747</c:v>
                </c:pt>
              </c:numCache>
            </c:numRef>
          </c:cat>
          <c:val>
            <c:numRef>
              <c:f>'Altman Z Score'!$G$70:$J$70</c:f>
              <c:numCache>
                <c:formatCode>0.00\x</c:formatCode>
                <c:ptCount val="4"/>
                <c:pt idx="0">
                  <c:v>0</c:v>
                </c:pt>
                <c:pt idx="1">
                  <c:v>0</c:v>
                </c:pt>
                <c:pt idx="2" formatCode="0.000\x">
                  <c:v>2.7731770080357469E-3</c:v>
                </c:pt>
                <c:pt idx="3">
                  <c:v>0</c:v>
                </c:pt>
              </c:numCache>
            </c:numRef>
          </c:val>
          <c:extLst>
            <c:ext xmlns:c16="http://schemas.microsoft.com/office/drawing/2014/chart" uri="{C3380CC4-5D6E-409C-BE32-E72D297353CC}">
              <c16:uniqueId val="{00000006-4641-4E0C-9587-70856C525CBA}"/>
            </c:ext>
          </c:extLst>
        </c:ser>
        <c:dLbls>
          <c:showLegendKey val="0"/>
          <c:showVal val="0"/>
          <c:showCatName val="0"/>
          <c:showSerName val="0"/>
          <c:showPercent val="0"/>
          <c:showBubbleSize val="0"/>
        </c:dLbls>
        <c:gapWidth val="219"/>
        <c:overlap val="-27"/>
        <c:axId val="666663887"/>
        <c:axId val="666662447"/>
      </c:barChart>
      <c:dateAx>
        <c:axId val="6666638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62447"/>
        <c:crosses val="autoZero"/>
        <c:auto val="1"/>
        <c:lblOffset val="100"/>
        <c:baseTimeUnit val="years"/>
      </c:dateAx>
      <c:valAx>
        <c:axId val="666662447"/>
        <c:scaling>
          <c:orientation val="minMax"/>
        </c:scaling>
        <c:delete val="1"/>
        <c:axPos val="l"/>
        <c:numFmt formatCode="0.00\x" sourceLinked="1"/>
        <c:majorTickMark val="none"/>
        <c:minorTickMark val="none"/>
        <c:tickLblPos val="nextTo"/>
        <c:crossAx val="6666638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2A43-40FB-B9DC-7768A625DA2A}"/>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2A43-40FB-B9DC-7768A625DA2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2A43-40FB-B9DC-7768A625DA2A}"/>
              </c:ext>
            </c:extLst>
          </c:dPt>
          <c:dLbls>
            <c:numFmt formatCode="0.00\x"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Score'!$G$73:$J$73</c:f>
              <c:numCache>
                <c:formatCode>mmm\-yy</c:formatCode>
                <c:ptCount val="4"/>
                <c:pt idx="0">
                  <c:v>44651</c:v>
                </c:pt>
                <c:pt idx="1">
                  <c:v>45016</c:v>
                </c:pt>
                <c:pt idx="2">
                  <c:v>45382</c:v>
                </c:pt>
                <c:pt idx="3">
                  <c:v>45747</c:v>
                </c:pt>
              </c:numCache>
            </c:numRef>
          </c:cat>
          <c:val>
            <c:numRef>
              <c:f>'Altman Z Score'!$G$76:$J$76</c:f>
              <c:numCache>
                <c:formatCode>0.00\x</c:formatCode>
                <c:ptCount val="4"/>
                <c:pt idx="0">
                  <c:v>0.24471132060953393</c:v>
                </c:pt>
                <c:pt idx="1">
                  <c:v>0.27839896000231146</c:v>
                </c:pt>
                <c:pt idx="2">
                  <c:v>0.2579668214901219</c:v>
                </c:pt>
                <c:pt idx="3">
                  <c:v>0.27491349697225198</c:v>
                </c:pt>
              </c:numCache>
            </c:numRef>
          </c:val>
          <c:extLst>
            <c:ext xmlns:c16="http://schemas.microsoft.com/office/drawing/2014/chart" uri="{C3380CC4-5D6E-409C-BE32-E72D297353CC}">
              <c16:uniqueId val="{00000006-2A43-40FB-B9DC-7768A625DA2A}"/>
            </c:ext>
          </c:extLst>
        </c:ser>
        <c:dLbls>
          <c:showLegendKey val="0"/>
          <c:showVal val="0"/>
          <c:showCatName val="0"/>
          <c:showSerName val="0"/>
          <c:showPercent val="0"/>
          <c:showBubbleSize val="0"/>
        </c:dLbls>
        <c:gapWidth val="219"/>
        <c:overlap val="-27"/>
        <c:axId val="666663887"/>
        <c:axId val="666662447"/>
      </c:barChart>
      <c:dateAx>
        <c:axId val="6666638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62447"/>
        <c:crosses val="autoZero"/>
        <c:auto val="1"/>
        <c:lblOffset val="100"/>
        <c:baseTimeUnit val="years"/>
      </c:dateAx>
      <c:valAx>
        <c:axId val="666662447"/>
        <c:scaling>
          <c:orientation val="minMax"/>
        </c:scaling>
        <c:delete val="1"/>
        <c:axPos val="l"/>
        <c:numFmt formatCode="0.00\x" sourceLinked="1"/>
        <c:majorTickMark val="none"/>
        <c:minorTickMark val="none"/>
        <c:tickLblPos val="nextTo"/>
        <c:crossAx val="6666638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5AD5-4AE2-B124-80197941E5F9}"/>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5AD5-4AE2-B124-80197941E5F9}"/>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5AD5-4AE2-B124-80197941E5F9}"/>
              </c:ext>
            </c:extLst>
          </c:dPt>
          <c:dLbls>
            <c:numFmt formatCode="0.00\x"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Score'!$G$79:$J$79</c:f>
              <c:numCache>
                <c:formatCode>mmm\-yy</c:formatCode>
                <c:ptCount val="4"/>
                <c:pt idx="0">
                  <c:v>44651</c:v>
                </c:pt>
                <c:pt idx="1">
                  <c:v>45016</c:v>
                </c:pt>
                <c:pt idx="2">
                  <c:v>45382</c:v>
                </c:pt>
                <c:pt idx="3">
                  <c:v>45747</c:v>
                </c:pt>
              </c:numCache>
            </c:numRef>
          </c:cat>
          <c:val>
            <c:numRef>
              <c:f>'Altman Z Score'!$G$82:$J$82</c:f>
              <c:numCache>
                <c:formatCode>0.00\x</c:formatCode>
                <c:ptCount val="4"/>
                <c:pt idx="0">
                  <c:v>1160.7932039769082</c:v>
                </c:pt>
                <c:pt idx="1">
                  <c:v>1459.8554829434061</c:v>
                </c:pt>
                <c:pt idx="2">
                  <c:v>1652.1047988003822</c:v>
                </c:pt>
                <c:pt idx="3">
                  <c:v>1802.0849353342237</c:v>
                </c:pt>
              </c:numCache>
            </c:numRef>
          </c:val>
          <c:extLst>
            <c:ext xmlns:c16="http://schemas.microsoft.com/office/drawing/2014/chart" uri="{C3380CC4-5D6E-409C-BE32-E72D297353CC}">
              <c16:uniqueId val="{00000006-5AD5-4AE2-B124-80197941E5F9}"/>
            </c:ext>
          </c:extLst>
        </c:ser>
        <c:dLbls>
          <c:showLegendKey val="0"/>
          <c:showVal val="0"/>
          <c:showCatName val="0"/>
          <c:showSerName val="0"/>
          <c:showPercent val="0"/>
          <c:showBubbleSize val="0"/>
        </c:dLbls>
        <c:gapWidth val="219"/>
        <c:overlap val="-27"/>
        <c:axId val="666663887"/>
        <c:axId val="666662447"/>
      </c:barChart>
      <c:dateAx>
        <c:axId val="6666638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62447"/>
        <c:crosses val="autoZero"/>
        <c:auto val="1"/>
        <c:lblOffset val="100"/>
        <c:baseTimeUnit val="years"/>
      </c:dateAx>
      <c:valAx>
        <c:axId val="666662447"/>
        <c:scaling>
          <c:orientation val="minMax"/>
        </c:scaling>
        <c:delete val="1"/>
        <c:axPos val="l"/>
        <c:numFmt formatCode="0.00\x" sourceLinked="1"/>
        <c:majorTickMark val="none"/>
        <c:minorTickMark val="none"/>
        <c:tickLblPos val="nextTo"/>
        <c:crossAx val="6666638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284C-404F-A6A4-D4F02444B35E}"/>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284C-404F-A6A4-D4F02444B35E}"/>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284C-404F-A6A4-D4F02444B35E}"/>
              </c:ext>
            </c:extLst>
          </c:dPt>
          <c:dLbls>
            <c:numFmt formatCode="0.00\x"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Score'!$G$85:$J$85</c:f>
              <c:numCache>
                <c:formatCode>mmm\-yy</c:formatCode>
                <c:ptCount val="4"/>
                <c:pt idx="0">
                  <c:v>44651</c:v>
                </c:pt>
                <c:pt idx="1">
                  <c:v>45016</c:v>
                </c:pt>
                <c:pt idx="2">
                  <c:v>45382</c:v>
                </c:pt>
                <c:pt idx="3">
                  <c:v>45747</c:v>
                </c:pt>
              </c:numCache>
            </c:numRef>
          </c:cat>
          <c:val>
            <c:numRef>
              <c:f>'Altman Z Score'!$G$88:$J$88</c:f>
              <c:numCache>
                <c:formatCode>0.00\x</c:formatCode>
                <c:ptCount val="4"/>
                <c:pt idx="0">
                  <c:v>0.78559153697302009</c:v>
                </c:pt>
                <c:pt idx="1">
                  <c:v>0.82626397281353947</c:v>
                </c:pt>
                <c:pt idx="2">
                  <c:v>0.74037058015037394</c:v>
                </c:pt>
                <c:pt idx="3">
                  <c:v>0.85592078424866513</c:v>
                </c:pt>
              </c:numCache>
            </c:numRef>
          </c:val>
          <c:extLst>
            <c:ext xmlns:c16="http://schemas.microsoft.com/office/drawing/2014/chart" uri="{C3380CC4-5D6E-409C-BE32-E72D297353CC}">
              <c16:uniqueId val="{00000006-284C-404F-A6A4-D4F02444B35E}"/>
            </c:ext>
          </c:extLst>
        </c:ser>
        <c:dLbls>
          <c:showLegendKey val="0"/>
          <c:showVal val="0"/>
          <c:showCatName val="0"/>
          <c:showSerName val="0"/>
          <c:showPercent val="0"/>
          <c:showBubbleSize val="0"/>
        </c:dLbls>
        <c:gapWidth val="219"/>
        <c:overlap val="-27"/>
        <c:axId val="666663887"/>
        <c:axId val="666662447"/>
      </c:barChart>
      <c:dateAx>
        <c:axId val="6666638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62447"/>
        <c:crosses val="autoZero"/>
        <c:auto val="1"/>
        <c:lblOffset val="100"/>
        <c:baseTimeUnit val="years"/>
      </c:dateAx>
      <c:valAx>
        <c:axId val="666662447"/>
        <c:scaling>
          <c:orientation val="minMax"/>
        </c:scaling>
        <c:delete val="1"/>
        <c:axPos val="l"/>
        <c:numFmt formatCode="0.00\x" sourceLinked="1"/>
        <c:majorTickMark val="none"/>
        <c:minorTickMark val="none"/>
        <c:tickLblPos val="nextTo"/>
        <c:crossAx val="6666638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2651-4AF8-BA32-C5133758584A}"/>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2651-4AF8-BA32-C5133758584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2651-4AF8-BA32-C5133758584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82C6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Score'!$G$91:$J$91</c:f>
              <c:numCache>
                <c:formatCode>mmm\-yy</c:formatCode>
                <c:ptCount val="4"/>
                <c:pt idx="0">
                  <c:v>44651</c:v>
                </c:pt>
                <c:pt idx="1">
                  <c:v>45016</c:v>
                </c:pt>
                <c:pt idx="2">
                  <c:v>45382</c:v>
                </c:pt>
                <c:pt idx="3">
                  <c:v>45747</c:v>
                </c:pt>
              </c:numCache>
            </c:numRef>
          </c:cat>
          <c:val>
            <c:numRef>
              <c:f>'Altman Z Score'!$G$92:$J$92</c:f>
              <c:numCache>
                <c:formatCode>0.0</c:formatCode>
                <c:ptCount val="4"/>
                <c:pt idx="0">
                  <c:v>1109.95</c:v>
                </c:pt>
                <c:pt idx="1">
                  <c:v>1308.56</c:v>
                </c:pt>
                <c:pt idx="2">
                  <c:v>1765.97</c:v>
                </c:pt>
                <c:pt idx="3">
                  <c:v>2221.39</c:v>
                </c:pt>
              </c:numCache>
            </c:numRef>
          </c:val>
          <c:extLst>
            <c:ext xmlns:c16="http://schemas.microsoft.com/office/drawing/2014/chart" uri="{C3380CC4-5D6E-409C-BE32-E72D297353CC}">
              <c16:uniqueId val="{00000006-2651-4AF8-BA32-C5133758584A}"/>
            </c:ext>
          </c:extLst>
        </c:ser>
        <c:dLbls>
          <c:showLegendKey val="0"/>
          <c:showVal val="0"/>
          <c:showCatName val="0"/>
          <c:showSerName val="0"/>
          <c:showPercent val="0"/>
          <c:showBubbleSize val="0"/>
        </c:dLbls>
        <c:gapWidth val="219"/>
        <c:overlap val="-27"/>
        <c:axId val="666663887"/>
        <c:axId val="666662447"/>
      </c:barChart>
      <c:dateAx>
        <c:axId val="6666638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62447"/>
        <c:crosses val="autoZero"/>
        <c:auto val="1"/>
        <c:lblOffset val="100"/>
        <c:baseTimeUnit val="years"/>
      </c:dateAx>
      <c:valAx>
        <c:axId val="666662447"/>
        <c:scaling>
          <c:orientation val="minMax"/>
        </c:scaling>
        <c:delete val="1"/>
        <c:axPos val="l"/>
        <c:numFmt formatCode="0.0" sourceLinked="1"/>
        <c:majorTickMark val="none"/>
        <c:minorTickMark val="none"/>
        <c:tickLblPos val="nextTo"/>
        <c:crossAx val="6666638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33092738407699"/>
          <c:y val="0.17171296296296298"/>
          <c:w val="0.84649584426946634"/>
          <c:h val="0.68164989792942554"/>
        </c:manualLayout>
      </c:layout>
      <c:lineChart>
        <c:grouping val="standard"/>
        <c:varyColors val="0"/>
        <c:ser>
          <c:idx val="0"/>
          <c:order val="0"/>
          <c:tx>
            <c:strRef>
              <c:f>'Share price'!$C$2</c:f>
              <c:strCache>
                <c:ptCount val="1"/>
                <c:pt idx="0">
                  <c:v>Price</c:v>
                </c:pt>
              </c:strCache>
            </c:strRef>
          </c:tx>
          <c:spPr>
            <a:ln w="28575" cap="rnd">
              <a:solidFill>
                <a:schemeClr val="accent1"/>
              </a:solidFill>
              <a:round/>
            </a:ln>
            <a:effectLst/>
          </c:spPr>
          <c:marker>
            <c:symbol val="none"/>
          </c:marker>
          <c:cat>
            <c:numRef>
              <c:f>'Share price'!$B$3:$B$1236</c:f>
              <c:numCache>
                <c:formatCode>m/d/yyyy</c:formatCode>
                <c:ptCount val="1234"/>
                <c:pt idx="0">
                  <c:v>45744</c:v>
                </c:pt>
                <c:pt idx="1">
                  <c:v>45743</c:v>
                </c:pt>
                <c:pt idx="2">
                  <c:v>45742</c:v>
                </c:pt>
                <c:pt idx="3">
                  <c:v>45741</c:v>
                </c:pt>
                <c:pt idx="4">
                  <c:v>45740</c:v>
                </c:pt>
                <c:pt idx="5">
                  <c:v>45737</c:v>
                </c:pt>
                <c:pt idx="6">
                  <c:v>45736</c:v>
                </c:pt>
                <c:pt idx="7">
                  <c:v>45735</c:v>
                </c:pt>
                <c:pt idx="8">
                  <c:v>45734</c:v>
                </c:pt>
                <c:pt idx="9">
                  <c:v>45733</c:v>
                </c:pt>
                <c:pt idx="10">
                  <c:v>45729</c:v>
                </c:pt>
                <c:pt idx="11">
                  <c:v>45728</c:v>
                </c:pt>
                <c:pt idx="12">
                  <c:v>45727</c:v>
                </c:pt>
                <c:pt idx="13">
                  <c:v>45726</c:v>
                </c:pt>
                <c:pt idx="14">
                  <c:v>45723</c:v>
                </c:pt>
                <c:pt idx="15">
                  <c:v>45722</c:v>
                </c:pt>
                <c:pt idx="16">
                  <c:v>45721</c:v>
                </c:pt>
                <c:pt idx="17">
                  <c:v>45720</c:v>
                </c:pt>
                <c:pt idx="18">
                  <c:v>45719</c:v>
                </c:pt>
                <c:pt idx="19">
                  <c:v>45716</c:v>
                </c:pt>
                <c:pt idx="20">
                  <c:v>45715</c:v>
                </c:pt>
                <c:pt idx="21">
                  <c:v>45713</c:v>
                </c:pt>
                <c:pt idx="22">
                  <c:v>45712</c:v>
                </c:pt>
                <c:pt idx="23">
                  <c:v>45709</c:v>
                </c:pt>
                <c:pt idx="24">
                  <c:v>45708</c:v>
                </c:pt>
                <c:pt idx="25">
                  <c:v>45707</c:v>
                </c:pt>
                <c:pt idx="26">
                  <c:v>45706</c:v>
                </c:pt>
                <c:pt idx="27">
                  <c:v>45705</c:v>
                </c:pt>
                <c:pt idx="28">
                  <c:v>45702</c:v>
                </c:pt>
                <c:pt idx="29">
                  <c:v>45701</c:v>
                </c:pt>
                <c:pt idx="30">
                  <c:v>45700</c:v>
                </c:pt>
                <c:pt idx="31">
                  <c:v>45699</c:v>
                </c:pt>
                <c:pt idx="32">
                  <c:v>45698</c:v>
                </c:pt>
                <c:pt idx="33">
                  <c:v>45695</c:v>
                </c:pt>
                <c:pt idx="34">
                  <c:v>45694</c:v>
                </c:pt>
                <c:pt idx="35">
                  <c:v>45693</c:v>
                </c:pt>
                <c:pt idx="36">
                  <c:v>45692</c:v>
                </c:pt>
                <c:pt idx="37">
                  <c:v>45691</c:v>
                </c:pt>
                <c:pt idx="38">
                  <c:v>45689</c:v>
                </c:pt>
                <c:pt idx="39">
                  <c:v>45688</c:v>
                </c:pt>
                <c:pt idx="40">
                  <c:v>45687</c:v>
                </c:pt>
                <c:pt idx="41">
                  <c:v>45686</c:v>
                </c:pt>
                <c:pt idx="42">
                  <c:v>45685</c:v>
                </c:pt>
                <c:pt idx="43">
                  <c:v>45684</c:v>
                </c:pt>
                <c:pt idx="44">
                  <c:v>45681</c:v>
                </c:pt>
                <c:pt idx="45">
                  <c:v>45680</c:v>
                </c:pt>
                <c:pt idx="46">
                  <c:v>45679</c:v>
                </c:pt>
                <c:pt idx="47">
                  <c:v>45678</c:v>
                </c:pt>
                <c:pt idx="48">
                  <c:v>45677</c:v>
                </c:pt>
                <c:pt idx="49">
                  <c:v>45674</c:v>
                </c:pt>
                <c:pt idx="50">
                  <c:v>45673</c:v>
                </c:pt>
                <c:pt idx="51">
                  <c:v>45672</c:v>
                </c:pt>
                <c:pt idx="52">
                  <c:v>45671</c:v>
                </c:pt>
                <c:pt idx="53">
                  <c:v>45670</c:v>
                </c:pt>
                <c:pt idx="54">
                  <c:v>45667</c:v>
                </c:pt>
                <c:pt idx="55">
                  <c:v>45666</c:v>
                </c:pt>
                <c:pt idx="56">
                  <c:v>45665</c:v>
                </c:pt>
                <c:pt idx="57">
                  <c:v>45664</c:v>
                </c:pt>
                <c:pt idx="58">
                  <c:v>45663</c:v>
                </c:pt>
                <c:pt idx="59">
                  <c:v>45660</c:v>
                </c:pt>
                <c:pt idx="60">
                  <c:v>45659</c:v>
                </c:pt>
                <c:pt idx="61">
                  <c:v>45658</c:v>
                </c:pt>
                <c:pt idx="62">
                  <c:v>45657</c:v>
                </c:pt>
                <c:pt idx="63">
                  <c:v>45656</c:v>
                </c:pt>
                <c:pt idx="64">
                  <c:v>45653</c:v>
                </c:pt>
                <c:pt idx="65">
                  <c:v>45652</c:v>
                </c:pt>
                <c:pt idx="66">
                  <c:v>45650</c:v>
                </c:pt>
                <c:pt idx="67">
                  <c:v>45649</c:v>
                </c:pt>
                <c:pt idx="68">
                  <c:v>45646</c:v>
                </c:pt>
                <c:pt idx="69">
                  <c:v>45645</c:v>
                </c:pt>
                <c:pt idx="70">
                  <c:v>45644</c:v>
                </c:pt>
                <c:pt idx="71">
                  <c:v>45643</c:v>
                </c:pt>
                <c:pt idx="72">
                  <c:v>45642</c:v>
                </c:pt>
                <c:pt idx="73">
                  <c:v>45639</c:v>
                </c:pt>
                <c:pt idx="74">
                  <c:v>45638</c:v>
                </c:pt>
                <c:pt idx="75">
                  <c:v>45637</c:v>
                </c:pt>
                <c:pt idx="76">
                  <c:v>45636</c:v>
                </c:pt>
                <c:pt idx="77">
                  <c:v>45635</c:v>
                </c:pt>
                <c:pt idx="78">
                  <c:v>45632</c:v>
                </c:pt>
                <c:pt idx="79">
                  <c:v>45631</c:v>
                </c:pt>
                <c:pt idx="80">
                  <c:v>45630</c:v>
                </c:pt>
                <c:pt idx="81">
                  <c:v>45629</c:v>
                </c:pt>
                <c:pt idx="82">
                  <c:v>45628</c:v>
                </c:pt>
                <c:pt idx="83">
                  <c:v>45625</c:v>
                </c:pt>
                <c:pt idx="84">
                  <c:v>45624</c:v>
                </c:pt>
                <c:pt idx="85">
                  <c:v>45623</c:v>
                </c:pt>
                <c:pt idx="86">
                  <c:v>45622</c:v>
                </c:pt>
                <c:pt idx="87">
                  <c:v>45621</c:v>
                </c:pt>
                <c:pt idx="88">
                  <c:v>45618</c:v>
                </c:pt>
                <c:pt idx="89">
                  <c:v>45617</c:v>
                </c:pt>
                <c:pt idx="90">
                  <c:v>45615</c:v>
                </c:pt>
                <c:pt idx="91">
                  <c:v>45614</c:v>
                </c:pt>
                <c:pt idx="92">
                  <c:v>45610</c:v>
                </c:pt>
                <c:pt idx="93">
                  <c:v>45609</c:v>
                </c:pt>
                <c:pt idx="94">
                  <c:v>45608</c:v>
                </c:pt>
                <c:pt idx="95">
                  <c:v>45607</c:v>
                </c:pt>
                <c:pt idx="96">
                  <c:v>45604</c:v>
                </c:pt>
                <c:pt idx="97">
                  <c:v>45603</c:v>
                </c:pt>
                <c:pt idx="98">
                  <c:v>45602</c:v>
                </c:pt>
                <c:pt idx="99">
                  <c:v>45601</c:v>
                </c:pt>
                <c:pt idx="100">
                  <c:v>45600</c:v>
                </c:pt>
                <c:pt idx="101">
                  <c:v>45597</c:v>
                </c:pt>
                <c:pt idx="102">
                  <c:v>45596</c:v>
                </c:pt>
                <c:pt idx="103">
                  <c:v>45595</c:v>
                </c:pt>
                <c:pt idx="104">
                  <c:v>45594</c:v>
                </c:pt>
                <c:pt idx="105">
                  <c:v>45593</c:v>
                </c:pt>
                <c:pt idx="106">
                  <c:v>45590</c:v>
                </c:pt>
                <c:pt idx="107">
                  <c:v>45589</c:v>
                </c:pt>
                <c:pt idx="108">
                  <c:v>45588</c:v>
                </c:pt>
                <c:pt idx="109">
                  <c:v>45587</c:v>
                </c:pt>
                <c:pt idx="110">
                  <c:v>45586</c:v>
                </c:pt>
                <c:pt idx="111">
                  <c:v>45583</c:v>
                </c:pt>
                <c:pt idx="112">
                  <c:v>45582</c:v>
                </c:pt>
                <c:pt idx="113">
                  <c:v>45581</c:v>
                </c:pt>
                <c:pt idx="114">
                  <c:v>45580</c:v>
                </c:pt>
                <c:pt idx="115">
                  <c:v>45579</c:v>
                </c:pt>
                <c:pt idx="116">
                  <c:v>45576</c:v>
                </c:pt>
                <c:pt idx="117">
                  <c:v>45575</c:v>
                </c:pt>
                <c:pt idx="118">
                  <c:v>45574</c:v>
                </c:pt>
                <c:pt idx="119">
                  <c:v>45573</c:v>
                </c:pt>
                <c:pt idx="120">
                  <c:v>45572</c:v>
                </c:pt>
                <c:pt idx="121">
                  <c:v>45569</c:v>
                </c:pt>
                <c:pt idx="122">
                  <c:v>45568</c:v>
                </c:pt>
                <c:pt idx="123">
                  <c:v>45566</c:v>
                </c:pt>
                <c:pt idx="124">
                  <c:v>45565</c:v>
                </c:pt>
                <c:pt idx="125">
                  <c:v>45562</c:v>
                </c:pt>
                <c:pt idx="126">
                  <c:v>45561</c:v>
                </c:pt>
                <c:pt idx="127">
                  <c:v>45560</c:v>
                </c:pt>
                <c:pt idx="128">
                  <c:v>45559</c:v>
                </c:pt>
                <c:pt idx="129">
                  <c:v>45558</c:v>
                </c:pt>
                <c:pt idx="130">
                  <c:v>45555</c:v>
                </c:pt>
                <c:pt idx="131">
                  <c:v>45554</c:v>
                </c:pt>
                <c:pt idx="132">
                  <c:v>45553</c:v>
                </c:pt>
                <c:pt idx="133">
                  <c:v>45552</c:v>
                </c:pt>
                <c:pt idx="134">
                  <c:v>45551</c:v>
                </c:pt>
                <c:pt idx="135">
                  <c:v>45548</c:v>
                </c:pt>
                <c:pt idx="136">
                  <c:v>45547</c:v>
                </c:pt>
                <c:pt idx="137">
                  <c:v>45546</c:v>
                </c:pt>
                <c:pt idx="138">
                  <c:v>45545</c:v>
                </c:pt>
                <c:pt idx="139">
                  <c:v>45544</c:v>
                </c:pt>
                <c:pt idx="140">
                  <c:v>45541</c:v>
                </c:pt>
                <c:pt idx="141">
                  <c:v>45540</c:v>
                </c:pt>
                <c:pt idx="142">
                  <c:v>45539</c:v>
                </c:pt>
                <c:pt idx="143">
                  <c:v>45538</c:v>
                </c:pt>
                <c:pt idx="144">
                  <c:v>45537</c:v>
                </c:pt>
                <c:pt idx="145">
                  <c:v>45534</c:v>
                </c:pt>
                <c:pt idx="146">
                  <c:v>45533</c:v>
                </c:pt>
                <c:pt idx="147">
                  <c:v>45532</c:v>
                </c:pt>
                <c:pt idx="148">
                  <c:v>45531</c:v>
                </c:pt>
                <c:pt idx="149">
                  <c:v>45530</c:v>
                </c:pt>
                <c:pt idx="150">
                  <c:v>45527</c:v>
                </c:pt>
                <c:pt idx="151">
                  <c:v>45526</c:v>
                </c:pt>
                <c:pt idx="152">
                  <c:v>45525</c:v>
                </c:pt>
                <c:pt idx="153">
                  <c:v>45524</c:v>
                </c:pt>
                <c:pt idx="154">
                  <c:v>45523</c:v>
                </c:pt>
                <c:pt idx="155">
                  <c:v>45520</c:v>
                </c:pt>
                <c:pt idx="156">
                  <c:v>45518</c:v>
                </c:pt>
                <c:pt idx="157">
                  <c:v>45517</c:v>
                </c:pt>
                <c:pt idx="158">
                  <c:v>45516</c:v>
                </c:pt>
                <c:pt idx="159">
                  <c:v>45513</c:v>
                </c:pt>
                <c:pt idx="160">
                  <c:v>45512</c:v>
                </c:pt>
                <c:pt idx="161">
                  <c:v>45511</c:v>
                </c:pt>
                <c:pt idx="162">
                  <c:v>45510</c:v>
                </c:pt>
                <c:pt idx="163">
                  <c:v>45509</c:v>
                </c:pt>
                <c:pt idx="164">
                  <c:v>45506</c:v>
                </c:pt>
                <c:pt idx="165">
                  <c:v>45505</c:v>
                </c:pt>
                <c:pt idx="166">
                  <c:v>45504</c:v>
                </c:pt>
                <c:pt idx="167">
                  <c:v>45503</c:v>
                </c:pt>
                <c:pt idx="168">
                  <c:v>45502</c:v>
                </c:pt>
                <c:pt idx="169">
                  <c:v>45499</c:v>
                </c:pt>
                <c:pt idx="170">
                  <c:v>45498</c:v>
                </c:pt>
                <c:pt idx="171">
                  <c:v>45497</c:v>
                </c:pt>
                <c:pt idx="172">
                  <c:v>45496</c:v>
                </c:pt>
                <c:pt idx="173">
                  <c:v>45495</c:v>
                </c:pt>
                <c:pt idx="174">
                  <c:v>45492</c:v>
                </c:pt>
                <c:pt idx="175">
                  <c:v>45491</c:v>
                </c:pt>
                <c:pt idx="176">
                  <c:v>45489</c:v>
                </c:pt>
                <c:pt idx="177">
                  <c:v>45488</c:v>
                </c:pt>
                <c:pt idx="178">
                  <c:v>45485</c:v>
                </c:pt>
                <c:pt idx="179">
                  <c:v>45484</c:v>
                </c:pt>
                <c:pt idx="180">
                  <c:v>45483</c:v>
                </c:pt>
                <c:pt idx="181">
                  <c:v>45482</c:v>
                </c:pt>
                <c:pt idx="182">
                  <c:v>45481</c:v>
                </c:pt>
                <c:pt idx="183">
                  <c:v>45478</c:v>
                </c:pt>
                <c:pt idx="184">
                  <c:v>45477</c:v>
                </c:pt>
                <c:pt idx="185">
                  <c:v>45476</c:v>
                </c:pt>
                <c:pt idx="186">
                  <c:v>45475</c:v>
                </c:pt>
                <c:pt idx="187">
                  <c:v>45474</c:v>
                </c:pt>
                <c:pt idx="188">
                  <c:v>45471</c:v>
                </c:pt>
                <c:pt idx="189">
                  <c:v>45470</c:v>
                </c:pt>
                <c:pt idx="190">
                  <c:v>45469</c:v>
                </c:pt>
                <c:pt idx="191">
                  <c:v>45468</c:v>
                </c:pt>
                <c:pt idx="192">
                  <c:v>45467</c:v>
                </c:pt>
                <c:pt idx="193">
                  <c:v>45464</c:v>
                </c:pt>
                <c:pt idx="194">
                  <c:v>45463</c:v>
                </c:pt>
                <c:pt idx="195">
                  <c:v>45462</c:v>
                </c:pt>
                <c:pt idx="196">
                  <c:v>45461</c:v>
                </c:pt>
                <c:pt idx="197">
                  <c:v>45457</c:v>
                </c:pt>
                <c:pt idx="198">
                  <c:v>45456</c:v>
                </c:pt>
                <c:pt idx="199">
                  <c:v>45455</c:v>
                </c:pt>
                <c:pt idx="200">
                  <c:v>45454</c:v>
                </c:pt>
                <c:pt idx="201">
                  <c:v>45453</c:v>
                </c:pt>
                <c:pt idx="202">
                  <c:v>45450</c:v>
                </c:pt>
                <c:pt idx="203">
                  <c:v>45449</c:v>
                </c:pt>
                <c:pt idx="204">
                  <c:v>45448</c:v>
                </c:pt>
                <c:pt idx="205">
                  <c:v>45447</c:v>
                </c:pt>
                <c:pt idx="206">
                  <c:v>45446</c:v>
                </c:pt>
                <c:pt idx="207">
                  <c:v>45443</c:v>
                </c:pt>
                <c:pt idx="208">
                  <c:v>45442</c:v>
                </c:pt>
                <c:pt idx="209">
                  <c:v>45441</c:v>
                </c:pt>
                <c:pt idx="210">
                  <c:v>45440</c:v>
                </c:pt>
                <c:pt idx="211">
                  <c:v>45439</c:v>
                </c:pt>
                <c:pt idx="212">
                  <c:v>45436</c:v>
                </c:pt>
                <c:pt idx="213">
                  <c:v>45435</c:v>
                </c:pt>
                <c:pt idx="214">
                  <c:v>45434</c:v>
                </c:pt>
                <c:pt idx="215">
                  <c:v>45433</c:v>
                </c:pt>
                <c:pt idx="216">
                  <c:v>45429</c:v>
                </c:pt>
                <c:pt idx="217">
                  <c:v>45428</c:v>
                </c:pt>
                <c:pt idx="218">
                  <c:v>45427</c:v>
                </c:pt>
                <c:pt idx="219">
                  <c:v>45426</c:v>
                </c:pt>
                <c:pt idx="220">
                  <c:v>45425</c:v>
                </c:pt>
                <c:pt idx="221">
                  <c:v>45422</c:v>
                </c:pt>
                <c:pt idx="222">
                  <c:v>45421</c:v>
                </c:pt>
                <c:pt idx="223">
                  <c:v>45420</c:v>
                </c:pt>
                <c:pt idx="224">
                  <c:v>45419</c:v>
                </c:pt>
                <c:pt idx="225">
                  <c:v>45418</c:v>
                </c:pt>
                <c:pt idx="226">
                  <c:v>45415</c:v>
                </c:pt>
                <c:pt idx="227">
                  <c:v>45414</c:v>
                </c:pt>
                <c:pt idx="228">
                  <c:v>45412</c:v>
                </c:pt>
                <c:pt idx="229">
                  <c:v>45411</c:v>
                </c:pt>
                <c:pt idx="230">
                  <c:v>45408</c:v>
                </c:pt>
                <c:pt idx="231">
                  <c:v>45407</c:v>
                </c:pt>
                <c:pt idx="232">
                  <c:v>45406</c:v>
                </c:pt>
                <c:pt idx="233">
                  <c:v>45405</c:v>
                </c:pt>
                <c:pt idx="234">
                  <c:v>45404</c:v>
                </c:pt>
                <c:pt idx="235">
                  <c:v>45401</c:v>
                </c:pt>
                <c:pt idx="236">
                  <c:v>45400</c:v>
                </c:pt>
                <c:pt idx="237">
                  <c:v>45398</c:v>
                </c:pt>
                <c:pt idx="238">
                  <c:v>45397</c:v>
                </c:pt>
                <c:pt idx="239">
                  <c:v>45394</c:v>
                </c:pt>
                <c:pt idx="240">
                  <c:v>45392</c:v>
                </c:pt>
                <c:pt idx="241">
                  <c:v>45391</c:v>
                </c:pt>
                <c:pt idx="242">
                  <c:v>45390</c:v>
                </c:pt>
                <c:pt idx="243">
                  <c:v>45387</c:v>
                </c:pt>
                <c:pt idx="244">
                  <c:v>45386</c:v>
                </c:pt>
                <c:pt idx="245">
                  <c:v>45385</c:v>
                </c:pt>
                <c:pt idx="246">
                  <c:v>45384</c:v>
                </c:pt>
                <c:pt idx="247">
                  <c:v>45383</c:v>
                </c:pt>
                <c:pt idx="248">
                  <c:v>45379</c:v>
                </c:pt>
                <c:pt idx="249">
                  <c:v>45378</c:v>
                </c:pt>
                <c:pt idx="250">
                  <c:v>45377</c:v>
                </c:pt>
                <c:pt idx="251">
                  <c:v>45373</c:v>
                </c:pt>
                <c:pt idx="252">
                  <c:v>45372</c:v>
                </c:pt>
                <c:pt idx="253">
                  <c:v>45371</c:v>
                </c:pt>
                <c:pt idx="254">
                  <c:v>45370</c:v>
                </c:pt>
                <c:pt idx="255">
                  <c:v>45369</c:v>
                </c:pt>
                <c:pt idx="256">
                  <c:v>45366</c:v>
                </c:pt>
                <c:pt idx="257">
                  <c:v>45365</c:v>
                </c:pt>
                <c:pt idx="258">
                  <c:v>45364</c:v>
                </c:pt>
                <c:pt idx="259">
                  <c:v>45363</c:v>
                </c:pt>
                <c:pt idx="260">
                  <c:v>45362</c:v>
                </c:pt>
                <c:pt idx="261">
                  <c:v>45358</c:v>
                </c:pt>
                <c:pt idx="262">
                  <c:v>45357</c:v>
                </c:pt>
                <c:pt idx="263">
                  <c:v>45356</c:v>
                </c:pt>
                <c:pt idx="264">
                  <c:v>45355</c:v>
                </c:pt>
                <c:pt idx="265">
                  <c:v>45352</c:v>
                </c:pt>
                <c:pt idx="266">
                  <c:v>45351</c:v>
                </c:pt>
                <c:pt idx="267">
                  <c:v>45350</c:v>
                </c:pt>
                <c:pt idx="268">
                  <c:v>45349</c:v>
                </c:pt>
                <c:pt idx="269">
                  <c:v>45348</c:v>
                </c:pt>
                <c:pt idx="270">
                  <c:v>45345</c:v>
                </c:pt>
                <c:pt idx="271">
                  <c:v>45344</c:v>
                </c:pt>
                <c:pt idx="272">
                  <c:v>45343</c:v>
                </c:pt>
                <c:pt idx="273">
                  <c:v>45342</c:v>
                </c:pt>
                <c:pt idx="274">
                  <c:v>45341</c:v>
                </c:pt>
                <c:pt idx="275">
                  <c:v>45338</c:v>
                </c:pt>
                <c:pt idx="276">
                  <c:v>45337</c:v>
                </c:pt>
                <c:pt idx="277">
                  <c:v>45336</c:v>
                </c:pt>
                <c:pt idx="278">
                  <c:v>45335</c:v>
                </c:pt>
                <c:pt idx="279">
                  <c:v>45334</c:v>
                </c:pt>
                <c:pt idx="280">
                  <c:v>45331</c:v>
                </c:pt>
                <c:pt idx="281">
                  <c:v>45330</c:v>
                </c:pt>
                <c:pt idx="282">
                  <c:v>45329</c:v>
                </c:pt>
                <c:pt idx="283">
                  <c:v>45328</c:v>
                </c:pt>
                <c:pt idx="284">
                  <c:v>45327</c:v>
                </c:pt>
                <c:pt idx="285">
                  <c:v>45324</c:v>
                </c:pt>
                <c:pt idx="286">
                  <c:v>45323</c:v>
                </c:pt>
                <c:pt idx="287">
                  <c:v>45322</c:v>
                </c:pt>
                <c:pt idx="288">
                  <c:v>45321</c:v>
                </c:pt>
                <c:pt idx="289">
                  <c:v>45320</c:v>
                </c:pt>
                <c:pt idx="290">
                  <c:v>45316</c:v>
                </c:pt>
                <c:pt idx="291">
                  <c:v>45315</c:v>
                </c:pt>
                <c:pt idx="292">
                  <c:v>45314</c:v>
                </c:pt>
                <c:pt idx="293">
                  <c:v>45311</c:v>
                </c:pt>
                <c:pt idx="294">
                  <c:v>45310</c:v>
                </c:pt>
                <c:pt idx="295">
                  <c:v>45309</c:v>
                </c:pt>
                <c:pt idx="296">
                  <c:v>45308</c:v>
                </c:pt>
                <c:pt idx="297">
                  <c:v>45307</c:v>
                </c:pt>
                <c:pt idx="298">
                  <c:v>45306</c:v>
                </c:pt>
                <c:pt idx="299">
                  <c:v>45303</c:v>
                </c:pt>
                <c:pt idx="300">
                  <c:v>45302</c:v>
                </c:pt>
                <c:pt idx="301">
                  <c:v>45301</c:v>
                </c:pt>
                <c:pt idx="302">
                  <c:v>45300</c:v>
                </c:pt>
                <c:pt idx="303">
                  <c:v>45299</c:v>
                </c:pt>
                <c:pt idx="304">
                  <c:v>45296</c:v>
                </c:pt>
                <c:pt idx="305">
                  <c:v>45295</c:v>
                </c:pt>
                <c:pt idx="306">
                  <c:v>45294</c:v>
                </c:pt>
                <c:pt idx="307">
                  <c:v>45293</c:v>
                </c:pt>
                <c:pt idx="308">
                  <c:v>45292</c:v>
                </c:pt>
                <c:pt idx="309">
                  <c:v>45289</c:v>
                </c:pt>
                <c:pt idx="310">
                  <c:v>45288</c:v>
                </c:pt>
                <c:pt idx="311">
                  <c:v>45287</c:v>
                </c:pt>
                <c:pt idx="312">
                  <c:v>45286</c:v>
                </c:pt>
                <c:pt idx="313">
                  <c:v>45282</c:v>
                </c:pt>
                <c:pt idx="314">
                  <c:v>45281</c:v>
                </c:pt>
                <c:pt idx="315">
                  <c:v>45280</c:v>
                </c:pt>
                <c:pt idx="316">
                  <c:v>45279</c:v>
                </c:pt>
                <c:pt idx="317">
                  <c:v>45278</c:v>
                </c:pt>
                <c:pt idx="318">
                  <c:v>45275</c:v>
                </c:pt>
                <c:pt idx="319">
                  <c:v>45274</c:v>
                </c:pt>
                <c:pt idx="320">
                  <c:v>45273</c:v>
                </c:pt>
                <c:pt idx="321">
                  <c:v>45272</c:v>
                </c:pt>
                <c:pt idx="322">
                  <c:v>45271</c:v>
                </c:pt>
                <c:pt idx="323">
                  <c:v>45268</c:v>
                </c:pt>
                <c:pt idx="324">
                  <c:v>45267</c:v>
                </c:pt>
                <c:pt idx="325">
                  <c:v>45266</c:v>
                </c:pt>
                <c:pt idx="326">
                  <c:v>45265</c:v>
                </c:pt>
                <c:pt idx="327">
                  <c:v>45264</c:v>
                </c:pt>
                <c:pt idx="328">
                  <c:v>45261</c:v>
                </c:pt>
                <c:pt idx="329">
                  <c:v>45260</c:v>
                </c:pt>
                <c:pt idx="330">
                  <c:v>45259</c:v>
                </c:pt>
                <c:pt idx="331">
                  <c:v>45258</c:v>
                </c:pt>
                <c:pt idx="332">
                  <c:v>45254</c:v>
                </c:pt>
                <c:pt idx="333">
                  <c:v>45253</c:v>
                </c:pt>
                <c:pt idx="334">
                  <c:v>45252</c:v>
                </c:pt>
                <c:pt idx="335">
                  <c:v>45251</c:v>
                </c:pt>
                <c:pt idx="336">
                  <c:v>45250</c:v>
                </c:pt>
                <c:pt idx="337">
                  <c:v>45247</c:v>
                </c:pt>
                <c:pt idx="338">
                  <c:v>45246</c:v>
                </c:pt>
                <c:pt idx="339">
                  <c:v>45245</c:v>
                </c:pt>
                <c:pt idx="340">
                  <c:v>45243</c:v>
                </c:pt>
                <c:pt idx="341">
                  <c:v>45242</c:v>
                </c:pt>
                <c:pt idx="342">
                  <c:v>45240</c:v>
                </c:pt>
                <c:pt idx="343">
                  <c:v>45239</c:v>
                </c:pt>
                <c:pt idx="344">
                  <c:v>45238</c:v>
                </c:pt>
                <c:pt idx="345">
                  <c:v>45237</c:v>
                </c:pt>
                <c:pt idx="346">
                  <c:v>45236</c:v>
                </c:pt>
                <c:pt idx="347">
                  <c:v>45233</c:v>
                </c:pt>
                <c:pt idx="348">
                  <c:v>45232</c:v>
                </c:pt>
                <c:pt idx="349">
                  <c:v>45231</c:v>
                </c:pt>
                <c:pt idx="350">
                  <c:v>45230</c:v>
                </c:pt>
                <c:pt idx="351">
                  <c:v>45229</c:v>
                </c:pt>
                <c:pt idx="352">
                  <c:v>45226</c:v>
                </c:pt>
                <c:pt idx="353">
                  <c:v>45225</c:v>
                </c:pt>
                <c:pt idx="354">
                  <c:v>45224</c:v>
                </c:pt>
                <c:pt idx="355">
                  <c:v>45222</c:v>
                </c:pt>
                <c:pt idx="356">
                  <c:v>45219</c:v>
                </c:pt>
                <c:pt idx="357">
                  <c:v>45218</c:v>
                </c:pt>
                <c:pt idx="358">
                  <c:v>45217</c:v>
                </c:pt>
                <c:pt idx="359">
                  <c:v>45216</c:v>
                </c:pt>
                <c:pt idx="360">
                  <c:v>45215</c:v>
                </c:pt>
                <c:pt idx="361">
                  <c:v>45212</c:v>
                </c:pt>
                <c:pt idx="362">
                  <c:v>45211</c:v>
                </c:pt>
                <c:pt idx="363">
                  <c:v>45210</c:v>
                </c:pt>
                <c:pt idx="364">
                  <c:v>45209</c:v>
                </c:pt>
                <c:pt idx="365">
                  <c:v>45208</c:v>
                </c:pt>
                <c:pt idx="366">
                  <c:v>45205</c:v>
                </c:pt>
                <c:pt idx="367">
                  <c:v>45204</c:v>
                </c:pt>
                <c:pt idx="368">
                  <c:v>45203</c:v>
                </c:pt>
                <c:pt idx="369">
                  <c:v>45202</c:v>
                </c:pt>
                <c:pt idx="370">
                  <c:v>45198</c:v>
                </c:pt>
                <c:pt idx="371">
                  <c:v>45197</c:v>
                </c:pt>
                <c:pt idx="372">
                  <c:v>45196</c:v>
                </c:pt>
                <c:pt idx="373">
                  <c:v>45195</c:v>
                </c:pt>
                <c:pt idx="374">
                  <c:v>45194</c:v>
                </c:pt>
                <c:pt idx="375">
                  <c:v>45191</c:v>
                </c:pt>
                <c:pt idx="376">
                  <c:v>45190</c:v>
                </c:pt>
                <c:pt idx="377">
                  <c:v>45189</c:v>
                </c:pt>
                <c:pt idx="378">
                  <c:v>45187</c:v>
                </c:pt>
                <c:pt idx="379">
                  <c:v>45184</c:v>
                </c:pt>
                <c:pt idx="380">
                  <c:v>45183</c:v>
                </c:pt>
                <c:pt idx="381">
                  <c:v>45182</c:v>
                </c:pt>
                <c:pt idx="382">
                  <c:v>45181</c:v>
                </c:pt>
                <c:pt idx="383">
                  <c:v>45180</c:v>
                </c:pt>
                <c:pt idx="384">
                  <c:v>45177</c:v>
                </c:pt>
                <c:pt idx="385">
                  <c:v>45176</c:v>
                </c:pt>
                <c:pt idx="386">
                  <c:v>45175</c:v>
                </c:pt>
                <c:pt idx="387">
                  <c:v>45174</c:v>
                </c:pt>
                <c:pt idx="388">
                  <c:v>45173</c:v>
                </c:pt>
                <c:pt idx="389">
                  <c:v>45170</c:v>
                </c:pt>
                <c:pt idx="390">
                  <c:v>45169</c:v>
                </c:pt>
                <c:pt idx="391">
                  <c:v>45168</c:v>
                </c:pt>
                <c:pt idx="392">
                  <c:v>45167</c:v>
                </c:pt>
                <c:pt idx="393">
                  <c:v>45166</c:v>
                </c:pt>
                <c:pt idx="394">
                  <c:v>45163</c:v>
                </c:pt>
                <c:pt idx="395">
                  <c:v>45162</c:v>
                </c:pt>
                <c:pt idx="396">
                  <c:v>45161</c:v>
                </c:pt>
                <c:pt idx="397">
                  <c:v>45160</c:v>
                </c:pt>
                <c:pt idx="398">
                  <c:v>45159</c:v>
                </c:pt>
                <c:pt idx="399">
                  <c:v>45156</c:v>
                </c:pt>
                <c:pt idx="400">
                  <c:v>45155</c:v>
                </c:pt>
                <c:pt idx="401">
                  <c:v>45154</c:v>
                </c:pt>
                <c:pt idx="402">
                  <c:v>45152</c:v>
                </c:pt>
                <c:pt idx="403">
                  <c:v>45149</c:v>
                </c:pt>
                <c:pt idx="404">
                  <c:v>45148</c:v>
                </c:pt>
                <c:pt idx="405">
                  <c:v>45147</c:v>
                </c:pt>
                <c:pt idx="406">
                  <c:v>45146</c:v>
                </c:pt>
                <c:pt idx="407">
                  <c:v>45145</c:v>
                </c:pt>
                <c:pt idx="408">
                  <c:v>45142</c:v>
                </c:pt>
                <c:pt idx="409">
                  <c:v>45141</c:v>
                </c:pt>
                <c:pt idx="410">
                  <c:v>45140</c:v>
                </c:pt>
                <c:pt idx="411">
                  <c:v>45139</c:v>
                </c:pt>
                <c:pt idx="412">
                  <c:v>45138</c:v>
                </c:pt>
                <c:pt idx="413">
                  <c:v>45135</c:v>
                </c:pt>
                <c:pt idx="414">
                  <c:v>45134</c:v>
                </c:pt>
                <c:pt idx="415">
                  <c:v>45133</c:v>
                </c:pt>
                <c:pt idx="416">
                  <c:v>45132</c:v>
                </c:pt>
                <c:pt idx="417">
                  <c:v>45131</c:v>
                </c:pt>
                <c:pt idx="418">
                  <c:v>45128</c:v>
                </c:pt>
                <c:pt idx="419">
                  <c:v>45127</c:v>
                </c:pt>
                <c:pt idx="420">
                  <c:v>45126</c:v>
                </c:pt>
                <c:pt idx="421">
                  <c:v>45125</c:v>
                </c:pt>
                <c:pt idx="422">
                  <c:v>45124</c:v>
                </c:pt>
                <c:pt idx="423">
                  <c:v>45121</c:v>
                </c:pt>
                <c:pt idx="424">
                  <c:v>45120</c:v>
                </c:pt>
                <c:pt idx="425">
                  <c:v>45119</c:v>
                </c:pt>
                <c:pt idx="426">
                  <c:v>45118</c:v>
                </c:pt>
                <c:pt idx="427">
                  <c:v>45117</c:v>
                </c:pt>
                <c:pt idx="428">
                  <c:v>45114</c:v>
                </c:pt>
                <c:pt idx="429">
                  <c:v>45113</c:v>
                </c:pt>
                <c:pt idx="430">
                  <c:v>45112</c:v>
                </c:pt>
                <c:pt idx="431">
                  <c:v>45111</c:v>
                </c:pt>
                <c:pt idx="432">
                  <c:v>45110</c:v>
                </c:pt>
                <c:pt idx="433">
                  <c:v>45107</c:v>
                </c:pt>
                <c:pt idx="434">
                  <c:v>45105</c:v>
                </c:pt>
                <c:pt idx="435">
                  <c:v>45104</c:v>
                </c:pt>
                <c:pt idx="436">
                  <c:v>45103</c:v>
                </c:pt>
                <c:pt idx="437">
                  <c:v>45100</c:v>
                </c:pt>
                <c:pt idx="438">
                  <c:v>45099</c:v>
                </c:pt>
                <c:pt idx="439">
                  <c:v>45098</c:v>
                </c:pt>
                <c:pt idx="440">
                  <c:v>45097</c:v>
                </c:pt>
                <c:pt idx="441">
                  <c:v>45096</c:v>
                </c:pt>
                <c:pt idx="442">
                  <c:v>45093</c:v>
                </c:pt>
                <c:pt idx="443">
                  <c:v>45092</c:v>
                </c:pt>
                <c:pt idx="444">
                  <c:v>45091</c:v>
                </c:pt>
                <c:pt idx="445">
                  <c:v>45090</c:v>
                </c:pt>
                <c:pt idx="446">
                  <c:v>45089</c:v>
                </c:pt>
                <c:pt idx="447">
                  <c:v>45086</c:v>
                </c:pt>
                <c:pt idx="448">
                  <c:v>45085</c:v>
                </c:pt>
                <c:pt idx="449">
                  <c:v>45084</c:v>
                </c:pt>
                <c:pt idx="450">
                  <c:v>45083</c:v>
                </c:pt>
                <c:pt idx="451">
                  <c:v>45082</c:v>
                </c:pt>
                <c:pt idx="452">
                  <c:v>45079</c:v>
                </c:pt>
                <c:pt idx="453">
                  <c:v>45078</c:v>
                </c:pt>
                <c:pt idx="454">
                  <c:v>45077</c:v>
                </c:pt>
                <c:pt idx="455">
                  <c:v>45076</c:v>
                </c:pt>
                <c:pt idx="456">
                  <c:v>45075</c:v>
                </c:pt>
                <c:pt idx="457">
                  <c:v>45072</c:v>
                </c:pt>
                <c:pt idx="458">
                  <c:v>45071</c:v>
                </c:pt>
                <c:pt idx="459">
                  <c:v>45070</c:v>
                </c:pt>
                <c:pt idx="460">
                  <c:v>45069</c:v>
                </c:pt>
                <c:pt idx="461">
                  <c:v>45068</c:v>
                </c:pt>
                <c:pt idx="462">
                  <c:v>45065</c:v>
                </c:pt>
                <c:pt idx="463">
                  <c:v>45064</c:v>
                </c:pt>
                <c:pt idx="464">
                  <c:v>45063</c:v>
                </c:pt>
                <c:pt idx="465">
                  <c:v>45062</c:v>
                </c:pt>
                <c:pt idx="466">
                  <c:v>45061</c:v>
                </c:pt>
                <c:pt idx="467">
                  <c:v>45058</c:v>
                </c:pt>
                <c:pt idx="468">
                  <c:v>45057</c:v>
                </c:pt>
                <c:pt idx="469">
                  <c:v>45056</c:v>
                </c:pt>
                <c:pt idx="470">
                  <c:v>45055</c:v>
                </c:pt>
                <c:pt idx="471">
                  <c:v>45054</c:v>
                </c:pt>
                <c:pt idx="472">
                  <c:v>45051</c:v>
                </c:pt>
                <c:pt idx="473">
                  <c:v>45050</c:v>
                </c:pt>
                <c:pt idx="474">
                  <c:v>45049</c:v>
                </c:pt>
                <c:pt idx="475">
                  <c:v>45048</c:v>
                </c:pt>
                <c:pt idx="476">
                  <c:v>45044</c:v>
                </c:pt>
                <c:pt idx="477">
                  <c:v>45043</c:v>
                </c:pt>
                <c:pt idx="478">
                  <c:v>45042</c:v>
                </c:pt>
                <c:pt idx="479">
                  <c:v>45041</c:v>
                </c:pt>
                <c:pt idx="480">
                  <c:v>45040</c:v>
                </c:pt>
                <c:pt idx="481">
                  <c:v>45037</c:v>
                </c:pt>
                <c:pt idx="482">
                  <c:v>45036</c:v>
                </c:pt>
                <c:pt idx="483">
                  <c:v>45035</c:v>
                </c:pt>
                <c:pt idx="484">
                  <c:v>45034</c:v>
                </c:pt>
                <c:pt idx="485">
                  <c:v>45033</c:v>
                </c:pt>
                <c:pt idx="486">
                  <c:v>45029</c:v>
                </c:pt>
                <c:pt idx="487">
                  <c:v>45028</c:v>
                </c:pt>
                <c:pt idx="488">
                  <c:v>45027</c:v>
                </c:pt>
                <c:pt idx="489">
                  <c:v>45026</c:v>
                </c:pt>
                <c:pt idx="490">
                  <c:v>45022</c:v>
                </c:pt>
                <c:pt idx="491">
                  <c:v>45021</c:v>
                </c:pt>
                <c:pt idx="492">
                  <c:v>45019</c:v>
                </c:pt>
                <c:pt idx="493">
                  <c:v>45016</c:v>
                </c:pt>
                <c:pt idx="494">
                  <c:v>45014</c:v>
                </c:pt>
                <c:pt idx="495">
                  <c:v>45013</c:v>
                </c:pt>
                <c:pt idx="496">
                  <c:v>45012</c:v>
                </c:pt>
                <c:pt idx="497">
                  <c:v>45009</c:v>
                </c:pt>
                <c:pt idx="498">
                  <c:v>45008</c:v>
                </c:pt>
                <c:pt idx="499">
                  <c:v>45007</c:v>
                </c:pt>
                <c:pt idx="500">
                  <c:v>45006</c:v>
                </c:pt>
                <c:pt idx="501">
                  <c:v>45005</c:v>
                </c:pt>
                <c:pt idx="502">
                  <c:v>45002</c:v>
                </c:pt>
                <c:pt idx="503">
                  <c:v>45001</c:v>
                </c:pt>
                <c:pt idx="504">
                  <c:v>45000</c:v>
                </c:pt>
                <c:pt idx="505">
                  <c:v>44999</c:v>
                </c:pt>
                <c:pt idx="506">
                  <c:v>44998</c:v>
                </c:pt>
                <c:pt idx="507">
                  <c:v>44995</c:v>
                </c:pt>
                <c:pt idx="508">
                  <c:v>44994</c:v>
                </c:pt>
                <c:pt idx="509">
                  <c:v>44993</c:v>
                </c:pt>
                <c:pt idx="510">
                  <c:v>44991</c:v>
                </c:pt>
                <c:pt idx="511">
                  <c:v>44988</c:v>
                </c:pt>
                <c:pt idx="512">
                  <c:v>44987</c:v>
                </c:pt>
                <c:pt idx="513">
                  <c:v>44986</c:v>
                </c:pt>
                <c:pt idx="514">
                  <c:v>44985</c:v>
                </c:pt>
                <c:pt idx="515">
                  <c:v>44984</c:v>
                </c:pt>
                <c:pt idx="516">
                  <c:v>44981</c:v>
                </c:pt>
                <c:pt idx="517">
                  <c:v>44980</c:v>
                </c:pt>
                <c:pt idx="518">
                  <c:v>44979</c:v>
                </c:pt>
                <c:pt idx="519">
                  <c:v>44978</c:v>
                </c:pt>
                <c:pt idx="520">
                  <c:v>44977</c:v>
                </c:pt>
                <c:pt idx="521">
                  <c:v>44974</c:v>
                </c:pt>
                <c:pt idx="522">
                  <c:v>44973</c:v>
                </c:pt>
                <c:pt idx="523">
                  <c:v>44972</c:v>
                </c:pt>
                <c:pt idx="524">
                  <c:v>44971</c:v>
                </c:pt>
                <c:pt idx="525">
                  <c:v>44970</c:v>
                </c:pt>
                <c:pt idx="526">
                  <c:v>44967</c:v>
                </c:pt>
                <c:pt idx="527">
                  <c:v>44966</c:v>
                </c:pt>
                <c:pt idx="528">
                  <c:v>44965</c:v>
                </c:pt>
                <c:pt idx="529">
                  <c:v>44964</c:v>
                </c:pt>
                <c:pt idx="530">
                  <c:v>44963</c:v>
                </c:pt>
                <c:pt idx="531">
                  <c:v>44960</c:v>
                </c:pt>
                <c:pt idx="532">
                  <c:v>44959</c:v>
                </c:pt>
                <c:pt idx="533">
                  <c:v>44958</c:v>
                </c:pt>
                <c:pt idx="534">
                  <c:v>44957</c:v>
                </c:pt>
                <c:pt idx="535">
                  <c:v>44956</c:v>
                </c:pt>
                <c:pt idx="536">
                  <c:v>44953</c:v>
                </c:pt>
                <c:pt idx="537">
                  <c:v>44951</c:v>
                </c:pt>
                <c:pt idx="538">
                  <c:v>44950</c:v>
                </c:pt>
                <c:pt idx="539">
                  <c:v>44949</c:v>
                </c:pt>
                <c:pt idx="540">
                  <c:v>44946</c:v>
                </c:pt>
                <c:pt idx="541">
                  <c:v>44945</c:v>
                </c:pt>
                <c:pt idx="542">
                  <c:v>44944</c:v>
                </c:pt>
                <c:pt idx="543">
                  <c:v>44943</c:v>
                </c:pt>
                <c:pt idx="544">
                  <c:v>44942</c:v>
                </c:pt>
                <c:pt idx="545">
                  <c:v>44939</c:v>
                </c:pt>
                <c:pt idx="546">
                  <c:v>44938</c:v>
                </c:pt>
                <c:pt idx="547">
                  <c:v>44937</c:v>
                </c:pt>
                <c:pt idx="548">
                  <c:v>44936</c:v>
                </c:pt>
                <c:pt idx="549">
                  <c:v>44935</c:v>
                </c:pt>
                <c:pt idx="550">
                  <c:v>44932</c:v>
                </c:pt>
                <c:pt idx="551">
                  <c:v>44931</c:v>
                </c:pt>
                <c:pt idx="552">
                  <c:v>44930</c:v>
                </c:pt>
                <c:pt idx="553">
                  <c:v>44929</c:v>
                </c:pt>
                <c:pt idx="554">
                  <c:v>44928</c:v>
                </c:pt>
                <c:pt idx="555">
                  <c:v>44925</c:v>
                </c:pt>
                <c:pt idx="556">
                  <c:v>44924</c:v>
                </c:pt>
                <c:pt idx="557">
                  <c:v>44923</c:v>
                </c:pt>
                <c:pt idx="558">
                  <c:v>44922</c:v>
                </c:pt>
                <c:pt idx="559">
                  <c:v>44921</c:v>
                </c:pt>
                <c:pt idx="560">
                  <c:v>44918</c:v>
                </c:pt>
                <c:pt idx="561">
                  <c:v>44917</c:v>
                </c:pt>
                <c:pt idx="562">
                  <c:v>44916</c:v>
                </c:pt>
                <c:pt idx="563">
                  <c:v>44915</c:v>
                </c:pt>
                <c:pt idx="564">
                  <c:v>44914</c:v>
                </c:pt>
                <c:pt idx="565">
                  <c:v>44911</c:v>
                </c:pt>
                <c:pt idx="566">
                  <c:v>44910</c:v>
                </c:pt>
                <c:pt idx="567">
                  <c:v>44909</c:v>
                </c:pt>
                <c:pt idx="568">
                  <c:v>44908</c:v>
                </c:pt>
                <c:pt idx="569">
                  <c:v>44907</c:v>
                </c:pt>
                <c:pt idx="570">
                  <c:v>44904</c:v>
                </c:pt>
                <c:pt idx="571">
                  <c:v>44903</c:v>
                </c:pt>
                <c:pt idx="572">
                  <c:v>44902</c:v>
                </c:pt>
                <c:pt idx="573">
                  <c:v>44901</c:v>
                </c:pt>
                <c:pt idx="574">
                  <c:v>44900</c:v>
                </c:pt>
                <c:pt idx="575">
                  <c:v>44897</c:v>
                </c:pt>
                <c:pt idx="576">
                  <c:v>44896</c:v>
                </c:pt>
                <c:pt idx="577">
                  <c:v>44895</c:v>
                </c:pt>
                <c:pt idx="578">
                  <c:v>44894</c:v>
                </c:pt>
                <c:pt idx="579">
                  <c:v>44893</c:v>
                </c:pt>
                <c:pt idx="580">
                  <c:v>44890</c:v>
                </c:pt>
                <c:pt idx="581">
                  <c:v>44889</c:v>
                </c:pt>
                <c:pt idx="582">
                  <c:v>44888</c:v>
                </c:pt>
                <c:pt idx="583">
                  <c:v>44887</c:v>
                </c:pt>
                <c:pt idx="584">
                  <c:v>44886</c:v>
                </c:pt>
                <c:pt idx="585">
                  <c:v>44883</c:v>
                </c:pt>
                <c:pt idx="586">
                  <c:v>44882</c:v>
                </c:pt>
                <c:pt idx="587">
                  <c:v>44881</c:v>
                </c:pt>
                <c:pt idx="588">
                  <c:v>44880</c:v>
                </c:pt>
                <c:pt idx="589">
                  <c:v>44879</c:v>
                </c:pt>
                <c:pt idx="590">
                  <c:v>44876</c:v>
                </c:pt>
                <c:pt idx="591">
                  <c:v>44875</c:v>
                </c:pt>
                <c:pt idx="592">
                  <c:v>44874</c:v>
                </c:pt>
                <c:pt idx="593">
                  <c:v>44872</c:v>
                </c:pt>
                <c:pt idx="594">
                  <c:v>44869</c:v>
                </c:pt>
                <c:pt idx="595">
                  <c:v>44868</c:v>
                </c:pt>
                <c:pt idx="596">
                  <c:v>44867</c:v>
                </c:pt>
                <c:pt idx="597">
                  <c:v>44866</c:v>
                </c:pt>
                <c:pt idx="598">
                  <c:v>44865</c:v>
                </c:pt>
                <c:pt idx="599">
                  <c:v>44862</c:v>
                </c:pt>
                <c:pt idx="600">
                  <c:v>44861</c:v>
                </c:pt>
                <c:pt idx="601">
                  <c:v>44859</c:v>
                </c:pt>
                <c:pt idx="602">
                  <c:v>44858</c:v>
                </c:pt>
                <c:pt idx="603">
                  <c:v>44855</c:v>
                </c:pt>
                <c:pt idx="604">
                  <c:v>44854</c:v>
                </c:pt>
                <c:pt idx="605">
                  <c:v>44853</c:v>
                </c:pt>
                <c:pt idx="606">
                  <c:v>44852</c:v>
                </c:pt>
                <c:pt idx="607">
                  <c:v>44851</c:v>
                </c:pt>
                <c:pt idx="608">
                  <c:v>44848</c:v>
                </c:pt>
                <c:pt idx="609">
                  <c:v>44847</c:v>
                </c:pt>
                <c:pt idx="610">
                  <c:v>44846</c:v>
                </c:pt>
                <c:pt idx="611">
                  <c:v>44845</c:v>
                </c:pt>
                <c:pt idx="612">
                  <c:v>44844</c:v>
                </c:pt>
                <c:pt idx="613">
                  <c:v>44841</c:v>
                </c:pt>
                <c:pt idx="614">
                  <c:v>44840</c:v>
                </c:pt>
                <c:pt idx="615">
                  <c:v>44838</c:v>
                </c:pt>
                <c:pt idx="616">
                  <c:v>44837</c:v>
                </c:pt>
                <c:pt idx="617">
                  <c:v>44834</c:v>
                </c:pt>
                <c:pt idx="618">
                  <c:v>44833</c:v>
                </c:pt>
                <c:pt idx="619">
                  <c:v>44832</c:v>
                </c:pt>
                <c:pt idx="620">
                  <c:v>44831</c:v>
                </c:pt>
                <c:pt idx="621">
                  <c:v>44830</c:v>
                </c:pt>
                <c:pt idx="622">
                  <c:v>44827</c:v>
                </c:pt>
                <c:pt idx="623">
                  <c:v>44826</c:v>
                </c:pt>
                <c:pt idx="624">
                  <c:v>44825</c:v>
                </c:pt>
                <c:pt idx="625">
                  <c:v>44824</c:v>
                </c:pt>
                <c:pt idx="626">
                  <c:v>44823</c:v>
                </c:pt>
                <c:pt idx="627">
                  <c:v>44820</c:v>
                </c:pt>
                <c:pt idx="628">
                  <c:v>44819</c:v>
                </c:pt>
                <c:pt idx="629">
                  <c:v>44818</c:v>
                </c:pt>
                <c:pt idx="630">
                  <c:v>44817</c:v>
                </c:pt>
                <c:pt idx="631">
                  <c:v>44816</c:v>
                </c:pt>
                <c:pt idx="632">
                  <c:v>44813</c:v>
                </c:pt>
                <c:pt idx="633">
                  <c:v>44812</c:v>
                </c:pt>
                <c:pt idx="634">
                  <c:v>44811</c:v>
                </c:pt>
                <c:pt idx="635">
                  <c:v>44810</c:v>
                </c:pt>
                <c:pt idx="636">
                  <c:v>44809</c:v>
                </c:pt>
                <c:pt idx="637">
                  <c:v>44806</c:v>
                </c:pt>
                <c:pt idx="638">
                  <c:v>44805</c:v>
                </c:pt>
                <c:pt idx="639">
                  <c:v>44803</c:v>
                </c:pt>
                <c:pt idx="640">
                  <c:v>44802</c:v>
                </c:pt>
                <c:pt idx="641">
                  <c:v>44799</c:v>
                </c:pt>
                <c:pt idx="642">
                  <c:v>44798</c:v>
                </c:pt>
                <c:pt idx="643">
                  <c:v>44797</c:v>
                </c:pt>
                <c:pt idx="644">
                  <c:v>44796</c:v>
                </c:pt>
                <c:pt idx="645">
                  <c:v>44795</c:v>
                </c:pt>
                <c:pt idx="646">
                  <c:v>44792</c:v>
                </c:pt>
                <c:pt idx="647">
                  <c:v>44791</c:v>
                </c:pt>
                <c:pt idx="648">
                  <c:v>44790</c:v>
                </c:pt>
                <c:pt idx="649">
                  <c:v>44789</c:v>
                </c:pt>
                <c:pt idx="650">
                  <c:v>44785</c:v>
                </c:pt>
                <c:pt idx="651">
                  <c:v>44784</c:v>
                </c:pt>
                <c:pt idx="652">
                  <c:v>44783</c:v>
                </c:pt>
                <c:pt idx="653">
                  <c:v>44781</c:v>
                </c:pt>
                <c:pt idx="654">
                  <c:v>44778</c:v>
                </c:pt>
                <c:pt idx="655">
                  <c:v>44777</c:v>
                </c:pt>
                <c:pt idx="656">
                  <c:v>44776</c:v>
                </c:pt>
                <c:pt idx="657">
                  <c:v>44775</c:v>
                </c:pt>
                <c:pt idx="658">
                  <c:v>44774</c:v>
                </c:pt>
                <c:pt idx="659">
                  <c:v>44771</c:v>
                </c:pt>
                <c:pt idx="660">
                  <c:v>44770</c:v>
                </c:pt>
                <c:pt idx="661">
                  <c:v>44769</c:v>
                </c:pt>
                <c:pt idx="662">
                  <c:v>44768</c:v>
                </c:pt>
                <c:pt idx="663">
                  <c:v>44767</c:v>
                </c:pt>
                <c:pt idx="664">
                  <c:v>44764</c:v>
                </c:pt>
                <c:pt idx="665">
                  <c:v>44763</c:v>
                </c:pt>
                <c:pt idx="666">
                  <c:v>44762</c:v>
                </c:pt>
                <c:pt idx="667">
                  <c:v>44761</c:v>
                </c:pt>
                <c:pt idx="668">
                  <c:v>44760</c:v>
                </c:pt>
                <c:pt idx="669">
                  <c:v>44757</c:v>
                </c:pt>
                <c:pt idx="670">
                  <c:v>44756</c:v>
                </c:pt>
                <c:pt idx="671">
                  <c:v>44755</c:v>
                </c:pt>
                <c:pt idx="672">
                  <c:v>44754</c:v>
                </c:pt>
                <c:pt idx="673">
                  <c:v>44753</c:v>
                </c:pt>
                <c:pt idx="674">
                  <c:v>44750</c:v>
                </c:pt>
                <c:pt idx="675">
                  <c:v>44749</c:v>
                </c:pt>
                <c:pt idx="676">
                  <c:v>44748</c:v>
                </c:pt>
                <c:pt idx="677">
                  <c:v>44747</c:v>
                </c:pt>
                <c:pt idx="678">
                  <c:v>44746</c:v>
                </c:pt>
                <c:pt idx="679">
                  <c:v>44743</c:v>
                </c:pt>
                <c:pt idx="680">
                  <c:v>44742</c:v>
                </c:pt>
                <c:pt idx="681">
                  <c:v>44741</c:v>
                </c:pt>
                <c:pt idx="682">
                  <c:v>44740</c:v>
                </c:pt>
                <c:pt idx="683">
                  <c:v>44739</c:v>
                </c:pt>
                <c:pt idx="684">
                  <c:v>44736</c:v>
                </c:pt>
                <c:pt idx="685">
                  <c:v>44735</c:v>
                </c:pt>
                <c:pt idx="686">
                  <c:v>44734</c:v>
                </c:pt>
                <c:pt idx="687">
                  <c:v>44733</c:v>
                </c:pt>
                <c:pt idx="688">
                  <c:v>44732</c:v>
                </c:pt>
                <c:pt idx="689">
                  <c:v>44729</c:v>
                </c:pt>
                <c:pt idx="690">
                  <c:v>44728</c:v>
                </c:pt>
                <c:pt idx="691">
                  <c:v>44727</c:v>
                </c:pt>
                <c:pt idx="692">
                  <c:v>44726</c:v>
                </c:pt>
                <c:pt idx="693">
                  <c:v>44725</c:v>
                </c:pt>
                <c:pt idx="694">
                  <c:v>44722</c:v>
                </c:pt>
                <c:pt idx="695">
                  <c:v>44721</c:v>
                </c:pt>
                <c:pt idx="696">
                  <c:v>44720</c:v>
                </c:pt>
                <c:pt idx="697">
                  <c:v>44719</c:v>
                </c:pt>
                <c:pt idx="698">
                  <c:v>44718</c:v>
                </c:pt>
                <c:pt idx="699">
                  <c:v>44715</c:v>
                </c:pt>
                <c:pt idx="700">
                  <c:v>44714</c:v>
                </c:pt>
                <c:pt idx="701">
                  <c:v>44713</c:v>
                </c:pt>
                <c:pt idx="702">
                  <c:v>44712</c:v>
                </c:pt>
                <c:pt idx="703">
                  <c:v>44711</c:v>
                </c:pt>
                <c:pt idx="704">
                  <c:v>44708</c:v>
                </c:pt>
                <c:pt idx="705">
                  <c:v>44707</c:v>
                </c:pt>
                <c:pt idx="706">
                  <c:v>44706</c:v>
                </c:pt>
                <c:pt idx="707">
                  <c:v>44705</c:v>
                </c:pt>
                <c:pt idx="708">
                  <c:v>44704</c:v>
                </c:pt>
                <c:pt idx="709">
                  <c:v>44701</c:v>
                </c:pt>
                <c:pt idx="710">
                  <c:v>44700</c:v>
                </c:pt>
                <c:pt idx="711">
                  <c:v>44699</c:v>
                </c:pt>
                <c:pt idx="712">
                  <c:v>44698</c:v>
                </c:pt>
                <c:pt idx="713">
                  <c:v>44697</c:v>
                </c:pt>
                <c:pt idx="714">
                  <c:v>44694</c:v>
                </c:pt>
                <c:pt idx="715">
                  <c:v>44693</c:v>
                </c:pt>
                <c:pt idx="716">
                  <c:v>44692</c:v>
                </c:pt>
                <c:pt idx="717">
                  <c:v>44691</c:v>
                </c:pt>
                <c:pt idx="718">
                  <c:v>44690</c:v>
                </c:pt>
                <c:pt idx="719">
                  <c:v>44687</c:v>
                </c:pt>
                <c:pt idx="720">
                  <c:v>44686</c:v>
                </c:pt>
                <c:pt idx="721">
                  <c:v>44685</c:v>
                </c:pt>
                <c:pt idx="722">
                  <c:v>44683</c:v>
                </c:pt>
                <c:pt idx="723">
                  <c:v>44680</c:v>
                </c:pt>
                <c:pt idx="724">
                  <c:v>44679</c:v>
                </c:pt>
                <c:pt idx="725">
                  <c:v>44678</c:v>
                </c:pt>
                <c:pt idx="726">
                  <c:v>44677</c:v>
                </c:pt>
                <c:pt idx="727">
                  <c:v>44676</c:v>
                </c:pt>
                <c:pt idx="728">
                  <c:v>44673</c:v>
                </c:pt>
                <c:pt idx="729">
                  <c:v>44672</c:v>
                </c:pt>
                <c:pt idx="730">
                  <c:v>44671</c:v>
                </c:pt>
                <c:pt idx="731">
                  <c:v>44670</c:v>
                </c:pt>
                <c:pt idx="732">
                  <c:v>44669</c:v>
                </c:pt>
                <c:pt idx="733">
                  <c:v>44664</c:v>
                </c:pt>
                <c:pt idx="734">
                  <c:v>44663</c:v>
                </c:pt>
                <c:pt idx="735">
                  <c:v>44662</c:v>
                </c:pt>
                <c:pt idx="736">
                  <c:v>44659</c:v>
                </c:pt>
                <c:pt idx="737">
                  <c:v>44658</c:v>
                </c:pt>
                <c:pt idx="738">
                  <c:v>44657</c:v>
                </c:pt>
                <c:pt idx="739">
                  <c:v>44656</c:v>
                </c:pt>
                <c:pt idx="740">
                  <c:v>44655</c:v>
                </c:pt>
                <c:pt idx="741">
                  <c:v>44652</c:v>
                </c:pt>
                <c:pt idx="742">
                  <c:v>44651</c:v>
                </c:pt>
                <c:pt idx="743">
                  <c:v>44650</c:v>
                </c:pt>
                <c:pt idx="744">
                  <c:v>44649</c:v>
                </c:pt>
                <c:pt idx="745">
                  <c:v>44648</c:v>
                </c:pt>
                <c:pt idx="746">
                  <c:v>44645</c:v>
                </c:pt>
                <c:pt idx="747">
                  <c:v>44644</c:v>
                </c:pt>
                <c:pt idx="748">
                  <c:v>44643</c:v>
                </c:pt>
                <c:pt idx="749">
                  <c:v>44642</c:v>
                </c:pt>
                <c:pt idx="750">
                  <c:v>44641</c:v>
                </c:pt>
                <c:pt idx="751">
                  <c:v>44637</c:v>
                </c:pt>
                <c:pt idx="752">
                  <c:v>44636</c:v>
                </c:pt>
                <c:pt idx="753">
                  <c:v>44635</c:v>
                </c:pt>
                <c:pt idx="754">
                  <c:v>44634</c:v>
                </c:pt>
                <c:pt idx="755">
                  <c:v>44631</c:v>
                </c:pt>
                <c:pt idx="756">
                  <c:v>44630</c:v>
                </c:pt>
                <c:pt idx="757">
                  <c:v>44629</c:v>
                </c:pt>
                <c:pt idx="758">
                  <c:v>44628</c:v>
                </c:pt>
                <c:pt idx="759">
                  <c:v>44627</c:v>
                </c:pt>
                <c:pt idx="760">
                  <c:v>44624</c:v>
                </c:pt>
                <c:pt idx="761">
                  <c:v>44623</c:v>
                </c:pt>
                <c:pt idx="762">
                  <c:v>44622</c:v>
                </c:pt>
                <c:pt idx="763">
                  <c:v>44620</c:v>
                </c:pt>
                <c:pt idx="764">
                  <c:v>44617</c:v>
                </c:pt>
                <c:pt idx="765">
                  <c:v>44616</c:v>
                </c:pt>
                <c:pt idx="766">
                  <c:v>44615</c:v>
                </c:pt>
                <c:pt idx="767">
                  <c:v>44614</c:v>
                </c:pt>
                <c:pt idx="768">
                  <c:v>44613</c:v>
                </c:pt>
                <c:pt idx="769">
                  <c:v>44610</c:v>
                </c:pt>
                <c:pt idx="770">
                  <c:v>44609</c:v>
                </c:pt>
                <c:pt idx="771">
                  <c:v>44608</c:v>
                </c:pt>
                <c:pt idx="772">
                  <c:v>44607</c:v>
                </c:pt>
                <c:pt idx="773">
                  <c:v>44606</c:v>
                </c:pt>
                <c:pt idx="774">
                  <c:v>44603</c:v>
                </c:pt>
                <c:pt idx="775">
                  <c:v>44602</c:v>
                </c:pt>
                <c:pt idx="776">
                  <c:v>44601</c:v>
                </c:pt>
                <c:pt idx="777">
                  <c:v>44600</c:v>
                </c:pt>
                <c:pt idx="778">
                  <c:v>44599</c:v>
                </c:pt>
                <c:pt idx="779">
                  <c:v>44596</c:v>
                </c:pt>
                <c:pt idx="780">
                  <c:v>44595</c:v>
                </c:pt>
                <c:pt idx="781">
                  <c:v>44594</c:v>
                </c:pt>
                <c:pt idx="782">
                  <c:v>44593</c:v>
                </c:pt>
                <c:pt idx="783">
                  <c:v>44592</c:v>
                </c:pt>
                <c:pt idx="784">
                  <c:v>44589</c:v>
                </c:pt>
                <c:pt idx="785">
                  <c:v>44588</c:v>
                </c:pt>
                <c:pt idx="786">
                  <c:v>44586</c:v>
                </c:pt>
                <c:pt idx="787">
                  <c:v>44585</c:v>
                </c:pt>
                <c:pt idx="788">
                  <c:v>44582</c:v>
                </c:pt>
                <c:pt idx="789">
                  <c:v>44581</c:v>
                </c:pt>
                <c:pt idx="790">
                  <c:v>44580</c:v>
                </c:pt>
                <c:pt idx="791">
                  <c:v>44579</c:v>
                </c:pt>
                <c:pt idx="792">
                  <c:v>44578</c:v>
                </c:pt>
                <c:pt idx="793">
                  <c:v>44575</c:v>
                </c:pt>
                <c:pt idx="794">
                  <c:v>44574</c:v>
                </c:pt>
                <c:pt idx="795">
                  <c:v>44573</c:v>
                </c:pt>
                <c:pt idx="796">
                  <c:v>44572</c:v>
                </c:pt>
                <c:pt idx="797">
                  <c:v>44571</c:v>
                </c:pt>
                <c:pt idx="798">
                  <c:v>44568</c:v>
                </c:pt>
                <c:pt idx="799">
                  <c:v>44567</c:v>
                </c:pt>
                <c:pt idx="800">
                  <c:v>44566</c:v>
                </c:pt>
                <c:pt idx="801">
                  <c:v>44565</c:v>
                </c:pt>
                <c:pt idx="802">
                  <c:v>44564</c:v>
                </c:pt>
                <c:pt idx="803">
                  <c:v>44561</c:v>
                </c:pt>
                <c:pt idx="804">
                  <c:v>44560</c:v>
                </c:pt>
                <c:pt idx="805">
                  <c:v>44559</c:v>
                </c:pt>
                <c:pt idx="806">
                  <c:v>44558</c:v>
                </c:pt>
                <c:pt idx="807">
                  <c:v>44557</c:v>
                </c:pt>
                <c:pt idx="808">
                  <c:v>44554</c:v>
                </c:pt>
                <c:pt idx="809">
                  <c:v>44553</c:v>
                </c:pt>
                <c:pt idx="810">
                  <c:v>44552</c:v>
                </c:pt>
                <c:pt idx="811">
                  <c:v>44551</c:v>
                </c:pt>
                <c:pt idx="812">
                  <c:v>44550</c:v>
                </c:pt>
                <c:pt idx="813">
                  <c:v>44547</c:v>
                </c:pt>
                <c:pt idx="814">
                  <c:v>44546</c:v>
                </c:pt>
                <c:pt idx="815">
                  <c:v>44545</c:v>
                </c:pt>
                <c:pt idx="816">
                  <c:v>44544</c:v>
                </c:pt>
                <c:pt idx="817">
                  <c:v>44543</c:v>
                </c:pt>
                <c:pt idx="818">
                  <c:v>44540</c:v>
                </c:pt>
                <c:pt idx="819">
                  <c:v>44539</c:v>
                </c:pt>
                <c:pt idx="820">
                  <c:v>44538</c:v>
                </c:pt>
                <c:pt idx="821">
                  <c:v>44537</c:v>
                </c:pt>
                <c:pt idx="822">
                  <c:v>44536</c:v>
                </c:pt>
                <c:pt idx="823">
                  <c:v>44533</c:v>
                </c:pt>
                <c:pt idx="824">
                  <c:v>44532</c:v>
                </c:pt>
                <c:pt idx="825">
                  <c:v>44531</c:v>
                </c:pt>
                <c:pt idx="826">
                  <c:v>44530</c:v>
                </c:pt>
                <c:pt idx="827">
                  <c:v>44529</c:v>
                </c:pt>
                <c:pt idx="828">
                  <c:v>44526</c:v>
                </c:pt>
                <c:pt idx="829">
                  <c:v>44525</c:v>
                </c:pt>
                <c:pt idx="830">
                  <c:v>44524</c:v>
                </c:pt>
                <c:pt idx="831">
                  <c:v>44523</c:v>
                </c:pt>
                <c:pt idx="832">
                  <c:v>44522</c:v>
                </c:pt>
                <c:pt idx="833">
                  <c:v>44518</c:v>
                </c:pt>
                <c:pt idx="834">
                  <c:v>44517</c:v>
                </c:pt>
                <c:pt idx="835">
                  <c:v>44516</c:v>
                </c:pt>
                <c:pt idx="836">
                  <c:v>44515</c:v>
                </c:pt>
                <c:pt idx="837">
                  <c:v>44512</c:v>
                </c:pt>
                <c:pt idx="838">
                  <c:v>44511</c:v>
                </c:pt>
                <c:pt idx="839">
                  <c:v>44510</c:v>
                </c:pt>
                <c:pt idx="840">
                  <c:v>44509</c:v>
                </c:pt>
                <c:pt idx="841">
                  <c:v>44508</c:v>
                </c:pt>
                <c:pt idx="842">
                  <c:v>44504</c:v>
                </c:pt>
                <c:pt idx="843">
                  <c:v>44503</c:v>
                </c:pt>
                <c:pt idx="844">
                  <c:v>44502</c:v>
                </c:pt>
                <c:pt idx="845">
                  <c:v>44501</c:v>
                </c:pt>
                <c:pt idx="846">
                  <c:v>44498</c:v>
                </c:pt>
                <c:pt idx="847">
                  <c:v>44497</c:v>
                </c:pt>
                <c:pt idx="848">
                  <c:v>44496</c:v>
                </c:pt>
                <c:pt idx="849">
                  <c:v>44495</c:v>
                </c:pt>
                <c:pt idx="850">
                  <c:v>44494</c:v>
                </c:pt>
                <c:pt idx="851">
                  <c:v>44491</c:v>
                </c:pt>
                <c:pt idx="852">
                  <c:v>44490</c:v>
                </c:pt>
                <c:pt idx="853">
                  <c:v>44489</c:v>
                </c:pt>
                <c:pt idx="854">
                  <c:v>44488</c:v>
                </c:pt>
                <c:pt idx="855">
                  <c:v>44487</c:v>
                </c:pt>
                <c:pt idx="856">
                  <c:v>44483</c:v>
                </c:pt>
                <c:pt idx="857">
                  <c:v>44482</c:v>
                </c:pt>
                <c:pt idx="858">
                  <c:v>44481</c:v>
                </c:pt>
                <c:pt idx="859">
                  <c:v>44480</c:v>
                </c:pt>
                <c:pt idx="860">
                  <c:v>44477</c:v>
                </c:pt>
                <c:pt idx="861">
                  <c:v>44476</c:v>
                </c:pt>
                <c:pt idx="862">
                  <c:v>44475</c:v>
                </c:pt>
                <c:pt idx="863">
                  <c:v>44474</c:v>
                </c:pt>
                <c:pt idx="864">
                  <c:v>44473</c:v>
                </c:pt>
                <c:pt idx="865">
                  <c:v>44470</c:v>
                </c:pt>
                <c:pt idx="866">
                  <c:v>44469</c:v>
                </c:pt>
                <c:pt idx="867">
                  <c:v>44468</c:v>
                </c:pt>
                <c:pt idx="868">
                  <c:v>44467</c:v>
                </c:pt>
                <c:pt idx="869">
                  <c:v>44466</c:v>
                </c:pt>
                <c:pt idx="870">
                  <c:v>44463</c:v>
                </c:pt>
                <c:pt idx="871">
                  <c:v>44462</c:v>
                </c:pt>
                <c:pt idx="872">
                  <c:v>44461</c:v>
                </c:pt>
                <c:pt idx="873">
                  <c:v>44460</c:v>
                </c:pt>
                <c:pt idx="874">
                  <c:v>44459</c:v>
                </c:pt>
                <c:pt idx="875">
                  <c:v>44456</c:v>
                </c:pt>
                <c:pt idx="876">
                  <c:v>44454</c:v>
                </c:pt>
                <c:pt idx="877">
                  <c:v>44453</c:v>
                </c:pt>
                <c:pt idx="878">
                  <c:v>44452</c:v>
                </c:pt>
                <c:pt idx="879">
                  <c:v>44448</c:v>
                </c:pt>
                <c:pt idx="880">
                  <c:v>44447</c:v>
                </c:pt>
                <c:pt idx="881">
                  <c:v>44446</c:v>
                </c:pt>
                <c:pt idx="882">
                  <c:v>44445</c:v>
                </c:pt>
                <c:pt idx="883">
                  <c:v>44442</c:v>
                </c:pt>
                <c:pt idx="884">
                  <c:v>44441</c:v>
                </c:pt>
                <c:pt idx="885">
                  <c:v>44440</c:v>
                </c:pt>
                <c:pt idx="886">
                  <c:v>44439</c:v>
                </c:pt>
                <c:pt idx="887">
                  <c:v>44438</c:v>
                </c:pt>
                <c:pt idx="888">
                  <c:v>44435</c:v>
                </c:pt>
                <c:pt idx="889">
                  <c:v>44434</c:v>
                </c:pt>
                <c:pt idx="890">
                  <c:v>44433</c:v>
                </c:pt>
                <c:pt idx="891">
                  <c:v>44432</c:v>
                </c:pt>
                <c:pt idx="892">
                  <c:v>44431</c:v>
                </c:pt>
                <c:pt idx="893">
                  <c:v>44428</c:v>
                </c:pt>
                <c:pt idx="894">
                  <c:v>44426</c:v>
                </c:pt>
                <c:pt idx="895">
                  <c:v>44425</c:v>
                </c:pt>
                <c:pt idx="896">
                  <c:v>44424</c:v>
                </c:pt>
                <c:pt idx="897">
                  <c:v>44421</c:v>
                </c:pt>
                <c:pt idx="898">
                  <c:v>44420</c:v>
                </c:pt>
                <c:pt idx="899">
                  <c:v>44419</c:v>
                </c:pt>
                <c:pt idx="900">
                  <c:v>44418</c:v>
                </c:pt>
                <c:pt idx="901">
                  <c:v>44417</c:v>
                </c:pt>
                <c:pt idx="902">
                  <c:v>44414</c:v>
                </c:pt>
                <c:pt idx="903">
                  <c:v>44413</c:v>
                </c:pt>
                <c:pt idx="904">
                  <c:v>44412</c:v>
                </c:pt>
                <c:pt idx="905">
                  <c:v>44411</c:v>
                </c:pt>
                <c:pt idx="906">
                  <c:v>44410</c:v>
                </c:pt>
                <c:pt idx="907">
                  <c:v>44407</c:v>
                </c:pt>
                <c:pt idx="908">
                  <c:v>44406</c:v>
                </c:pt>
                <c:pt idx="909">
                  <c:v>44405</c:v>
                </c:pt>
                <c:pt idx="910">
                  <c:v>44404</c:v>
                </c:pt>
                <c:pt idx="911">
                  <c:v>44403</c:v>
                </c:pt>
                <c:pt idx="912">
                  <c:v>44400</c:v>
                </c:pt>
                <c:pt idx="913">
                  <c:v>44399</c:v>
                </c:pt>
                <c:pt idx="914">
                  <c:v>44397</c:v>
                </c:pt>
                <c:pt idx="915">
                  <c:v>44396</c:v>
                </c:pt>
                <c:pt idx="916">
                  <c:v>44393</c:v>
                </c:pt>
                <c:pt idx="917">
                  <c:v>44392</c:v>
                </c:pt>
                <c:pt idx="918">
                  <c:v>44391</c:v>
                </c:pt>
                <c:pt idx="919">
                  <c:v>44390</c:v>
                </c:pt>
                <c:pt idx="920">
                  <c:v>44389</c:v>
                </c:pt>
                <c:pt idx="921">
                  <c:v>44386</c:v>
                </c:pt>
                <c:pt idx="922">
                  <c:v>44385</c:v>
                </c:pt>
                <c:pt idx="923">
                  <c:v>44384</c:v>
                </c:pt>
                <c:pt idx="924">
                  <c:v>44383</c:v>
                </c:pt>
                <c:pt idx="925">
                  <c:v>44382</c:v>
                </c:pt>
                <c:pt idx="926">
                  <c:v>44379</c:v>
                </c:pt>
                <c:pt idx="927">
                  <c:v>44378</c:v>
                </c:pt>
                <c:pt idx="928">
                  <c:v>44377</c:v>
                </c:pt>
                <c:pt idx="929">
                  <c:v>44376</c:v>
                </c:pt>
                <c:pt idx="930">
                  <c:v>44375</c:v>
                </c:pt>
                <c:pt idx="931">
                  <c:v>44372</c:v>
                </c:pt>
                <c:pt idx="932">
                  <c:v>44371</c:v>
                </c:pt>
                <c:pt idx="933">
                  <c:v>44370</c:v>
                </c:pt>
                <c:pt idx="934">
                  <c:v>44369</c:v>
                </c:pt>
                <c:pt idx="935">
                  <c:v>44368</c:v>
                </c:pt>
                <c:pt idx="936">
                  <c:v>44365</c:v>
                </c:pt>
                <c:pt idx="937">
                  <c:v>44364</c:v>
                </c:pt>
                <c:pt idx="938">
                  <c:v>44363</c:v>
                </c:pt>
                <c:pt idx="939">
                  <c:v>44362</c:v>
                </c:pt>
                <c:pt idx="940">
                  <c:v>44361</c:v>
                </c:pt>
                <c:pt idx="941">
                  <c:v>44358</c:v>
                </c:pt>
                <c:pt idx="942">
                  <c:v>44357</c:v>
                </c:pt>
                <c:pt idx="943">
                  <c:v>44356</c:v>
                </c:pt>
                <c:pt idx="944">
                  <c:v>44355</c:v>
                </c:pt>
                <c:pt idx="945">
                  <c:v>44354</c:v>
                </c:pt>
                <c:pt idx="946">
                  <c:v>44351</c:v>
                </c:pt>
                <c:pt idx="947">
                  <c:v>44350</c:v>
                </c:pt>
                <c:pt idx="948">
                  <c:v>44349</c:v>
                </c:pt>
                <c:pt idx="949">
                  <c:v>44348</c:v>
                </c:pt>
                <c:pt idx="950">
                  <c:v>44347</c:v>
                </c:pt>
                <c:pt idx="951">
                  <c:v>44344</c:v>
                </c:pt>
                <c:pt idx="952">
                  <c:v>44343</c:v>
                </c:pt>
                <c:pt idx="953">
                  <c:v>44342</c:v>
                </c:pt>
                <c:pt idx="954">
                  <c:v>44341</c:v>
                </c:pt>
                <c:pt idx="955">
                  <c:v>44340</c:v>
                </c:pt>
                <c:pt idx="956">
                  <c:v>44337</c:v>
                </c:pt>
                <c:pt idx="957">
                  <c:v>44336</c:v>
                </c:pt>
                <c:pt idx="958">
                  <c:v>44335</c:v>
                </c:pt>
                <c:pt idx="959">
                  <c:v>44334</c:v>
                </c:pt>
                <c:pt idx="960">
                  <c:v>44333</c:v>
                </c:pt>
                <c:pt idx="961">
                  <c:v>44330</c:v>
                </c:pt>
                <c:pt idx="962">
                  <c:v>44328</c:v>
                </c:pt>
                <c:pt idx="963">
                  <c:v>44327</c:v>
                </c:pt>
                <c:pt idx="964">
                  <c:v>44326</c:v>
                </c:pt>
                <c:pt idx="965">
                  <c:v>44323</c:v>
                </c:pt>
                <c:pt idx="966">
                  <c:v>44322</c:v>
                </c:pt>
                <c:pt idx="967">
                  <c:v>44321</c:v>
                </c:pt>
                <c:pt idx="968">
                  <c:v>44320</c:v>
                </c:pt>
                <c:pt idx="969">
                  <c:v>44319</c:v>
                </c:pt>
                <c:pt idx="970">
                  <c:v>44316</c:v>
                </c:pt>
                <c:pt idx="971">
                  <c:v>44315</c:v>
                </c:pt>
                <c:pt idx="972">
                  <c:v>44314</c:v>
                </c:pt>
                <c:pt idx="973">
                  <c:v>44313</c:v>
                </c:pt>
                <c:pt idx="974">
                  <c:v>44312</c:v>
                </c:pt>
                <c:pt idx="975">
                  <c:v>44309</c:v>
                </c:pt>
                <c:pt idx="976">
                  <c:v>44308</c:v>
                </c:pt>
                <c:pt idx="977">
                  <c:v>44306</c:v>
                </c:pt>
                <c:pt idx="978">
                  <c:v>44305</c:v>
                </c:pt>
                <c:pt idx="979">
                  <c:v>44302</c:v>
                </c:pt>
                <c:pt idx="980">
                  <c:v>44301</c:v>
                </c:pt>
                <c:pt idx="981">
                  <c:v>44299</c:v>
                </c:pt>
                <c:pt idx="982">
                  <c:v>44298</c:v>
                </c:pt>
                <c:pt idx="983">
                  <c:v>44295</c:v>
                </c:pt>
                <c:pt idx="984">
                  <c:v>44294</c:v>
                </c:pt>
                <c:pt idx="985">
                  <c:v>44293</c:v>
                </c:pt>
                <c:pt idx="986">
                  <c:v>44292</c:v>
                </c:pt>
                <c:pt idx="987">
                  <c:v>44291</c:v>
                </c:pt>
                <c:pt idx="988">
                  <c:v>44287</c:v>
                </c:pt>
                <c:pt idx="989">
                  <c:v>44286</c:v>
                </c:pt>
                <c:pt idx="990">
                  <c:v>44285</c:v>
                </c:pt>
                <c:pt idx="991">
                  <c:v>44281</c:v>
                </c:pt>
                <c:pt idx="992">
                  <c:v>44280</c:v>
                </c:pt>
                <c:pt idx="993">
                  <c:v>44279</c:v>
                </c:pt>
                <c:pt idx="994">
                  <c:v>44278</c:v>
                </c:pt>
                <c:pt idx="995">
                  <c:v>44277</c:v>
                </c:pt>
                <c:pt idx="996">
                  <c:v>44273</c:v>
                </c:pt>
                <c:pt idx="997">
                  <c:v>44272</c:v>
                </c:pt>
                <c:pt idx="998">
                  <c:v>44271</c:v>
                </c:pt>
                <c:pt idx="999">
                  <c:v>44270</c:v>
                </c:pt>
                <c:pt idx="1000">
                  <c:v>44267</c:v>
                </c:pt>
                <c:pt idx="1001">
                  <c:v>44265</c:v>
                </c:pt>
                <c:pt idx="1002">
                  <c:v>44264</c:v>
                </c:pt>
                <c:pt idx="1003">
                  <c:v>44263</c:v>
                </c:pt>
                <c:pt idx="1004">
                  <c:v>44260</c:v>
                </c:pt>
                <c:pt idx="1005">
                  <c:v>44259</c:v>
                </c:pt>
                <c:pt idx="1006">
                  <c:v>44258</c:v>
                </c:pt>
                <c:pt idx="1007">
                  <c:v>44257</c:v>
                </c:pt>
                <c:pt idx="1008">
                  <c:v>44256</c:v>
                </c:pt>
                <c:pt idx="1009">
                  <c:v>44253</c:v>
                </c:pt>
                <c:pt idx="1010">
                  <c:v>44252</c:v>
                </c:pt>
                <c:pt idx="1011">
                  <c:v>44251</c:v>
                </c:pt>
                <c:pt idx="1012">
                  <c:v>44250</c:v>
                </c:pt>
                <c:pt idx="1013">
                  <c:v>44249</c:v>
                </c:pt>
                <c:pt idx="1014">
                  <c:v>44246</c:v>
                </c:pt>
                <c:pt idx="1015">
                  <c:v>44245</c:v>
                </c:pt>
                <c:pt idx="1016">
                  <c:v>44244</c:v>
                </c:pt>
                <c:pt idx="1017">
                  <c:v>44243</c:v>
                </c:pt>
                <c:pt idx="1018">
                  <c:v>44242</c:v>
                </c:pt>
                <c:pt idx="1019">
                  <c:v>44238</c:v>
                </c:pt>
                <c:pt idx="1020">
                  <c:v>44237</c:v>
                </c:pt>
                <c:pt idx="1021">
                  <c:v>44236</c:v>
                </c:pt>
                <c:pt idx="1022">
                  <c:v>44235</c:v>
                </c:pt>
                <c:pt idx="1023">
                  <c:v>44230</c:v>
                </c:pt>
                <c:pt idx="1024">
                  <c:v>44229</c:v>
                </c:pt>
                <c:pt idx="1025">
                  <c:v>44228</c:v>
                </c:pt>
                <c:pt idx="1026">
                  <c:v>44225</c:v>
                </c:pt>
                <c:pt idx="1027">
                  <c:v>44224</c:v>
                </c:pt>
                <c:pt idx="1028">
                  <c:v>44223</c:v>
                </c:pt>
                <c:pt idx="1029">
                  <c:v>44221</c:v>
                </c:pt>
                <c:pt idx="1030">
                  <c:v>44218</c:v>
                </c:pt>
                <c:pt idx="1031">
                  <c:v>44217</c:v>
                </c:pt>
                <c:pt idx="1032">
                  <c:v>44216</c:v>
                </c:pt>
                <c:pt idx="1033">
                  <c:v>44215</c:v>
                </c:pt>
                <c:pt idx="1034">
                  <c:v>44214</c:v>
                </c:pt>
                <c:pt idx="1035">
                  <c:v>44211</c:v>
                </c:pt>
                <c:pt idx="1036">
                  <c:v>44210</c:v>
                </c:pt>
                <c:pt idx="1037">
                  <c:v>44209</c:v>
                </c:pt>
                <c:pt idx="1038">
                  <c:v>44208</c:v>
                </c:pt>
                <c:pt idx="1039">
                  <c:v>44207</c:v>
                </c:pt>
                <c:pt idx="1040">
                  <c:v>44204</c:v>
                </c:pt>
                <c:pt idx="1041">
                  <c:v>44203</c:v>
                </c:pt>
                <c:pt idx="1042">
                  <c:v>44202</c:v>
                </c:pt>
                <c:pt idx="1043">
                  <c:v>44201</c:v>
                </c:pt>
                <c:pt idx="1044">
                  <c:v>44200</c:v>
                </c:pt>
                <c:pt idx="1045">
                  <c:v>44197</c:v>
                </c:pt>
                <c:pt idx="1046">
                  <c:v>44196</c:v>
                </c:pt>
                <c:pt idx="1047">
                  <c:v>44195</c:v>
                </c:pt>
                <c:pt idx="1048">
                  <c:v>44194</c:v>
                </c:pt>
                <c:pt idx="1049">
                  <c:v>44193</c:v>
                </c:pt>
                <c:pt idx="1050">
                  <c:v>44189</c:v>
                </c:pt>
                <c:pt idx="1051">
                  <c:v>44188</c:v>
                </c:pt>
                <c:pt idx="1052">
                  <c:v>44187</c:v>
                </c:pt>
                <c:pt idx="1053">
                  <c:v>44186</c:v>
                </c:pt>
                <c:pt idx="1054">
                  <c:v>44183</c:v>
                </c:pt>
                <c:pt idx="1055">
                  <c:v>44182</c:v>
                </c:pt>
                <c:pt idx="1056">
                  <c:v>44181</c:v>
                </c:pt>
                <c:pt idx="1057">
                  <c:v>44180</c:v>
                </c:pt>
                <c:pt idx="1058">
                  <c:v>44179</c:v>
                </c:pt>
                <c:pt idx="1059">
                  <c:v>44176</c:v>
                </c:pt>
                <c:pt idx="1060">
                  <c:v>44175</c:v>
                </c:pt>
                <c:pt idx="1061">
                  <c:v>44174</c:v>
                </c:pt>
                <c:pt idx="1062">
                  <c:v>44173</c:v>
                </c:pt>
                <c:pt idx="1063">
                  <c:v>44172</c:v>
                </c:pt>
                <c:pt idx="1064">
                  <c:v>44169</c:v>
                </c:pt>
                <c:pt idx="1065">
                  <c:v>44168</c:v>
                </c:pt>
                <c:pt idx="1066">
                  <c:v>44167</c:v>
                </c:pt>
                <c:pt idx="1067">
                  <c:v>44166</c:v>
                </c:pt>
                <c:pt idx="1068">
                  <c:v>44162</c:v>
                </c:pt>
                <c:pt idx="1069">
                  <c:v>44161</c:v>
                </c:pt>
                <c:pt idx="1070">
                  <c:v>44160</c:v>
                </c:pt>
                <c:pt idx="1071">
                  <c:v>44159</c:v>
                </c:pt>
                <c:pt idx="1072">
                  <c:v>44158</c:v>
                </c:pt>
                <c:pt idx="1073">
                  <c:v>44155</c:v>
                </c:pt>
                <c:pt idx="1074">
                  <c:v>44154</c:v>
                </c:pt>
                <c:pt idx="1075">
                  <c:v>44153</c:v>
                </c:pt>
                <c:pt idx="1076">
                  <c:v>44152</c:v>
                </c:pt>
                <c:pt idx="1077">
                  <c:v>44149</c:v>
                </c:pt>
                <c:pt idx="1078">
                  <c:v>44148</c:v>
                </c:pt>
                <c:pt idx="1079">
                  <c:v>44147</c:v>
                </c:pt>
                <c:pt idx="1080">
                  <c:v>44146</c:v>
                </c:pt>
                <c:pt idx="1081">
                  <c:v>44145</c:v>
                </c:pt>
                <c:pt idx="1082">
                  <c:v>44144</c:v>
                </c:pt>
                <c:pt idx="1083">
                  <c:v>44141</c:v>
                </c:pt>
                <c:pt idx="1084">
                  <c:v>44140</c:v>
                </c:pt>
                <c:pt idx="1085">
                  <c:v>44139</c:v>
                </c:pt>
                <c:pt idx="1086">
                  <c:v>44138</c:v>
                </c:pt>
                <c:pt idx="1087">
                  <c:v>44137</c:v>
                </c:pt>
                <c:pt idx="1088">
                  <c:v>44134</c:v>
                </c:pt>
                <c:pt idx="1089">
                  <c:v>44133</c:v>
                </c:pt>
                <c:pt idx="1090">
                  <c:v>44132</c:v>
                </c:pt>
                <c:pt idx="1091">
                  <c:v>44131</c:v>
                </c:pt>
                <c:pt idx="1092">
                  <c:v>44130</c:v>
                </c:pt>
                <c:pt idx="1093">
                  <c:v>44127</c:v>
                </c:pt>
                <c:pt idx="1094">
                  <c:v>44126</c:v>
                </c:pt>
                <c:pt idx="1095">
                  <c:v>44125</c:v>
                </c:pt>
                <c:pt idx="1096">
                  <c:v>44124</c:v>
                </c:pt>
                <c:pt idx="1097">
                  <c:v>44123</c:v>
                </c:pt>
                <c:pt idx="1098">
                  <c:v>44120</c:v>
                </c:pt>
                <c:pt idx="1099">
                  <c:v>44119</c:v>
                </c:pt>
                <c:pt idx="1100">
                  <c:v>44118</c:v>
                </c:pt>
                <c:pt idx="1101">
                  <c:v>44117</c:v>
                </c:pt>
                <c:pt idx="1102">
                  <c:v>44116</c:v>
                </c:pt>
                <c:pt idx="1103">
                  <c:v>44113</c:v>
                </c:pt>
                <c:pt idx="1104">
                  <c:v>44112</c:v>
                </c:pt>
                <c:pt idx="1105">
                  <c:v>44111</c:v>
                </c:pt>
                <c:pt idx="1106">
                  <c:v>44110</c:v>
                </c:pt>
                <c:pt idx="1107">
                  <c:v>44109</c:v>
                </c:pt>
                <c:pt idx="1108">
                  <c:v>44105</c:v>
                </c:pt>
                <c:pt idx="1109">
                  <c:v>44104</c:v>
                </c:pt>
                <c:pt idx="1110">
                  <c:v>44103</c:v>
                </c:pt>
                <c:pt idx="1111">
                  <c:v>44102</c:v>
                </c:pt>
                <c:pt idx="1112">
                  <c:v>44099</c:v>
                </c:pt>
                <c:pt idx="1113">
                  <c:v>44098</c:v>
                </c:pt>
                <c:pt idx="1114">
                  <c:v>44097</c:v>
                </c:pt>
                <c:pt idx="1115">
                  <c:v>44096</c:v>
                </c:pt>
                <c:pt idx="1116">
                  <c:v>44095</c:v>
                </c:pt>
                <c:pt idx="1117">
                  <c:v>44092</c:v>
                </c:pt>
                <c:pt idx="1118">
                  <c:v>44091</c:v>
                </c:pt>
                <c:pt idx="1119">
                  <c:v>44090</c:v>
                </c:pt>
                <c:pt idx="1120">
                  <c:v>44089</c:v>
                </c:pt>
                <c:pt idx="1121">
                  <c:v>44088</c:v>
                </c:pt>
                <c:pt idx="1122">
                  <c:v>44085</c:v>
                </c:pt>
                <c:pt idx="1123">
                  <c:v>44084</c:v>
                </c:pt>
                <c:pt idx="1124">
                  <c:v>44083</c:v>
                </c:pt>
                <c:pt idx="1125">
                  <c:v>44082</c:v>
                </c:pt>
                <c:pt idx="1126">
                  <c:v>44081</c:v>
                </c:pt>
                <c:pt idx="1127">
                  <c:v>44078</c:v>
                </c:pt>
                <c:pt idx="1128">
                  <c:v>44077</c:v>
                </c:pt>
                <c:pt idx="1129">
                  <c:v>44076</c:v>
                </c:pt>
                <c:pt idx="1130">
                  <c:v>44075</c:v>
                </c:pt>
                <c:pt idx="1131">
                  <c:v>44074</c:v>
                </c:pt>
                <c:pt idx="1132">
                  <c:v>44071</c:v>
                </c:pt>
                <c:pt idx="1133">
                  <c:v>44070</c:v>
                </c:pt>
                <c:pt idx="1134">
                  <c:v>44069</c:v>
                </c:pt>
                <c:pt idx="1135">
                  <c:v>44068</c:v>
                </c:pt>
                <c:pt idx="1136">
                  <c:v>44067</c:v>
                </c:pt>
                <c:pt idx="1137">
                  <c:v>44064</c:v>
                </c:pt>
                <c:pt idx="1138">
                  <c:v>44063</c:v>
                </c:pt>
                <c:pt idx="1139">
                  <c:v>44062</c:v>
                </c:pt>
                <c:pt idx="1140">
                  <c:v>44061</c:v>
                </c:pt>
                <c:pt idx="1141">
                  <c:v>44060</c:v>
                </c:pt>
                <c:pt idx="1142">
                  <c:v>44057</c:v>
                </c:pt>
                <c:pt idx="1143">
                  <c:v>44056</c:v>
                </c:pt>
                <c:pt idx="1144">
                  <c:v>44055</c:v>
                </c:pt>
                <c:pt idx="1145">
                  <c:v>44054</c:v>
                </c:pt>
                <c:pt idx="1146">
                  <c:v>44053</c:v>
                </c:pt>
                <c:pt idx="1147">
                  <c:v>44050</c:v>
                </c:pt>
                <c:pt idx="1148">
                  <c:v>44049</c:v>
                </c:pt>
                <c:pt idx="1149">
                  <c:v>44048</c:v>
                </c:pt>
                <c:pt idx="1150">
                  <c:v>44047</c:v>
                </c:pt>
                <c:pt idx="1151">
                  <c:v>44046</c:v>
                </c:pt>
                <c:pt idx="1152">
                  <c:v>44043</c:v>
                </c:pt>
                <c:pt idx="1153">
                  <c:v>44042</c:v>
                </c:pt>
                <c:pt idx="1154">
                  <c:v>44041</c:v>
                </c:pt>
                <c:pt idx="1155">
                  <c:v>44040</c:v>
                </c:pt>
                <c:pt idx="1156">
                  <c:v>44039</c:v>
                </c:pt>
                <c:pt idx="1157">
                  <c:v>44036</c:v>
                </c:pt>
                <c:pt idx="1158">
                  <c:v>44035</c:v>
                </c:pt>
                <c:pt idx="1159">
                  <c:v>44034</c:v>
                </c:pt>
                <c:pt idx="1160">
                  <c:v>44033</c:v>
                </c:pt>
                <c:pt idx="1161">
                  <c:v>44032</c:v>
                </c:pt>
                <c:pt idx="1162">
                  <c:v>44029</c:v>
                </c:pt>
                <c:pt idx="1163">
                  <c:v>44028</c:v>
                </c:pt>
                <c:pt idx="1164">
                  <c:v>44027</c:v>
                </c:pt>
                <c:pt idx="1165">
                  <c:v>44026</c:v>
                </c:pt>
                <c:pt idx="1166">
                  <c:v>44025</c:v>
                </c:pt>
                <c:pt idx="1167">
                  <c:v>44022</c:v>
                </c:pt>
                <c:pt idx="1168">
                  <c:v>44021</c:v>
                </c:pt>
                <c:pt idx="1169">
                  <c:v>44020</c:v>
                </c:pt>
                <c:pt idx="1170">
                  <c:v>44019</c:v>
                </c:pt>
                <c:pt idx="1171">
                  <c:v>44018</c:v>
                </c:pt>
                <c:pt idx="1172">
                  <c:v>44015</c:v>
                </c:pt>
                <c:pt idx="1173">
                  <c:v>44014</c:v>
                </c:pt>
                <c:pt idx="1174">
                  <c:v>44013</c:v>
                </c:pt>
                <c:pt idx="1175">
                  <c:v>44012</c:v>
                </c:pt>
                <c:pt idx="1176">
                  <c:v>44011</c:v>
                </c:pt>
                <c:pt idx="1177">
                  <c:v>44008</c:v>
                </c:pt>
                <c:pt idx="1178">
                  <c:v>44007</c:v>
                </c:pt>
                <c:pt idx="1179">
                  <c:v>44006</c:v>
                </c:pt>
                <c:pt idx="1180">
                  <c:v>44005</c:v>
                </c:pt>
                <c:pt idx="1181">
                  <c:v>44004</c:v>
                </c:pt>
                <c:pt idx="1182">
                  <c:v>44001</c:v>
                </c:pt>
                <c:pt idx="1183">
                  <c:v>44000</c:v>
                </c:pt>
                <c:pt idx="1184">
                  <c:v>43999</c:v>
                </c:pt>
                <c:pt idx="1185">
                  <c:v>43998</c:v>
                </c:pt>
                <c:pt idx="1186">
                  <c:v>43997</c:v>
                </c:pt>
                <c:pt idx="1187">
                  <c:v>43994</c:v>
                </c:pt>
                <c:pt idx="1188">
                  <c:v>43993</c:v>
                </c:pt>
                <c:pt idx="1189">
                  <c:v>43992</c:v>
                </c:pt>
                <c:pt idx="1190">
                  <c:v>43991</c:v>
                </c:pt>
                <c:pt idx="1191">
                  <c:v>43990</c:v>
                </c:pt>
                <c:pt idx="1192">
                  <c:v>43987</c:v>
                </c:pt>
                <c:pt idx="1193">
                  <c:v>43986</c:v>
                </c:pt>
                <c:pt idx="1194">
                  <c:v>43985</c:v>
                </c:pt>
                <c:pt idx="1195">
                  <c:v>43984</c:v>
                </c:pt>
                <c:pt idx="1196">
                  <c:v>43983</c:v>
                </c:pt>
                <c:pt idx="1197">
                  <c:v>43980</c:v>
                </c:pt>
                <c:pt idx="1198">
                  <c:v>43979</c:v>
                </c:pt>
                <c:pt idx="1199">
                  <c:v>43978</c:v>
                </c:pt>
                <c:pt idx="1200">
                  <c:v>43977</c:v>
                </c:pt>
                <c:pt idx="1201">
                  <c:v>43973</c:v>
                </c:pt>
                <c:pt idx="1202">
                  <c:v>43972</c:v>
                </c:pt>
                <c:pt idx="1203">
                  <c:v>43971</c:v>
                </c:pt>
                <c:pt idx="1204">
                  <c:v>43970</c:v>
                </c:pt>
                <c:pt idx="1205">
                  <c:v>43969</c:v>
                </c:pt>
                <c:pt idx="1206">
                  <c:v>43966</c:v>
                </c:pt>
                <c:pt idx="1207">
                  <c:v>43965</c:v>
                </c:pt>
                <c:pt idx="1208">
                  <c:v>43964</c:v>
                </c:pt>
                <c:pt idx="1209">
                  <c:v>43963</c:v>
                </c:pt>
                <c:pt idx="1210">
                  <c:v>43962</c:v>
                </c:pt>
                <c:pt idx="1211">
                  <c:v>43959</c:v>
                </c:pt>
                <c:pt idx="1212">
                  <c:v>43958</c:v>
                </c:pt>
                <c:pt idx="1213">
                  <c:v>43957</c:v>
                </c:pt>
                <c:pt idx="1214">
                  <c:v>43956</c:v>
                </c:pt>
                <c:pt idx="1215">
                  <c:v>43955</c:v>
                </c:pt>
                <c:pt idx="1216">
                  <c:v>43951</c:v>
                </c:pt>
                <c:pt idx="1217">
                  <c:v>43950</c:v>
                </c:pt>
                <c:pt idx="1218">
                  <c:v>43949</c:v>
                </c:pt>
                <c:pt idx="1219">
                  <c:v>43948</c:v>
                </c:pt>
                <c:pt idx="1220">
                  <c:v>43945</c:v>
                </c:pt>
                <c:pt idx="1221">
                  <c:v>43944</c:v>
                </c:pt>
                <c:pt idx="1222">
                  <c:v>43943</c:v>
                </c:pt>
                <c:pt idx="1223">
                  <c:v>43942</c:v>
                </c:pt>
                <c:pt idx="1224">
                  <c:v>43941</c:v>
                </c:pt>
                <c:pt idx="1225">
                  <c:v>43938</c:v>
                </c:pt>
                <c:pt idx="1226">
                  <c:v>43937</c:v>
                </c:pt>
                <c:pt idx="1227">
                  <c:v>43936</c:v>
                </c:pt>
                <c:pt idx="1228">
                  <c:v>43934</c:v>
                </c:pt>
                <c:pt idx="1229">
                  <c:v>43930</c:v>
                </c:pt>
                <c:pt idx="1230">
                  <c:v>43929</c:v>
                </c:pt>
                <c:pt idx="1231">
                  <c:v>43928</c:v>
                </c:pt>
                <c:pt idx="1232">
                  <c:v>43924</c:v>
                </c:pt>
                <c:pt idx="1233">
                  <c:v>43922</c:v>
                </c:pt>
              </c:numCache>
            </c:numRef>
          </c:cat>
          <c:val>
            <c:numRef>
              <c:f>'Share price'!$C$3:$C$1236</c:f>
              <c:numCache>
                <c:formatCode>0.0</c:formatCode>
                <c:ptCount val="1234"/>
                <c:pt idx="0">
                  <c:v>409.75</c:v>
                </c:pt>
                <c:pt idx="1">
                  <c:v>409.45</c:v>
                </c:pt>
                <c:pt idx="2">
                  <c:v>407.35</c:v>
                </c:pt>
                <c:pt idx="3">
                  <c:v>409.8</c:v>
                </c:pt>
                <c:pt idx="4">
                  <c:v>410.9</c:v>
                </c:pt>
                <c:pt idx="5">
                  <c:v>405.55</c:v>
                </c:pt>
                <c:pt idx="6">
                  <c:v>403.95</c:v>
                </c:pt>
                <c:pt idx="7">
                  <c:v>403.05</c:v>
                </c:pt>
                <c:pt idx="8">
                  <c:v>409.1</c:v>
                </c:pt>
                <c:pt idx="9">
                  <c:v>407.95</c:v>
                </c:pt>
                <c:pt idx="10">
                  <c:v>412.05</c:v>
                </c:pt>
                <c:pt idx="11">
                  <c:v>412.4</c:v>
                </c:pt>
                <c:pt idx="12">
                  <c:v>406.2</c:v>
                </c:pt>
                <c:pt idx="13">
                  <c:v>405</c:v>
                </c:pt>
                <c:pt idx="14">
                  <c:v>403.9</c:v>
                </c:pt>
                <c:pt idx="15">
                  <c:v>405.7</c:v>
                </c:pt>
                <c:pt idx="16">
                  <c:v>405.05</c:v>
                </c:pt>
                <c:pt idx="17">
                  <c:v>394.85</c:v>
                </c:pt>
                <c:pt idx="18">
                  <c:v>397.45</c:v>
                </c:pt>
                <c:pt idx="19">
                  <c:v>395</c:v>
                </c:pt>
                <c:pt idx="20">
                  <c:v>401.6</c:v>
                </c:pt>
                <c:pt idx="21">
                  <c:v>404.85</c:v>
                </c:pt>
                <c:pt idx="22">
                  <c:v>401.9</c:v>
                </c:pt>
                <c:pt idx="23">
                  <c:v>400.9</c:v>
                </c:pt>
                <c:pt idx="24">
                  <c:v>402.05</c:v>
                </c:pt>
                <c:pt idx="25">
                  <c:v>406.4</c:v>
                </c:pt>
                <c:pt idx="26">
                  <c:v>405.25</c:v>
                </c:pt>
                <c:pt idx="27">
                  <c:v>408.6</c:v>
                </c:pt>
                <c:pt idx="28">
                  <c:v>410.25</c:v>
                </c:pt>
                <c:pt idx="29">
                  <c:v>409.7</c:v>
                </c:pt>
                <c:pt idx="30">
                  <c:v>409.9</c:v>
                </c:pt>
                <c:pt idx="31">
                  <c:v>418.3</c:v>
                </c:pt>
                <c:pt idx="32">
                  <c:v>427.2</c:v>
                </c:pt>
                <c:pt idx="33">
                  <c:v>430.85</c:v>
                </c:pt>
                <c:pt idx="34">
                  <c:v>441.1</c:v>
                </c:pt>
                <c:pt idx="35">
                  <c:v>448.15</c:v>
                </c:pt>
                <c:pt idx="36">
                  <c:v>455.15</c:v>
                </c:pt>
                <c:pt idx="37">
                  <c:v>454.35</c:v>
                </c:pt>
                <c:pt idx="38">
                  <c:v>462.55</c:v>
                </c:pt>
                <c:pt idx="39">
                  <c:v>447.5</c:v>
                </c:pt>
                <c:pt idx="40">
                  <c:v>436.2</c:v>
                </c:pt>
                <c:pt idx="41">
                  <c:v>433.35</c:v>
                </c:pt>
                <c:pt idx="42">
                  <c:v>435.45</c:v>
                </c:pt>
                <c:pt idx="43">
                  <c:v>440.1</c:v>
                </c:pt>
                <c:pt idx="44">
                  <c:v>441.6</c:v>
                </c:pt>
                <c:pt idx="45">
                  <c:v>440.2</c:v>
                </c:pt>
                <c:pt idx="46">
                  <c:v>437</c:v>
                </c:pt>
                <c:pt idx="47">
                  <c:v>437.55</c:v>
                </c:pt>
                <c:pt idx="48">
                  <c:v>437.7</c:v>
                </c:pt>
                <c:pt idx="49">
                  <c:v>440.2</c:v>
                </c:pt>
                <c:pt idx="50">
                  <c:v>432.85</c:v>
                </c:pt>
                <c:pt idx="51">
                  <c:v>437.35</c:v>
                </c:pt>
                <c:pt idx="52">
                  <c:v>436.6</c:v>
                </c:pt>
                <c:pt idx="53">
                  <c:v>439.05</c:v>
                </c:pt>
                <c:pt idx="54">
                  <c:v>444.9</c:v>
                </c:pt>
                <c:pt idx="55">
                  <c:v>450.1</c:v>
                </c:pt>
                <c:pt idx="56">
                  <c:v>449.55</c:v>
                </c:pt>
                <c:pt idx="57">
                  <c:v>441.1</c:v>
                </c:pt>
                <c:pt idx="58">
                  <c:v>442.65</c:v>
                </c:pt>
                <c:pt idx="59">
                  <c:v>455.6</c:v>
                </c:pt>
                <c:pt idx="60">
                  <c:v>462.65</c:v>
                </c:pt>
                <c:pt idx="61">
                  <c:v>457.82</c:v>
                </c:pt>
                <c:pt idx="62">
                  <c:v>457.54</c:v>
                </c:pt>
                <c:pt idx="63">
                  <c:v>451.25</c:v>
                </c:pt>
                <c:pt idx="64">
                  <c:v>452.76</c:v>
                </c:pt>
                <c:pt idx="65">
                  <c:v>451.2</c:v>
                </c:pt>
                <c:pt idx="66">
                  <c:v>452.62</c:v>
                </c:pt>
                <c:pt idx="67">
                  <c:v>448.65</c:v>
                </c:pt>
                <c:pt idx="68">
                  <c:v>439.57</c:v>
                </c:pt>
                <c:pt idx="69">
                  <c:v>441.36</c:v>
                </c:pt>
                <c:pt idx="70">
                  <c:v>445.1</c:v>
                </c:pt>
                <c:pt idx="71">
                  <c:v>444.2</c:v>
                </c:pt>
                <c:pt idx="72">
                  <c:v>444.72</c:v>
                </c:pt>
                <c:pt idx="73">
                  <c:v>444.63</c:v>
                </c:pt>
                <c:pt idx="74">
                  <c:v>435.73</c:v>
                </c:pt>
                <c:pt idx="75">
                  <c:v>440.13</c:v>
                </c:pt>
                <c:pt idx="76">
                  <c:v>440.32</c:v>
                </c:pt>
                <c:pt idx="77">
                  <c:v>439.85</c:v>
                </c:pt>
                <c:pt idx="78">
                  <c:v>445.71</c:v>
                </c:pt>
                <c:pt idx="79">
                  <c:v>442.26</c:v>
                </c:pt>
                <c:pt idx="80">
                  <c:v>441.88</c:v>
                </c:pt>
                <c:pt idx="81">
                  <c:v>447.04</c:v>
                </c:pt>
                <c:pt idx="82">
                  <c:v>451.44</c:v>
                </c:pt>
                <c:pt idx="83">
                  <c:v>451.01</c:v>
                </c:pt>
                <c:pt idx="84">
                  <c:v>449.26</c:v>
                </c:pt>
                <c:pt idx="85">
                  <c:v>451.2</c:v>
                </c:pt>
                <c:pt idx="86">
                  <c:v>451.25</c:v>
                </c:pt>
                <c:pt idx="87">
                  <c:v>451.06</c:v>
                </c:pt>
                <c:pt idx="88">
                  <c:v>449.02</c:v>
                </c:pt>
                <c:pt idx="89">
                  <c:v>432.47</c:v>
                </c:pt>
                <c:pt idx="90">
                  <c:v>442.12</c:v>
                </c:pt>
                <c:pt idx="91">
                  <c:v>441.36</c:v>
                </c:pt>
                <c:pt idx="92">
                  <c:v>440.8</c:v>
                </c:pt>
                <c:pt idx="93">
                  <c:v>446.71</c:v>
                </c:pt>
                <c:pt idx="94">
                  <c:v>447.32</c:v>
                </c:pt>
                <c:pt idx="95">
                  <c:v>451.2</c:v>
                </c:pt>
                <c:pt idx="96">
                  <c:v>452.24</c:v>
                </c:pt>
                <c:pt idx="97">
                  <c:v>452.1</c:v>
                </c:pt>
                <c:pt idx="98">
                  <c:v>455.13</c:v>
                </c:pt>
                <c:pt idx="99">
                  <c:v>454.27</c:v>
                </c:pt>
                <c:pt idx="100">
                  <c:v>458.44</c:v>
                </c:pt>
                <c:pt idx="101">
                  <c:v>463.83</c:v>
                </c:pt>
                <c:pt idx="102">
                  <c:v>462.41</c:v>
                </c:pt>
                <c:pt idx="103">
                  <c:v>465.01</c:v>
                </c:pt>
                <c:pt idx="104">
                  <c:v>461.61</c:v>
                </c:pt>
                <c:pt idx="105">
                  <c:v>458.01</c:v>
                </c:pt>
                <c:pt idx="106">
                  <c:v>456.26</c:v>
                </c:pt>
                <c:pt idx="107">
                  <c:v>446.23</c:v>
                </c:pt>
                <c:pt idx="108">
                  <c:v>454.42</c:v>
                </c:pt>
                <c:pt idx="109">
                  <c:v>455.79</c:v>
                </c:pt>
                <c:pt idx="110">
                  <c:v>457.54</c:v>
                </c:pt>
                <c:pt idx="111">
                  <c:v>460.42</c:v>
                </c:pt>
                <c:pt idx="112">
                  <c:v>462.51</c:v>
                </c:pt>
                <c:pt idx="113">
                  <c:v>466.57</c:v>
                </c:pt>
                <c:pt idx="114">
                  <c:v>471.64</c:v>
                </c:pt>
                <c:pt idx="115">
                  <c:v>470.12</c:v>
                </c:pt>
                <c:pt idx="116">
                  <c:v>461.84</c:v>
                </c:pt>
                <c:pt idx="117">
                  <c:v>465.49</c:v>
                </c:pt>
                <c:pt idx="118">
                  <c:v>465.15</c:v>
                </c:pt>
                <c:pt idx="119">
                  <c:v>480.53</c:v>
                </c:pt>
                <c:pt idx="120">
                  <c:v>482.66</c:v>
                </c:pt>
                <c:pt idx="121">
                  <c:v>476.36</c:v>
                </c:pt>
                <c:pt idx="122">
                  <c:v>485.07</c:v>
                </c:pt>
                <c:pt idx="123">
                  <c:v>488.33</c:v>
                </c:pt>
                <c:pt idx="124">
                  <c:v>490.18</c:v>
                </c:pt>
                <c:pt idx="125">
                  <c:v>494.48</c:v>
                </c:pt>
                <c:pt idx="126">
                  <c:v>494.53</c:v>
                </c:pt>
                <c:pt idx="127">
                  <c:v>489.61</c:v>
                </c:pt>
                <c:pt idx="128">
                  <c:v>487.43</c:v>
                </c:pt>
                <c:pt idx="129">
                  <c:v>489.04</c:v>
                </c:pt>
                <c:pt idx="130">
                  <c:v>486.63</c:v>
                </c:pt>
                <c:pt idx="131">
                  <c:v>480.81</c:v>
                </c:pt>
                <c:pt idx="132">
                  <c:v>479.96</c:v>
                </c:pt>
                <c:pt idx="133">
                  <c:v>480.34</c:v>
                </c:pt>
                <c:pt idx="134">
                  <c:v>483.51</c:v>
                </c:pt>
                <c:pt idx="135">
                  <c:v>486.11</c:v>
                </c:pt>
                <c:pt idx="136">
                  <c:v>491.45</c:v>
                </c:pt>
                <c:pt idx="137">
                  <c:v>486.58</c:v>
                </c:pt>
                <c:pt idx="138">
                  <c:v>485.87</c:v>
                </c:pt>
                <c:pt idx="139">
                  <c:v>484.12</c:v>
                </c:pt>
                <c:pt idx="140">
                  <c:v>474.61</c:v>
                </c:pt>
                <c:pt idx="141">
                  <c:v>483.6</c:v>
                </c:pt>
                <c:pt idx="142">
                  <c:v>479.01</c:v>
                </c:pt>
                <c:pt idx="143">
                  <c:v>481.9</c:v>
                </c:pt>
                <c:pt idx="144">
                  <c:v>482.51</c:v>
                </c:pt>
                <c:pt idx="145">
                  <c:v>474.8</c:v>
                </c:pt>
                <c:pt idx="146">
                  <c:v>477.83</c:v>
                </c:pt>
                <c:pt idx="147">
                  <c:v>470.45</c:v>
                </c:pt>
                <c:pt idx="148">
                  <c:v>473.57</c:v>
                </c:pt>
                <c:pt idx="149">
                  <c:v>478.4</c:v>
                </c:pt>
                <c:pt idx="150">
                  <c:v>478.49</c:v>
                </c:pt>
                <c:pt idx="151">
                  <c:v>477.31</c:v>
                </c:pt>
                <c:pt idx="152">
                  <c:v>478.11</c:v>
                </c:pt>
                <c:pt idx="153">
                  <c:v>471.87</c:v>
                </c:pt>
                <c:pt idx="154">
                  <c:v>474.38</c:v>
                </c:pt>
                <c:pt idx="155">
                  <c:v>475.51</c:v>
                </c:pt>
                <c:pt idx="156">
                  <c:v>465.63</c:v>
                </c:pt>
                <c:pt idx="157">
                  <c:v>463.55</c:v>
                </c:pt>
                <c:pt idx="158">
                  <c:v>467.9</c:v>
                </c:pt>
                <c:pt idx="159">
                  <c:v>469.13</c:v>
                </c:pt>
                <c:pt idx="160">
                  <c:v>468.04</c:v>
                </c:pt>
                <c:pt idx="161">
                  <c:v>466.05</c:v>
                </c:pt>
                <c:pt idx="162">
                  <c:v>460.05</c:v>
                </c:pt>
                <c:pt idx="163">
                  <c:v>459.76</c:v>
                </c:pt>
                <c:pt idx="164">
                  <c:v>462.7</c:v>
                </c:pt>
                <c:pt idx="165">
                  <c:v>467.05</c:v>
                </c:pt>
                <c:pt idx="166">
                  <c:v>468.61</c:v>
                </c:pt>
                <c:pt idx="167">
                  <c:v>463.45</c:v>
                </c:pt>
                <c:pt idx="168">
                  <c:v>469.27</c:v>
                </c:pt>
                <c:pt idx="169">
                  <c:v>475.09</c:v>
                </c:pt>
                <c:pt idx="170">
                  <c:v>463.5</c:v>
                </c:pt>
                <c:pt idx="171">
                  <c:v>467.38</c:v>
                </c:pt>
                <c:pt idx="172">
                  <c:v>465.63</c:v>
                </c:pt>
                <c:pt idx="173">
                  <c:v>441.36</c:v>
                </c:pt>
                <c:pt idx="174">
                  <c:v>448.93</c:v>
                </c:pt>
                <c:pt idx="175">
                  <c:v>444.86</c:v>
                </c:pt>
                <c:pt idx="176">
                  <c:v>440.42</c:v>
                </c:pt>
                <c:pt idx="177">
                  <c:v>438.38</c:v>
                </c:pt>
                <c:pt idx="178">
                  <c:v>434.27</c:v>
                </c:pt>
                <c:pt idx="179">
                  <c:v>433.89</c:v>
                </c:pt>
                <c:pt idx="180">
                  <c:v>427.08</c:v>
                </c:pt>
                <c:pt idx="181">
                  <c:v>428.17</c:v>
                </c:pt>
                <c:pt idx="182">
                  <c:v>419.65</c:v>
                </c:pt>
                <c:pt idx="183">
                  <c:v>410.24</c:v>
                </c:pt>
                <c:pt idx="184">
                  <c:v>405.89</c:v>
                </c:pt>
                <c:pt idx="185">
                  <c:v>405.18</c:v>
                </c:pt>
                <c:pt idx="186">
                  <c:v>402.53</c:v>
                </c:pt>
                <c:pt idx="187">
                  <c:v>405.89</c:v>
                </c:pt>
                <c:pt idx="188">
                  <c:v>401.96</c:v>
                </c:pt>
                <c:pt idx="189">
                  <c:v>402.62</c:v>
                </c:pt>
                <c:pt idx="190">
                  <c:v>401.06</c:v>
                </c:pt>
                <c:pt idx="191">
                  <c:v>400.45</c:v>
                </c:pt>
                <c:pt idx="192">
                  <c:v>400.45</c:v>
                </c:pt>
                <c:pt idx="193">
                  <c:v>396.95</c:v>
                </c:pt>
                <c:pt idx="194">
                  <c:v>400.45</c:v>
                </c:pt>
                <c:pt idx="195">
                  <c:v>400.78</c:v>
                </c:pt>
                <c:pt idx="196">
                  <c:v>405.6</c:v>
                </c:pt>
                <c:pt idx="197">
                  <c:v>407.87</c:v>
                </c:pt>
                <c:pt idx="198">
                  <c:v>407.07</c:v>
                </c:pt>
                <c:pt idx="199">
                  <c:v>408.96</c:v>
                </c:pt>
                <c:pt idx="200">
                  <c:v>409.62</c:v>
                </c:pt>
                <c:pt idx="201">
                  <c:v>413.31</c:v>
                </c:pt>
                <c:pt idx="202">
                  <c:v>415.44</c:v>
                </c:pt>
                <c:pt idx="203">
                  <c:v>411.89</c:v>
                </c:pt>
                <c:pt idx="204">
                  <c:v>407.07</c:v>
                </c:pt>
                <c:pt idx="205">
                  <c:v>392.79</c:v>
                </c:pt>
                <c:pt idx="206">
                  <c:v>407.12</c:v>
                </c:pt>
                <c:pt idx="207">
                  <c:v>403.43</c:v>
                </c:pt>
                <c:pt idx="208">
                  <c:v>400.97</c:v>
                </c:pt>
                <c:pt idx="209">
                  <c:v>407.68</c:v>
                </c:pt>
                <c:pt idx="210">
                  <c:v>405.84</c:v>
                </c:pt>
                <c:pt idx="211">
                  <c:v>408.2</c:v>
                </c:pt>
                <c:pt idx="212">
                  <c:v>412.65</c:v>
                </c:pt>
                <c:pt idx="213">
                  <c:v>417.52</c:v>
                </c:pt>
                <c:pt idx="214">
                  <c:v>416.15</c:v>
                </c:pt>
                <c:pt idx="215">
                  <c:v>411.33</c:v>
                </c:pt>
                <c:pt idx="216">
                  <c:v>412.74</c:v>
                </c:pt>
                <c:pt idx="217">
                  <c:v>408.16</c:v>
                </c:pt>
                <c:pt idx="218">
                  <c:v>404.7</c:v>
                </c:pt>
                <c:pt idx="219">
                  <c:v>406.5</c:v>
                </c:pt>
                <c:pt idx="220">
                  <c:v>408.54</c:v>
                </c:pt>
                <c:pt idx="221">
                  <c:v>409.95</c:v>
                </c:pt>
                <c:pt idx="222">
                  <c:v>402.15</c:v>
                </c:pt>
                <c:pt idx="223">
                  <c:v>417.19</c:v>
                </c:pt>
                <c:pt idx="224">
                  <c:v>416.58</c:v>
                </c:pt>
                <c:pt idx="225">
                  <c:v>411.28</c:v>
                </c:pt>
                <c:pt idx="226">
                  <c:v>412.89</c:v>
                </c:pt>
                <c:pt idx="227">
                  <c:v>415.3</c:v>
                </c:pt>
                <c:pt idx="228">
                  <c:v>412.13</c:v>
                </c:pt>
                <c:pt idx="229">
                  <c:v>414.54</c:v>
                </c:pt>
                <c:pt idx="230">
                  <c:v>416.25</c:v>
                </c:pt>
                <c:pt idx="231">
                  <c:v>413.93</c:v>
                </c:pt>
                <c:pt idx="232">
                  <c:v>405.74</c:v>
                </c:pt>
                <c:pt idx="233">
                  <c:v>406.03</c:v>
                </c:pt>
                <c:pt idx="234">
                  <c:v>402.34</c:v>
                </c:pt>
                <c:pt idx="235">
                  <c:v>401.82</c:v>
                </c:pt>
                <c:pt idx="236">
                  <c:v>396.24</c:v>
                </c:pt>
                <c:pt idx="237">
                  <c:v>402.91</c:v>
                </c:pt>
                <c:pt idx="238">
                  <c:v>402.91</c:v>
                </c:pt>
                <c:pt idx="239">
                  <c:v>406.88</c:v>
                </c:pt>
                <c:pt idx="240">
                  <c:v>413.36</c:v>
                </c:pt>
                <c:pt idx="241">
                  <c:v>403.33</c:v>
                </c:pt>
                <c:pt idx="242">
                  <c:v>405.93</c:v>
                </c:pt>
                <c:pt idx="243">
                  <c:v>404.47</c:v>
                </c:pt>
                <c:pt idx="244">
                  <c:v>399.93</c:v>
                </c:pt>
                <c:pt idx="245">
                  <c:v>402.24</c:v>
                </c:pt>
                <c:pt idx="246">
                  <c:v>402.86</c:v>
                </c:pt>
                <c:pt idx="247">
                  <c:v>403.66</c:v>
                </c:pt>
                <c:pt idx="248">
                  <c:v>405.23</c:v>
                </c:pt>
                <c:pt idx="249">
                  <c:v>404.89</c:v>
                </c:pt>
                <c:pt idx="250">
                  <c:v>404.56</c:v>
                </c:pt>
                <c:pt idx="251">
                  <c:v>405.46</c:v>
                </c:pt>
                <c:pt idx="252">
                  <c:v>398.51</c:v>
                </c:pt>
                <c:pt idx="253">
                  <c:v>393.26</c:v>
                </c:pt>
                <c:pt idx="254">
                  <c:v>387.44</c:v>
                </c:pt>
                <c:pt idx="255">
                  <c:v>394.91</c:v>
                </c:pt>
                <c:pt idx="256">
                  <c:v>396.47</c:v>
                </c:pt>
                <c:pt idx="257">
                  <c:v>396.99</c:v>
                </c:pt>
                <c:pt idx="258">
                  <c:v>399.64</c:v>
                </c:pt>
                <c:pt idx="259">
                  <c:v>382.61</c:v>
                </c:pt>
                <c:pt idx="260">
                  <c:v>387.3</c:v>
                </c:pt>
                <c:pt idx="261">
                  <c:v>391.22</c:v>
                </c:pt>
                <c:pt idx="262">
                  <c:v>385.83</c:v>
                </c:pt>
                <c:pt idx="263">
                  <c:v>384.22</c:v>
                </c:pt>
                <c:pt idx="264">
                  <c:v>387.01</c:v>
                </c:pt>
                <c:pt idx="265">
                  <c:v>387.39</c:v>
                </c:pt>
                <c:pt idx="266">
                  <c:v>384.36</c:v>
                </c:pt>
                <c:pt idx="267">
                  <c:v>386.26</c:v>
                </c:pt>
                <c:pt idx="268">
                  <c:v>388.95</c:v>
                </c:pt>
                <c:pt idx="269">
                  <c:v>387.11</c:v>
                </c:pt>
                <c:pt idx="270">
                  <c:v>389.19</c:v>
                </c:pt>
                <c:pt idx="271">
                  <c:v>392.08</c:v>
                </c:pt>
                <c:pt idx="272">
                  <c:v>381.57</c:v>
                </c:pt>
                <c:pt idx="273">
                  <c:v>384.18</c:v>
                </c:pt>
                <c:pt idx="274">
                  <c:v>387.16</c:v>
                </c:pt>
                <c:pt idx="275">
                  <c:v>382.76</c:v>
                </c:pt>
                <c:pt idx="276">
                  <c:v>382.1</c:v>
                </c:pt>
                <c:pt idx="277">
                  <c:v>389.33</c:v>
                </c:pt>
                <c:pt idx="278">
                  <c:v>384.79</c:v>
                </c:pt>
                <c:pt idx="279">
                  <c:v>384.89</c:v>
                </c:pt>
                <c:pt idx="280">
                  <c:v>393.07</c:v>
                </c:pt>
                <c:pt idx="281">
                  <c:v>392.17</c:v>
                </c:pt>
                <c:pt idx="282">
                  <c:v>408.49</c:v>
                </c:pt>
                <c:pt idx="283">
                  <c:v>408.11</c:v>
                </c:pt>
                <c:pt idx="284">
                  <c:v>414.4</c:v>
                </c:pt>
                <c:pt idx="285">
                  <c:v>416.34</c:v>
                </c:pt>
                <c:pt idx="286">
                  <c:v>418.99</c:v>
                </c:pt>
                <c:pt idx="287">
                  <c:v>417.71</c:v>
                </c:pt>
                <c:pt idx="288">
                  <c:v>414.4</c:v>
                </c:pt>
                <c:pt idx="289">
                  <c:v>425.52</c:v>
                </c:pt>
                <c:pt idx="290">
                  <c:v>431.05</c:v>
                </c:pt>
                <c:pt idx="291">
                  <c:v>438.57</c:v>
                </c:pt>
                <c:pt idx="292">
                  <c:v>434.5</c:v>
                </c:pt>
                <c:pt idx="293">
                  <c:v>468.4</c:v>
                </c:pt>
                <c:pt idx="294">
                  <c:v>446.05</c:v>
                </c:pt>
                <c:pt idx="295">
                  <c:v>440.37</c:v>
                </c:pt>
                <c:pt idx="296">
                  <c:v>441.41</c:v>
                </c:pt>
                <c:pt idx="297">
                  <c:v>446.8</c:v>
                </c:pt>
                <c:pt idx="298">
                  <c:v>442.36</c:v>
                </c:pt>
                <c:pt idx="299">
                  <c:v>441.5</c:v>
                </c:pt>
                <c:pt idx="300">
                  <c:v>437.67</c:v>
                </c:pt>
                <c:pt idx="301">
                  <c:v>438.29</c:v>
                </c:pt>
                <c:pt idx="302">
                  <c:v>439.47</c:v>
                </c:pt>
                <c:pt idx="303">
                  <c:v>440.37</c:v>
                </c:pt>
                <c:pt idx="304">
                  <c:v>448.36</c:v>
                </c:pt>
                <c:pt idx="305">
                  <c:v>450.68</c:v>
                </c:pt>
                <c:pt idx="306">
                  <c:v>451.48</c:v>
                </c:pt>
                <c:pt idx="307">
                  <c:v>444.96</c:v>
                </c:pt>
                <c:pt idx="308">
                  <c:v>442.78</c:v>
                </c:pt>
                <c:pt idx="309">
                  <c:v>437.15</c:v>
                </c:pt>
                <c:pt idx="310">
                  <c:v>439.05</c:v>
                </c:pt>
                <c:pt idx="311">
                  <c:v>432.42</c:v>
                </c:pt>
                <c:pt idx="312">
                  <c:v>431.81</c:v>
                </c:pt>
                <c:pt idx="313">
                  <c:v>430.63</c:v>
                </c:pt>
                <c:pt idx="314">
                  <c:v>427.08</c:v>
                </c:pt>
                <c:pt idx="315">
                  <c:v>426.65</c:v>
                </c:pt>
                <c:pt idx="316">
                  <c:v>431.48</c:v>
                </c:pt>
                <c:pt idx="317">
                  <c:v>427.27</c:v>
                </c:pt>
                <c:pt idx="318">
                  <c:v>433.46</c:v>
                </c:pt>
                <c:pt idx="319">
                  <c:v>435.26</c:v>
                </c:pt>
                <c:pt idx="320">
                  <c:v>431.05</c:v>
                </c:pt>
                <c:pt idx="321">
                  <c:v>428.64</c:v>
                </c:pt>
                <c:pt idx="322">
                  <c:v>428.02</c:v>
                </c:pt>
                <c:pt idx="323">
                  <c:v>424.9</c:v>
                </c:pt>
                <c:pt idx="324">
                  <c:v>433.37</c:v>
                </c:pt>
                <c:pt idx="325">
                  <c:v>438.24</c:v>
                </c:pt>
                <c:pt idx="326">
                  <c:v>427.36</c:v>
                </c:pt>
                <c:pt idx="327">
                  <c:v>429.54</c:v>
                </c:pt>
                <c:pt idx="328">
                  <c:v>425.52</c:v>
                </c:pt>
                <c:pt idx="329">
                  <c:v>412.27</c:v>
                </c:pt>
                <c:pt idx="330">
                  <c:v>413.6</c:v>
                </c:pt>
                <c:pt idx="331">
                  <c:v>411.75</c:v>
                </c:pt>
                <c:pt idx="332">
                  <c:v>414.16</c:v>
                </c:pt>
                <c:pt idx="333">
                  <c:v>416.58</c:v>
                </c:pt>
                <c:pt idx="334">
                  <c:v>415.96</c:v>
                </c:pt>
                <c:pt idx="335">
                  <c:v>412.7</c:v>
                </c:pt>
                <c:pt idx="336">
                  <c:v>413.22</c:v>
                </c:pt>
                <c:pt idx="337">
                  <c:v>415.54</c:v>
                </c:pt>
                <c:pt idx="338">
                  <c:v>414.97</c:v>
                </c:pt>
                <c:pt idx="339">
                  <c:v>418.09</c:v>
                </c:pt>
                <c:pt idx="340">
                  <c:v>412.46</c:v>
                </c:pt>
                <c:pt idx="341">
                  <c:v>438.45</c:v>
                </c:pt>
                <c:pt idx="342">
                  <c:v>412.98</c:v>
                </c:pt>
                <c:pt idx="343">
                  <c:v>410.95</c:v>
                </c:pt>
                <c:pt idx="344">
                  <c:v>413.36</c:v>
                </c:pt>
                <c:pt idx="345">
                  <c:v>409.34</c:v>
                </c:pt>
                <c:pt idx="346">
                  <c:v>411.85</c:v>
                </c:pt>
                <c:pt idx="347">
                  <c:v>409.86</c:v>
                </c:pt>
                <c:pt idx="348">
                  <c:v>407.87</c:v>
                </c:pt>
                <c:pt idx="349">
                  <c:v>404.99</c:v>
                </c:pt>
                <c:pt idx="350">
                  <c:v>405.27</c:v>
                </c:pt>
                <c:pt idx="351">
                  <c:v>407.21</c:v>
                </c:pt>
                <c:pt idx="352">
                  <c:v>410.33</c:v>
                </c:pt>
                <c:pt idx="353">
                  <c:v>410.9</c:v>
                </c:pt>
                <c:pt idx="354">
                  <c:v>409.34</c:v>
                </c:pt>
                <c:pt idx="355">
                  <c:v>412.37</c:v>
                </c:pt>
                <c:pt idx="356">
                  <c:v>414.64</c:v>
                </c:pt>
                <c:pt idx="357">
                  <c:v>426.08</c:v>
                </c:pt>
                <c:pt idx="358">
                  <c:v>427.27</c:v>
                </c:pt>
                <c:pt idx="359">
                  <c:v>428.97</c:v>
                </c:pt>
                <c:pt idx="360">
                  <c:v>424.71</c:v>
                </c:pt>
                <c:pt idx="361">
                  <c:v>424.14</c:v>
                </c:pt>
                <c:pt idx="362">
                  <c:v>426.37</c:v>
                </c:pt>
                <c:pt idx="363">
                  <c:v>424.05</c:v>
                </c:pt>
                <c:pt idx="364">
                  <c:v>420.41</c:v>
                </c:pt>
                <c:pt idx="365">
                  <c:v>416.67</c:v>
                </c:pt>
                <c:pt idx="366">
                  <c:v>418.28</c:v>
                </c:pt>
                <c:pt idx="367">
                  <c:v>412.51</c:v>
                </c:pt>
                <c:pt idx="368">
                  <c:v>412.56</c:v>
                </c:pt>
                <c:pt idx="369">
                  <c:v>416.01</c:v>
                </c:pt>
                <c:pt idx="370">
                  <c:v>420.41</c:v>
                </c:pt>
                <c:pt idx="371">
                  <c:v>416.95</c:v>
                </c:pt>
                <c:pt idx="372">
                  <c:v>424.9</c:v>
                </c:pt>
                <c:pt idx="373">
                  <c:v>418.56</c:v>
                </c:pt>
                <c:pt idx="374">
                  <c:v>418.7</c:v>
                </c:pt>
                <c:pt idx="375">
                  <c:v>419.18</c:v>
                </c:pt>
                <c:pt idx="376">
                  <c:v>423.34</c:v>
                </c:pt>
                <c:pt idx="377">
                  <c:v>428.5</c:v>
                </c:pt>
                <c:pt idx="378">
                  <c:v>427.64</c:v>
                </c:pt>
                <c:pt idx="379">
                  <c:v>424.14</c:v>
                </c:pt>
                <c:pt idx="380">
                  <c:v>425.66</c:v>
                </c:pt>
                <c:pt idx="381">
                  <c:v>429.02</c:v>
                </c:pt>
                <c:pt idx="382">
                  <c:v>426.79</c:v>
                </c:pt>
                <c:pt idx="383">
                  <c:v>423.06</c:v>
                </c:pt>
                <c:pt idx="384">
                  <c:v>418.75</c:v>
                </c:pt>
                <c:pt idx="385">
                  <c:v>421.83</c:v>
                </c:pt>
                <c:pt idx="386">
                  <c:v>423.29</c:v>
                </c:pt>
                <c:pt idx="387">
                  <c:v>419.18</c:v>
                </c:pt>
                <c:pt idx="388">
                  <c:v>413.88</c:v>
                </c:pt>
                <c:pt idx="389">
                  <c:v>417.24</c:v>
                </c:pt>
                <c:pt idx="390">
                  <c:v>415.96</c:v>
                </c:pt>
                <c:pt idx="391">
                  <c:v>418.89</c:v>
                </c:pt>
                <c:pt idx="392">
                  <c:v>416.34</c:v>
                </c:pt>
                <c:pt idx="393">
                  <c:v>417.57</c:v>
                </c:pt>
                <c:pt idx="394">
                  <c:v>419.42</c:v>
                </c:pt>
                <c:pt idx="395">
                  <c:v>426.56</c:v>
                </c:pt>
                <c:pt idx="396">
                  <c:v>426.13</c:v>
                </c:pt>
                <c:pt idx="397">
                  <c:v>429.73</c:v>
                </c:pt>
                <c:pt idx="398">
                  <c:v>423.63</c:v>
                </c:pt>
                <c:pt idx="399">
                  <c:v>417.81</c:v>
                </c:pt>
                <c:pt idx="400">
                  <c:v>417.19</c:v>
                </c:pt>
                <c:pt idx="401">
                  <c:v>425.94</c:v>
                </c:pt>
                <c:pt idx="402">
                  <c:v>424.95</c:v>
                </c:pt>
                <c:pt idx="403">
                  <c:v>424.52</c:v>
                </c:pt>
                <c:pt idx="404">
                  <c:v>427.36</c:v>
                </c:pt>
                <c:pt idx="405">
                  <c:v>433.89</c:v>
                </c:pt>
                <c:pt idx="406">
                  <c:v>427.93</c:v>
                </c:pt>
                <c:pt idx="407">
                  <c:v>430.34</c:v>
                </c:pt>
                <c:pt idx="408">
                  <c:v>430.39</c:v>
                </c:pt>
                <c:pt idx="409">
                  <c:v>431.43</c:v>
                </c:pt>
                <c:pt idx="410">
                  <c:v>435.26</c:v>
                </c:pt>
                <c:pt idx="411">
                  <c:v>439.71</c:v>
                </c:pt>
                <c:pt idx="412">
                  <c:v>440.56</c:v>
                </c:pt>
                <c:pt idx="413">
                  <c:v>443.16</c:v>
                </c:pt>
                <c:pt idx="414">
                  <c:v>439.94</c:v>
                </c:pt>
                <c:pt idx="415">
                  <c:v>446.76</c:v>
                </c:pt>
                <c:pt idx="416">
                  <c:v>437.34</c:v>
                </c:pt>
                <c:pt idx="417">
                  <c:v>445.9</c:v>
                </c:pt>
                <c:pt idx="418">
                  <c:v>463.97</c:v>
                </c:pt>
                <c:pt idx="419">
                  <c:v>465.58</c:v>
                </c:pt>
                <c:pt idx="420">
                  <c:v>453</c:v>
                </c:pt>
                <c:pt idx="421">
                  <c:v>446.99</c:v>
                </c:pt>
                <c:pt idx="422">
                  <c:v>446.85</c:v>
                </c:pt>
                <c:pt idx="423">
                  <c:v>447.37</c:v>
                </c:pt>
                <c:pt idx="424">
                  <c:v>446.52</c:v>
                </c:pt>
                <c:pt idx="425">
                  <c:v>446.8</c:v>
                </c:pt>
                <c:pt idx="426">
                  <c:v>447.61</c:v>
                </c:pt>
                <c:pt idx="427">
                  <c:v>440.7</c:v>
                </c:pt>
                <c:pt idx="428">
                  <c:v>443.11</c:v>
                </c:pt>
                <c:pt idx="429">
                  <c:v>448.32</c:v>
                </c:pt>
                <c:pt idx="430">
                  <c:v>449.45</c:v>
                </c:pt>
                <c:pt idx="431">
                  <c:v>441.17</c:v>
                </c:pt>
                <c:pt idx="432">
                  <c:v>438.24</c:v>
                </c:pt>
                <c:pt idx="433">
                  <c:v>427.22</c:v>
                </c:pt>
                <c:pt idx="434">
                  <c:v>425.09</c:v>
                </c:pt>
                <c:pt idx="435">
                  <c:v>421.07</c:v>
                </c:pt>
                <c:pt idx="436">
                  <c:v>421.64</c:v>
                </c:pt>
                <c:pt idx="437">
                  <c:v>420.74</c:v>
                </c:pt>
                <c:pt idx="438">
                  <c:v>423.48</c:v>
                </c:pt>
                <c:pt idx="439">
                  <c:v>422.92</c:v>
                </c:pt>
                <c:pt idx="440">
                  <c:v>428.4</c:v>
                </c:pt>
                <c:pt idx="441">
                  <c:v>429.11</c:v>
                </c:pt>
                <c:pt idx="442">
                  <c:v>428.64</c:v>
                </c:pt>
                <c:pt idx="443">
                  <c:v>423.91</c:v>
                </c:pt>
                <c:pt idx="444">
                  <c:v>420.5</c:v>
                </c:pt>
                <c:pt idx="445">
                  <c:v>421.35</c:v>
                </c:pt>
                <c:pt idx="446">
                  <c:v>413.36</c:v>
                </c:pt>
                <c:pt idx="447">
                  <c:v>414.78</c:v>
                </c:pt>
                <c:pt idx="448">
                  <c:v>418.99</c:v>
                </c:pt>
                <c:pt idx="449">
                  <c:v>419.98</c:v>
                </c:pt>
                <c:pt idx="450">
                  <c:v>418.89</c:v>
                </c:pt>
                <c:pt idx="451">
                  <c:v>416.86</c:v>
                </c:pt>
                <c:pt idx="452">
                  <c:v>419.46</c:v>
                </c:pt>
                <c:pt idx="453">
                  <c:v>415.96</c:v>
                </c:pt>
                <c:pt idx="454">
                  <c:v>421.45</c:v>
                </c:pt>
                <c:pt idx="455">
                  <c:v>425.61</c:v>
                </c:pt>
                <c:pt idx="456">
                  <c:v>422.25</c:v>
                </c:pt>
                <c:pt idx="457">
                  <c:v>417.08</c:v>
                </c:pt>
                <c:pt idx="458">
                  <c:v>414.78</c:v>
                </c:pt>
                <c:pt idx="459">
                  <c:v>407.59</c:v>
                </c:pt>
                <c:pt idx="460">
                  <c:v>403.5</c:v>
                </c:pt>
                <c:pt idx="461">
                  <c:v>399.36</c:v>
                </c:pt>
                <c:pt idx="462">
                  <c:v>394.75</c:v>
                </c:pt>
                <c:pt idx="463">
                  <c:v>394.61</c:v>
                </c:pt>
                <c:pt idx="464">
                  <c:v>402.04</c:v>
                </c:pt>
                <c:pt idx="465">
                  <c:v>398.61</c:v>
                </c:pt>
                <c:pt idx="466">
                  <c:v>402.23</c:v>
                </c:pt>
                <c:pt idx="467">
                  <c:v>395.32</c:v>
                </c:pt>
                <c:pt idx="468">
                  <c:v>395.27</c:v>
                </c:pt>
                <c:pt idx="469">
                  <c:v>399.92</c:v>
                </c:pt>
                <c:pt idx="470">
                  <c:v>398.46</c:v>
                </c:pt>
                <c:pt idx="471">
                  <c:v>405.66</c:v>
                </c:pt>
                <c:pt idx="472">
                  <c:v>403.12</c:v>
                </c:pt>
                <c:pt idx="473">
                  <c:v>399.22</c:v>
                </c:pt>
                <c:pt idx="474">
                  <c:v>401.61</c:v>
                </c:pt>
                <c:pt idx="475">
                  <c:v>399.08</c:v>
                </c:pt>
                <c:pt idx="476">
                  <c:v>400.11</c:v>
                </c:pt>
                <c:pt idx="477">
                  <c:v>391.13</c:v>
                </c:pt>
                <c:pt idx="478">
                  <c:v>387.61</c:v>
                </c:pt>
                <c:pt idx="479">
                  <c:v>386.95</c:v>
                </c:pt>
                <c:pt idx="480">
                  <c:v>384.27</c:v>
                </c:pt>
                <c:pt idx="481">
                  <c:v>383.85</c:v>
                </c:pt>
                <c:pt idx="482">
                  <c:v>376.37</c:v>
                </c:pt>
                <c:pt idx="483">
                  <c:v>374.91</c:v>
                </c:pt>
                <c:pt idx="484">
                  <c:v>374.68</c:v>
                </c:pt>
                <c:pt idx="485">
                  <c:v>376.23</c:v>
                </c:pt>
                <c:pt idx="486">
                  <c:v>371.95</c:v>
                </c:pt>
                <c:pt idx="487">
                  <c:v>370.02</c:v>
                </c:pt>
                <c:pt idx="488">
                  <c:v>372.33</c:v>
                </c:pt>
                <c:pt idx="489">
                  <c:v>365.32</c:v>
                </c:pt>
                <c:pt idx="490">
                  <c:v>364.19</c:v>
                </c:pt>
                <c:pt idx="491">
                  <c:v>363.3</c:v>
                </c:pt>
                <c:pt idx="492">
                  <c:v>356.25</c:v>
                </c:pt>
                <c:pt idx="493">
                  <c:v>360.58</c:v>
                </c:pt>
                <c:pt idx="494">
                  <c:v>359.87</c:v>
                </c:pt>
                <c:pt idx="495">
                  <c:v>357.05</c:v>
                </c:pt>
                <c:pt idx="496">
                  <c:v>357.47</c:v>
                </c:pt>
                <c:pt idx="497">
                  <c:v>356.06</c:v>
                </c:pt>
                <c:pt idx="498">
                  <c:v>357.89</c:v>
                </c:pt>
                <c:pt idx="499">
                  <c:v>355.17</c:v>
                </c:pt>
                <c:pt idx="500">
                  <c:v>354.42</c:v>
                </c:pt>
                <c:pt idx="501">
                  <c:v>356.16</c:v>
                </c:pt>
                <c:pt idx="502">
                  <c:v>353.1</c:v>
                </c:pt>
                <c:pt idx="503">
                  <c:v>358.65</c:v>
                </c:pt>
                <c:pt idx="504">
                  <c:v>356.72</c:v>
                </c:pt>
                <c:pt idx="505">
                  <c:v>357</c:v>
                </c:pt>
                <c:pt idx="506">
                  <c:v>360.72</c:v>
                </c:pt>
                <c:pt idx="507">
                  <c:v>364.81</c:v>
                </c:pt>
                <c:pt idx="508">
                  <c:v>364.33</c:v>
                </c:pt>
                <c:pt idx="509">
                  <c:v>368.94</c:v>
                </c:pt>
                <c:pt idx="510">
                  <c:v>364.95</c:v>
                </c:pt>
                <c:pt idx="511">
                  <c:v>361.94</c:v>
                </c:pt>
                <c:pt idx="512">
                  <c:v>353.1</c:v>
                </c:pt>
                <c:pt idx="513">
                  <c:v>356.06</c:v>
                </c:pt>
                <c:pt idx="514">
                  <c:v>354.18</c:v>
                </c:pt>
                <c:pt idx="515">
                  <c:v>359.35</c:v>
                </c:pt>
                <c:pt idx="516">
                  <c:v>362.08</c:v>
                </c:pt>
                <c:pt idx="517">
                  <c:v>364.43</c:v>
                </c:pt>
                <c:pt idx="518">
                  <c:v>360.9</c:v>
                </c:pt>
                <c:pt idx="519">
                  <c:v>359.4</c:v>
                </c:pt>
                <c:pt idx="520">
                  <c:v>361.09</c:v>
                </c:pt>
                <c:pt idx="521">
                  <c:v>360.48</c:v>
                </c:pt>
                <c:pt idx="522">
                  <c:v>359.68</c:v>
                </c:pt>
                <c:pt idx="523">
                  <c:v>359.35</c:v>
                </c:pt>
                <c:pt idx="524">
                  <c:v>363.35</c:v>
                </c:pt>
                <c:pt idx="525">
                  <c:v>351.83</c:v>
                </c:pt>
                <c:pt idx="526">
                  <c:v>349.15</c:v>
                </c:pt>
                <c:pt idx="527">
                  <c:v>351.88</c:v>
                </c:pt>
                <c:pt idx="528">
                  <c:v>353.1</c:v>
                </c:pt>
                <c:pt idx="529">
                  <c:v>350.94</c:v>
                </c:pt>
                <c:pt idx="530">
                  <c:v>360.48</c:v>
                </c:pt>
                <c:pt idx="531">
                  <c:v>357.89</c:v>
                </c:pt>
                <c:pt idx="532">
                  <c:v>355.97</c:v>
                </c:pt>
                <c:pt idx="533">
                  <c:v>339.8</c:v>
                </c:pt>
                <c:pt idx="534">
                  <c:v>331.29</c:v>
                </c:pt>
                <c:pt idx="535">
                  <c:v>324.19</c:v>
                </c:pt>
                <c:pt idx="536">
                  <c:v>325.32</c:v>
                </c:pt>
                <c:pt idx="537">
                  <c:v>318.97000000000003</c:v>
                </c:pt>
                <c:pt idx="538">
                  <c:v>318.69</c:v>
                </c:pt>
                <c:pt idx="539">
                  <c:v>317.56</c:v>
                </c:pt>
                <c:pt idx="540">
                  <c:v>314.60000000000002</c:v>
                </c:pt>
                <c:pt idx="541">
                  <c:v>312.29000000000002</c:v>
                </c:pt>
                <c:pt idx="542">
                  <c:v>314.64</c:v>
                </c:pt>
                <c:pt idx="543">
                  <c:v>312.39</c:v>
                </c:pt>
                <c:pt idx="544">
                  <c:v>310.45999999999998</c:v>
                </c:pt>
                <c:pt idx="545">
                  <c:v>309.10000000000002</c:v>
                </c:pt>
                <c:pt idx="546">
                  <c:v>310.13</c:v>
                </c:pt>
                <c:pt idx="547">
                  <c:v>311.95999999999998</c:v>
                </c:pt>
                <c:pt idx="548">
                  <c:v>313.47000000000003</c:v>
                </c:pt>
                <c:pt idx="549">
                  <c:v>317.83999999999997</c:v>
                </c:pt>
                <c:pt idx="550">
                  <c:v>315.02</c:v>
                </c:pt>
                <c:pt idx="551">
                  <c:v>313.52</c:v>
                </c:pt>
                <c:pt idx="552">
                  <c:v>307.45</c:v>
                </c:pt>
                <c:pt idx="553">
                  <c:v>311.31</c:v>
                </c:pt>
                <c:pt idx="554">
                  <c:v>312.95</c:v>
                </c:pt>
                <c:pt idx="555">
                  <c:v>311.73</c:v>
                </c:pt>
                <c:pt idx="556">
                  <c:v>315.3</c:v>
                </c:pt>
                <c:pt idx="557">
                  <c:v>314.41000000000003</c:v>
                </c:pt>
                <c:pt idx="558">
                  <c:v>313.23</c:v>
                </c:pt>
                <c:pt idx="559">
                  <c:v>314.60000000000002</c:v>
                </c:pt>
                <c:pt idx="560">
                  <c:v>307.17</c:v>
                </c:pt>
                <c:pt idx="561">
                  <c:v>312.58</c:v>
                </c:pt>
                <c:pt idx="562">
                  <c:v>315.11</c:v>
                </c:pt>
                <c:pt idx="563">
                  <c:v>319.82</c:v>
                </c:pt>
                <c:pt idx="564">
                  <c:v>320.14</c:v>
                </c:pt>
                <c:pt idx="565">
                  <c:v>333.05</c:v>
                </c:pt>
                <c:pt idx="566">
                  <c:v>336.77</c:v>
                </c:pt>
                <c:pt idx="567">
                  <c:v>343.29</c:v>
                </c:pt>
                <c:pt idx="568">
                  <c:v>343.48</c:v>
                </c:pt>
                <c:pt idx="569">
                  <c:v>341.1</c:v>
                </c:pt>
                <c:pt idx="570">
                  <c:v>339.31</c:v>
                </c:pt>
                <c:pt idx="571">
                  <c:v>336.33</c:v>
                </c:pt>
                <c:pt idx="572">
                  <c:v>338.02</c:v>
                </c:pt>
                <c:pt idx="573">
                  <c:v>335.23</c:v>
                </c:pt>
                <c:pt idx="574">
                  <c:v>334.69</c:v>
                </c:pt>
                <c:pt idx="575">
                  <c:v>335.09</c:v>
                </c:pt>
                <c:pt idx="576">
                  <c:v>337.47</c:v>
                </c:pt>
                <c:pt idx="577">
                  <c:v>337.92</c:v>
                </c:pt>
                <c:pt idx="578">
                  <c:v>340.2</c:v>
                </c:pt>
                <c:pt idx="579">
                  <c:v>337.97</c:v>
                </c:pt>
                <c:pt idx="580">
                  <c:v>338.22</c:v>
                </c:pt>
                <c:pt idx="581">
                  <c:v>338.66</c:v>
                </c:pt>
                <c:pt idx="582">
                  <c:v>337.72</c:v>
                </c:pt>
                <c:pt idx="583">
                  <c:v>338.17</c:v>
                </c:pt>
                <c:pt idx="584">
                  <c:v>335.14</c:v>
                </c:pt>
                <c:pt idx="585">
                  <c:v>338.96</c:v>
                </c:pt>
                <c:pt idx="586">
                  <c:v>341.6</c:v>
                </c:pt>
                <c:pt idx="587">
                  <c:v>341.99</c:v>
                </c:pt>
                <c:pt idx="588">
                  <c:v>343.14</c:v>
                </c:pt>
                <c:pt idx="589">
                  <c:v>345.07</c:v>
                </c:pt>
                <c:pt idx="590">
                  <c:v>354.17</c:v>
                </c:pt>
                <c:pt idx="591">
                  <c:v>353.82</c:v>
                </c:pt>
                <c:pt idx="592">
                  <c:v>358.49</c:v>
                </c:pt>
                <c:pt idx="593">
                  <c:v>351.34</c:v>
                </c:pt>
                <c:pt idx="594">
                  <c:v>351.43</c:v>
                </c:pt>
                <c:pt idx="595">
                  <c:v>351.53</c:v>
                </c:pt>
                <c:pt idx="596">
                  <c:v>352.48</c:v>
                </c:pt>
                <c:pt idx="597">
                  <c:v>347.36</c:v>
                </c:pt>
                <c:pt idx="598">
                  <c:v>346.57</c:v>
                </c:pt>
                <c:pt idx="599">
                  <c:v>343.68</c:v>
                </c:pt>
                <c:pt idx="600">
                  <c:v>343.68</c:v>
                </c:pt>
                <c:pt idx="601">
                  <c:v>344.18</c:v>
                </c:pt>
                <c:pt idx="602">
                  <c:v>345.57</c:v>
                </c:pt>
                <c:pt idx="603">
                  <c:v>343.48</c:v>
                </c:pt>
                <c:pt idx="604">
                  <c:v>347.56</c:v>
                </c:pt>
                <c:pt idx="605">
                  <c:v>344.23</c:v>
                </c:pt>
                <c:pt idx="606">
                  <c:v>338.22</c:v>
                </c:pt>
                <c:pt idx="607">
                  <c:v>330.22</c:v>
                </c:pt>
                <c:pt idx="608">
                  <c:v>330.07</c:v>
                </c:pt>
                <c:pt idx="609">
                  <c:v>326.64</c:v>
                </c:pt>
                <c:pt idx="610">
                  <c:v>328.08</c:v>
                </c:pt>
                <c:pt idx="611">
                  <c:v>324.3</c:v>
                </c:pt>
                <c:pt idx="612">
                  <c:v>325.83999999999997</c:v>
                </c:pt>
                <c:pt idx="613">
                  <c:v>332.05</c:v>
                </c:pt>
                <c:pt idx="614">
                  <c:v>334.59</c:v>
                </c:pt>
                <c:pt idx="615">
                  <c:v>330.81</c:v>
                </c:pt>
                <c:pt idx="616">
                  <c:v>322.41000000000003</c:v>
                </c:pt>
                <c:pt idx="617">
                  <c:v>330.17</c:v>
                </c:pt>
                <c:pt idx="618">
                  <c:v>331.01</c:v>
                </c:pt>
                <c:pt idx="619">
                  <c:v>322.95999999999998</c:v>
                </c:pt>
                <c:pt idx="620">
                  <c:v>332.8</c:v>
                </c:pt>
                <c:pt idx="621">
                  <c:v>330.56</c:v>
                </c:pt>
                <c:pt idx="622">
                  <c:v>344.28</c:v>
                </c:pt>
                <c:pt idx="623">
                  <c:v>342.94</c:v>
                </c:pt>
                <c:pt idx="624">
                  <c:v>338.86</c:v>
                </c:pt>
                <c:pt idx="625">
                  <c:v>333.94</c:v>
                </c:pt>
                <c:pt idx="626">
                  <c:v>333.55</c:v>
                </c:pt>
                <c:pt idx="627">
                  <c:v>329.27</c:v>
                </c:pt>
                <c:pt idx="628">
                  <c:v>332.05</c:v>
                </c:pt>
                <c:pt idx="629">
                  <c:v>333.3</c:v>
                </c:pt>
                <c:pt idx="630">
                  <c:v>332.35</c:v>
                </c:pt>
                <c:pt idx="631">
                  <c:v>328.87</c:v>
                </c:pt>
                <c:pt idx="632">
                  <c:v>328.48</c:v>
                </c:pt>
                <c:pt idx="633">
                  <c:v>327.88</c:v>
                </c:pt>
                <c:pt idx="634">
                  <c:v>324.10000000000002</c:v>
                </c:pt>
                <c:pt idx="635">
                  <c:v>325.14999999999998</c:v>
                </c:pt>
                <c:pt idx="636">
                  <c:v>326.83999999999997</c:v>
                </c:pt>
                <c:pt idx="637">
                  <c:v>321.17</c:v>
                </c:pt>
                <c:pt idx="638">
                  <c:v>315.64999999999998</c:v>
                </c:pt>
                <c:pt idx="639">
                  <c:v>318.54000000000002</c:v>
                </c:pt>
                <c:pt idx="640">
                  <c:v>311.63</c:v>
                </c:pt>
                <c:pt idx="641">
                  <c:v>310.98</c:v>
                </c:pt>
                <c:pt idx="642">
                  <c:v>310.44</c:v>
                </c:pt>
                <c:pt idx="643">
                  <c:v>312.18</c:v>
                </c:pt>
                <c:pt idx="644">
                  <c:v>313.97000000000003</c:v>
                </c:pt>
                <c:pt idx="645">
                  <c:v>312.48</c:v>
                </c:pt>
                <c:pt idx="646">
                  <c:v>310.08999999999997</c:v>
                </c:pt>
                <c:pt idx="647">
                  <c:v>313.72000000000003</c:v>
                </c:pt>
                <c:pt idx="648">
                  <c:v>310.64</c:v>
                </c:pt>
                <c:pt idx="649">
                  <c:v>308.64999999999998</c:v>
                </c:pt>
                <c:pt idx="650">
                  <c:v>306.66000000000003</c:v>
                </c:pt>
                <c:pt idx="651">
                  <c:v>304.38</c:v>
                </c:pt>
                <c:pt idx="652">
                  <c:v>309.3</c:v>
                </c:pt>
                <c:pt idx="653">
                  <c:v>311.23</c:v>
                </c:pt>
                <c:pt idx="654">
                  <c:v>308.95</c:v>
                </c:pt>
                <c:pt idx="655">
                  <c:v>307.61</c:v>
                </c:pt>
                <c:pt idx="656">
                  <c:v>306.26</c:v>
                </c:pt>
                <c:pt idx="657">
                  <c:v>308.05</c:v>
                </c:pt>
                <c:pt idx="658">
                  <c:v>305.62</c:v>
                </c:pt>
                <c:pt idx="659">
                  <c:v>301.19</c:v>
                </c:pt>
                <c:pt idx="660">
                  <c:v>301.58999999999997</c:v>
                </c:pt>
                <c:pt idx="661">
                  <c:v>302.29000000000002</c:v>
                </c:pt>
                <c:pt idx="662">
                  <c:v>300.60000000000002</c:v>
                </c:pt>
                <c:pt idx="663">
                  <c:v>299.26</c:v>
                </c:pt>
                <c:pt idx="664">
                  <c:v>298.70999999999998</c:v>
                </c:pt>
                <c:pt idx="665">
                  <c:v>297.72000000000003</c:v>
                </c:pt>
                <c:pt idx="666">
                  <c:v>296.37</c:v>
                </c:pt>
                <c:pt idx="667">
                  <c:v>292.8</c:v>
                </c:pt>
                <c:pt idx="668">
                  <c:v>293.49</c:v>
                </c:pt>
                <c:pt idx="669">
                  <c:v>291.75</c:v>
                </c:pt>
                <c:pt idx="670">
                  <c:v>289.07</c:v>
                </c:pt>
                <c:pt idx="671">
                  <c:v>292.25</c:v>
                </c:pt>
                <c:pt idx="672">
                  <c:v>290.91000000000003</c:v>
                </c:pt>
                <c:pt idx="673">
                  <c:v>293.19</c:v>
                </c:pt>
                <c:pt idx="674">
                  <c:v>291.26</c:v>
                </c:pt>
                <c:pt idx="675">
                  <c:v>290.16000000000003</c:v>
                </c:pt>
                <c:pt idx="676">
                  <c:v>287.52999999999997</c:v>
                </c:pt>
                <c:pt idx="677">
                  <c:v>285.14</c:v>
                </c:pt>
                <c:pt idx="678">
                  <c:v>290.11</c:v>
                </c:pt>
                <c:pt idx="679">
                  <c:v>282.61</c:v>
                </c:pt>
                <c:pt idx="680">
                  <c:v>271.83</c:v>
                </c:pt>
                <c:pt idx="681">
                  <c:v>272.37</c:v>
                </c:pt>
                <c:pt idx="682">
                  <c:v>270.18</c:v>
                </c:pt>
                <c:pt idx="683">
                  <c:v>268.3</c:v>
                </c:pt>
                <c:pt idx="684">
                  <c:v>264.22000000000003</c:v>
                </c:pt>
                <c:pt idx="685">
                  <c:v>263.87</c:v>
                </c:pt>
                <c:pt idx="686">
                  <c:v>263.68</c:v>
                </c:pt>
                <c:pt idx="687">
                  <c:v>268.25</c:v>
                </c:pt>
                <c:pt idx="688">
                  <c:v>262.48</c:v>
                </c:pt>
                <c:pt idx="689">
                  <c:v>261.69</c:v>
                </c:pt>
                <c:pt idx="690">
                  <c:v>259.10000000000002</c:v>
                </c:pt>
                <c:pt idx="691">
                  <c:v>261.79000000000002</c:v>
                </c:pt>
                <c:pt idx="692">
                  <c:v>263.83</c:v>
                </c:pt>
                <c:pt idx="693">
                  <c:v>263.02999999999997</c:v>
                </c:pt>
                <c:pt idx="694">
                  <c:v>268.5</c:v>
                </c:pt>
                <c:pt idx="695">
                  <c:v>269.19</c:v>
                </c:pt>
                <c:pt idx="696">
                  <c:v>266.26</c:v>
                </c:pt>
                <c:pt idx="697">
                  <c:v>272.22000000000003</c:v>
                </c:pt>
                <c:pt idx="698">
                  <c:v>273.12</c:v>
                </c:pt>
                <c:pt idx="699">
                  <c:v>271.02999999999997</c:v>
                </c:pt>
                <c:pt idx="700">
                  <c:v>271.83</c:v>
                </c:pt>
                <c:pt idx="701">
                  <c:v>270.18</c:v>
                </c:pt>
                <c:pt idx="702">
                  <c:v>268.99</c:v>
                </c:pt>
                <c:pt idx="703">
                  <c:v>267.39999999999998</c:v>
                </c:pt>
                <c:pt idx="704">
                  <c:v>267.55</c:v>
                </c:pt>
                <c:pt idx="705">
                  <c:v>265.07</c:v>
                </c:pt>
                <c:pt idx="706">
                  <c:v>271.02999999999997</c:v>
                </c:pt>
                <c:pt idx="707">
                  <c:v>269.19</c:v>
                </c:pt>
                <c:pt idx="708">
                  <c:v>272.82</c:v>
                </c:pt>
                <c:pt idx="709">
                  <c:v>278.29000000000002</c:v>
                </c:pt>
                <c:pt idx="710">
                  <c:v>273.95999999999998</c:v>
                </c:pt>
                <c:pt idx="711">
                  <c:v>266.8</c:v>
                </c:pt>
                <c:pt idx="712">
                  <c:v>264.7</c:v>
                </c:pt>
                <c:pt idx="713">
                  <c:v>254.1</c:v>
                </c:pt>
                <c:pt idx="714">
                  <c:v>258.60000000000002</c:v>
                </c:pt>
                <c:pt idx="715">
                  <c:v>251.35</c:v>
                </c:pt>
                <c:pt idx="716">
                  <c:v>254.09</c:v>
                </c:pt>
                <c:pt idx="717">
                  <c:v>259.75</c:v>
                </c:pt>
                <c:pt idx="718">
                  <c:v>261.33999999999997</c:v>
                </c:pt>
                <c:pt idx="719">
                  <c:v>266.64999999999998</c:v>
                </c:pt>
                <c:pt idx="720">
                  <c:v>262.05</c:v>
                </c:pt>
                <c:pt idx="721">
                  <c:v>259.75</c:v>
                </c:pt>
                <c:pt idx="722">
                  <c:v>263.14999999999998</c:v>
                </c:pt>
                <c:pt idx="723">
                  <c:v>259.55</c:v>
                </c:pt>
                <c:pt idx="724">
                  <c:v>261.10000000000002</c:v>
                </c:pt>
                <c:pt idx="725">
                  <c:v>257.5</c:v>
                </c:pt>
                <c:pt idx="726">
                  <c:v>258.95</c:v>
                </c:pt>
                <c:pt idx="727">
                  <c:v>255.25</c:v>
                </c:pt>
                <c:pt idx="728">
                  <c:v>261.10000000000002</c:v>
                </c:pt>
                <c:pt idx="729">
                  <c:v>260.39999999999998</c:v>
                </c:pt>
                <c:pt idx="730">
                  <c:v>259.55</c:v>
                </c:pt>
                <c:pt idx="731">
                  <c:v>261.55</c:v>
                </c:pt>
                <c:pt idx="732">
                  <c:v>268.45</c:v>
                </c:pt>
                <c:pt idx="733">
                  <c:v>269.55</c:v>
                </c:pt>
                <c:pt idx="734">
                  <c:v>263.18</c:v>
                </c:pt>
                <c:pt idx="735">
                  <c:v>267.5</c:v>
                </c:pt>
                <c:pt idx="736">
                  <c:v>266.16000000000003</c:v>
                </c:pt>
                <c:pt idx="737">
                  <c:v>256.64999999999998</c:v>
                </c:pt>
                <c:pt idx="738">
                  <c:v>259.60000000000002</c:v>
                </c:pt>
                <c:pt idx="739">
                  <c:v>259.45</c:v>
                </c:pt>
                <c:pt idx="740">
                  <c:v>255.45</c:v>
                </c:pt>
                <c:pt idx="741">
                  <c:v>253.3</c:v>
                </c:pt>
                <c:pt idx="742">
                  <c:v>250.65</c:v>
                </c:pt>
                <c:pt idx="743">
                  <c:v>249.2</c:v>
                </c:pt>
                <c:pt idx="744">
                  <c:v>254.6</c:v>
                </c:pt>
                <c:pt idx="745">
                  <c:v>257.05</c:v>
                </c:pt>
                <c:pt idx="746">
                  <c:v>253.35</c:v>
                </c:pt>
                <c:pt idx="747">
                  <c:v>254.85</c:v>
                </c:pt>
                <c:pt idx="748">
                  <c:v>252</c:v>
                </c:pt>
                <c:pt idx="749">
                  <c:v>249.75</c:v>
                </c:pt>
                <c:pt idx="750">
                  <c:v>244.5</c:v>
                </c:pt>
                <c:pt idx="751">
                  <c:v>244.9</c:v>
                </c:pt>
                <c:pt idx="752">
                  <c:v>242.6</c:v>
                </c:pt>
                <c:pt idx="753">
                  <c:v>237.85</c:v>
                </c:pt>
                <c:pt idx="754">
                  <c:v>239</c:v>
                </c:pt>
                <c:pt idx="755">
                  <c:v>236.35</c:v>
                </c:pt>
                <c:pt idx="756">
                  <c:v>232</c:v>
                </c:pt>
                <c:pt idx="757">
                  <c:v>229.25</c:v>
                </c:pt>
                <c:pt idx="758">
                  <c:v>226.9</c:v>
                </c:pt>
                <c:pt idx="759">
                  <c:v>224.95</c:v>
                </c:pt>
                <c:pt idx="760">
                  <c:v>225.5</c:v>
                </c:pt>
                <c:pt idx="761">
                  <c:v>219.4</c:v>
                </c:pt>
                <c:pt idx="762">
                  <c:v>215.3</c:v>
                </c:pt>
                <c:pt idx="763">
                  <c:v>215.85</c:v>
                </c:pt>
                <c:pt idx="764">
                  <c:v>213.95</c:v>
                </c:pt>
                <c:pt idx="765">
                  <c:v>208.5</c:v>
                </c:pt>
                <c:pt idx="766">
                  <c:v>215.95</c:v>
                </c:pt>
                <c:pt idx="767">
                  <c:v>214.85</c:v>
                </c:pt>
                <c:pt idx="768">
                  <c:v>218</c:v>
                </c:pt>
                <c:pt idx="769">
                  <c:v>221.9</c:v>
                </c:pt>
                <c:pt idx="770">
                  <c:v>222.65</c:v>
                </c:pt>
                <c:pt idx="771">
                  <c:v>222.75</c:v>
                </c:pt>
                <c:pt idx="772">
                  <c:v>223</c:v>
                </c:pt>
                <c:pt idx="773">
                  <c:v>219.45</c:v>
                </c:pt>
                <c:pt idx="774">
                  <c:v>232.45</c:v>
                </c:pt>
                <c:pt idx="775">
                  <c:v>232.25</c:v>
                </c:pt>
                <c:pt idx="776">
                  <c:v>230.15</c:v>
                </c:pt>
                <c:pt idx="777">
                  <c:v>231.25</c:v>
                </c:pt>
                <c:pt idx="778">
                  <c:v>230.2</c:v>
                </c:pt>
                <c:pt idx="779">
                  <c:v>234.3</c:v>
                </c:pt>
                <c:pt idx="780">
                  <c:v>234.45</c:v>
                </c:pt>
                <c:pt idx="781">
                  <c:v>232.15</c:v>
                </c:pt>
                <c:pt idx="782">
                  <c:v>227.75</c:v>
                </c:pt>
                <c:pt idx="783">
                  <c:v>220.2</c:v>
                </c:pt>
                <c:pt idx="784">
                  <c:v>217.6</c:v>
                </c:pt>
                <c:pt idx="785">
                  <c:v>214.6</c:v>
                </c:pt>
                <c:pt idx="786">
                  <c:v>214.3</c:v>
                </c:pt>
                <c:pt idx="787">
                  <c:v>211.8</c:v>
                </c:pt>
                <c:pt idx="788">
                  <c:v>217.05</c:v>
                </c:pt>
                <c:pt idx="789">
                  <c:v>218.75</c:v>
                </c:pt>
                <c:pt idx="790">
                  <c:v>220.35</c:v>
                </c:pt>
                <c:pt idx="791">
                  <c:v>220.75</c:v>
                </c:pt>
                <c:pt idx="792">
                  <c:v>224.6</c:v>
                </c:pt>
                <c:pt idx="793">
                  <c:v>222.6</c:v>
                </c:pt>
                <c:pt idx="794">
                  <c:v>223.95</c:v>
                </c:pt>
                <c:pt idx="795">
                  <c:v>222.75</c:v>
                </c:pt>
                <c:pt idx="796">
                  <c:v>221.95</c:v>
                </c:pt>
                <c:pt idx="797">
                  <c:v>223.3</c:v>
                </c:pt>
                <c:pt idx="798">
                  <c:v>218.4</c:v>
                </c:pt>
                <c:pt idx="799">
                  <c:v>218.7</c:v>
                </c:pt>
                <c:pt idx="800">
                  <c:v>220.55</c:v>
                </c:pt>
                <c:pt idx="801">
                  <c:v>220.25</c:v>
                </c:pt>
                <c:pt idx="802">
                  <c:v>219.1</c:v>
                </c:pt>
                <c:pt idx="803">
                  <c:v>218.05</c:v>
                </c:pt>
                <c:pt idx="804">
                  <c:v>216</c:v>
                </c:pt>
                <c:pt idx="805">
                  <c:v>216.75</c:v>
                </c:pt>
                <c:pt idx="806">
                  <c:v>220.05</c:v>
                </c:pt>
                <c:pt idx="807">
                  <c:v>217.55</c:v>
                </c:pt>
                <c:pt idx="808">
                  <c:v>218</c:v>
                </c:pt>
                <c:pt idx="809">
                  <c:v>217.3</c:v>
                </c:pt>
                <c:pt idx="810">
                  <c:v>212</c:v>
                </c:pt>
                <c:pt idx="811">
                  <c:v>212.5</c:v>
                </c:pt>
                <c:pt idx="812">
                  <c:v>212.4</c:v>
                </c:pt>
                <c:pt idx="813">
                  <c:v>217.95</c:v>
                </c:pt>
                <c:pt idx="814">
                  <c:v>222.9</c:v>
                </c:pt>
                <c:pt idx="815">
                  <c:v>224.05</c:v>
                </c:pt>
                <c:pt idx="816">
                  <c:v>228.6</c:v>
                </c:pt>
                <c:pt idx="817">
                  <c:v>234.6</c:v>
                </c:pt>
                <c:pt idx="818">
                  <c:v>236.1</c:v>
                </c:pt>
                <c:pt idx="819">
                  <c:v>235.4</c:v>
                </c:pt>
                <c:pt idx="820">
                  <c:v>224.95</c:v>
                </c:pt>
                <c:pt idx="821">
                  <c:v>220.65</c:v>
                </c:pt>
                <c:pt idx="822">
                  <c:v>217.9</c:v>
                </c:pt>
                <c:pt idx="823">
                  <c:v>221.65</c:v>
                </c:pt>
                <c:pt idx="824">
                  <c:v>225.45</c:v>
                </c:pt>
                <c:pt idx="825">
                  <c:v>221.9</c:v>
                </c:pt>
                <c:pt idx="826">
                  <c:v>221.15</c:v>
                </c:pt>
                <c:pt idx="827">
                  <c:v>221.5</c:v>
                </c:pt>
                <c:pt idx="828">
                  <c:v>224</c:v>
                </c:pt>
                <c:pt idx="829">
                  <c:v>231.3</c:v>
                </c:pt>
                <c:pt idx="830">
                  <c:v>227.7</c:v>
                </c:pt>
                <c:pt idx="831">
                  <c:v>231.6</c:v>
                </c:pt>
                <c:pt idx="832">
                  <c:v>230.9</c:v>
                </c:pt>
                <c:pt idx="833">
                  <c:v>237.5</c:v>
                </c:pt>
                <c:pt idx="834">
                  <c:v>239.5</c:v>
                </c:pt>
                <c:pt idx="835">
                  <c:v>235.45</c:v>
                </c:pt>
                <c:pt idx="836">
                  <c:v>238.1</c:v>
                </c:pt>
                <c:pt idx="837">
                  <c:v>232.9</c:v>
                </c:pt>
                <c:pt idx="838">
                  <c:v>230</c:v>
                </c:pt>
                <c:pt idx="839">
                  <c:v>230.85</c:v>
                </c:pt>
                <c:pt idx="840">
                  <c:v>228.75</c:v>
                </c:pt>
                <c:pt idx="841">
                  <c:v>229.8</c:v>
                </c:pt>
                <c:pt idx="842">
                  <c:v>226.55</c:v>
                </c:pt>
                <c:pt idx="843">
                  <c:v>222.45</c:v>
                </c:pt>
                <c:pt idx="844">
                  <c:v>225.6</c:v>
                </c:pt>
                <c:pt idx="845">
                  <c:v>226.85</c:v>
                </c:pt>
                <c:pt idx="846">
                  <c:v>223.2</c:v>
                </c:pt>
                <c:pt idx="847">
                  <c:v>225.1</c:v>
                </c:pt>
                <c:pt idx="848">
                  <c:v>238.45</c:v>
                </c:pt>
                <c:pt idx="849">
                  <c:v>236.7</c:v>
                </c:pt>
                <c:pt idx="850">
                  <c:v>233.4</c:v>
                </c:pt>
                <c:pt idx="851">
                  <c:v>236.6</c:v>
                </c:pt>
                <c:pt idx="852">
                  <c:v>244.7</c:v>
                </c:pt>
                <c:pt idx="853">
                  <c:v>246.6</c:v>
                </c:pt>
                <c:pt idx="854">
                  <c:v>245.95</c:v>
                </c:pt>
                <c:pt idx="855">
                  <c:v>262.55</c:v>
                </c:pt>
                <c:pt idx="856">
                  <c:v>256.55</c:v>
                </c:pt>
                <c:pt idx="857">
                  <c:v>249.2</c:v>
                </c:pt>
                <c:pt idx="858">
                  <c:v>241.3</c:v>
                </c:pt>
                <c:pt idx="859">
                  <c:v>238.05</c:v>
                </c:pt>
                <c:pt idx="860">
                  <c:v>231.7</c:v>
                </c:pt>
                <c:pt idx="861">
                  <c:v>232.95</c:v>
                </c:pt>
                <c:pt idx="862">
                  <c:v>231.25</c:v>
                </c:pt>
                <c:pt idx="863">
                  <c:v>234.7</c:v>
                </c:pt>
                <c:pt idx="864">
                  <c:v>236.6</c:v>
                </c:pt>
                <c:pt idx="865">
                  <c:v>235.35</c:v>
                </c:pt>
                <c:pt idx="866">
                  <c:v>236.15</c:v>
                </c:pt>
                <c:pt idx="867">
                  <c:v>238.1</c:v>
                </c:pt>
                <c:pt idx="868">
                  <c:v>237.75</c:v>
                </c:pt>
                <c:pt idx="869">
                  <c:v>238.7</c:v>
                </c:pt>
                <c:pt idx="870">
                  <c:v>238.45</c:v>
                </c:pt>
                <c:pt idx="871">
                  <c:v>242.5</c:v>
                </c:pt>
                <c:pt idx="872">
                  <c:v>243.5</c:v>
                </c:pt>
                <c:pt idx="873">
                  <c:v>241.5</c:v>
                </c:pt>
                <c:pt idx="874">
                  <c:v>233.75</c:v>
                </c:pt>
                <c:pt idx="875">
                  <c:v>231.15</c:v>
                </c:pt>
                <c:pt idx="876">
                  <c:v>216</c:v>
                </c:pt>
                <c:pt idx="877">
                  <c:v>216.1</c:v>
                </c:pt>
                <c:pt idx="878">
                  <c:v>214.15</c:v>
                </c:pt>
                <c:pt idx="879">
                  <c:v>212.65</c:v>
                </c:pt>
                <c:pt idx="880">
                  <c:v>211.25</c:v>
                </c:pt>
                <c:pt idx="881">
                  <c:v>211.75</c:v>
                </c:pt>
                <c:pt idx="882">
                  <c:v>209.3</c:v>
                </c:pt>
                <c:pt idx="883">
                  <c:v>210.6</c:v>
                </c:pt>
                <c:pt idx="884">
                  <c:v>209.75</c:v>
                </c:pt>
                <c:pt idx="885">
                  <c:v>209.5</c:v>
                </c:pt>
                <c:pt idx="886">
                  <c:v>211.3</c:v>
                </c:pt>
                <c:pt idx="887">
                  <c:v>208</c:v>
                </c:pt>
                <c:pt idx="888">
                  <c:v>205.9</c:v>
                </c:pt>
                <c:pt idx="889">
                  <c:v>204.6</c:v>
                </c:pt>
                <c:pt idx="890">
                  <c:v>206.4</c:v>
                </c:pt>
                <c:pt idx="891">
                  <c:v>205.75</c:v>
                </c:pt>
                <c:pt idx="892">
                  <c:v>206.3</c:v>
                </c:pt>
                <c:pt idx="893">
                  <c:v>208.9</c:v>
                </c:pt>
                <c:pt idx="894">
                  <c:v>208.95</c:v>
                </c:pt>
                <c:pt idx="895">
                  <c:v>209.2</c:v>
                </c:pt>
                <c:pt idx="896">
                  <c:v>210.9</c:v>
                </c:pt>
                <c:pt idx="897">
                  <c:v>211.45</c:v>
                </c:pt>
                <c:pt idx="898">
                  <c:v>208.9</c:v>
                </c:pt>
                <c:pt idx="899">
                  <c:v>208.65</c:v>
                </c:pt>
                <c:pt idx="900">
                  <c:v>209.85</c:v>
                </c:pt>
                <c:pt idx="901">
                  <c:v>213.8</c:v>
                </c:pt>
                <c:pt idx="902">
                  <c:v>214.25</c:v>
                </c:pt>
                <c:pt idx="903">
                  <c:v>215.25</c:v>
                </c:pt>
                <c:pt idx="904">
                  <c:v>208.6</c:v>
                </c:pt>
                <c:pt idx="905">
                  <c:v>209.9</c:v>
                </c:pt>
                <c:pt idx="906">
                  <c:v>207.3</c:v>
                </c:pt>
                <c:pt idx="907">
                  <c:v>204.95</c:v>
                </c:pt>
                <c:pt idx="908">
                  <c:v>206.05</c:v>
                </c:pt>
                <c:pt idx="909">
                  <c:v>209.1</c:v>
                </c:pt>
                <c:pt idx="910">
                  <c:v>208.65</c:v>
                </c:pt>
                <c:pt idx="911">
                  <c:v>211.15</c:v>
                </c:pt>
                <c:pt idx="912">
                  <c:v>212.4</c:v>
                </c:pt>
                <c:pt idx="913">
                  <c:v>207</c:v>
                </c:pt>
                <c:pt idx="914">
                  <c:v>206.8</c:v>
                </c:pt>
                <c:pt idx="915">
                  <c:v>207.75</c:v>
                </c:pt>
                <c:pt idx="916">
                  <c:v>207.9</c:v>
                </c:pt>
                <c:pt idx="917">
                  <c:v>206.25</c:v>
                </c:pt>
                <c:pt idx="918">
                  <c:v>204.1</c:v>
                </c:pt>
                <c:pt idx="919">
                  <c:v>201.85</c:v>
                </c:pt>
                <c:pt idx="920">
                  <c:v>201.1</c:v>
                </c:pt>
                <c:pt idx="921">
                  <c:v>201.35</c:v>
                </c:pt>
                <c:pt idx="922">
                  <c:v>202</c:v>
                </c:pt>
                <c:pt idx="923">
                  <c:v>203.75</c:v>
                </c:pt>
                <c:pt idx="924">
                  <c:v>202.5</c:v>
                </c:pt>
                <c:pt idx="925">
                  <c:v>203.65</c:v>
                </c:pt>
                <c:pt idx="926">
                  <c:v>202.4</c:v>
                </c:pt>
                <c:pt idx="927">
                  <c:v>203</c:v>
                </c:pt>
                <c:pt idx="928">
                  <c:v>202.7</c:v>
                </c:pt>
                <c:pt idx="929">
                  <c:v>203.3</c:v>
                </c:pt>
                <c:pt idx="930">
                  <c:v>203.6</c:v>
                </c:pt>
                <c:pt idx="931">
                  <c:v>205.05</c:v>
                </c:pt>
                <c:pt idx="932">
                  <c:v>203.25</c:v>
                </c:pt>
                <c:pt idx="933">
                  <c:v>203.95</c:v>
                </c:pt>
                <c:pt idx="934">
                  <c:v>205.1</c:v>
                </c:pt>
                <c:pt idx="935">
                  <c:v>204.45</c:v>
                </c:pt>
                <c:pt idx="936">
                  <c:v>204.55</c:v>
                </c:pt>
                <c:pt idx="937">
                  <c:v>205.65</c:v>
                </c:pt>
                <c:pt idx="938">
                  <c:v>207.85</c:v>
                </c:pt>
                <c:pt idx="939">
                  <c:v>207.05</c:v>
                </c:pt>
                <c:pt idx="940">
                  <c:v>207.3</c:v>
                </c:pt>
                <c:pt idx="941">
                  <c:v>207.9</c:v>
                </c:pt>
                <c:pt idx="942">
                  <c:v>209.3</c:v>
                </c:pt>
                <c:pt idx="943">
                  <c:v>212.5</c:v>
                </c:pt>
                <c:pt idx="944">
                  <c:v>213.65</c:v>
                </c:pt>
                <c:pt idx="945">
                  <c:v>211.45</c:v>
                </c:pt>
                <c:pt idx="946">
                  <c:v>208.75</c:v>
                </c:pt>
                <c:pt idx="947">
                  <c:v>209.05</c:v>
                </c:pt>
                <c:pt idx="948">
                  <c:v>209</c:v>
                </c:pt>
                <c:pt idx="949">
                  <c:v>215.25</c:v>
                </c:pt>
                <c:pt idx="950">
                  <c:v>216.6</c:v>
                </c:pt>
                <c:pt idx="951">
                  <c:v>212.9</c:v>
                </c:pt>
                <c:pt idx="952">
                  <c:v>211.15</c:v>
                </c:pt>
                <c:pt idx="953">
                  <c:v>210.6</c:v>
                </c:pt>
                <c:pt idx="954">
                  <c:v>210.9</c:v>
                </c:pt>
                <c:pt idx="955">
                  <c:v>211.5</c:v>
                </c:pt>
                <c:pt idx="956">
                  <c:v>209.05</c:v>
                </c:pt>
                <c:pt idx="957">
                  <c:v>207</c:v>
                </c:pt>
                <c:pt idx="958">
                  <c:v>207.75</c:v>
                </c:pt>
                <c:pt idx="959">
                  <c:v>210.05</c:v>
                </c:pt>
                <c:pt idx="960">
                  <c:v>212.6</c:v>
                </c:pt>
                <c:pt idx="961">
                  <c:v>212.25</c:v>
                </c:pt>
                <c:pt idx="962">
                  <c:v>203.25</c:v>
                </c:pt>
                <c:pt idx="963">
                  <c:v>204</c:v>
                </c:pt>
                <c:pt idx="964">
                  <c:v>205.55</c:v>
                </c:pt>
                <c:pt idx="965">
                  <c:v>205.35</c:v>
                </c:pt>
                <c:pt idx="966">
                  <c:v>202.75</c:v>
                </c:pt>
                <c:pt idx="967">
                  <c:v>201.4</c:v>
                </c:pt>
                <c:pt idx="968">
                  <c:v>199.6</c:v>
                </c:pt>
                <c:pt idx="969">
                  <c:v>200.95</c:v>
                </c:pt>
                <c:pt idx="970">
                  <c:v>202.6</c:v>
                </c:pt>
                <c:pt idx="971">
                  <c:v>204.3</c:v>
                </c:pt>
                <c:pt idx="972">
                  <c:v>205.5</c:v>
                </c:pt>
                <c:pt idx="973">
                  <c:v>205.4</c:v>
                </c:pt>
                <c:pt idx="974">
                  <c:v>205.3</c:v>
                </c:pt>
                <c:pt idx="975">
                  <c:v>205.35</c:v>
                </c:pt>
                <c:pt idx="976">
                  <c:v>205.9</c:v>
                </c:pt>
                <c:pt idx="977">
                  <c:v>203.55</c:v>
                </c:pt>
                <c:pt idx="978">
                  <c:v>205.6</c:v>
                </c:pt>
                <c:pt idx="979">
                  <c:v>207.95</c:v>
                </c:pt>
                <c:pt idx="980">
                  <c:v>206.7</c:v>
                </c:pt>
                <c:pt idx="981">
                  <c:v>208.7</c:v>
                </c:pt>
                <c:pt idx="982">
                  <c:v>205.3</c:v>
                </c:pt>
                <c:pt idx="983">
                  <c:v>213.1</c:v>
                </c:pt>
                <c:pt idx="984">
                  <c:v>213.25</c:v>
                </c:pt>
                <c:pt idx="985">
                  <c:v>213.8</c:v>
                </c:pt>
                <c:pt idx="986">
                  <c:v>212.65</c:v>
                </c:pt>
                <c:pt idx="987">
                  <c:v>212.55</c:v>
                </c:pt>
                <c:pt idx="988">
                  <c:v>220.05</c:v>
                </c:pt>
                <c:pt idx="989">
                  <c:v>218.5</c:v>
                </c:pt>
                <c:pt idx="990">
                  <c:v>214.55</c:v>
                </c:pt>
                <c:pt idx="991">
                  <c:v>210.9</c:v>
                </c:pt>
                <c:pt idx="992">
                  <c:v>211.6</c:v>
                </c:pt>
                <c:pt idx="993">
                  <c:v>215.95</c:v>
                </c:pt>
                <c:pt idx="994">
                  <c:v>222.2</c:v>
                </c:pt>
                <c:pt idx="995">
                  <c:v>226</c:v>
                </c:pt>
                <c:pt idx="996">
                  <c:v>217.65</c:v>
                </c:pt>
                <c:pt idx="997">
                  <c:v>210.6</c:v>
                </c:pt>
                <c:pt idx="998">
                  <c:v>207.85</c:v>
                </c:pt>
                <c:pt idx="999">
                  <c:v>205.45</c:v>
                </c:pt>
                <c:pt idx="1000">
                  <c:v>205.2</c:v>
                </c:pt>
                <c:pt idx="1001">
                  <c:v>206.5</c:v>
                </c:pt>
                <c:pt idx="1002">
                  <c:v>207.8</c:v>
                </c:pt>
                <c:pt idx="1003">
                  <c:v>208</c:v>
                </c:pt>
                <c:pt idx="1004">
                  <c:v>208.55</c:v>
                </c:pt>
                <c:pt idx="1005">
                  <c:v>209.7</c:v>
                </c:pt>
                <c:pt idx="1006">
                  <c:v>209.95</c:v>
                </c:pt>
                <c:pt idx="1007">
                  <c:v>209.9</c:v>
                </c:pt>
                <c:pt idx="1008">
                  <c:v>206.9</c:v>
                </c:pt>
                <c:pt idx="1009">
                  <c:v>203.85</c:v>
                </c:pt>
                <c:pt idx="1010">
                  <c:v>209.15</c:v>
                </c:pt>
                <c:pt idx="1011">
                  <c:v>208.85</c:v>
                </c:pt>
                <c:pt idx="1012">
                  <c:v>208.5</c:v>
                </c:pt>
                <c:pt idx="1013">
                  <c:v>207.05</c:v>
                </c:pt>
                <c:pt idx="1014">
                  <c:v>215.95</c:v>
                </c:pt>
                <c:pt idx="1015">
                  <c:v>218.85</c:v>
                </c:pt>
                <c:pt idx="1016">
                  <c:v>217.75</c:v>
                </c:pt>
                <c:pt idx="1017">
                  <c:v>218.25</c:v>
                </c:pt>
                <c:pt idx="1018">
                  <c:v>218.6</c:v>
                </c:pt>
                <c:pt idx="1019">
                  <c:v>226.45</c:v>
                </c:pt>
                <c:pt idx="1020">
                  <c:v>227.55</c:v>
                </c:pt>
                <c:pt idx="1021">
                  <c:v>229</c:v>
                </c:pt>
                <c:pt idx="1022">
                  <c:v>233.1</c:v>
                </c:pt>
                <c:pt idx="1023">
                  <c:v>216.75</c:v>
                </c:pt>
                <c:pt idx="1024">
                  <c:v>218.2</c:v>
                </c:pt>
                <c:pt idx="1025">
                  <c:v>215.95</c:v>
                </c:pt>
                <c:pt idx="1026">
                  <c:v>203.25</c:v>
                </c:pt>
                <c:pt idx="1027">
                  <c:v>206.6</c:v>
                </c:pt>
                <c:pt idx="1028">
                  <c:v>210.65</c:v>
                </c:pt>
                <c:pt idx="1029">
                  <c:v>207.8</c:v>
                </c:pt>
                <c:pt idx="1030">
                  <c:v>210.7</c:v>
                </c:pt>
                <c:pt idx="1031">
                  <c:v>213.7</c:v>
                </c:pt>
                <c:pt idx="1032">
                  <c:v>217.65</c:v>
                </c:pt>
                <c:pt idx="1033">
                  <c:v>218.85</c:v>
                </c:pt>
                <c:pt idx="1034">
                  <c:v>219.75</c:v>
                </c:pt>
                <c:pt idx="1035">
                  <c:v>217.85</c:v>
                </c:pt>
                <c:pt idx="1036">
                  <c:v>214.15</c:v>
                </c:pt>
                <c:pt idx="1037">
                  <c:v>211.25</c:v>
                </c:pt>
                <c:pt idx="1038">
                  <c:v>206.45</c:v>
                </c:pt>
                <c:pt idx="1039">
                  <c:v>202.5</c:v>
                </c:pt>
                <c:pt idx="1040">
                  <c:v>201.5</c:v>
                </c:pt>
                <c:pt idx="1041">
                  <c:v>202.8</c:v>
                </c:pt>
                <c:pt idx="1042">
                  <c:v>205.4</c:v>
                </c:pt>
                <c:pt idx="1043">
                  <c:v>211.45</c:v>
                </c:pt>
                <c:pt idx="1044">
                  <c:v>213.4</c:v>
                </c:pt>
                <c:pt idx="1045">
                  <c:v>213.85</c:v>
                </c:pt>
                <c:pt idx="1046">
                  <c:v>209</c:v>
                </c:pt>
                <c:pt idx="1047">
                  <c:v>211.15</c:v>
                </c:pt>
                <c:pt idx="1048">
                  <c:v>211.55</c:v>
                </c:pt>
                <c:pt idx="1049">
                  <c:v>209.5</c:v>
                </c:pt>
                <c:pt idx="1050">
                  <c:v>208.6</c:v>
                </c:pt>
                <c:pt idx="1051">
                  <c:v>207.75</c:v>
                </c:pt>
                <c:pt idx="1052">
                  <c:v>203.4</c:v>
                </c:pt>
                <c:pt idx="1053">
                  <c:v>202.95</c:v>
                </c:pt>
                <c:pt idx="1054">
                  <c:v>214.5</c:v>
                </c:pt>
                <c:pt idx="1055">
                  <c:v>213.05</c:v>
                </c:pt>
                <c:pt idx="1056">
                  <c:v>214</c:v>
                </c:pt>
                <c:pt idx="1057">
                  <c:v>213.55</c:v>
                </c:pt>
                <c:pt idx="1058">
                  <c:v>215.9</c:v>
                </c:pt>
                <c:pt idx="1059">
                  <c:v>216.3</c:v>
                </c:pt>
                <c:pt idx="1060">
                  <c:v>212.7</c:v>
                </c:pt>
                <c:pt idx="1061">
                  <c:v>205.4</c:v>
                </c:pt>
                <c:pt idx="1062">
                  <c:v>202.45</c:v>
                </c:pt>
                <c:pt idx="1063">
                  <c:v>203.15</c:v>
                </c:pt>
                <c:pt idx="1064">
                  <c:v>198.2</c:v>
                </c:pt>
                <c:pt idx="1065">
                  <c:v>196.2</c:v>
                </c:pt>
                <c:pt idx="1066">
                  <c:v>195.95</c:v>
                </c:pt>
                <c:pt idx="1067">
                  <c:v>194.4</c:v>
                </c:pt>
                <c:pt idx="1068">
                  <c:v>193.65</c:v>
                </c:pt>
                <c:pt idx="1069">
                  <c:v>194.8</c:v>
                </c:pt>
                <c:pt idx="1070">
                  <c:v>193.85</c:v>
                </c:pt>
                <c:pt idx="1071">
                  <c:v>195.55</c:v>
                </c:pt>
                <c:pt idx="1072">
                  <c:v>190.85</c:v>
                </c:pt>
                <c:pt idx="1073">
                  <c:v>191.7</c:v>
                </c:pt>
                <c:pt idx="1074">
                  <c:v>187.9</c:v>
                </c:pt>
                <c:pt idx="1075">
                  <c:v>184.05</c:v>
                </c:pt>
                <c:pt idx="1076">
                  <c:v>187.35</c:v>
                </c:pt>
                <c:pt idx="1077">
                  <c:v>188.6</c:v>
                </c:pt>
                <c:pt idx="1078">
                  <c:v>187.1</c:v>
                </c:pt>
                <c:pt idx="1079">
                  <c:v>188</c:v>
                </c:pt>
                <c:pt idx="1080">
                  <c:v>185.3</c:v>
                </c:pt>
                <c:pt idx="1081">
                  <c:v>178.35</c:v>
                </c:pt>
                <c:pt idx="1082">
                  <c:v>172.8</c:v>
                </c:pt>
                <c:pt idx="1083">
                  <c:v>173.95</c:v>
                </c:pt>
                <c:pt idx="1084">
                  <c:v>174.75</c:v>
                </c:pt>
                <c:pt idx="1085">
                  <c:v>169.8</c:v>
                </c:pt>
                <c:pt idx="1086">
                  <c:v>170.1</c:v>
                </c:pt>
                <c:pt idx="1087">
                  <c:v>166.75</c:v>
                </c:pt>
                <c:pt idx="1088">
                  <c:v>165.25</c:v>
                </c:pt>
                <c:pt idx="1089">
                  <c:v>163.85</c:v>
                </c:pt>
                <c:pt idx="1090">
                  <c:v>165.5</c:v>
                </c:pt>
                <c:pt idx="1091">
                  <c:v>167.2</c:v>
                </c:pt>
                <c:pt idx="1092">
                  <c:v>168.55</c:v>
                </c:pt>
                <c:pt idx="1093">
                  <c:v>170.75</c:v>
                </c:pt>
                <c:pt idx="1094">
                  <c:v>168.55</c:v>
                </c:pt>
                <c:pt idx="1095">
                  <c:v>167.65</c:v>
                </c:pt>
                <c:pt idx="1096">
                  <c:v>167.45</c:v>
                </c:pt>
                <c:pt idx="1097">
                  <c:v>168.25</c:v>
                </c:pt>
                <c:pt idx="1098">
                  <c:v>165.7</c:v>
                </c:pt>
                <c:pt idx="1099">
                  <c:v>165.05</c:v>
                </c:pt>
                <c:pt idx="1100">
                  <c:v>167.8</c:v>
                </c:pt>
                <c:pt idx="1101">
                  <c:v>170.15</c:v>
                </c:pt>
                <c:pt idx="1102">
                  <c:v>172.2</c:v>
                </c:pt>
                <c:pt idx="1103">
                  <c:v>167.85</c:v>
                </c:pt>
                <c:pt idx="1104">
                  <c:v>167.15</c:v>
                </c:pt>
                <c:pt idx="1105">
                  <c:v>169.5</c:v>
                </c:pt>
                <c:pt idx="1106">
                  <c:v>169.9</c:v>
                </c:pt>
                <c:pt idx="1107">
                  <c:v>169.25</c:v>
                </c:pt>
                <c:pt idx="1108">
                  <c:v>170.85</c:v>
                </c:pt>
                <c:pt idx="1109">
                  <c:v>171.7</c:v>
                </c:pt>
                <c:pt idx="1110">
                  <c:v>169.4</c:v>
                </c:pt>
                <c:pt idx="1111">
                  <c:v>173.3</c:v>
                </c:pt>
                <c:pt idx="1112">
                  <c:v>170.75</c:v>
                </c:pt>
                <c:pt idx="1113">
                  <c:v>166.55</c:v>
                </c:pt>
                <c:pt idx="1114">
                  <c:v>172.5</c:v>
                </c:pt>
                <c:pt idx="1115">
                  <c:v>174.2</c:v>
                </c:pt>
                <c:pt idx="1116">
                  <c:v>175.75</c:v>
                </c:pt>
                <c:pt idx="1117">
                  <c:v>179.1</c:v>
                </c:pt>
                <c:pt idx="1118">
                  <c:v>178.6</c:v>
                </c:pt>
                <c:pt idx="1119">
                  <c:v>180.65</c:v>
                </c:pt>
                <c:pt idx="1120">
                  <c:v>181.8</c:v>
                </c:pt>
                <c:pt idx="1121">
                  <c:v>183.35</c:v>
                </c:pt>
                <c:pt idx="1122">
                  <c:v>183.95</c:v>
                </c:pt>
                <c:pt idx="1123">
                  <c:v>184.9</c:v>
                </c:pt>
                <c:pt idx="1124">
                  <c:v>183.8</c:v>
                </c:pt>
                <c:pt idx="1125">
                  <c:v>188.15</c:v>
                </c:pt>
                <c:pt idx="1126">
                  <c:v>189.1</c:v>
                </c:pt>
                <c:pt idx="1127">
                  <c:v>186.7</c:v>
                </c:pt>
                <c:pt idx="1128">
                  <c:v>191.6</c:v>
                </c:pt>
                <c:pt idx="1129">
                  <c:v>191.35</c:v>
                </c:pt>
                <c:pt idx="1130">
                  <c:v>190.2</c:v>
                </c:pt>
                <c:pt idx="1131">
                  <c:v>191.1</c:v>
                </c:pt>
                <c:pt idx="1132">
                  <c:v>195.55</c:v>
                </c:pt>
                <c:pt idx="1133">
                  <c:v>194.25</c:v>
                </c:pt>
                <c:pt idx="1134">
                  <c:v>194.95</c:v>
                </c:pt>
                <c:pt idx="1135">
                  <c:v>195.4</c:v>
                </c:pt>
                <c:pt idx="1136">
                  <c:v>196.7</c:v>
                </c:pt>
                <c:pt idx="1137">
                  <c:v>196.8</c:v>
                </c:pt>
                <c:pt idx="1138">
                  <c:v>195.8</c:v>
                </c:pt>
                <c:pt idx="1139">
                  <c:v>198.45</c:v>
                </c:pt>
                <c:pt idx="1140">
                  <c:v>198.55</c:v>
                </c:pt>
                <c:pt idx="1141">
                  <c:v>198.75</c:v>
                </c:pt>
                <c:pt idx="1142">
                  <c:v>196.4</c:v>
                </c:pt>
                <c:pt idx="1143">
                  <c:v>201.45</c:v>
                </c:pt>
                <c:pt idx="1144">
                  <c:v>204.2</c:v>
                </c:pt>
                <c:pt idx="1145">
                  <c:v>203.05</c:v>
                </c:pt>
                <c:pt idx="1146">
                  <c:v>198.85</c:v>
                </c:pt>
                <c:pt idx="1147">
                  <c:v>196.05</c:v>
                </c:pt>
                <c:pt idx="1148">
                  <c:v>195.35</c:v>
                </c:pt>
                <c:pt idx="1149">
                  <c:v>192.8</c:v>
                </c:pt>
                <c:pt idx="1150">
                  <c:v>193.65</c:v>
                </c:pt>
                <c:pt idx="1151">
                  <c:v>192.6</c:v>
                </c:pt>
                <c:pt idx="1152">
                  <c:v>194.15</c:v>
                </c:pt>
                <c:pt idx="1153">
                  <c:v>193.35</c:v>
                </c:pt>
                <c:pt idx="1154">
                  <c:v>196.7</c:v>
                </c:pt>
                <c:pt idx="1155">
                  <c:v>195.4</c:v>
                </c:pt>
                <c:pt idx="1156">
                  <c:v>196.4</c:v>
                </c:pt>
                <c:pt idx="1157">
                  <c:v>199.6</c:v>
                </c:pt>
                <c:pt idx="1158">
                  <c:v>200.7</c:v>
                </c:pt>
                <c:pt idx="1159">
                  <c:v>196.55</c:v>
                </c:pt>
                <c:pt idx="1160">
                  <c:v>192.25</c:v>
                </c:pt>
                <c:pt idx="1161">
                  <c:v>192.7</c:v>
                </c:pt>
                <c:pt idx="1162">
                  <c:v>194.05</c:v>
                </c:pt>
                <c:pt idx="1163">
                  <c:v>193.85</c:v>
                </c:pt>
                <c:pt idx="1164">
                  <c:v>198.7</c:v>
                </c:pt>
                <c:pt idx="1165">
                  <c:v>195.9</c:v>
                </c:pt>
                <c:pt idx="1166">
                  <c:v>197.55</c:v>
                </c:pt>
                <c:pt idx="1167">
                  <c:v>194.35</c:v>
                </c:pt>
                <c:pt idx="1168">
                  <c:v>195.45</c:v>
                </c:pt>
                <c:pt idx="1169">
                  <c:v>196.3</c:v>
                </c:pt>
                <c:pt idx="1170">
                  <c:v>194.25</c:v>
                </c:pt>
                <c:pt idx="1171">
                  <c:v>199.8</c:v>
                </c:pt>
                <c:pt idx="1172">
                  <c:v>207.55</c:v>
                </c:pt>
                <c:pt idx="1173">
                  <c:v>205.85</c:v>
                </c:pt>
                <c:pt idx="1174">
                  <c:v>202.9</c:v>
                </c:pt>
                <c:pt idx="1175">
                  <c:v>194.65</c:v>
                </c:pt>
                <c:pt idx="1176">
                  <c:v>197.25</c:v>
                </c:pt>
                <c:pt idx="1177">
                  <c:v>195.2</c:v>
                </c:pt>
                <c:pt idx="1178">
                  <c:v>202.1</c:v>
                </c:pt>
                <c:pt idx="1179">
                  <c:v>191.85</c:v>
                </c:pt>
                <c:pt idx="1180">
                  <c:v>185.85</c:v>
                </c:pt>
                <c:pt idx="1181">
                  <c:v>185</c:v>
                </c:pt>
                <c:pt idx="1182">
                  <c:v>184.05</c:v>
                </c:pt>
                <c:pt idx="1183">
                  <c:v>186.6</c:v>
                </c:pt>
                <c:pt idx="1184">
                  <c:v>181.2</c:v>
                </c:pt>
                <c:pt idx="1185">
                  <c:v>185</c:v>
                </c:pt>
                <c:pt idx="1186">
                  <c:v>187.2</c:v>
                </c:pt>
                <c:pt idx="1187">
                  <c:v>193.9</c:v>
                </c:pt>
                <c:pt idx="1188">
                  <c:v>194.25</c:v>
                </c:pt>
                <c:pt idx="1189">
                  <c:v>199.05</c:v>
                </c:pt>
                <c:pt idx="1190">
                  <c:v>198.5</c:v>
                </c:pt>
                <c:pt idx="1191">
                  <c:v>197.65</c:v>
                </c:pt>
                <c:pt idx="1192">
                  <c:v>200</c:v>
                </c:pt>
                <c:pt idx="1193">
                  <c:v>200.15</c:v>
                </c:pt>
                <c:pt idx="1194">
                  <c:v>196.7</c:v>
                </c:pt>
                <c:pt idx="1195">
                  <c:v>197.25</c:v>
                </c:pt>
                <c:pt idx="1196">
                  <c:v>200.55</c:v>
                </c:pt>
                <c:pt idx="1197">
                  <c:v>197.35</c:v>
                </c:pt>
                <c:pt idx="1198">
                  <c:v>190.65</c:v>
                </c:pt>
                <c:pt idx="1199">
                  <c:v>192.15</c:v>
                </c:pt>
                <c:pt idx="1200">
                  <c:v>191.7</c:v>
                </c:pt>
                <c:pt idx="1201">
                  <c:v>186.35</c:v>
                </c:pt>
                <c:pt idx="1202">
                  <c:v>188.95</c:v>
                </c:pt>
                <c:pt idx="1203">
                  <c:v>175.75</c:v>
                </c:pt>
                <c:pt idx="1204">
                  <c:v>170.75</c:v>
                </c:pt>
                <c:pt idx="1205">
                  <c:v>164.75</c:v>
                </c:pt>
                <c:pt idx="1206">
                  <c:v>164.65</c:v>
                </c:pt>
                <c:pt idx="1207">
                  <c:v>163.80000000000001</c:v>
                </c:pt>
                <c:pt idx="1208">
                  <c:v>165.4</c:v>
                </c:pt>
                <c:pt idx="1209">
                  <c:v>165.05</c:v>
                </c:pt>
                <c:pt idx="1210">
                  <c:v>158.44999999999999</c:v>
                </c:pt>
                <c:pt idx="1211">
                  <c:v>158.25</c:v>
                </c:pt>
                <c:pt idx="1212">
                  <c:v>161</c:v>
                </c:pt>
                <c:pt idx="1213">
                  <c:v>163.9</c:v>
                </c:pt>
                <c:pt idx="1214">
                  <c:v>173.9</c:v>
                </c:pt>
                <c:pt idx="1215">
                  <c:v>174.05</c:v>
                </c:pt>
                <c:pt idx="1216">
                  <c:v>182.05</c:v>
                </c:pt>
                <c:pt idx="1217">
                  <c:v>182.15</c:v>
                </c:pt>
                <c:pt idx="1218">
                  <c:v>179.45</c:v>
                </c:pt>
                <c:pt idx="1219">
                  <c:v>179.85</c:v>
                </c:pt>
                <c:pt idx="1220">
                  <c:v>180.05</c:v>
                </c:pt>
                <c:pt idx="1221">
                  <c:v>180.55</c:v>
                </c:pt>
                <c:pt idx="1222">
                  <c:v>182.25</c:v>
                </c:pt>
                <c:pt idx="1223">
                  <c:v>179.6</c:v>
                </c:pt>
                <c:pt idx="1224">
                  <c:v>180.7</c:v>
                </c:pt>
                <c:pt idx="1225">
                  <c:v>188.1</c:v>
                </c:pt>
                <c:pt idx="1226">
                  <c:v>186.35</c:v>
                </c:pt>
                <c:pt idx="1227">
                  <c:v>189.35</c:v>
                </c:pt>
                <c:pt idx="1228">
                  <c:v>181.6</c:v>
                </c:pt>
                <c:pt idx="1229">
                  <c:v>185.25</c:v>
                </c:pt>
                <c:pt idx="1230">
                  <c:v>178.65</c:v>
                </c:pt>
                <c:pt idx="1231">
                  <c:v>181.55</c:v>
                </c:pt>
                <c:pt idx="1232">
                  <c:v>177.9</c:v>
                </c:pt>
                <c:pt idx="1233">
                  <c:v>166.4</c:v>
                </c:pt>
              </c:numCache>
            </c:numRef>
          </c:val>
          <c:smooth val="0"/>
          <c:extLst>
            <c:ext xmlns:c16="http://schemas.microsoft.com/office/drawing/2014/chart" uri="{C3380CC4-5D6E-409C-BE32-E72D297353CC}">
              <c16:uniqueId val="{00000000-26C4-42DA-BA86-37DD7CF986DA}"/>
            </c:ext>
          </c:extLst>
        </c:ser>
        <c:dLbls>
          <c:showLegendKey val="0"/>
          <c:showVal val="0"/>
          <c:showCatName val="0"/>
          <c:showSerName val="0"/>
          <c:showPercent val="0"/>
          <c:showBubbleSize val="0"/>
        </c:dLbls>
        <c:smooth val="0"/>
        <c:axId val="308661455"/>
        <c:axId val="308663375"/>
      </c:lineChart>
      <c:dateAx>
        <c:axId val="3086614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21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63375"/>
        <c:crosses val="autoZero"/>
        <c:auto val="1"/>
        <c:lblOffset val="100"/>
        <c:baseTimeUnit val="days"/>
      </c:dateAx>
      <c:valAx>
        <c:axId val="308663375"/>
        <c:scaling>
          <c:orientation val="minMax"/>
          <c:max val="500"/>
          <c:min val="10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61455"/>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'Share price'!$D$2</c:f>
              <c:strCache>
                <c:ptCount val="1"/>
                <c:pt idx="0">
                  <c:v>Vol.</c:v>
                </c:pt>
              </c:strCache>
            </c:strRef>
          </c:tx>
          <c:spPr>
            <a:solidFill>
              <a:schemeClr val="tx2">
                <a:lumMod val="60000"/>
                <a:lumOff val="40000"/>
              </a:schemeClr>
            </a:solidFill>
            <a:ln>
              <a:noFill/>
            </a:ln>
            <a:effectLst/>
          </c:spPr>
          <c:cat>
            <c:numRef>
              <c:f>'Share price'!$B$3:$B$1236</c:f>
              <c:numCache>
                <c:formatCode>m/d/yyyy</c:formatCode>
                <c:ptCount val="1234"/>
                <c:pt idx="0">
                  <c:v>45744</c:v>
                </c:pt>
                <c:pt idx="1">
                  <c:v>45743</c:v>
                </c:pt>
                <c:pt idx="2">
                  <c:v>45742</c:v>
                </c:pt>
                <c:pt idx="3">
                  <c:v>45741</c:v>
                </c:pt>
                <c:pt idx="4">
                  <c:v>45740</c:v>
                </c:pt>
                <c:pt idx="5">
                  <c:v>45737</c:v>
                </c:pt>
                <c:pt idx="6">
                  <c:v>45736</c:v>
                </c:pt>
                <c:pt idx="7">
                  <c:v>45735</c:v>
                </c:pt>
                <c:pt idx="8">
                  <c:v>45734</c:v>
                </c:pt>
                <c:pt idx="9">
                  <c:v>45733</c:v>
                </c:pt>
                <c:pt idx="10">
                  <c:v>45729</c:v>
                </c:pt>
                <c:pt idx="11">
                  <c:v>45728</c:v>
                </c:pt>
                <c:pt idx="12">
                  <c:v>45727</c:v>
                </c:pt>
                <c:pt idx="13">
                  <c:v>45726</c:v>
                </c:pt>
                <c:pt idx="14">
                  <c:v>45723</c:v>
                </c:pt>
                <c:pt idx="15">
                  <c:v>45722</c:v>
                </c:pt>
                <c:pt idx="16">
                  <c:v>45721</c:v>
                </c:pt>
                <c:pt idx="17">
                  <c:v>45720</c:v>
                </c:pt>
                <c:pt idx="18">
                  <c:v>45719</c:v>
                </c:pt>
                <c:pt idx="19">
                  <c:v>45716</c:v>
                </c:pt>
                <c:pt idx="20">
                  <c:v>45715</c:v>
                </c:pt>
                <c:pt idx="21">
                  <c:v>45713</c:v>
                </c:pt>
                <c:pt idx="22">
                  <c:v>45712</c:v>
                </c:pt>
                <c:pt idx="23">
                  <c:v>45709</c:v>
                </c:pt>
                <c:pt idx="24">
                  <c:v>45708</c:v>
                </c:pt>
                <c:pt idx="25">
                  <c:v>45707</c:v>
                </c:pt>
                <c:pt idx="26">
                  <c:v>45706</c:v>
                </c:pt>
                <c:pt idx="27">
                  <c:v>45705</c:v>
                </c:pt>
                <c:pt idx="28">
                  <c:v>45702</c:v>
                </c:pt>
                <c:pt idx="29">
                  <c:v>45701</c:v>
                </c:pt>
                <c:pt idx="30">
                  <c:v>45700</c:v>
                </c:pt>
                <c:pt idx="31">
                  <c:v>45699</c:v>
                </c:pt>
                <c:pt idx="32">
                  <c:v>45698</c:v>
                </c:pt>
                <c:pt idx="33">
                  <c:v>45695</c:v>
                </c:pt>
                <c:pt idx="34">
                  <c:v>45694</c:v>
                </c:pt>
                <c:pt idx="35">
                  <c:v>45693</c:v>
                </c:pt>
                <c:pt idx="36">
                  <c:v>45692</c:v>
                </c:pt>
                <c:pt idx="37">
                  <c:v>45691</c:v>
                </c:pt>
                <c:pt idx="38">
                  <c:v>45689</c:v>
                </c:pt>
                <c:pt idx="39">
                  <c:v>45688</c:v>
                </c:pt>
                <c:pt idx="40">
                  <c:v>45687</c:v>
                </c:pt>
                <c:pt idx="41">
                  <c:v>45686</c:v>
                </c:pt>
                <c:pt idx="42">
                  <c:v>45685</c:v>
                </c:pt>
                <c:pt idx="43">
                  <c:v>45684</c:v>
                </c:pt>
                <c:pt idx="44">
                  <c:v>45681</c:v>
                </c:pt>
                <c:pt idx="45">
                  <c:v>45680</c:v>
                </c:pt>
                <c:pt idx="46">
                  <c:v>45679</c:v>
                </c:pt>
                <c:pt idx="47">
                  <c:v>45678</c:v>
                </c:pt>
                <c:pt idx="48">
                  <c:v>45677</c:v>
                </c:pt>
                <c:pt idx="49">
                  <c:v>45674</c:v>
                </c:pt>
                <c:pt idx="50">
                  <c:v>45673</c:v>
                </c:pt>
                <c:pt idx="51">
                  <c:v>45672</c:v>
                </c:pt>
                <c:pt idx="52">
                  <c:v>45671</c:v>
                </c:pt>
                <c:pt idx="53">
                  <c:v>45670</c:v>
                </c:pt>
                <c:pt idx="54">
                  <c:v>45667</c:v>
                </c:pt>
                <c:pt idx="55">
                  <c:v>45666</c:v>
                </c:pt>
                <c:pt idx="56">
                  <c:v>45665</c:v>
                </c:pt>
                <c:pt idx="57">
                  <c:v>45664</c:v>
                </c:pt>
                <c:pt idx="58">
                  <c:v>45663</c:v>
                </c:pt>
                <c:pt idx="59">
                  <c:v>45660</c:v>
                </c:pt>
                <c:pt idx="60">
                  <c:v>45659</c:v>
                </c:pt>
                <c:pt idx="61">
                  <c:v>45658</c:v>
                </c:pt>
                <c:pt idx="62">
                  <c:v>45657</c:v>
                </c:pt>
                <c:pt idx="63">
                  <c:v>45656</c:v>
                </c:pt>
                <c:pt idx="64">
                  <c:v>45653</c:v>
                </c:pt>
                <c:pt idx="65">
                  <c:v>45652</c:v>
                </c:pt>
                <c:pt idx="66">
                  <c:v>45650</c:v>
                </c:pt>
                <c:pt idx="67">
                  <c:v>45649</c:v>
                </c:pt>
                <c:pt idx="68">
                  <c:v>45646</c:v>
                </c:pt>
                <c:pt idx="69">
                  <c:v>45645</c:v>
                </c:pt>
                <c:pt idx="70">
                  <c:v>45644</c:v>
                </c:pt>
                <c:pt idx="71">
                  <c:v>45643</c:v>
                </c:pt>
                <c:pt idx="72">
                  <c:v>45642</c:v>
                </c:pt>
                <c:pt idx="73">
                  <c:v>45639</c:v>
                </c:pt>
                <c:pt idx="74">
                  <c:v>45638</c:v>
                </c:pt>
                <c:pt idx="75">
                  <c:v>45637</c:v>
                </c:pt>
                <c:pt idx="76">
                  <c:v>45636</c:v>
                </c:pt>
                <c:pt idx="77">
                  <c:v>45635</c:v>
                </c:pt>
                <c:pt idx="78">
                  <c:v>45632</c:v>
                </c:pt>
                <c:pt idx="79">
                  <c:v>45631</c:v>
                </c:pt>
                <c:pt idx="80">
                  <c:v>45630</c:v>
                </c:pt>
                <c:pt idx="81">
                  <c:v>45629</c:v>
                </c:pt>
                <c:pt idx="82">
                  <c:v>45628</c:v>
                </c:pt>
                <c:pt idx="83">
                  <c:v>45625</c:v>
                </c:pt>
                <c:pt idx="84">
                  <c:v>45624</c:v>
                </c:pt>
                <c:pt idx="85">
                  <c:v>45623</c:v>
                </c:pt>
                <c:pt idx="86">
                  <c:v>45622</c:v>
                </c:pt>
                <c:pt idx="87">
                  <c:v>45621</c:v>
                </c:pt>
                <c:pt idx="88">
                  <c:v>45618</c:v>
                </c:pt>
                <c:pt idx="89">
                  <c:v>45617</c:v>
                </c:pt>
                <c:pt idx="90">
                  <c:v>45615</c:v>
                </c:pt>
                <c:pt idx="91">
                  <c:v>45614</c:v>
                </c:pt>
                <c:pt idx="92">
                  <c:v>45610</c:v>
                </c:pt>
                <c:pt idx="93">
                  <c:v>45609</c:v>
                </c:pt>
                <c:pt idx="94">
                  <c:v>45608</c:v>
                </c:pt>
                <c:pt idx="95">
                  <c:v>45607</c:v>
                </c:pt>
                <c:pt idx="96">
                  <c:v>45604</c:v>
                </c:pt>
                <c:pt idx="97">
                  <c:v>45603</c:v>
                </c:pt>
                <c:pt idx="98">
                  <c:v>45602</c:v>
                </c:pt>
                <c:pt idx="99">
                  <c:v>45601</c:v>
                </c:pt>
                <c:pt idx="100">
                  <c:v>45600</c:v>
                </c:pt>
                <c:pt idx="101">
                  <c:v>45597</c:v>
                </c:pt>
                <c:pt idx="102">
                  <c:v>45596</c:v>
                </c:pt>
                <c:pt idx="103">
                  <c:v>45595</c:v>
                </c:pt>
                <c:pt idx="104">
                  <c:v>45594</c:v>
                </c:pt>
                <c:pt idx="105">
                  <c:v>45593</c:v>
                </c:pt>
                <c:pt idx="106">
                  <c:v>45590</c:v>
                </c:pt>
                <c:pt idx="107">
                  <c:v>45589</c:v>
                </c:pt>
                <c:pt idx="108">
                  <c:v>45588</c:v>
                </c:pt>
                <c:pt idx="109">
                  <c:v>45587</c:v>
                </c:pt>
                <c:pt idx="110">
                  <c:v>45586</c:v>
                </c:pt>
                <c:pt idx="111">
                  <c:v>45583</c:v>
                </c:pt>
                <c:pt idx="112">
                  <c:v>45582</c:v>
                </c:pt>
                <c:pt idx="113">
                  <c:v>45581</c:v>
                </c:pt>
                <c:pt idx="114">
                  <c:v>45580</c:v>
                </c:pt>
                <c:pt idx="115">
                  <c:v>45579</c:v>
                </c:pt>
                <c:pt idx="116">
                  <c:v>45576</c:v>
                </c:pt>
                <c:pt idx="117">
                  <c:v>45575</c:v>
                </c:pt>
                <c:pt idx="118">
                  <c:v>45574</c:v>
                </c:pt>
                <c:pt idx="119">
                  <c:v>45573</c:v>
                </c:pt>
                <c:pt idx="120">
                  <c:v>45572</c:v>
                </c:pt>
                <c:pt idx="121">
                  <c:v>45569</c:v>
                </c:pt>
                <c:pt idx="122">
                  <c:v>45568</c:v>
                </c:pt>
                <c:pt idx="123">
                  <c:v>45566</c:v>
                </c:pt>
                <c:pt idx="124">
                  <c:v>45565</c:v>
                </c:pt>
                <c:pt idx="125">
                  <c:v>45562</c:v>
                </c:pt>
                <c:pt idx="126">
                  <c:v>45561</c:v>
                </c:pt>
                <c:pt idx="127">
                  <c:v>45560</c:v>
                </c:pt>
                <c:pt idx="128">
                  <c:v>45559</c:v>
                </c:pt>
                <c:pt idx="129">
                  <c:v>45558</c:v>
                </c:pt>
                <c:pt idx="130">
                  <c:v>45555</c:v>
                </c:pt>
                <c:pt idx="131">
                  <c:v>45554</c:v>
                </c:pt>
                <c:pt idx="132">
                  <c:v>45553</c:v>
                </c:pt>
                <c:pt idx="133">
                  <c:v>45552</c:v>
                </c:pt>
                <c:pt idx="134">
                  <c:v>45551</c:v>
                </c:pt>
                <c:pt idx="135">
                  <c:v>45548</c:v>
                </c:pt>
                <c:pt idx="136">
                  <c:v>45547</c:v>
                </c:pt>
                <c:pt idx="137">
                  <c:v>45546</c:v>
                </c:pt>
                <c:pt idx="138">
                  <c:v>45545</c:v>
                </c:pt>
                <c:pt idx="139">
                  <c:v>45544</c:v>
                </c:pt>
                <c:pt idx="140">
                  <c:v>45541</c:v>
                </c:pt>
                <c:pt idx="141">
                  <c:v>45540</c:v>
                </c:pt>
                <c:pt idx="142">
                  <c:v>45539</c:v>
                </c:pt>
                <c:pt idx="143">
                  <c:v>45538</c:v>
                </c:pt>
                <c:pt idx="144">
                  <c:v>45537</c:v>
                </c:pt>
                <c:pt idx="145">
                  <c:v>45534</c:v>
                </c:pt>
                <c:pt idx="146">
                  <c:v>45533</c:v>
                </c:pt>
                <c:pt idx="147">
                  <c:v>45532</c:v>
                </c:pt>
                <c:pt idx="148">
                  <c:v>45531</c:v>
                </c:pt>
                <c:pt idx="149">
                  <c:v>45530</c:v>
                </c:pt>
                <c:pt idx="150">
                  <c:v>45527</c:v>
                </c:pt>
                <c:pt idx="151">
                  <c:v>45526</c:v>
                </c:pt>
                <c:pt idx="152">
                  <c:v>45525</c:v>
                </c:pt>
                <c:pt idx="153">
                  <c:v>45524</c:v>
                </c:pt>
                <c:pt idx="154">
                  <c:v>45523</c:v>
                </c:pt>
                <c:pt idx="155">
                  <c:v>45520</c:v>
                </c:pt>
                <c:pt idx="156">
                  <c:v>45518</c:v>
                </c:pt>
                <c:pt idx="157">
                  <c:v>45517</c:v>
                </c:pt>
                <c:pt idx="158">
                  <c:v>45516</c:v>
                </c:pt>
                <c:pt idx="159">
                  <c:v>45513</c:v>
                </c:pt>
                <c:pt idx="160">
                  <c:v>45512</c:v>
                </c:pt>
                <c:pt idx="161">
                  <c:v>45511</c:v>
                </c:pt>
                <c:pt idx="162">
                  <c:v>45510</c:v>
                </c:pt>
                <c:pt idx="163">
                  <c:v>45509</c:v>
                </c:pt>
                <c:pt idx="164">
                  <c:v>45506</c:v>
                </c:pt>
                <c:pt idx="165">
                  <c:v>45505</c:v>
                </c:pt>
                <c:pt idx="166">
                  <c:v>45504</c:v>
                </c:pt>
                <c:pt idx="167">
                  <c:v>45503</c:v>
                </c:pt>
                <c:pt idx="168">
                  <c:v>45502</c:v>
                </c:pt>
                <c:pt idx="169">
                  <c:v>45499</c:v>
                </c:pt>
                <c:pt idx="170">
                  <c:v>45498</c:v>
                </c:pt>
                <c:pt idx="171">
                  <c:v>45497</c:v>
                </c:pt>
                <c:pt idx="172">
                  <c:v>45496</c:v>
                </c:pt>
                <c:pt idx="173">
                  <c:v>45495</c:v>
                </c:pt>
                <c:pt idx="174">
                  <c:v>45492</c:v>
                </c:pt>
                <c:pt idx="175">
                  <c:v>45491</c:v>
                </c:pt>
                <c:pt idx="176">
                  <c:v>45489</c:v>
                </c:pt>
                <c:pt idx="177">
                  <c:v>45488</c:v>
                </c:pt>
                <c:pt idx="178">
                  <c:v>45485</c:v>
                </c:pt>
                <c:pt idx="179">
                  <c:v>45484</c:v>
                </c:pt>
                <c:pt idx="180">
                  <c:v>45483</c:v>
                </c:pt>
                <c:pt idx="181">
                  <c:v>45482</c:v>
                </c:pt>
                <c:pt idx="182">
                  <c:v>45481</c:v>
                </c:pt>
                <c:pt idx="183">
                  <c:v>45478</c:v>
                </c:pt>
                <c:pt idx="184">
                  <c:v>45477</c:v>
                </c:pt>
                <c:pt idx="185">
                  <c:v>45476</c:v>
                </c:pt>
                <c:pt idx="186">
                  <c:v>45475</c:v>
                </c:pt>
                <c:pt idx="187">
                  <c:v>45474</c:v>
                </c:pt>
                <c:pt idx="188">
                  <c:v>45471</c:v>
                </c:pt>
                <c:pt idx="189">
                  <c:v>45470</c:v>
                </c:pt>
                <c:pt idx="190">
                  <c:v>45469</c:v>
                </c:pt>
                <c:pt idx="191">
                  <c:v>45468</c:v>
                </c:pt>
                <c:pt idx="192">
                  <c:v>45467</c:v>
                </c:pt>
                <c:pt idx="193">
                  <c:v>45464</c:v>
                </c:pt>
                <c:pt idx="194">
                  <c:v>45463</c:v>
                </c:pt>
                <c:pt idx="195">
                  <c:v>45462</c:v>
                </c:pt>
                <c:pt idx="196">
                  <c:v>45461</c:v>
                </c:pt>
                <c:pt idx="197">
                  <c:v>45457</c:v>
                </c:pt>
                <c:pt idx="198">
                  <c:v>45456</c:v>
                </c:pt>
                <c:pt idx="199">
                  <c:v>45455</c:v>
                </c:pt>
                <c:pt idx="200">
                  <c:v>45454</c:v>
                </c:pt>
                <c:pt idx="201">
                  <c:v>45453</c:v>
                </c:pt>
                <c:pt idx="202">
                  <c:v>45450</c:v>
                </c:pt>
                <c:pt idx="203">
                  <c:v>45449</c:v>
                </c:pt>
                <c:pt idx="204">
                  <c:v>45448</c:v>
                </c:pt>
                <c:pt idx="205">
                  <c:v>45447</c:v>
                </c:pt>
                <c:pt idx="206">
                  <c:v>45446</c:v>
                </c:pt>
                <c:pt idx="207">
                  <c:v>45443</c:v>
                </c:pt>
                <c:pt idx="208">
                  <c:v>45442</c:v>
                </c:pt>
                <c:pt idx="209">
                  <c:v>45441</c:v>
                </c:pt>
                <c:pt idx="210">
                  <c:v>45440</c:v>
                </c:pt>
                <c:pt idx="211">
                  <c:v>45439</c:v>
                </c:pt>
                <c:pt idx="212">
                  <c:v>45436</c:v>
                </c:pt>
                <c:pt idx="213">
                  <c:v>45435</c:v>
                </c:pt>
                <c:pt idx="214">
                  <c:v>45434</c:v>
                </c:pt>
                <c:pt idx="215">
                  <c:v>45433</c:v>
                </c:pt>
                <c:pt idx="216">
                  <c:v>45429</c:v>
                </c:pt>
                <c:pt idx="217">
                  <c:v>45428</c:v>
                </c:pt>
                <c:pt idx="218">
                  <c:v>45427</c:v>
                </c:pt>
                <c:pt idx="219">
                  <c:v>45426</c:v>
                </c:pt>
                <c:pt idx="220">
                  <c:v>45425</c:v>
                </c:pt>
                <c:pt idx="221">
                  <c:v>45422</c:v>
                </c:pt>
                <c:pt idx="222">
                  <c:v>45421</c:v>
                </c:pt>
                <c:pt idx="223">
                  <c:v>45420</c:v>
                </c:pt>
                <c:pt idx="224">
                  <c:v>45419</c:v>
                </c:pt>
                <c:pt idx="225">
                  <c:v>45418</c:v>
                </c:pt>
                <c:pt idx="226">
                  <c:v>45415</c:v>
                </c:pt>
                <c:pt idx="227">
                  <c:v>45414</c:v>
                </c:pt>
                <c:pt idx="228">
                  <c:v>45412</c:v>
                </c:pt>
                <c:pt idx="229">
                  <c:v>45411</c:v>
                </c:pt>
                <c:pt idx="230">
                  <c:v>45408</c:v>
                </c:pt>
                <c:pt idx="231">
                  <c:v>45407</c:v>
                </c:pt>
                <c:pt idx="232">
                  <c:v>45406</c:v>
                </c:pt>
                <c:pt idx="233">
                  <c:v>45405</c:v>
                </c:pt>
                <c:pt idx="234">
                  <c:v>45404</c:v>
                </c:pt>
                <c:pt idx="235">
                  <c:v>45401</c:v>
                </c:pt>
                <c:pt idx="236">
                  <c:v>45400</c:v>
                </c:pt>
                <c:pt idx="237">
                  <c:v>45398</c:v>
                </c:pt>
                <c:pt idx="238">
                  <c:v>45397</c:v>
                </c:pt>
                <c:pt idx="239">
                  <c:v>45394</c:v>
                </c:pt>
                <c:pt idx="240">
                  <c:v>45392</c:v>
                </c:pt>
                <c:pt idx="241">
                  <c:v>45391</c:v>
                </c:pt>
                <c:pt idx="242">
                  <c:v>45390</c:v>
                </c:pt>
                <c:pt idx="243">
                  <c:v>45387</c:v>
                </c:pt>
                <c:pt idx="244">
                  <c:v>45386</c:v>
                </c:pt>
                <c:pt idx="245">
                  <c:v>45385</c:v>
                </c:pt>
                <c:pt idx="246">
                  <c:v>45384</c:v>
                </c:pt>
                <c:pt idx="247">
                  <c:v>45383</c:v>
                </c:pt>
                <c:pt idx="248">
                  <c:v>45379</c:v>
                </c:pt>
                <c:pt idx="249">
                  <c:v>45378</c:v>
                </c:pt>
                <c:pt idx="250">
                  <c:v>45377</c:v>
                </c:pt>
                <c:pt idx="251">
                  <c:v>45373</c:v>
                </c:pt>
                <c:pt idx="252">
                  <c:v>45372</c:v>
                </c:pt>
                <c:pt idx="253">
                  <c:v>45371</c:v>
                </c:pt>
                <c:pt idx="254">
                  <c:v>45370</c:v>
                </c:pt>
                <c:pt idx="255">
                  <c:v>45369</c:v>
                </c:pt>
                <c:pt idx="256">
                  <c:v>45366</c:v>
                </c:pt>
                <c:pt idx="257">
                  <c:v>45365</c:v>
                </c:pt>
                <c:pt idx="258">
                  <c:v>45364</c:v>
                </c:pt>
                <c:pt idx="259">
                  <c:v>45363</c:v>
                </c:pt>
                <c:pt idx="260">
                  <c:v>45362</c:v>
                </c:pt>
                <c:pt idx="261">
                  <c:v>45358</c:v>
                </c:pt>
                <c:pt idx="262">
                  <c:v>45357</c:v>
                </c:pt>
                <c:pt idx="263">
                  <c:v>45356</c:v>
                </c:pt>
                <c:pt idx="264">
                  <c:v>45355</c:v>
                </c:pt>
                <c:pt idx="265">
                  <c:v>45352</c:v>
                </c:pt>
                <c:pt idx="266">
                  <c:v>45351</c:v>
                </c:pt>
                <c:pt idx="267">
                  <c:v>45350</c:v>
                </c:pt>
                <c:pt idx="268">
                  <c:v>45349</c:v>
                </c:pt>
                <c:pt idx="269">
                  <c:v>45348</c:v>
                </c:pt>
                <c:pt idx="270">
                  <c:v>45345</c:v>
                </c:pt>
                <c:pt idx="271">
                  <c:v>45344</c:v>
                </c:pt>
                <c:pt idx="272">
                  <c:v>45343</c:v>
                </c:pt>
                <c:pt idx="273">
                  <c:v>45342</c:v>
                </c:pt>
                <c:pt idx="274">
                  <c:v>45341</c:v>
                </c:pt>
                <c:pt idx="275">
                  <c:v>45338</c:v>
                </c:pt>
                <c:pt idx="276">
                  <c:v>45337</c:v>
                </c:pt>
                <c:pt idx="277">
                  <c:v>45336</c:v>
                </c:pt>
                <c:pt idx="278">
                  <c:v>45335</c:v>
                </c:pt>
                <c:pt idx="279">
                  <c:v>45334</c:v>
                </c:pt>
                <c:pt idx="280">
                  <c:v>45331</c:v>
                </c:pt>
                <c:pt idx="281">
                  <c:v>45330</c:v>
                </c:pt>
                <c:pt idx="282">
                  <c:v>45329</c:v>
                </c:pt>
                <c:pt idx="283">
                  <c:v>45328</c:v>
                </c:pt>
                <c:pt idx="284">
                  <c:v>45327</c:v>
                </c:pt>
                <c:pt idx="285">
                  <c:v>45324</c:v>
                </c:pt>
                <c:pt idx="286">
                  <c:v>45323</c:v>
                </c:pt>
                <c:pt idx="287">
                  <c:v>45322</c:v>
                </c:pt>
                <c:pt idx="288">
                  <c:v>45321</c:v>
                </c:pt>
                <c:pt idx="289">
                  <c:v>45320</c:v>
                </c:pt>
                <c:pt idx="290">
                  <c:v>45316</c:v>
                </c:pt>
                <c:pt idx="291">
                  <c:v>45315</c:v>
                </c:pt>
                <c:pt idx="292">
                  <c:v>45314</c:v>
                </c:pt>
                <c:pt idx="293">
                  <c:v>45311</c:v>
                </c:pt>
                <c:pt idx="294">
                  <c:v>45310</c:v>
                </c:pt>
                <c:pt idx="295">
                  <c:v>45309</c:v>
                </c:pt>
                <c:pt idx="296">
                  <c:v>45308</c:v>
                </c:pt>
                <c:pt idx="297">
                  <c:v>45307</c:v>
                </c:pt>
                <c:pt idx="298">
                  <c:v>45306</c:v>
                </c:pt>
                <c:pt idx="299">
                  <c:v>45303</c:v>
                </c:pt>
                <c:pt idx="300">
                  <c:v>45302</c:v>
                </c:pt>
                <c:pt idx="301">
                  <c:v>45301</c:v>
                </c:pt>
                <c:pt idx="302">
                  <c:v>45300</c:v>
                </c:pt>
                <c:pt idx="303">
                  <c:v>45299</c:v>
                </c:pt>
                <c:pt idx="304">
                  <c:v>45296</c:v>
                </c:pt>
                <c:pt idx="305">
                  <c:v>45295</c:v>
                </c:pt>
                <c:pt idx="306">
                  <c:v>45294</c:v>
                </c:pt>
                <c:pt idx="307">
                  <c:v>45293</c:v>
                </c:pt>
                <c:pt idx="308">
                  <c:v>45292</c:v>
                </c:pt>
                <c:pt idx="309">
                  <c:v>45289</c:v>
                </c:pt>
                <c:pt idx="310">
                  <c:v>45288</c:v>
                </c:pt>
                <c:pt idx="311">
                  <c:v>45287</c:v>
                </c:pt>
                <c:pt idx="312">
                  <c:v>45286</c:v>
                </c:pt>
                <c:pt idx="313">
                  <c:v>45282</c:v>
                </c:pt>
                <c:pt idx="314">
                  <c:v>45281</c:v>
                </c:pt>
                <c:pt idx="315">
                  <c:v>45280</c:v>
                </c:pt>
                <c:pt idx="316">
                  <c:v>45279</c:v>
                </c:pt>
                <c:pt idx="317">
                  <c:v>45278</c:v>
                </c:pt>
                <c:pt idx="318">
                  <c:v>45275</c:v>
                </c:pt>
                <c:pt idx="319">
                  <c:v>45274</c:v>
                </c:pt>
                <c:pt idx="320">
                  <c:v>45273</c:v>
                </c:pt>
                <c:pt idx="321">
                  <c:v>45272</c:v>
                </c:pt>
                <c:pt idx="322">
                  <c:v>45271</c:v>
                </c:pt>
                <c:pt idx="323">
                  <c:v>45268</c:v>
                </c:pt>
                <c:pt idx="324">
                  <c:v>45267</c:v>
                </c:pt>
                <c:pt idx="325">
                  <c:v>45266</c:v>
                </c:pt>
                <c:pt idx="326">
                  <c:v>45265</c:v>
                </c:pt>
                <c:pt idx="327">
                  <c:v>45264</c:v>
                </c:pt>
                <c:pt idx="328">
                  <c:v>45261</c:v>
                </c:pt>
                <c:pt idx="329">
                  <c:v>45260</c:v>
                </c:pt>
                <c:pt idx="330">
                  <c:v>45259</c:v>
                </c:pt>
                <c:pt idx="331">
                  <c:v>45258</c:v>
                </c:pt>
                <c:pt idx="332">
                  <c:v>45254</c:v>
                </c:pt>
                <c:pt idx="333">
                  <c:v>45253</c:v>
                </c:pt>
                <c:pt idx="334">
                  <c:v>45252</c:v>
                </c:pt>
                <c:pt idx="335">
                  <c:v>45251</c:v>
                </c:pt>
                <c:pt idx="336">
                  <c:v>45250</c:v>
                </c:pt>
                <c:pt idx="337">
                  <c:v>45247</c:v>
                </c:pt>
                <c:pt idx="338">
                  <c:v>45246</c:v>
                </c:pt>
                <c:pt idx="339">
                  <c:v>45245</c:v>
                </c:pt>
                <c:pt idx="340">
                  <c:v>45243</c:v>
                </c:pt>
                <c:pt idx="341">
                  <c:v>45242</c:v>
                </c:pt>
                <c:pt idx="342">
                  <c:v>45240</c:v>
                </c:pt>
                <c:pt idx="343">
                  <c:v>45239</c:v>
                </c:pt>
                <c:pt idx="344">
                  <c:v>45238</c:v>
                </c:pt>
                <c:pt idx="345">
                  <c:v>45237</c:v>
                </c:pt>
                <c:pt idx="346">
                  <c:v>45236</c:v>
                </c:pt>
                <c:pt idx="347">
                  <c:v>45233</c:v>
                </c:pt>
                <c:pt idx="348">
                  <c:v>45232</c:v>
                </c:pt>
                <c:pt idx="349">
                  <c:v>45231</c:v>
                </c:pt>
                <c:pt idx="350">
                  <c:v>45230</c:v>
                </c:pt>
                <c:pt idx="351">
                  <c:v>45229</c:v>
                </c:pt>
                <c:pt idx="352">
                  <c:v>45226</c:v>
                </c:pt>
                <c:pt idx="353">
                  <c:v>45225</c:v>
                </c:pt>
                <c:pt idx="354">
                  <c:v>45224</c:v>
                </c:pt>
                <c:pt idx="355">
                  <c:v>45222</c:v>
                </c:pt>
                <c:pt idx="356">
                  <c:v>45219</c:v>
                </c:pt>
                <c:pt idx="357">
                  <c:v>45218</c:v>
                </c:pt>
                <c:pt idx="358">
                  <c:v>45217</c:v>
                </c:pt>
                <c:pt idx="359">
                  <c:v>45216</c:v>
                </c:pt>
                <c:pt idx="360">
                  <c:v>45215</c:v>
                </c:pt>
                <c:pt idx="361">
                  <c:v>45212</c:v>
                </c:pt>
                <c:pt idx="362">
                  <c:v>45211</c:v>
                </c:pt>
                <c:pt idx="363">
                  <c:v>45210</c:v>
                </c:pt>
                <c:pt idx="364">
                  <c:v>45209</c:v>
                </c:pt>
                <c:pt idx="365">
                  <c:v>45208</c:v>
                </c:pt>
                <c:pt idx="366">
                  <c:v>45205</c:v>
                </c:pt>
                <c:pt idx="367">
                  <c:v>45204</c:v>
                </c:pt>
                <c:pt idx="368">
                  <c:v>45203</c:v>
                </c:pt>
                <c:pt idx="369">
                  <c:v>45202</c:v>
                </c:pt>
                <c:pt idx="370">
                  <c:v>45198</c:v>
                </c:pt>
                <c:pt idx="371">
                  <c:v>45197</c:v>
                </c:pt>
                <c:pt idx="372">
                  <c:v>45196</c:v>
                </c:pt>
                <c:pt idx="373">
                  <c:v>45195</c:v>
                </c:pt>
                <c:pt idx="374">
                  <c:v>45194</c:v>
                </c:pt>
                <c:pt idx="375">
                  <c:v>45191</c:v>
                </c:pt>
                <c:pt idx="376">
                  <c:v>45190</c:v>
                </c:pt>
                <c:pt idx="377">
                  <c:v>45189</c:v>
                </c:pt>
                <c:pt idx="378">
                  <c:v>45187</c:v>
                </c:pt>
                <c:pt idx="379">
                  <c:v>45184</c:v>
                </c:pt>
                <c:pt idx="380">
                  <c:v>45183</c:v>
                </c:pt>
                <c:pt idx="381">
                  <c:v>45182</c:v>
                </c:pt>
                <c:pt idx="382">
                  <c:v>45181</c:v>
                </c:pt>
                <c:pt idx="383">
                  <c:v>45180</c:v>
                </c:pt>
                <c:pt idx="384">
                  <c:v>45177</c:v>
                </c:pt>
                <c:pt idx="385">
                  <c:v>45176</c:v>
                </c:pt>
                <c:pt idx="386">
                  <c:v>45175</c:v>
                </c:pt>
                <c:pt idx="387">
                  <c:v>45174</c:v>
                </c:pt>
                <c:pt idx="388">
                  <c:v>45173</c:v>
                </c:pt>
                <c:pt idx="389">
                  <c:v>45170</c:v>
                </c:pt>
                <c:pt idx="390">
                  <c:v>45169</c:v>
                </c:pt>
                <c:pt idx="391">
                  <c:v>45168</c:v>
                </c:pt>
                <c:pt idx="392">
                  <c:v>45167</c:v>
                </c:pt>
                <c:pt idx="393">
                  <c:v>45166</c:v>
                </c:pt>
                <c:pt idx="394">
                  <c:v>45163</c:v>
                </c:pt>
                <c:pt idx="395">
                  <c:v>45162</c:v>
                </c:pt>
                <c:pt idx="396">
                  <c:v>45161</c:v>
                </c:pt>
                <c:pt idx="397">
                  <c:v>45160</c:v>
                </c:pt>
                <c:pt idx="398">
                  <c:v>45159</c:v>
                </c:pt>
                <c:pt idx="399">
                  <c:v>45156</c:v>
                </c:pt>
                <c:pt idx="400">
                  <c:v>45155</c:v>
                </c:pt>
                <c:pt idx="401">
                  <c:v>45154</c:v>
                </c:pt>
                <c:pt idx="402">
                  <c:v>45152</c:v>
                </c:pt>
                <c:pt idx="403">
                  <c:v>45149</c:v>
                </c:pt>
                <c:pt idx="404">
                  <c:v>45148</c:v>
                </c:pt>
                <c:pt idx="405">
                  <c:v>45147</c:v>
                </c:pt>
                <c:pt idx="406">
                  <c:v>45146</c:v>
                </c:pt>
                <c:pt idx="407">
                  <c:v>45145</c:v>
                </c:pt>
                <c:pt idx="408">
                  <c:v>45142</c:v>
                </c:pt>
                <c:pt idx="409">
                  <c:v>45141</c:v>
                </c:pt>
                <c:pt idx="410">
                  <c:v>45140</c:v>
                </c:pt>
                <c:pt idx="411">
                  <c:v>45139</c:v>
                </c:pt>
                <c:pt idx="412">
                  <c:v>45138</c:v>
                </c:pt>
                <c:pt idx="413">
                  <c:v>45135</c:v>
                </c:pt>
                <c:pt idx="414">
                  <c:v>45134</c:v>
                </c:pt>
                <c:pt idx="415">
                  <c:v>45133</c:v>
                </c:pt>
                <c:pt idx="416">
                  <c:v>45132</c:v>
                </c:pt>
                <c:pt idx="417">
                  <c:v>45131</c:v>
                </c:pt>
                <c:pt idx="418">
                  <c:v>45128</c:v>
                </c:pt>
                <c:pt idx="419">
                  <c:v>45127</c:v>
                </c:pt>
                <c:pt idx="420">
                  <c:v>45126</c:v>
                </c:pt>
                <c:pt idx="421">
                  <c:v>45125</c:v>
                </c:pt>
                <c:pt idx="422">
                  <c:v>45124</c:v>
                </c:pt>
                <c:pt idx="423">
                  <c:v>45121</c:v>
                </c:pt>
                <c:pt idx="424">
                  <c:v>45120</c:v>
                </c:pt>
                <c:pt idx="425">
                  <c:v>45119</c:v>
                </c:pt>
                <c:pt idx="426">
                  <c:v>45118</c:v>
                </c:pt>
                <c:pt idx="427">
                  <c:v>45117</c:v>
                </c:pt>
                <c:pt idx="428">
                  <c:v>45114</c:v>
                </c:pt>
                <c:pt idx="429">
                  <c:v>45113</c:v>
                </c:pt>
                <c:pt idx="430">
                  <c:v>45112</c:v>
                </c:pt>
                <c:pt idx="431">
                  <c:v>45111</c:v>
                </c:pt>
                <c:pt idx="432">
                  <c:v>45110</c:v>
                </c:pt>
                <c:pt idx="433">
                  <c:v>45107</c:v>
                </c:pt>
                <c:pt idx="434">
                  <c:v>45105</c:v>
                </c:pt>
                <c:pt idx="435">
                  <c:v>45104</c:v>
                </c:pt>
                <c:pt idx="436">
                  <c:v>45103</c:v>
                </c:pt>
                <c:pt idx="437">
                  <c:v>45100</c:v>
                </c:pt>
                <c:pt idx="438">
                  <c:v>45099</c:v>
                </c:pt>
                <c:pt idx="439">
                  <c:v>45098</c:v>
                </c:pt>
                <c:pt idx="440">
                  <c:v>45097</c:v>
                </c:pt>
                <c:pt idx="441">
                  <c:v>45096</c:v>
                </c:pt>
                <c:pt idx="442">
                  <c:v>45093</c:v>
                </c:pt>
                <c:pt idx="443">
                  <c:v>45092</c:v>
                </c:pt>
                <c:pt idx="444">
                  <c:v>45091</c:v>
                </c:pt>
                <c:pt idx="445">
                  <c:v>45090</c:v>
                </c:pt>
                <c:pt idx="446">
                  <c:v>45089</c:v>
                </c:pt>
                <c:pt idx="447">
                  <c:v>45086</c:v>
                </c:pt>
                <c:pt idx="448">
                  <c:v>45085</c:v>
                </c:pt>
                <c:pt idx="449">
                  <c:v>45084</c:v>
                </c:pt>
                <c:pt idx="450">
                  <c:v>45083</c:v>
                </c:pt>
                <c:pt idx="451">
                  <c:v>45082</c:v>
                </c:pt>
                <c:pt idx="452">
                  <c:v>45079</c:v>
                </c:pt>
                <c:pt idx="453">
                  <c:v>45078</c:v>
                </c:pt>
                <c:pt idx="454">
                  <c:v>45077</c:v>
                </c:pt>
                <c:pt idx="455">
                  <c:v>45076</c:v>
                </c:pt>
                <c:pt idx="456">
                  <c:v>45075</c:v>
                </c:pt>
                <c:pt idx="457">
                  <c:v>45072</c:v>
                </c:pt>
                <c:pt idx="458">
                  <c:v>45071</c:v>
                </c:pt>
                <c:pt idx="459">
                  <c:v>45070</c:v>
                </c:pt>
                <c:pt idx="460">
                  <c:v>45069</c:v>
                </c:pt>
                <c:pt idx="461">
                  <c:v>45068</c:v>
                </c:pt>
                <c:pt idx="462">
                  <c:v>45065</c:v>
                </c:pt>
                <c:pt idx="463">
                  <c:v>45064</c:v>
                </c:pt>
                <c:pt idx="464">
                  <c:v>45063</c:v>
                </c:pt>
                <c:pt idx="465">
                  <c:v>45062</c:v>
                </c:pt>
                <c:pt idx="466">
                  <c:v>45061</c:v>
                </c:pt>
                <c:pt idx="467">
                  <c:v>45058</c:v>
                </c:pt>
                <c:pt idx="468">
                  <c:v>45057</c:v>
                </c:pt>
                <c:pt idx="469">
                  <c:v>45056</c:v>
                </c:pt>
                <c:pt idx="470">
                  <c:v>45055</c:v>
                </c:pt>
                <c:pt idx="471">
                  <c:v>45054</c:v>
                </c:pt>
                <c:pt idx="472">
                  <c:v>45051</c:v>
                </c:pt>
                <c:pt idx="473">
                  <c:v>45050</c:v>
                </c:pt>
                <c:pt idx="474">
                  <c:v>45049</c:v>
                </c:pt>
                <c:pt idx="475">
                  <c:v>45048</c:v>
                </c:pt>
                <c:pt idx="476">
                  <c:v>45044</c:v>
                </c:pt>
                <c:pt idx="477">
                  <c:v>45043</c:v>
                </c:pt>
                <c:pt idx="478">
                  <c:v>45042</c:v>
                </c:pt>
                <c:pt idx="479">
                  <c:v>45041</c:v>
                </c:pt>
                <c:pt idx="480">
                  <c:v>45040</c:v>
                </c:pt>
                <c:pt idx="481">
                  <c:v>45037</c:v>
                </c:pt>
                <c:pt idx="482">
                  <c:v>45036</c:v>
                </c:pt>
                <c:pt idx="483">
                  <c:v>45035</c:v>
                </c:pt>
                <c:pt idx="484">
                  <c:v>45034</c:v>
                </c:pt>
                <c:pt idx="485">
                  <c:v>45033</c:v>
                </c:pt>
                <c:pt idx="486">
                  <c:v>45029</c:v>
                </c:pt>
                <c:pt idx="487">
                  <c:v>45028</c:v>
                </c:pt>
                <c:pt idx="488">
                  <c:v>45027</c:v>
                </c:pt>
                <c:pt idx="489">
                  <c:v>45026</c:v>
                </c:pt>
                <c:pt idx="490">
                  <c:v>45022</c:v>
                </c:pt>
                <c:pt idx="491">
                  <c:v>45021</c:v>
                </c:pt>
                <c:pt idx="492">
                  <c:v>45019</c:v>
                </c:pt>
                <c:pt idx="493">
                  <c:v>45016</c:v>
                </c:pt>
                <c:pt idx="494">
                  <c:v>45014</c:v>
                </c:pt>
                <c:pt idx="495">
                  <c:v>45013</c:v>
                </c:pt>
                <c:pt idx="496">
                  <c:v>45012</c:v>
                </c:pt>
                <c:pt idx="497">
                  <c:v>45009</c:v>
                </c:pt>
                <c:pt idx="498">
                  <c:v>45008</c:v>
                </c:pt>
                <c:pt idx="499">
                  <c:v>45007</c:v>
                </c:pt>
                <c:pt idx="500">
                  <c:v>45006</c:v>
                </c:pt>
                <c:pt idx="501">
                  <c:v>45005</c:v>
                </c:pt>
                <c:pt idx="502">
                  <c:v>45002</c:v>
                </c:pt>
                <c:pt idx="503">
                  <c:v>45001</c:v>
                </c:pt>
                <c:pt idx="504">
                  <c:v>45000</c:v>
                </c:pt>
                <c:pt idx="505">
                  <c:v>44999</c:v>
                </c:pt>
                <c:pt idx="506">
                  <c:v>44998</c:v>
                </c:pt>
                <c:pt idx="507">
                  <c:v>44995</c:v>
                </c:pt>
                <c:pt idx="508">
                  <c:v>44994</c:v>
                </c:pt>
                <c:pt idx="509">
                  <c:v>44993</c:v>
                </c:pt>
                <c:pt idx="510">
                  <c:v>44991</c:v>
                </c:pt>
                <c:pt idx="511">
                  <c:v>44988</c:v>
                </c:pt>
                <c:pt idx="512">
                  <c:v>44987</c:v>
                </c:pt>
                <c:pt idx="513">
                  <c:v>44986</c:v>
                </c:pt>
                <c:pt idx="514">
                  <c:v>44985</c:v>
                </c:pt>
                <c:pt idx="515">
                  <c:v>44984</c:v>
                </c:pt>
                <c:pt idx="516">
                  <c:v>44981</c:v>
                </c:pt>
                <c:pt idx="517">
                  <c:v>44980</c:v>
                </c:pt>
                <c:pt idx="518">
                  <c:v>44979</c:v>
                </c:pt>
                <c:pt idx="519">
                  <c:v>44978</c:v>
                </c:pt>
                <c:pt idx="520">
                  <c:v>44977</c:v>
                </c:pt>
                <c:pt idx="521">
                  <c:v>44974</c:v>
                </c:pt>
                <c:pt idx="522">
                  <c:v>44973</c:v>
                </c:pt>
                <c:pt idx="523">
                  <c:v>44972</c:v>
                </c:pt>
                <c:pt idx="524">
                  <c:v>44971</c:v>
                </c:pt>
                <c:pt idx="525">
                  <c:v>44970</c:v>
                </c:pt>
                <c:pt idx="526">
                  <c:v>44967</c:v>
                </c:pt>
                <c:pt idx="527">
                  <c:v>44966</c:v>
                </c:pt>
                <c:pt idx="528">
                  <c:v>44965</c:v>
                </c:pt>
                <c:pt idx="529">
                  <c:v>44964</c:v>
                </c:pt>
                <c:pt idx="530">
                  <c:v>44963</c:v>
                </c:pt>
                <c:pt idx="531">
                  <c:v>44960</c:v>
                </c:pt>
                <c:pt idx="532">
                  <c:v>44959</c:v>
                </c:pt>
                <c:pt idx="533">
                  <c:v>44958</c:v>
                </c:pt>
                <c:pt idx="534">
                  <c:v>44957</c:v>
                </c:pt>
                <c:pt idx="535">
                  <c:v>44956</c:v>
                </c:pt>
                <c:pt idx="536">
                  <c:v>44953</c:v>
                </c:pt>
                <c:pt idx="537">
                  <c:v>44951</c:v>
                </c:pt>
                <c:pt idx="538">
                  <c:v>44950</c:v>
                </c:pt>
                <c:pt idx="539">
                  <c:v>44949</c:v>
                </c:pt>
                <c:pt idx="540">
                  <c:v>44946</c:v>
                </c:pt>
                <c:pt idx="541">
                  <c:v>44945</c:v>
                </c:pt>
                <c:pt idx="542">
                  <c:v>44944</c:v>
                </c:pt>
                <c:pt idx="543">
                  <c:v>44943</c:v>
                </c:pt>
                <c:pt idx="544">
                  <c:v>44942</c:v>
                </c:pt>
                <c:pt idx="545">
                  <c:v>44939</c:v>
                </c:pt>
                <c:pt idx="546">
                  <c:v>44938</c:v>
                </c:pt>
                <c:pt idx="547">
                  <c:v>44937</c:v>
                </c:pt>
                <c:pt idx="548">
                  <c:v>44936</c:v>
                </c:pt>
                <c:pt idx="549">
                  <c:v>44935</c:v>
                </c:pt>
                <c:pt idx="550">
                  <c:v>44932</c:v>
                </c:pt>
                <c:pt idx="551">
                  <c:v>44931</c:v>
                </c:pt>
                <c:pt idx="552">
                  <c:v>44930</c:v>
                </c:pt>
                <c:pt idx="553">
                  <c:v>44929</c:v>
                </c:pt>
                <c:pt idx="554">
                  <c:v>44928</c:v>
                </c:pt>
                <c:pt idx="555">
                  <c:v>44925</c:v>
                </c:pt>
                <c:pt idx="556">
                  <c:v>44924</c:v>
                </c:pt>
                <c:pt idx="557">
                  <c:v>44923</c:v>
                </c:pt>
                <c:pt idx="558">
                  <c:v>44922</c:v>
                </c:pt>
                <c:pt idx="559">
                  <c:v>44921</c:v>
                </c:pt>
                <c:pt idx="560">
                  <c:v>44918</c:v>
                </c:pt>
                <c:pt idx="561">
                  <c:v>44917</c:v>
                </c:pt>
                <c:pt idx="562">
                  <c:v>44916</c:v>
                </c:pt>
                <c:pt idx="563">
                  <c:v>44915</c:v>
                </c:pt>
                <c:pt idx="564">
                  <c:v>44914</c:v>
                </c:pt>
                <c:pt idx="565">
                  <c:v>44911</c:v>
                </c:pt>
                <c:pt idx="566">
                  <c:v>44910</c:v>
                </c:pt>
                <c:pt idx="567">
                  <c:v>44909</c:v>
                </c:pt>
                <c:pt idx="568">
                  <c:v>44908</c:v>
                </c:pt>
                <c:pt idx="569">
                  <c:v>44907</c:v>
                </c:pt>
                <c:pt idx="570">
                  <c:v>44904</c:v>
                </c:pt>
                <c:pt idx="571">
                  <c:v>44903</c:v>
                </c:pt>
                <c:pt idx="572">
                  <c:v>44902</c:v>
                </c:pt>
                <c:pt idx="573">
                  <c:v>44901</c:v>
                </c:pt>
                <c:pt idx="574">
                  <c:v>44900</c:v>
                </c:pt>
                <c:pt idx="575">
                  <c:v>44897</c:v>
                </c:pt>
                <c:pt idx="576">
                  <c:v>44896</c:v>
                </c:pt>
                <c:pt idx="577">
                  <c:v>44895</c:v>
                </c:pt>
                <c:pt idx="578">
                  <c:v>44894</c:v>
                </c:pt>
                <c:pt idx="579">
                  <c:v>44893</c:v>
                </c:pt>
                <c:pt idx="580">
                  <c:v>44890</c:v>
                </c:pt>
                <c:pt idx="581">
                  <c:v>44889</c:v>
                </c:pt>
                <c:pt idx="582">
                  <c:v>44888</c:v>
                </c:pt>
                <c:pt idx="583">
                  <c:v>44887</c:v>
                </c:pt>
                <c:pt idx="584">
                  <c:v>44886</c:v>
                </c:pt>
                <c:pt idx="585">
                  <c:v>44883</c:v>
                </c:pt>
                <c:pt idx="586">
                  <c:v>44882</c:v>
                </c:pt>
                <c:pt idx="587">
                  <c:v>44881</c:v>
                </c:pt>
                <c:pt idx="588">
                  <c:v>44880</c:v>
                </c:pt>
                <c:pt idx="589">
                  <c:v>44879</c:v>
                </c:pt>
                <c:pt idx="590">
                  <c:v>44876</c:v>
                </c:pt>
                <c:pt idx="591">
                  <c:v>44875</c:v>
                </c:pt>
                <c:pt idx="592">
                  <c:v>44874</c:v>
                </c:pt>
                <c:pt idx="593">
                  <c:v>44872</c:v>
                </c:pt>
                <c:pt idx="594">
                  <c:v>44869</c:v>
                </c:pt>
                <c:pt idx="595">
                  <c:v>44868</c:v>
                </c:pt>
                <c:pt idx="596">
                  <c:v>44867</c:v>
                </c:pt>
                <c:pt idx="597">
                  <c:v>44866</c:v>
                </c:pt>
                <c:pt idx="598">
                  <c:v>44865</c:v>
                </c:pt>
                <c:pt idx="599">
                  <c:v>44862</c:v>
                </c:pt>
                <c:pt idx="600">
                  <c:v>44861</c:v>
                </c:pt>
                <c:pt idx="601">
                  <c:v>44859</c:v>
                </c:pt>
                <c:pt idx="602">
                  <c:v>44858</c:v>
                </c:pt>
                <c:pt idx="603">
                  <c:v>44855</c:v>
                </c:pt>
                <c:pt idx="604">
                  <c:v>44854</c:v>
                </c:pt>
                <c:pt idx="605">
                  <c:v>44853</c:v>
                </c:pt>
                <c:pt idx="606">
                  <c:v>44852</c:v>
                </c:pt>
                <c:pt idx="607">
                  <c:v>44851</c:v>
                </c:pt>
                <c:pt idx="608">
                  <c:v>44848</c:v>
                </c:pt>
                <c:pt idx="609">
                  <c:v>44847</c:v>
                </c:pt>
                <c:pt idx="610">
                  <c:v>44846</c:v>
                </c:pt>
                <c:pt idx="611">
                  <c:v>44845</c:v>
                </c:pt>
                <c:pt idx="612">
                  <c:v>44844</c:v>
                </c:pt>
                <c:pt idx="613">
                  <c:v>44841</c:v>
                </c:pt>
                <c:pt idx="614">
                  <c:v>44840</c:v>
                </c:pt>
                <c:pt idx="615">
                  <c:v>44838</c:v>
                </c:pt>
                <c:pt idx="616">
                  <c:v>44837</c:v>
                </c:pt>
                <c:pt idx="617">
                  <c:v>44834</c:v>
                </c:pt>
                <c:pt idx="618">
                  <c:v>44833</c:v>
                </c:pt>
                <c:pt idx="619">
                  <c:v>44832</c:v>
                </c:pt>
                <c:pt idx="620">
                  <c:v>44831</c:v>
                </c:pt>
                <c:pt idx="621">
                  <c:v>44830</c:v>
                </c:pt>
                <c:pt idx="622">
                  <c:v>44827</c:v>
                </c:pt>
                <c:pt idx="623">
                  <c:v>44826</c:v>
                </c:pt>
                <c:pt idx="624">
                  <c:v>44825</c:v>
                </c:pt>
                <c:pt idx="625">
                  <c:v>44824</c:v>
                </c:pt>
                <c:pt idx="626">
                  <c:v>44823</c:v>
                </c:pt>
                <c:pt idx="627">
                  <c:v>44820</c:v>
                </c:pt>
                <c:pt idx="628">
                  <c:v>44819</c:v>
                </c:pt>
                <c:pt idx="629">
                  <c:v>44818</c:v>
                </c:pt>
                <c:pt idx="630">
                  <c:v>44817</c:v>
                </c:pt>
                <c:pt idx="631">
                  <c:v>44816</c:v>
                </c:pt>
                <c:pt idx="632">
                  <c:v>44813</c:v>
                </c:pt>
                <c:pt idx="633">
                  <c:v>44812</c:v>
                </c:pt>
                <c:pt idx="634">
                  <c:v>44811</c:v>
                </c:pt>
                <c:pt idx="635">
                  <c:v>44810</c:v>
                </c:pt>
                <c:pt idx="636">
                  <c:v>44809</c:v>
                </c:pt>
                <c:pt idx="637">
                  <c:v>44806</c:v>
                </c:pt>
                <c:pt idx="638">
                  <c:v>44805</c:v>
                </c:pt>
                <c:pt idx="639">
                  <c:v>44803</c:v>
                </c:pt>
                <c:pt idx="640">
                  <c:v>44802</c:v>
                </c:pt>
                <c:pt idx="641">
                  <c:v>44799</c:v>
                </c:pt>
                <c:pt idx="642">
                  <c:v>44798</c:v>
                </c:pt>
                <c:pt idx="643">
                  <c:v>44797</c:v>
                </c:pt>
                <c:pt idx="644">
                  <c:v>44796</c:v>
                </c:pt>
                <c:pt idx="645">
                  <c:v>44795</c:v>
                </c:pt>
                <c:pt idx="646">
                  <c:v>44792</c:v>
                </c:pt>
                <c:pt idx="647">
                  <c:v>44791</c:v>
                </c:pt>
                <c:pt idx="648">
                  <c:v>44790</c:v>
                </c:pt>
                <c:pt idx="649">
                  <c:v>44789</c:v>
                </c:pt>
                <c:pt idx="650">
                  <c:v>44785</c:v>
                </c:pt>
                <c:pt idx="651">
                  <c:v>44784</c:v>
                </c:pt>
                <c:pt idx="652">
                  <c:v>44783</c:v>
                </c:pt>
                <c:pt idx="653">
                  <c:v>44781</c:v>
                </c:pt>
                <c:pt idx="654">
                  <c:v>44778</c:v>
                </c:pt>
                <c:pt idx="655">
                  <c:v>44777</c:v>
                </c:pt>
                <c:pt idx="656">
                  <c:v>44776</c:v>
                </c:pt>
                <c:pt idx="657">
                  <c:v>44775</c:v>
                </c:pt>
                <c:pt idx="658">
                  <c:v>44774</c:v>
                </c:pt>
                <c:pt idx="659">
                  <c:v>44771</c:v>
                </c:pt>
                <c:pt idx="660">
                  <c:v>44770</c:v>
                </c:pt>
                <c:pt idx="661">
                  <c:v>44769</c:v>
                </c:pt>
                <c:pt idx="662">
                  <c:v>44768</c:v>
                </c:pt>
                <c:pt idx="663">
                  <c:v>44767</c:v>
                </c:pt>
                <c:pt idx="664">
                  <c:v>44764</c:v>
                </c:pt>
                <c:pt idx="665">
                  <c:v>44763</c:v>
                </c:pt>
                <c:pt idx="666">
                  <c:v>44762</c:v>
                </c:pt>
                <c:pt idx="667">
                  <c:v>44761</c:v>
                </c:pt>
                <c:pt idx="668">
                  <c:v>44760</c:v>
                </c:pt>
                <c:pt idx="669">
                  <c:v>44757</c:v>
                </c:pt>
                <c:pt idx="670">
                  <c:v>44756</c:v>
                </c:pt>
                <c:pt idx="671">
                  <c:v>44755</c:v>
                </c:pt>
                <c:pt idx="672">
                  <c:v>44754</c:v>
                </c:pt>
                <c:pt idx="673">
                  <c:v>44753</c:v>
                </c:pt>
                <c:pt idx="674">
                  <c:v>44750</c:v>
                </c:pt>
                <c:pt idx="675">
                  <c:v>44749</c:v>
                </c:pt>
                <c:pt idx="676">
                  <c:v>44748</c:v>
                </c:pt>
                <c:pt idx="677">
                  <c:v>44747</c:v>
                </c:pt>
                <c:pt idx="678">
                  <c:v>44746</c:v>
                </c:pt>
                <c:pt idx="679">
                  <c:v>44743</c:v>
                </c:pt>
                <c:pt idx="680">
                  <c:v>44742</c:v>
                </c:pt>
                <c:pt idx="681">
                  <c:v>44741</c:v>
                </c:pt>
                <c:pt idx="682">
                  <c:v>44740</c:v>
                </c:pt>
                <c:pt idx="683">
                  <c:v>44739</c:v>
                </c:pt>
                <c:pt idx="684">
                  <c:v>44736</c:v>
                </c:pt>
                <c:pt idx="685">
                  <c:v>44735</c:v>
                </c:pt>
                <c:pt idx="686">
                  <c:v>44734</c:v>
                </c:pt>
                <c:pt idx="687">
                  <c:v>44733</c:v>
                </c:pt>
                <c:pt idx="688">
                  <c:v>44732</c:v>
                </c:pt>
                <c:pt idx="689">
                  <c:v>44729</c:v>
                </c:pt>
                <c:pt idx="690">
                  <c:v>44728</c:v>
                </c:pt>
                <c:pt idx="691">
                  <c:v>44727</c:v>
                </c:pt>
                <c:pt idx="692">
                  <c:v>44726</c:v>
                </c:pt>
                <c:pt idx="693">
                  <c:v>44725</c:v>
                </c:pt>
                <c:pt idx="694">
                  <c:v>44722</c:v>
                </c:pt>
                <c:pt idx="695">
                  <c:v>44721</c:v>
                </c:pt>
                <c:pt idx="696">
                  <c:v>44720</c:v>
                </c:pt>
                <c:pt idx="697">
                  <c:v>44719</c:v>
                </c:pt>
                <c:pt idx="698">
                  <c:v>44718</c:v>
                </c:pt>
                <c:pt idx="699">
                  <c:v>44715</c:v>
                </c:pt>
                <c:pt idx="700">
                  <c:v>44714</c:v>
                </c:pt>
                <c:pt idx="701">
                  <c:v>44713</c:v>
                </c:pt>
                <c:pt idx="702">
                  <c:v>44712</c:v>
                </c:pt>
                <c:pt idx="703">
                  <c:v>44711</c:v>
                </c:pt>
                <c:pt idx="704">
                  <c:v>44708</c:v>
                </c:pt>
                <c:pt idx="705">
                  <c:v>44707</c:v>
                </c:pt>
                <c:pt idx="706">
                  <c:v>44706</c:v>
                </c:pt>
                <c:pt idx="707">
                  <c:v>44705</c:v>
                </c:pt>
                <c:pt idx="708">
                  <c:v>44704</c:v>
                </c:pt>
                <c:pt idx="709">
                  <c:v>44701</c:v>
                </c:pt>
                <c:pt idx="710">
                  <c:v>44700</c:v>
                </c:pt>
                <c:pt idx="711">
                  <c:v>44699</c:v>
                </c:pt>
                <c:pt idx="712">
                  <c:v>44698</c:v>
                </c:pt>
                <c:pt idx="713">
                  <c:v>44697</c:v>
                </c:pt>
                <c:pt idx="714">
                  <c:v>44694</c:v>
                </c:pt>
                <c:pt idx="715">
                  <c:v>44693</c:v>
                </c:pt>
                <c:pt idx="716">
                  <c:v>44692</c:v>
                </c:pt>
                <c:pt idx="717">
                  <c:v>44691</c:v>
                </c:pt>
                <c:pt idx="718">
                  <c:v>44690</c:v>
                </c:pt>
                <c:pt idx="719">
                  <c:v>44687</c:v>
                </c:pt>
                <c:pt idx="720">
                  <c:v>44686</c:v>
                </c:pt>
                <c:pt idx="721">
                  <c:v>44685</c:v>
                </c:pt>
                <c:pt idx="722">
                  <c:v>44683</c:v>
                </c:pt>
                <c:pt idx="723">
                  <c:v>44680</c:v>
                </c:pt>
                <c:pt idx="724">
                  <c:v>44679</c:v>
                </c:pt>
                <c:pt idx="725">
                  <c:v>44678</c:v>
                </c:pt>
                <c:pt idx="726">
                  <c:v>44677</c:v>
                </c:pt>
                <c:pt idx="727">
                  <c:v>44676</c:v>
                </c:pt>
                <c:pt idx="728">
                  <c:v>44673</c:v>
                </c:pt>
                <c:pt idx="729">
                  <c:v>44672</c:v>
                </c:pt>
                <c:pt idx="730">
                  <c:v>44671</c:v>
                </c:pt>
                <c:pt idx="731">
                  <c:v>44670</c:v>
                </c:pt>
                <c:pt idx="732">
                  <c:v>44669</c:v>
                </c:pt>
                <c:pt idx="733">
                  <c:v>44664</c:v>
                </c:pt>
                <c:pt idx="734">
                  <c:v>44663</c:v>
                </c:pt>
                <c:pt idx="735">
                  <c:v>44662</c:v>
                </c:pt>
                <c:pt idx="736">
                  <c:v>44659</c:v>
                </c:pt>
                <c:pt idx="737">
                  <c:v>44658</c:v>
                </c:pt>
                <c:pt idx="738">
                  <c:v>44657</c:v>
                </c:pt>
                <c:pt idx="739">
                  <c:v>44656</c:v>
                </c:pt>
                <c:pt idx="740">
                  <c:v>44655</c:v>
                </c:pt>
                <c:pt idx="741">
                  <c:v>44652</c:v>
                </c:pt>
                <c:pt idx="742">
                  <c:v>44651</c:v>
                </c:pt>
                <c:pt idx="743">
                  <c:v>44650</c:v>
                </c:pt>
                <c:pt idx="744">
                  <c:v>44649</c:v>
                </c:pt>
                <c:pt idx="745">
                  <c:v>44648</c:v>
                </c:pt>
                <c:pt idx="746">
                  <c:v>44645</c:v>
                </c:pt>
                <c:pt idx="747">
                  <c:v>44644</c:v>
                </c:pt>
                <c:pt idx="748">
                  <c:v>44643</c:v>
                </c:pt>
                <c:pt idx="749">
                  <c:v>44642</c:v>
                </c:pt>
                <c:pt idx="750">
                  <c:v>44641</c:v>
                </c:pt>
                <c:pt idx="751">
                  <c:v>44637</c:v>
                </c:pt>
                <c:pt idx="752">
                  <c:v>44636</c:v>
                </c:pt>
                <c:pt idx="753">
                  <c:v>44635</c:v>
                </c:pt>
                <c:pt idx="754">
                  <c:v>44634</c:v>
                </c:pt>
                <c:pt idx="755">
                  <c:v>44631</c:v>
                </c:pt>
                <c:pt idx="756">
                  <c:v>44630</c:v>
                </c:pt>
                <c:pt idx="757">
                  <c:v>44629</c:v>
                </c:pt>
                <c:pt idx="758">
                  <c:v>44628</c:v>
                </c:pt>
                <c:pt idx="759">
                  <c:v>44627</c:v>
                </c:pt>
                <c:pt idx="760">
                  <c:v>44624</c:v>
                </c:pt>
                <c:pt idx="761">
                  <c:v>44623</c:v>
                </c:pt>
                <c:pt idx="762">
                  <c:v>44622</c:v>
                </c:pt>
                <c:pt idx="763">
                  <c:v>44620</c:v>
                </c:pt>
                <c:pt idx="764">
                  <c:v>44617</c:v>
                </c:pt>
                <c:pt idx="765">
                  <c:v>44616</c:v>
                </c:pt>
                <c:pt idx="766">
                  <c:v>44615</c:v>
                </c:pt>
                <c:pt idx="767">
                  <c:v>44614</c:v>
                </c:pt>
                <c:pt idx="768">
                  <c:v>44613</c:v>
                </c:pt>
                <c:pt idx="769">
                  <c:v>44610</c:v>
                </c:pt>
                <c:pt idx="770">
                  <c:v>44609</c:v>
                </c:pt>
                <c:pt idx="771">
                  <c:v>44608</c:v>
                </c:pt>
                <c:pt idx="772">
                  <c:v>44607</c:v>
                </c:pt>
                <c:pt idx="773">
                  <c:v>44606</c:v>
                </c:pt>
                <c:pt idx="774">
                  <c:v>44603</c:v>
                </c:pt>
                <c:pt idx="775">
                  <c:v>44602</c:v>
                </c:pt>
                <c:pt idx="776">
                  <c:v>44601</c:v>
                </c:pt>
                <c:pt idx="777">
                  <c:v>44600</c:v>
                </c:pt>
                <c:pt idx="778">
                  <c:v>44599</c:v>
                </c:pt>
                <c:pt idx="779">
                  <c:v>44596</c:v>
                </c:pt>
                <c:pt idx="780">
                  <c:v>44595</c:v>
                </c:pt>
                <c:pt idx="781">
                  <c:v>44594</c:v>
                </c:pt>
                <c:pt idx="782">
                  <c:v>44593</c:v>
                </c:pt>
                <c:pt idx="783">
                  <c:v>44592</c:v>
                </c:pt>
                <c:pt idx="784">
                  <c:v>44589</c:v>
                </c:pt>
                <c:pt idx="785">
                  <c:v>44588</c:v>
                </c:pt>
                <c:pt idx="786">
                  <c:v>44586</c:v>
                </c:pt>
                <c:pt idx="787">
                  <c:v>44585</c:v>
                </c:pt>
                <c:pt idx="788">
                  <c:v>44582</c:v>
                </c:pt>
                <c:pt idx="789">
                  <c:v>44581</c:v>
                </c:pt>
                <c:pt idx="790">
                  <c:v>44580</c:v>
                </c:pt>
                <c:pt idx="791">
                  <c:v>44579</c:v>
                </c:pt>
                <c:pt idx="792">
                  <c:v>44578</c:v>
                </c:pt>
                <c:pt idx="793">
                  <c:v>44575</c:v>
                </c:pt>
                <c:pt idx="794">
                  <c:v>44574</c:v>
                </c:pt>
                <c:pt idx="795">
                  <c:v>44573</c:v>
                </c:pt>
                <c:pt idx="796">
                  <c:v>44572</c:v>
                </c:pt>
                <c:pt idx="797">
                  <c:v>44571</c:v>
                </c:pt>
                <c:pt idx="798">
                  <c:v>44568</c:v>
                </c:pt>
                <c:pt idx="799">
                  <c:v>44567</c:v>
                </c:pt>
                <c:pt idx="800">
                  <c:v>44566</c:v>
                </c:pt>
                <c:pt idx="801">
                  <c:v>44565</c:v>
                </c:pt>
                <c:pt idx="802">
                  <c:v>44564</c:v>
                </c:pt>
                <c:pt idx="803">
                  <c:v>44561</c:v>
                </c:pt>
                <c:pt idx="804">
                  <c:v>44560</c:v>
                </c:pt>
                <c:pt idx="805">
                  <c:v>44559</c:v>
                </c:pt>
                <c:pt idx="806">
                  <c:v>44558</c:v>
                </c:pt>
                <c:pt idx="807">
                  <c:v>44557</c:v>
                </c:pt>
                <c:pt idx="808">
                  <c:v>44554</c:v>
                </c:pt>
                <c:pt idx="809">
                  <c:v>44553</c:v>
                </c:pt>
                <c:pt idx="810">
                  <c:v>44552</c:v>
                </c:pt>
                <c:pt idx="811">
                  <c:v>44551</c:v>
                </c:pt>
                <c:pt idx="812">
                  <c:v>44550</c:v>
                </c:pt>
                <c:pt idx="813">
                  <c:v>44547</c:v>
                </c:pt>
                <c:pt idx="814">
                  <c:v>44546</c:v>
                </c:pt>
                <c:pt idx="815">
                  <c:v>44545</c:v>
                </c:pt>
                <c:pt idx="816">
                  <c:v>44544</c:v>
                </c:pt>
                <c:pt idx="817">
                  <c:v>44543</c:v>
                </c:pt>
                <c:pt idx="818">
                  <c:v>44540</c:v>
                </c:pt>
                <c:pt idx="819">
                  <c:v>44539</c:v>
                </c:pt>
                <c:pt idx="820">
                  <c:v>44538</c:v>
                </c:pt>
                <c:pt idx="821">
                  <c:v>44537</c:v>
                </c:pt>
                <c:pt idx="822">
                  <c:v>44536</c:v>
                </c:pt>
                <c:pt idx="823">
                  <c:v>44533</c:v>
                </c:pt>
                <c:pt idx="824">
                  <c:v>44532</c:v>
                </c:pt>
                <c:pt idx="825">
                  <c:v>44531</c:v>
                </c:pt>
                <c:pt idx="826">
                  <c:v>44530</c:v>
                </c:pt>
                <c:pt idx="827">
                  <c:v>44529</c:v>
                </c:pt>
                <c:pt idx="828">
                  <c:v>44526</c:v>
                </c:pt>
                <c:pt idx="829">
                  <c:v>44525</c:v>
                </c:pt>
                <c:pt idx="830">
                  <c:v>44524</c:v>
                </c:pt>
                <c:pt idx="831">
                  <c:v>44523</c:v>
                </c:pt>
                <c:pt idx="832">
                  <c:v>44522</c:v>
                </c:pt>
                <c:pt idx="833">
                  <c:v>44518</c:v>
                </c:pt>
                <c:pt idx="834">
                  <c:v>44517</c:v>
                </c:pt>
                <c:pt idx="835">
                  <c:v>44516</c:v>
                </c:pt>
                <c:pt idx="836">
                  <c:v>44515</c:v>
                </c:pt>
                <c:pt idx="837">
                  <c:v>44512</c:v>
                </c:pt>
                <c:pt idx="838">
                  <c:v>44511</c:v>
                </c:pt>
                <c:pt idx="839">
                  <c:v>44510</c:v>
                </c:pt>
                <c:pt idx="840">
                  <c:v>44509</c:v>
                </c:pt>
                <c:pt idx="841">
                  <c:v>44508</c:v>
                </c:pt>
                <c:pt idx="842">
                  <c:v>44504</c:v>
                </c:pt>
                <c:pt idx="843">
                  <c:v>44503</c:v>
                </c:pt>
                <c:pt idx="844">
                  <c:v>44502</c:v>
                </c:pt>
                <c:pt idx="845">
                  <c:v>44501</c:v>
                </c:pt>
                <c:pt idx="846">
                  <c:v>44498</c:v>
                </c:pt>
                <c:pt idx="847">
                  <c:v>44497</c:v>
                </c:pt>
                <c:pt idx="848">
                  <c:v>44496</c:v>
                </c:pt>
                <c:pt idx="849">
                  <c:v>44495</c:v>
                </c:pt>
                <c:pt idx="850">
                  <c:v>44494</c:v>
                </c:pt>
                <c:pt idx="851">
                  <c:v>44491</c:v>
                </c:pt>
                <c:pt idx="852">
                  <c:v>44490</c:v>
                </c:pt>
                <c:pt idx="853">
                  <c:v>44489</c:v>
                </c:pt>
                <c:pt idx="854">
                  <c:v>44488</c:v>
                </c:pt>
                <c:pt idx="855">
                  <c:v>44487</c:v>
                </c:pt>
                <c:pt idx="856">
                  <c:v>44483</c:v>
                </c:pt>
                <c:pt idx="857">
                  <c:v>44482</c:v>
                </c:pt>
                <c:pt idx="858">
                  <c:v>44481</c:v>
                </c:pt>
                <c:pt idx="859">
                  <c:v>44480</c:v>
                </c:pt>
                <c:pt idx="860">
                  <c:v>44477</c:v>
                </c:pt>
                <c:pt idx="861">
                  <c:v>44476</c:v>
                </c:pt>
                <c:pt idx="862">
                  <c:v>44475</c:v>
                </c:pt>
                <c:pt idx="863">
                  <c:v>44474</c:v>
                </c:pt>
                <c:pt idx="864">
                  <c:v>44473</c:v>
                </c:pt>
                <c:pt idx="865">
                  <c:v>44470</c:v>
                </c:pt>
                <c:pt idx="866">
                  <c:v>44469</c:v>
                </c:pt>
                <c:pt idx="867">
                  <c:v>44468</c:v>
                </c:pt>
                <c:pt idx="868">
                  <c:v>44467</c:v>
                </c:pt>
                <c:pt idx="869">
                  <c:v>44466</c:v>
                </c:pt>
                <c:pt idx="870">
                  <c:v>44463</c:v>
                </c:pt>
                <c:pt idx="871">
                  <c:v>44462</c:v>
                </c:pt>
                <c:pt idx="872">
                  <c:v>44461</c:v>
                </c:pt>
                <c:pt idx="873">
                  <c:v>44460</c:v>
                </c:pt>
                <c:pt idx="874">
                  <c:v>44459</c:v>
                </c:pt>
                <c:pt idx="875">
                  <c:v>44456</c:v>
                </c:pt>
                <c:pt idx="876">
                  <c:v>44454</c:v>
                </c:pt>
                <c:pt idx="877">
                  <c:v>44453</c:v>
                </c:pt>
                <c:pt idx="878">
                  <c:v>44452</c:v>
                </c:pt>
                <c:pt idx="879">
                  <c:v>44448</c:v>
                </c:pt>
                <c:pt idx="880">
                  <c:v>44447</c:v>
                </c:pt>
                <c:pt idx="881">
                  <c:v>44446</c:v>
                </c:pt>
                <c:pt idx="882">
                  <c:v>44445</c:v>
                </c:pt>
                <c:pt idx="883">
                  <c:v>44442</c:v>
                </c:pt>
                <c:pt idx="884">
                  <c:v>44441</c:v>
                </c:pt>
                <c:pt idx="885">
                  <c:v>44440</c:v>
                </c:pt>
                <c:pt idx="886">
                  <c:v>44439</c:v>
                </c:pt>
                <c:pt idx="887">
                  <c:v>44438</c:v>
                </c:pt>
                <c:pt idx="888">
                  <c:v>44435</c:v>
                </c:pt>
                <c:pt idx="889">
                  <c:v>44434</c:v>
                </c:pt>
                <c:pt idx="890">
                  <c:v>44433</c:v>
                </c:pt>
                <c:pt idx="891">
                  <c:v>44432</c:v>
                </c:pt>
                <c:pt idx="892">
                  <c:v>44431</c:v>
                </c:pt>
                <c:pt idx="893">
                  <c:v>44428</c:v>
                </c:pt>
                <c:pt idx="894">
                  <c:v>44426</c:v>
                </c:pt>
                <c:pt idx="895">
                  <c:v>44425</c:v>
                </c:pt>
                <c:pt idx="896">
                  <c:v>44424</c:v>
                </c:pt>
                <c:pt idx="897">
                  <c:v>44421</c:v>
                </c:pt>
                <c:pt idx="898">
                  <c:v>44420</c:v>
                </c:pt>
                <c:pt idx="899">
                  <c:v>44419</c:v>
                </c:pt>
                <c:pt idx="900">
                  <c:v>44418</c:v>
                </c:pt>
                <c:pt idx="901">
                  <c:v>44417</c:v>
                </c:pt>
                <c:pt idx="902">
                  <c:v>44414</c:v>
                </c:pt>
                <c:pt idx="903">
                  <c:v>44413</c:v>
                </c:pt>
                <c:pt idx="904">
                  <c:v>44412</c:v>
                </c:pt>
                <c:pt idx="905">
                  <c:v>44411</c:v>
                </c:pt>
                <c:pt idx="906">
                  <c:v>44410</c:v>
                </c:pt>
                <c:pt idx="907">
                  <c:v>44407</c:v>
                </c:pt>
                <c:pt idx="908">
                  <c:v>44406</c:v>
                </c:pt>
                <c:pt idx="909">
                  <c:v>44405</c:v>
                </c:pt>
                <c:pt idx="910">
                  <c:v>44404</c:v>
                </c:pt>
                <c:pt idx="911">
                  <c:v>44403</c:v>
                </c:pt>
                <c:pt idx="912">
                  <c:v>44400</c:v>
                </c:pt>
                <c:pt idx="913">
                  <c:v>44399</c:v>
                </c:pt>
                <c:pt idx="914">
                  <c:v>44397</c:v>
                </c:pt>
                <c:pt idx="915">
                  <c:v>44396</c:v>
                </c:pt>
                <c:pt idx="916">
                  <c:v>44393</c:v>
                </c:pt>
                <c:pt idx="917">
                  <c:v>44392</c:v>
                </c:pt>
                <c:pt idx="918">
                  <c:v>44391</c:v>
                </c:pt>
                <c:pt idx="919">
                  <c:v>44390</c:v>
                </c:pt>
                <c:pt idx="920">
                  <c:v>44389</c:v>
                </c:pt>
                <c:pt idx="921">
                  <c:v>44386</c:v>
                </c:pt>
                <c:pt idx="922">
                  <c:v>44385</c:v>
                </c:pt>
                <c:pt idx="923">
                  <c:v>44384</c:v>
                </c:pt>
                <c:pt idx="924">
                  <c:v>44383</c:v>
                </c:pt>
                <c:pt idx="925">
                  <c:v>44382</c:v>
                </c:pt>
                <c:pt idx="926">
                  <c:v>44379</c:v>
                </c:pt>
                <c:pt idx="927">
                  <c:v>44378</c:v>
                </c:pt>
                <c:pt idx="928">
                  <c:v>44377</c:v>
                </c:pt>
                <c:pt idx="929">
                  <c:v>44376</c:v>
                </c:pt>
                <c:pt idx="930">
                  <c:v>44375</c:v>
                </c:pt>
                <c:pt idx="931">
                  <c:v>44372</c:v>
                </c:pt>
                <c:pt idx="932">
                  <c:v>44371</c:v>
                </c:pt>
                <c:pt idx="933">
                  <c:v>44370</c:v>
                </c:pt>
                <c:pt idx="934">
                  <c:v>44369</c:v>
                </c:pt>
                <c:pt idx="935">
                  <c:v>44368</c:v>
                </c:pt>
                <c:pt idx="936">
                  <c:v>44365</c:v>
                </c:pt>
                <c:pt idx="937">
                  <c:v>44364</c:v>
                </c:pt>
                <c:pt idx="938">
                  <c:v>44363</c:v>
                </c:pt>
                <c:pt idx="939">
                  <c:v>44362</c:v>
                </c:pt>
                <c:pt idx="940">
                  <c:v>44361</c:v>
                </c:pt>
                <c:pt idx="941">
                  <c:v>44358</c:v>
                </c:pt>
                <c:pt idx="942">
                  <c:v>44357</c:v>
                </c:pt>
                <c:pt idx="943">
                  <c:v>44356</c:v>
                </c:pt>
                <c:pt idx="944">
                  <c:v>44355</c:v>
                </c:pt>
                <c:pt idx="945">
                  <c:v>44354</c:v>
                </c:pt>
                <c:pt idx="946">
                  <c:v>44351</c:v>
                </c:pt>
                <c:pt idx="947">
                  <c:v>44350</c:v>
                </c:pt>
                <c:pt idx="948">
                  <c:v>44349</c:v>
                </c:pt>
                <c:pt idx="949">
                  <c:v>44348</c:v>
                </c:pt>
                <c:pt idx="950">
                  <c:v>44347</c:v>
                </c:pt>
                <c:pt idx="951">
                  <c:v>44344</c:v>
                </c:pt>
                <c:pt idx="952">
                  <c:v>44343</c:v>
                </c:pt>
                <c:pt idx="953">
                  <c:v>44342</c:v>
                </c:pt>
                <c:pt idx="954">
                  <c:v>44341</c:v>
                </c:pt>
                <c:pt idx="955">
                  <c:v>44340</c:v>
                </c:pt>
                <c:pt idx="956">
                  <c:v>44337</c:v>
                </c:pt>
                <c:pt idx="957">
                  <c:v>44336</c:v>
                </c:pt>
                <c:pt idx="958">
                  <c:v>44335</c:v>
                </c:pt>
                <c:pt idx="959">
                  <c:v>44334</c:v>
                </c:pt>
                <c:pt idx="960">
                  <c:v>44333</c:v>
                </c:pt>
                <c:pt idx="961">
                  <c:v>44330</c:v>
                </c:pt>
                <c:pt idx="962">
                  <c:v>44328</c:v>
                </c:pt>
                <c:pt idx="963">
                  <c:v>44327</c:v>
                </c:pt>
                <c:pt idx="964">
                  <c:v>44326</c:v>
                </c:pt>
                <c:pt idx="965">
                  <c:v>44323</c:v>
                </c:pt>
                <c:pt idx="966">
                  <c:v>44322</c:v>
                </c:pt>
                <c:pt idx="967">
                  <c:v>44321</c:v>
                </c:pt>
                <c:pt idx="968">
                  <c:v>44320</c:v>
                </c:pt>
                <c:pt idx="969">
                  <c:v>44319</c:v>
                </c:pt>
                <c:pt idx="970">
                  <c:v>44316</c:v>
                </c:pt>
                <c:pt idx="971">
                  <c:v>44315</c:v>
                </c:pt>
                <c:pt idx="972">
                  <c:v>44314</c:v>
                </c:pt>
                <c:pt idx="973">
                  <c:v>44313</c:v>
                </c:pt>
                <c:pt idx="974">
                  <c:v>44312</c:v>
                </c:pt>
                <c:pt idx="975">
                  <c:v>44309</c:v>
                </c:pt>
                <c:pt idx="976">
                  <c:v>44308</c:v>
                </c:pt>
                <c:pt idx="977">
                  <c:v>44306</c:v>
                </c:pt>
                <c:pt idx="978">
                  <c:v>44305</c:v>
                </c:pt>
                <c:pt idx="979">
                  <c:v>44302</c:v>
                </c:pt>
                <c:pt idx="980">
                  <c:v>44301</c:v>
                </c:pt>
                <c:pt idx="981">
                  <c:v>44299</c:v>
                </c:pt>
                <c:pt idx="982">
                  <c:v>44298</c:v>
                </c:pt>
                <c:pt idx="983">
                  <c:v>44295</c:v>
                </c:pt>
                <c:pt idx="984">
                  <c:v>44294</c:v>
                </c:pt>
                <c:pt idx="985">
                  <c:v>44293</c:v>
                </c:pt>
                <c:pt idx="986">
                  <c:v>44292</c:v>
                </c:pt>
                <c:pt idx="987">
                  <c:v>44291</c:v>
                </c:pt>
                <c:pt idx="988">
                  <c:v>44287</c:v>
                </c:pt>
                <c:pt idx="989">
                  <c:v>44286</c:v>
                </c:pt>
                <c:pt idx="990">
                  <c:v>44285</c:v>
                </c:pt>
                <c:pt idx="991">
                  <c:v>44281</c:v>
                </c:pt>
                <c:pt idx="992">
                  <c:v>44280</c:v>
                </c:pt>
                <c:pt idx="993">
                  <c:v>44279</c:v>
                </c:pt>
                <c:pt idx="994">
                  <c:v>44278</c:v>
                </c:pt>
                <c:pt idx="995">
                  <c:v>44277</c:v>
                </c:pt>
                <c:pt idx="996">
                  <c:v>44273</c:v>
                </c:pt>
                <c:pt idx="997">
                  <c:v>44272</c:v>
                </c:pt>
                <c:pt idx="998">
                  <c:v>44271</c:v>
                </c:pt>
                <c:pt idx="999">
                  <c:v>44270</c:v>
                </c:pt>
                <c:pt idx="1000">
                  <c:v>44267</c:v>
                </c:pt>
                <c:pt idx="1001">
                  <c:v>44265</c:v>
                </c:pt>
                <c:pt idx="1002">
                  <c:v>44264</c:v>
                </c:pt>
                <c:pt idx="1003">
                  <c:v>44263</c:v>
                </c:pt>
                <c:pt idx="1004">
                  <c:v>44260</c:v>
                </c:pt>
                <c:pt idx="1005">
                  <c:v>44259</c:v>
                </c:pt>
                <c:pt idx="1006">
                  <c:v>44258</c:v>
                </c:pt>
                <c:pt idx="1007">
                  <c:v>44257</c:v>
                </c:pt>
                <c:pt idx="1008">
                  <c:v>44256</c:v>
                </c:pt>
                <c:pt idx="1009">
                  <c:v>44253</c:v>
                </c:pt>
                <c:pt idx="1010">
                  <c:v>44252</c:v>
                </c:pt>
                <c:pt idx="1011">
                  <c:v>44251</c:v>
                </c:pt>
                <c:pt idx="1012">
                  <c:v>44250</c:v>
                </c:pt>
                <c:pt idx="1013">
                  <c:v>44249</c:v>
                </c:pt>
                <c:pt idx="1014">
                  <c:v>44246</c:v>
                </c:pt>
                <c:pt idx="1015">
                  <c:v>44245</c:v>
                </c:pt>
                <c:pt idx="1016">
                  <c:v>44244</c:v>
                </c:pt>
                <c:pt idx="1017">
                  <c:v>44243</c:v>
                </c:pt>
                <c:pt idx="1018">
                  <c:v>44242</c:v>
                </c:pt>
                <c:pt idx="1019">
                  <c:v>44238</c:v>
                </c:pt>
                <c:pt idx="1020">
                  <c:v>44237</c:v>
                </c:pt>
                <c:pt idx="1021">
                  <c:v>44236</c:v>
                </c:pt>
                <c:pt idx="1022">
                  <c:v>44235</c:v>
                </c:pt>
                <c:pt idx="1023">
                  <c:v>44230</c:v>
                </c:pt>
                <c:pt idx="1024">
                  <c:v>44229</c:v>
                </c:pt>
                <c:pt idx="1025">
                  <c:v>44228</c:v>
                </c:pt>
                <c:pt idx="1026">
                  <c:v>44225</c:v>
                </c:pt>
                <c:pt idx="1027">
                  <c:v>44224</c:v>
                </c:pt>
                <c:pt idx="1028">
                  <c:v>44223</c:v>
                </c:pt>
                <c:pt idx="1029">
                  <c:v>44221</c:v>
                </c:pt>
                <c:pt idx="1030">
                  <c:v>44218</c:v>
                </c:pt>
                <c:pt idx="1031">
                  <c:v>44217</c:v>
                </c:pt>
                <c:pt idx="1032">
                  <c:v>44216</c:v>
                </c:pt>
                <c:pt idx="1033">
                  <c:v>44215</c:v>
                </c:pt>
                <c:pt idx="1034">
                  <c:v>44214</c:v>
                </c:pt>
                <c:pt idx="1035">
                  <c:v>44211</c:v>
                </c:pt>
                <c:pt idx="1036">
                  <c:v>44210</c:v>
                </c:pt>
                <c:pt idx="1037">
                  <c:v>44209</c:v>
                </c:pt>
                <c:pt idx="1038">
                  <c:v>44208</c:v>
                </c:pt>
                <c:pt idx="1039">
                  <c:v>44207</c:v>
                </c:pt>
                <c:pt idx="1040">
                  <c:v>44204</c:v>
                </c:pt>
                <c:pt idx="1041">
                  <c:v>44203</c:v>
                </c:pt>
                <c:pt idx="1042">
                  <c:v>44202</c:v>
                </c:pt>
                <c:pt idx="1043">
                  <c:v>44201</c:v>
                </c:pt>
                <c:pt idx="1044">
                  <c:v>44200</c:v>
                </c:pt>
                <c:pt idx="1045">
                  <c:v>44197</c:v>
                </c:pt>
                <c:pt idx="1046">
                  <c:v>44196</c:v>
                </c:pt>
                <c:pt idx="1047">
                  <c:v>44195</c:v>
                </c:pt>
                <c:pt idx="1048">
                  <c:v>44194</c:v>
                </c:pt>
                <c:pt idx="1049">
                  <c:v>44193</c:v>
                </c:pt>
                <c:pt idx="1050">
                  <c:v>44189</c:v>
                </c:pt>
                <c:pt idx="1051">
                  <c:v>44188</c:v>
                </c:pt>
                <c:pt idx="1052">
                  <c:v>44187</c:v>
                </c:pt>
                <c:pt idx="1053">
                  <c:v>44186</c:v>
                </c:pt>
                <c:pt idx="1054">
                  <c:v>44183</c:v>
                </c:pt>
                <c:pt idx="1055">
                  <c:v>44182</c:v>
                </c:pt>
                <c:pt idx="1056">
                  <c:v>44181</c:v>
                </c:pt>
                <c:pt idx="1057">
                  <c:v>44180</c:v>
                </c:pt>
                <c:pt idx="1058">
                  <c:v>44179</c:v>
                </c:pt>
                <c:pt idx="1059">
                  <c:v>44176</c:v>
                </c:pt>
                <c:pt idx="1060">
                  <c:v>44175</c:v>
                </c:pt>
                <c:pt idx="1061">
                  <c:v>44174</c:v>
                </c:pt>
                <c:pt idx="1062">
                  <c:v>44173</c:v>
                </c:pt>
                <c:pt idx="1063">
                  <c:v>44172</c:v>
                </c:pt>
                <c:pt idx="1064">
                  <c:v>44169</c:v>
                </c:pt>
                <c:pt idx="1065">
                  <c:v>44168</c:v>
                </c:pt>
                <c:pt idx="1066">
                  <c:v>44167</c:v>
                </c:pt>
                <c:pt idx="1067">
                  <c:v>44166</c:v>
                </c:pt>
                <c:pt idx="1068">
                  <c:v>44162</c:v>
                </c:pt>
                <c:pt idx="1069">
                  <c:v>44161</c:v>
                </c:pt>
                <c:pt idx="1070">
                  <c:v>44160</c:v>
                </c:pt>
                <c:pt idx="1071">
                  <c:v>44159</c:v>
                </c:pt>
                <c:pt idx="1072">
                  <c:v>44158</c:v>
                </c:pt>
                <c:pt idx="1073">
                  <c:v>44155</c:v>
                </c:pt>
                <c:pt idx="1074">
                  <c:v>44154</c:v>
                </c:pt>
                <c:pt idx="1075">
                  <c:v>44153</c:v>
                </c:pt>
                <c:pt idx="1076">
                  <c:v>44152</c:v>
                </c:pt>
                <c:pt idx="1077">
                  <c:v>44149</c:v>
                </c:pt>
                <c:pt idx="1078">
                  <c:v>44148</c:v>
                </c:pt>
                <c:pt idx="1079">
                  <c:v>44147</c:v>
                </c:pt>
                <c:pt idx="1080">
                  <c:v>44146</c:v>
                </c:pt>
                <c:pt idx="1081">
                  <c:v>44145</c:v>
                </c:pt>
                <c:pt idx="1082">
                  <c:v>44144</c:v>
                </c:pt>
                <c:pt idx="1083">
                  <c:v>44141</c:v>
                </c:pt>
                <c:pt idx="1084">
                  <c:v>44140</c:v>
                </c:pt>
                <c:pt idx="1085">
                  <c:v>44139</c:v>
                </c:pt>
                <c:pt idx="1086">
                  <c:v>44138</c:v>
                </c:pt>
                <c:pt idx="1087">
                  <c:v>44137</c:v>
                </c:pt>
                <c:pt idx="1088">
                  <c:v>44134</c:v>
                </c:pt>
                <c:pt idx="1089">
                  <c:v>44133</c:v>
                </c:pt>
                <c:pt idx="1090">
                  <c:v>44132</c:v>
                </c:pt>
                <c:pt idx="1091">
                  <c:v>44131</c:v>
                </c:pt>
                <c:pt idx="1092">
                  <c:v>44130</c:v>
                </c:pt>
                <c:pt idx="1093">
                  <c:v>44127</c:v>
                </c:pt>
                <c:pt idx="1094">
                  <c:v>44126</c:v>
                </c:pt>
                <c:pt idx="1095">
                  <c:v>44125</c:v>
                </c:pt>
                <c:pt idx="1096">
                  <c:v>44124</c:v>
                </c:pt>
                <c:pt idx="1097">
                  <c:v>44123</c:v>
                </c:pt>
                <c:pt idx="1098">
                  <c:v>44120</c:v>
                </c:pt>
                <c:pt idx="1099">
                  <c:v>44119</c:v>
                </c:pt>
                <c:pt idx="1100">
                  <c:v>44118</c:v>
                </c:pt>
                <c:pt idx="1101">
                  <c:v>44117</c:v>
                </c:pt>
                <c:pt idx="1102">
                  <c:v>44116</c:v>
                </c:pt>
                <c:pt idx="1103">
                  <c:v>44113</c:v>
                </c:pt>
                <c:pt idx="1104">
                  <c:v>44112</c:v>
                </c:pt>
                <c:pt idx="1105">
                  <c:v>44111</c:v>
                </c:pt>
                <c:pt idx="1106">
                  <c:v>44110</c:v>
                </c:pt>
                <c:pt idx="1107">
                  <c:v>44109</c:v>
                </c:pt>
                <c:pt idx="1108">
                  <c:v>44105</c:v>
                </c:pt>
                <c:pt idx="1109">
                  <c:v>44104</c:v>
                </c:pt>
                <c:pt idx="1110">
                  <c:v>44103</c:v>
                </c:pt>
                <c:pt idx="1111">
                  <c:v>44102</c:v>
                </c:pt>
                <c:pt idx="1112">
                  <c:v>44099</c:v>
                </c:pt>
                <c:pt idx="1113">
                  <c:v>44098</c:v>
                </c:pt>
                <c:pt idx="1114">
                  <c:v>44097</c:v>
                </c:pt>
                <c:pt idx="1115">
                  <c:v>44096</c:v>
                </c:pt>
                <c:pt idx="1116">
                  <c:v>44095</c:v>
                </c:pt>
                <c:pt idx="1117">
                  <c:v>44092</c:v>
                </c:pt>
                <c:pt idx="1118">
                  <c:v>44091</c:v>
                </c:pt>
                <c:pt idx="1119">
                  <c:v>44090</c:v>
                </c:pt>
                <c:pt idx="1120">
                  <c:v>44089</c:v>
                </c:pt>
                <c:pt idx="1121">
                  <c:v>44088</c:v>
                </c:pt>
                <c:pt idx="1122">
                  <c:v>44085</c:v>
                </c:pt>
                <c:pt idx="1123">
                  <c:v>44084</c:v>
                </c:pt>
                <c:pt idx="1124">
                  <c:v>44083</c:v>
                </c:pt>
                <c:pt idx="1125">
                  <c:v>44082</c:v>
                </c:pt>
                <c:pt idx="1126">
                  <c:v>44081</c:v>
                </c:pt>
                <c:pt idx="1127">
                  <c:v>44078</c:v>
                </c:pt>
                <c:pt idx="1128">
                  <c:v>44077</c:v>
                </c:pt>
                <c:pt idx="1129">
                  <c:v>44076</c:v>
                </c:pt>
                <c:pt idx="1130">
                  <c:v>44075</c:v>
                </c:pt>
                <c:pt idx="1131">
                  <c:v>44074</c:v>
                </c:pt>
                <c:pt idx="1132">
                  <c:v>44071</c:v>
                </c:pt>
                <c:pt idx="1133">
                  <c:v>44070</c:v>
                </c:pt>
                <c:pt idx="1134">
                  <c:v>44069</c:v>
                </c:pt>
                <c:pt idx="1135">
                  <c:v>44068</c:v>
                </c:pt>
                <c:pt idx="1136">
                  <c:v>44067</c:v>
                </c:pt>
                <c:pt idx="1137">
                  <c:v>44064</c:v>
                </c:pt>
                <c:pt idx="1138">
                  <c:v>44063</c:v>
                </c:pt>
                <c:pt idx="1139">
                  <c:v>44062</c:v>
                </c:pt>
                <c:pt idx="1140">
                  <c:v>44061</c:v>
                </c:pt>
                <c:pt idx="1141">
                  <c:v>44060</c:v>
                </c:pt>
                <c:pt idx="1142">
                  <c:v>44057</c:v>
                </c:pt>
                <c:pt idx="1143">
                  <c:v>44056</c:v>
                </c:pt>
                <c:pt idx="1144">
                  <c:v>44055</c:v>
                </c:pt>
                <c:pt idx="1145">
                  <c:v>44054</c:v>
                </c:pt>
                <c:pt idx="1146">
                  <c:v>44053</c:v>
                </c:pt>
                <c:pt idx="1147">
                  <c:v>44050</c:v>
                </c:pt>
                <c:pt idx="1148">
                  <c:v>44049</c:v>
                </c:pt>
                <c:pt idx="1149">
                  <c:v>44048</c:v>
                </c:pt>
                <c:pt idx="1150">
                  <c:v>44047</c:v>
                </c:pt>
                <c:pt idx="1151">
                  <c:v>44046</c:v>
                </c:pt>
                <c:pt idx="1152">
                  <c:v>44043</c:v>
                </c:pt>
                <c:pt idx="1153">
                  <c:v>44042</c:v>
                </c:pt>
                <c:pt idx="1154">
                  <c:v>44041</c:v>
                </c:pt>
                <c:pt idx="1155">
                  <c:v>44040</c:v>
                </c:pt>
                <c:pt idx="1156">
                  <c:v>44039</c:v>
                </c:pt>
                <c:pt idx="1157">
                  <c:v>44036</c:v>
                </c:pt>
                <c:pt idx="1158">
                  <c:v>44035</c:v>
                </c:pt>
                <c:pt idx="1159">
                  <c:v>44034</c:v>
                </c:pt>
                <c:pt idx="1160">
                  <c:v>44033</c:v>
                </c:pt>
                <c:pt idx="1161">
                  <c:v>44032</c:v>
                </c:pt>
                <c:pt idx="1162">
                  <c:v>44029</c:v>
                </c:pt>
                <c:pt idx="1163">
                  <c:v>44028</c:v>
                </c:pt>
                <c:pt idx="1164">
                  <c:v>44027</c:v>
                </c:pt>
                <c:pt idx="1165">
                  <c:v>44026</c:v>
                </c:pt>
                <c:pt idx="1166">
                  <c:v>44025</c:v>
                </c:pt>
                <c:pt idx="1167">
                  <c:v>44022</c:v>
                </c:pt>
                <c:pt idx="1168">
                  <c:v>44021</c:v>
                </c:pt>
                <c:pt idx="1169">
                  <c:v>44020</c:v>
                </c:pt>
                <c:pt idx="1170">
                  <c:v>44019</c:v>
                </c:pt>
                <c:pt idx="1171">
                  <c:v>44018</c:v>
                </c:pt>
                <c:pt idx="1172">
                  <c:v>44015</c:v>
                </c:pt>
                <c:pt idx="1173">
                  <c:v>44014</c:v>
                </c:pt>
                <c:pt idx="1174">
                  <c:v>44013</c:v>
                </c:pt>
                <c:pt idx="1175">
                  <c:v>44012</c:v>
                </c:pt>
                <c:pt idx="1176">
                  <c:v>44011</c:v>
                </c:pt>
                <c:pt idx="1177">
                  <c:v>44008</c:v>
                </c:pt>
                <c:pt idx="1178">
                  <c:v>44007</c:v>
                </c:pt>
                <c:pt idx="1179">
                  <c:v>44006</c:v>
                </c:pt>
                <c:pt idx="1180">
                  <c:v>44005</c:v>
                </c:pt>
                <c:pt idx="1181">
                  <c:v>44004</c:v>
                </c:pt>
                <c:pt idx="1182">
                  <c:v>44001</c:v>
                </c:pt>
                <c:pt idx="1183">
                  <c:v>44000</c:v>
                </c:pt>
                <c:pt idx="1184">
                  <c:v>43999</c:v>
                </c:pt>
                <c:pt idx="1185">
                  <c:v>43998</c:v>
                </c:pt>
                <c:pt idx="1186">
                  <c:v>43997</c:v>
                </c:pt>
                <c:pt idx="1187">
                  <c:v>43994</c:v>
                </c:pt>
                <c:pt idx="1188">
                  <c:v>43993</c:v>
                </c:pt>
                <c:pt idx="1189">
                  <c:v>43992</c:v>
                </c:pt>
                <c:pt idx="1190">
                  <c:v>43991</c:v>
                </c:pt>
                <c:pt idx="1191">
                  <c:v>43990</c:v>
                </c:pt>
                <c:pt idx="1192">
                  <c:v>43987</c:v>
                </c:pt>
                <c:pt idx="1193">
                  <c:v>43986</c:v>
                </c:pt>
                <c:pt idx="1194">
                  <c:v>43985</c:v>
                </c:pt>
                <c:pt idx="1195">
                  <c:v>43984</c:v>
                </c:pt>
                <c:pt idx="1196">
                  <c:v>43983</c:v>
                </c:pt>
                <c:pt idx="1197">
                  <c:v>43980</c:v>
                </c:pt>
                <c:pt idx="1198">
                  <c:v>43979</c:v>
                </c:pt>
                <c:pt idx="1199">
                  <c:v>43978</c:v>
                </c:pt>
                <c:pt idx="1200">
                  <c:v>43977</c:v>
                </c:pt>
                <c:pt idx="1201">
                  <c:v>43973</c:v>
                </c:pt>
                <c:pt idx="1202">
                  <c:v>43972</c:v>
                </c:pt>
                <c:pt idx="1203">
                  <c:v>43971</c:v>
                </c:pt>
                <c:pt idx="1204">
                  <c:v>43970</c:v>
                </c:pt>
                <c:pt idx="1205">
                  <c:v>43969</c:v>
                </c:pt>
                <c:pt idx="1206">
                  <c:v>43966</c:v>
                </c:pt>
                <c:pt idx="1207">
                  <c:v>43965</c:v>
                </c:pt>
                <c:pt idx="1208">
                  <c:v>43964</c:v>
                </c:pt>
                <c:pt idx="1209">
                  <c:v>43963</c:v>
                </c:pt>
                <c:pt idx="1210">
                  <c:v>43962</c:v>
                </c:pt>
                <c:pt idx="1211">
                  <c:v>43959</c:v>
                </c:pt>
                <c:pt idx="1212">
                  <c:v>43958</c:v>
                </c:pt>
                <c:pt idx="1213">
                  <c:v>43957</c:v>
                </c:pt>
                <c:pt idx="1214">
                  <c:v>43956</c:v>
                </c:pt>
                <c:pt idx="1215">
                  <c:v>43955</c:v>
                </c:pt>
                <c:pt idx="1216">
                  <c:v>43951</c:v>
                </c:pt>
                <c:pt idx="1217">
                  <c:v>43950</c:v>
                </c:pt>
                <c:pt idx="1218">
                  <c:v>43949</c:v>
                </c:pt>
                <c:pt idx="1219">
                  <c:v>43948</c:v>
                </c:pt>
                <c:pt idx="1220">
                  <c:v>43945</c:v>
                </c:pt>
                <c:pt idx="1221">
                  <c:v>43944</c:v>
                </c:pt>
                <c:pt idx="1222">
                  <c:v>43943</c:v>
                </c:pt>
                <c:pt idx="1223">
                  <c:v>43942</c:v>
                </c:pt>
                <c:pt idx="1224">
                  <c:v>43941</c:v>
                </c:pt>
                <c:pt idx="1225">
                  <c:v>43938</c:v>
                </c:pt>
                <c:pt idx="1226">
                  <c:v>43937</c:v>
                </c:pt>
                <c:pt idx="1227">
                  <c:v>43936</c:v>
                </c:pt>
                <c:pt idx="1228">
                  <c:v>43934</c:v>
                </c:pt>
                <c:pt idx="1229">
                  <c:v>43930</c:v>
                </c:pt>
                <c:pt idx="1230">
                  <c:v>43929</c:v>
                </c:pt>
                <c:pt idx="1231">
                  <c:v>43928</c:v>
                </c:pt>
                <c:pt idx="1232">
                  <c:v>43924</c:v>
                </c:pt>
                <c:pt idx="1233">
                  <c:v>43922</c:v>
                </c:pt>
              </c:numCache>
            </c:numRef>
          </c:cat>
          <c:val>
            <c:numRef>
              <c:f>'Share price'!$D$3:$D$1236</c:f>
              <c:numCache>
                <c:formatCode>General</c:formatCode>
                <c:ptCount val="1234"/>
                <c:pt idx="0">
                  <c:v>12.98</c:v>
                </c:pt>
                <c:pt idx="1">
                  <c:v>18.64</c:v>
                </c:pt>
                <c:pt idx="2">
                  <c:v>13.89</c:v>
                </c:pt>
                <c:pt idx="3">
                  <c:v>20.34</c:v>
                </c:pt>
                <c:pt idx="4">
                  <c:v>14.36</c:v>
                </c:pt>
                <c:pt idx="5">
                  <c:v>25.3</c:v>
                </c:pt>
                <c:pt idx="6">
                  <c:v>16.989999999999998</c:v>
                </c:pt>
                <c:pt idx="7">
                  <c:v>12.83</c:v>
                </c:pt>
                <c:pt idx="8">
                  <c:v>13.86</c:v>
                </c:pt>
                <c:pt idx="9">
                  <c:v>5.26</c:v>
                </c:pt>
                <c:pt idx="10">
                  <c:v>8.1999999999999993</c:v>
                </c:pt>
                <c:pt idx="11">
                  <c:v>13.84</c:v>
                </c:pt>
                <c:pt idx="12">
                  <c:v>11.1</c:v>
                </c:pt>
                <c:pt idx="13">
                  <c:v>9.7899999999999991</c:v>
                </c:pt>
                <c:pt idx="14">
                  <c:v>11.18</c:v>
                </c:pt>
                <c:pt idx="15">
                  <c:v>17.87</c:v>
                </c:pt>
                <c:pt idx="16">
                  <c:v>15.67</c:v>
                </c:pt>
                <c:pt idx="17">
                  <c:v>13.4</c:v>
                </c:pt>
                <c:pt idx="18">
                  <c:v>10.7</c:v>
                </c:pt>
                <c:pt idx="19">
                  <c:v>31.95</c:v>
                </c:pt>
                <c:pt idx="20">
                  <c:v>19.05</c:v>
                </c:pt>
                <c:pt idx="21">
                  <c:v>15.76</c:v>
                </c:pt>
                <c:pt idx="22">
                  <c:v>7.04</c:v>
                </c:pt>
                <c:pt idx="23">
                  <c:v>8.24</c:v>
                </c:pt>
                <c:pt idx="24">
                  <c:v>15.36</c:v>
                </c:pt>
                <c:pt idx="25">
                  <c:v>7.08</c:v>
                </c:pt>
                <c:pt idx="26">
                  <c:v>13</c:v>
                </c:pt>
                <c:pt idx="27">
                  <c:v>11.98</c:v>
                </c:pt>
                <c:pt idx="28">
                  <c:v>14.12</c:v>
                </c:pt>
                <c:pt idx="29">
                  <c:v>12.99</c:v>
                </c:pt>
                <c:pt idx="30">
                  <c:v>13.88</c:v>
                </c:pt>
                <c:pt idx="31">
                  <c:v>14.29</c:v>
                </c:pt>
                <c:pt idx="32">
                  <c:v>12.23</c:v>
                </c:pt>
                <c:pt idx="33">
                  <c:v>18.88</c:v>
                </c:pt>
                <c:pt idx="34">
                  <c:v>17.47</c:v>
                </c:pt>
                <c:pt idx="35">
                  <c:v>12.84</c:v>
                </c:pt>
                <c:pt idx="36">
                  <c:v>18.920000000000002</c:v>
                </c:pt>
                <c:pt idx="37">
                  <c:v>16.989999999999998</c:v>
                </c:pt>
                <c:pt idx="38">
                  <c:v>30.39</c:v>
                </c:pt>
                <c:pt idx="39">
                  <c:v>13.55</c:v>
                </c:pt>
                <c:pt idx="40">
                  <c:v>22.5</c:v>
                </c:pt>
                <c:pt idx="41">
                  <c:v>15.16</c:v>
                </c:pt>
                <c:pt idx="42">
                  <c:v>20.81</c:v>
                </c:pt>
                <c:pt idx="43">
                  <c:v>10.48</c:v>
                </c:pt>
                <c:pt idx="44">
                  <c:v>9.67</c:v>
                </c:pt>
                <c:pt idx="45">
                  <c:v>8.89</c:v>
                </c:pt>
                <c:pt idx="46">
                  <c:v>9.6199999999999992</c:v>
                </c:pt>
                <c:pt idx="47">
                  <c:v>15.69</c:v>
                </c:pt>
                <c:pt idx="48">
                  <c:v>8.74</c:v>
                </c:pt>
                <c:pt idx="49">
                  <c:v>11.27</c:v>
                </c:pt>
                <c:pt idx="50">
                  <c:v>15.77</c:v>
                </c:pt>
                <c:pt idx="51">
                  <c:v>9.7899999999999991</c:v>
                </c:pt>
                <c:pt idx="52">
                  <c:v>18.05</c:v>
                </c:pt>
                <c:pt idx="53">
                  <c:v>17.8</c:v>
                </c:pt>
                <c:pt idx="54">
                  <c:v>9.15</c:v>
                </c:pt>
                <c:pt idx="55">
                  <c:v>19.73</c:v>
                </c:pt>
                <c:pt idx="56">
                  <c:v>13.48</c:v>
                </c:pt>
                <c:pt idx="57">
                  <c:v>14.29</c:v>
                </c:pt>
                <c:pt idx="58">
                  <c:v>22.01</c:v>
                </c:pt>
                <c:pt idx="59">
                  <c:v>37.07</c:v>
                </c:pt>
                <c:pt idx="60">
                  <c:v>26.12</c:v>
                </c:pt>
                <c:pt idx="61">
                  <c:v>18.23</c:v>
                </c:pt>
                <c:pt idx="62">
                  <c:v>13.28</c:v>
                </c:pt>
                <c:pt idx="63">
                  <c:v>13.07</c:v>
                </c:pt>
                <c:pt idx="64">
                  <c:v>16.28</c:v>
                </c:pt>
                <c:pt idx="65">
                  <c:v>8.85</c:v>
                </c:pt>
                <c:pt idx="66">
                  <c:v>11.56</c:v>
                </c:pt>
                <c:pt idx="67">
                  <c:v>18.84</c:v>
                </c:pt>
                <c:pt idx="68">
                  <c:v>19.48</c:v>
                </c:pt>
                <c:pt idx="69">
                  <c:v>14.6</c:v>
                </c:pt>
                <c:pt idx="70">
                  <c:v>12.37</c:v>
                </c:pt>
                <c:pt idx="71">
                  <c:v>19.84</c:v>
                </c:pt>
                <c:pt idx="72">
                  <c:v>9.01</c:v>
                </c:pt>
                <c:pt idx="73">
                  <c:v>31.75</c:v>
                </c:pt>
                <c:pt idx="74">
                  <c:v>12.88</c:v>
                </c:pt>
                <c:pt idx="75">
                  <c:v>6.75</c:v>
                </c:pt>
                <c:pt idx="76">
                  <c:v>8.82</c:v>
                </c:pt>
                <c:pt idx="77">
                  <c:v>11.7</c:v>
                </c:pt>
                <c:pt idx="78">
                  <c:v>7.55</c:v>
                </c:pt>
                <c:pt idx="79">
                  <c:v>26.42</c:v>
                </c:pt>
                <c:pt idx="80">
                  <c:v>13.44</c:v>
                </c:pt>
                <c:pt idx="81">
                  <c:v>22.22</c:v>
                </c:pt>
                <c:pt idx="82">
                  <c:v>5.48</c:v>
                </c:pt>
                <c:pt idx="83">
                  <c:v>8.35</c:v>
                </c:pt>
                <c:pt idx="84">
                  <c:v>14.41</c:v>
                </c:pt>
                <c:pt idx="85">
                  <c:v>7.07</c:v>
                </c:pt>
                <c:pt idx="86">
                  <c:v>6.54</c:v>
                </c:pt>
                <c:pt idx="87">
                  <c:v>13.89</c:v>
                </c:pt>
                <c:pt idx="88">
                  <c:v>19.46</c:v>
                </c:pt>
                <c:pt idx="89">
                  <c:v>19.559999999999999</c:v>
                </c:pt>
                <c:pt idx="90">
                  <c:v>6.86</c:v>
                </c:pt>
                <c:pt idx="91">
                  <c:v>8.14</c:v>
                </c:pt>
                <c:pt idx="92">
                  <c:v>11.64</c:v>
                </c:pt>
                <c:pt idx="93">
                  <c:v>11.12</c:v>
                </c:pt>
                <c:pt idx="94">
                  <c:v>5.04</c:v>
                </c:pt>
                <c:pt idx="95">
                  <c:v>5.49</c:v>
                </c:pt>
                <c:pt idx="96">
                  <c:v>6.09</c:v>
                </c:pt>
                <c:pt idx="97">
                  <c:v>8.92</c:v>
                </c:pt>
                <c:pt idx="98">
                  <c:v>11.31</c:v>
                </c:pt>
                <c:pt idx="99">
                  <c:v>7.33</c:v>
                </c:pt>
                <c:pt idx="100">
                  <c:v>8.43</c:v>
                </c:pt>
                <c:pt idx="101">
                  <c:v>1.46</c:v>
                </c:pt>
                <c:pt idx="102">
                  <c:v>7.81</c:v>
                </c:pt>
                <c:pt idx="103">
                  <c:v>6.39</c:v>
                </c:pt>
                <c:pt idx="104">
                  <c:v>6.87</c:v>
                </c:pt>
                <c:pt idx="105">
                  <c:v>8.61</c:v>
                </c:pt>
                <c:pt idx="106">
                  <c:v>30.96</c:v>
                </c:pt>
                <c:pt idx="107">
                  <c:v>13.09</c:v>
                </c:pt>
                <c:pt idx="108">
                  <c:v>10.16</c:v>
                </c:pt>
                <c:pt idx="109">
                  <c:v>12.3</c:v>
                </c:pt>
                <c:pt idx="110">
                  <c:v>7.4</c:v>
                </c:pt>
                <c:pt idx="111">
                  <c:v>21.78</c:v>
                </c:pt>
                <c:pt idx="112">
                  <c:v>7.39</c:v>
                </c:pt>
                <c:pt idx="113">
                  <c:v>6.68</c:v>
                </c:pt>
                <c:pt idx="114">
                  <c:v>8.0399999999999991</c:v>
                </c:pt>
                <c:pt idx="115">
                  <c:v>6.71</c:v>
                </c:pt>
                <c:pt idx="116">
                  <c:v>14.39</c:v>
                </c:pt>
                <c:pt idx="117">
                  <c:v>12.8</c:v>
                </c:pt>
                <c:pt idx="118">
                  <c:v>23.95</c:v>
                </c:pt>
                <c:pt idx="119">
                  <c:v>9.5</c:v>
                </c:pt>
                <c:pt idx="120">
                  <c:v>16.48</c:v>
                </c:pt>
                <c:pt idx="121">
                  <c:v>18.23</c:v>
                </c:pt>
                <c:pt idx="122">
                  <c:v>15.87</c:v>
                </c:pt>
                <c:pt idx="123">
                  <c:v>5.09</c:v>
                </c:pt>
                <c:pt idx="124">
                  <c:v>10.53</c:v>
                </c:pt>
                <c:pt idx="125">
                  <c:v>17.25</c:v>
                </c:pt>
                <c:pt idx="126">
                  <c:v>15.49</c:v>
                </c:pt>
                <c:pt idx="127">
                  <c:v>8.48</c:v>
                </c:pt>
                <c:pt idx="128">
                  <c:v>6.76</c:v>
                </c:pt>
                <c:pt idx="129">
                  <c:v>7.8</c:v>
                </c:pt>
                <c:pt idx="130">
                  <c:v>23.81</c:v>
                </c:pt>
                <c:pt idx="131">
                  <c:v>13.93</c:v>
                </c:pt>
                <c:pt idx="132">
                  <c:v>5.43</c:v>
                </c:pt>
                <c:pt idx="133">
                  <c:v>10.49</c:v>
                </c:pt>
                <c:pt idx="134">
                  <c:v>7.53</c:v>
                </c:pt>
                <c:pt idx="135">
                  <c:v>8.83</c:v>
                </c:pt>
                <c:pt idx="136">
                  <c:v>18.38</c:v>
                </c:pt>
                <c:pt idx="137">
                  <c:v>14.92</c:v>
                </c:pt>
                <c:pt idx="138">
                  <c:v>10.91</c:v>
                </c:pt>
                <c:pt idx="139">
                  <c:v>13.74</c:v>
                </c:pt>
                <c:pt idx="140">
                  <c:v>13.72</c:v>
                </c:pt>
                <c:pt idx="141">
                  <c:v>10.9</c:v>
                </c:pt>
                <c:pt idx="142">
                  <c:v>8.41</c:v>
                </c:pt>
                <c:pt idx="143">
                  <c:v>12.02</c:v>
                </c:pt>
                <c:pt idx="144">
                  <c:v>15.89</c:v>
                </c:pt>
                <c:pt idx="145">
                  <c:v>14.95</c:v>
                </c:pt>
                <c:pt idx="146">
                  <c:v>18.670000000000002</c:v>
                </c:pt>
                <c:pt idx="147">
                  <c:v>7.78</c:v>
                </c:pt>
                <c:pt idx="148">
                  <c:v>7.95</c:v>
                </c:pt>
                <c:pt idx="149">
                  <c:v>7.83</c:v>
                </c:pt>
                <c:pt idx="150">
                  <c:v>7.89</c:v>
                </c:pt>
                <c:pt idx="151">
                  <c:v>8.36</c:v>
                </c:pt>
                <c:pt idx="152">
                  <c:v>8.4700000000000006</c:v>
                </c:pt>
                <c:pt idx="153">
                  <c:v>6.63</c:v>
                </c:pt>
                <c:pt idx="154">
                  <c:v>10.199999999999999</c:v>
                </c:pt>
                <c:pt idx="155">
                  <c:v>13.14</c:v>
                </c:pt>
                <c:pt idx="156">
                  <c:v>9.25</c:v>
                </c:pt>
                <c:pt idx="157">
                  <c:v>7.76</c:v>
                </c:pt>
                <c:pt idx="158">
                  <c:v>9.08</c:v>
                </c:pt>
                <c:pt idx="159">
                  <c:v>9.1999999999999993</c:v>
                </c:pt>
                <c:pt idx="160">
                  <c:v>20.56</c:v>
                </c:pt>
                <c:pt idx="161">
                  <c:v>10.9</c:v>
                </c:pt>
                <c:pt idx="162">
                  <c:v>13.72</c:v>
                </c:pt>
                <c:pt idx="163">
                  <c:v>24.09</c:v>
                </c:pt>
                <c:pt idx="164">
                  <c:v>21.32</c:v>
                </c:pt>
                <c:pt idx="165">
                  <c:v>11.67</c:v>
                </c:pt>
                <c:pt idx="166">
                  <c:v>11.54</c:v>
                </c:pt>
                <c:pt idx="167">
                  <c:v>13.38</c:v>
                </c:pt>
                <c:pt idx="168">
                  <c:v>12.5</c:v>
                </c:pt>
                <c:pt idx="169">
                  <c:v>20.74</c:v>
                </c:pt>
                <c:pt idx="170">
                  <c:v>17.88</c:v>
                </c:pt>
                <c:pt idx="171">
                  <c:v>42.07</c:v>
                </c:pt>
                <c:pt idx="172">
                  <c:v>54.04</c:v>
                </c:pt>
                <c:pt idx="173">
                  <c:v>18.07</c:v>
                </c:pt>
                <c:pt idx="174">
                  <c:v>24.98</c:v>
                </c:pt>
                <c:pt idx="175">
                  <c:v>21.09</c:v>
                </c:pt>
                <c:pt idx="176">
                  <c:v>13</c:v>
                </c:pt>
                <c:pt idx="177">
                  <c:v>16.25</c:v>
                </c:pt>
                <c:pt idx="178">
                  <c:v>18.96</c:v>
                </c:pt>
                <c:pt idx="179">
                  <c:v>18.829999999999998</c:v>
                </c:pt>
                <c:pt idx="180">
                  <c:v>11.62</c:v>
                </c:pt>
                <c:pt idx="181">
                  <c:v>26.47</c:v>
                </c:pt>
                <c:pt idx="182">
                  <c:v>20.52</c:v>
                </c:pt>
                <c:pt idx="183">
                  <c:v>12.93</c:v>
                </c:pt>
                <c:pt idx="184">
                  <c:v>9.1300000000000008</c:v>
                </c:pt>
                <c:pt idx="185">
                  <c:v>7.16</c:v>
                </c:pt>
                <c:pt idx="186">
                  <c:v>10.76</c:v>
                </c:pt>
                <c:pt idx="187">
                  <c:v>12.89</c:v>
                </c:pt>
                <c:pt idx="188">
                  <c:v>17.87</c:v>
                </c:pt>
                <c:pt idx="189">
                  <c:v>37.01</c:v>
                </c:pt>
                <c:pt idx="190">
                  <c:v>11.08</c:v>
                </c:pt>
                <c:pt idx="191">
                  <c:v>10.26</c:v>
                </c:pt>
                <c:pt idx="192">
                  <c:v>9.36</c:v>
                </c:pt>
                <c:pt idx="193">
                  <c:v>25.21</c:v>
                </c:pt>
                <c:pt idx="194">
                  <c:v>14.59</c:v>
                </c:pt>
                <c:pt idx="195">
                  <c:v>10.91</c:v>
                </c:pt>
                <c:pt idx="196">
                  <c:v>14.1</c:v>
                </c:pt>
                <c:pt idx="197">
                  <c:v>9.2200000000000006</c:v>
                </c:pt>
                <c:pt idx="198">
                  <c:v>9.2799999999999994</c:v>
                </c:pt>
                <c:pt idx="199">
                  <c:v>10.35</c:v>
                </c:pt>
                <c:pt idx="200">
                  <c:v>12.67</c:v>
                </c:pt>
                <c:pt idx="201">
                  <c:v>11.43</c:v>
                </c:pt>
                <c:pt idx="202">
                  <c:v>28.45</c:v>
                </c:pt>
                <c:pt idx="203">
                  <c:v>31.12</c:v>
                </c:pt>
                <c:pt idx="204">
                  <c:v>27.15</c:v>
                </c:pt>
                <c:pt idx="205">
                  <c:v>46.02</c:v>
                </c:pt>
                <c:pt idx="206">
                  <c:v>15.52</c:v>
                </c:pt>
                <c:pt idx="207">
                  <c:v>28.21</c:v>
                </c:pt>
                <c:pt idx="208">
                  <c:v>20.52</c:v>
                </c:pt>
                <c:pt idx="209">
                  <c:v>10.43</c:v>
                </c:pt>
                <c:pt idx="210">
                  <c:v>9.31</c:v>
                </c:pt>
                <c:pt idx="211">
                  <c:v>11.83</c:v>
                </c:pt>
                <c:pt idx="212">
                  <c:v>12.76</c:v>
                </c:pt>
                <c:pt idx="213">
                  <c:v>26.23</c:v>
                </c:pt>
                <c:pt idx="214">
                  <c:v>10.63</c:v>
                </c:pt>
                <c:pt idx="215">
                  <c:v>10.76</c:v>
                </c:pt>
                <c:pt idx="216">
                  <c:v>11.45</c:v>
                </c:pt>
                <c:pt idx="217">
                  <c:v>23.03</c:v>
                </c:pt>
                <c:pt idx="218">
                  <c:v>7.57</c:v>
                </c:pt>
                <c:pt idx="219">
                  <c:v>11</c:v>
                </c:pt>
                <c:pt idx="220">
                  <c:v>7.3</c:v>
                </c:pt>
                <c:pt idx="221">
                  <c:v>13.99</c:v>
                </c:pt>
                <c:pt idx="222">
                  <c:v>23.41</c:v>
                </c:pt>
                <c:pt idx="223">
                  <c:v>10.51</c:v>
                </c:pt>
                <c:pt idx="224">
                  <c:v>25.97</c:v>
                </c:pt>
                <c:pt idx="225">
                  <c:v>10.36</c:v>
                </c:pt>
                <c:pt idx="226">
                  <c:v>22.9</c:v>
                </c:pt>
                <c:pt idx="227">
                  <c:v>23.23</c:v>
                </c:pt>
                <c:pt idx="228">
                  <c:v>12.06</c:v>
                </c:pt>
                <c:pt idx="229">
                  <c:v>11.63</c:v>
                </c:pt>
                <c:pt idx="230">
                  <c:v>14.77</c:v>
                </c:pt>
                <c:pt idx="231">
                  <c:v>29.21</c:v>
                </c:pt>
                <c:pt idx="232">
                  <c:v>5.85</c:v>
                </c:pt>
                <c:pt idx="233">
                  <c:v>12.02</c:v>
                </c:pt>
                <c:pt idx="234">
                  <c:v>7.11</c:v>
                </c:pt>
                <c:pt idx="235">
                  <c:v>16.579999999999998</c:v>
                </c:pt>
                <c:pt idx="236">
                  <c:v>21.31</c:v>
                </c:pt>
                <c:pt idx="237">
                  <c:v>9.9700000000000006</c:v>
                </c:pt>
                <c:pt idx="238">
                  <c:v>8.75</c:v>
                </c:pt>
                <c:pt idx="239">
                  <c:v>18.09</c:v>
                </c:pt>
                <c:pt idx="240">
                  <c:v>14.01</c:v>
                </c:pt>
                <c:pt idx="241">
                  <c:v>6.71</c:v>
                </c:pt>
                <c:pt idx="242">
                  <c:v>8.52</c:v>
                </c:pt>
                <c:pt idx="243">
                  <c:v>16.149999999999999</c:v>
                </c:pt>
                <c:pt idx="244">
                  <c:v>18.36</c:v>
                </c:pt>
                <c:pt idx="245">
                  <c:v>12.66</c:v>
                </c:pt>
                <c:pt idx="246">
                  <c:v>8.85</c:v>
                </c:pt>
                <c:pt idx="247">
                  <c:v>9.3800000000000008</c:v>
                </c:pt>
                <c:pt idx="248">
                  <c:v>27.93</c:v>
                </c:pt>
                <c:pt idx="249">
                  <c:v>12.23</c:v>
                </c:pt>
                <c:pt idx="250">
                  <c:v>10.27</c:v>
                </c:pt>
                <c:pt idx="251">
                  <c:v>38.86</c:v>
                </c:pt>
                <c:pt idx="252">
                  <c:v>19.23</c:v>
                </c:pt>
                <c:pt idx="253">
                  <c:v>19.61</c:v>
                </c:pt>
                <c:pt idx="254">
                  <c:v>20.99</c:v>
                </c:pt>
                <c:pt idx="255">
                  <c:v>15.93</c:v>
                </c:pt>
                <c:pt idx="256">
                  <c:v>73.25</c:v>
                </c:pt>
                <c:pt idx="257">
                  <c:v>30.76</c:v>
                </c:pt>
                <c:pt idx="258">
                  <c:v>101.61</c:v>
                </c:pt>
                <c:pt idx="259">
                  <c:v>34.880000000000003</c:v>
                </c:pt>
                <c:pt idx="260">
                  <c:v>17.62</c:v>
                </c:pt>
                <c:pt idx="261">
                  <c:v>23.02</c:v>
                </c:pt>
                <c:pt idx="262">
                  <c:v>11.11</c:v>
                </c:pt>
                <c:pt idx="263">
                  <c:v>9.73</c:v>
                </c:pt>
                <c:pt idx="264">
                  <c:v>6.84</c:v>
                </c:pt>
                <c:pt idx="265">
                  <c:v>12.4</c:v>
                </c:pt>
                <c:pt idx="266">
                  <c:v>14.9</c:v>
                </c:pt>
                <c:pt idx="267">
                  <c:v>8.6199999999999992</c:v>
                </c:pt>
                <c:pt idx="268">
                  <c:v>7.78</c:v>
                </c:pt>
                <c:pt idx="269">
                  <c:v>7.98</c:v>
                </c:pt>
                <c:pt idx="270">
                  <c:v>11.15</c:v>
                </c:pt>
                <c:pt idx="271">
                  <c:v>18.600000000000001</c:v>
                </c:pt>
                <c:pt idx="272">
                  <c:v>19.41</c:v>
                </c:pt>
                <c:pt idx="273">
                  <c:v>14.08</c:v>
                </c:pt>
                <c:pt idx="274">
                  <c:v>16.95</c:v>
                </c:pt>
                <c:pt idx="275">
                  <c:v>37.520000000000003</c:v>
                </c:pt>
                <c:pt idx="276">
                  <c:v>20.38</c:v>
                </c:pt>
                <c:pt idx="277">
                  <c:v>12.15</c:v>
                </c:pt>
                <c:pt idx="278">
                  <c:v>15.61</c:v>
                </c:pt>
                <c:pt idx="279">
                  <c:v>10.91</c:v>
                </c:pt>
                <c:pt idx="280">
                  <c:v>32.28</c:v>
                </c:pt>
                <c:pt idx="281">
                  <c:v>48.18</c:v>
                </c:pt>
                <c:pt idx="282">
                  <c:v>12.88</c:v>
                </c:pt>
                <c:pt idx="283">
                  <c:v>18.760000000000002</c:v>
                </c:pt>
                <c:pt idx="284">
                  <c:v>12.04</c:v>
                </c:pt>
                <c:pt idx="285">
                  <c:v>17.16</c:v>
                </c:pt>
                <c:pt idx="286">
                  <c:v>19.170000000000002</c:v>
                </c:pt>
                <c:pt idx="287">
                  <c:v>19.88</c:v>
                </c:pt>
                <c:pt idx="288">
                  <c:v>43.51</c:v>
                </c:pt>
                <c:pt idx="289">
                  <c:v>17.87</c:v>
                </c:pt>
                <c:pt idx="290">
                  <c:v>19.68</c:v>
                </c:pt>
                <c:pt idx="291">
                  <c:v>21.63</c:v>
                </c:pt>
                <c:pt idx="292">
                  <c:v>8.4</c:v>
                </c:pt>
                <c:pt idx="293">
                  <c:v>3.3</c:v>
                </c:pt>
                <c:pt idx="294">
                  <c:v>12.2</c:v>
                </c:pt>
                <c:pt idx="295">
                  <c:v>9.14</c:v>
                </c:pt>
                <c:pt idx="296">
                  <c:v>11.11</c:v>
                </c:pt>
                <c:pt idx="297">
                  <c:v>12.07</c:v>
                </c:pt>
                <c:pt idx="298">
                  <c:v>6.9</c:v>
                </c:pt>
                <c:pt idx="299">
                  <c:v>9.35</c:v>
                </c:pt>
                <c:pt idx="300">
                  <c:v>6.53</c:v>
                </c:pt>
                <c:pt idx="301">
                  <c:v>5.9</c:v>
                </c:pt>
                <c:pt idx="302">
                  <c:v>5.7</c:v>
                </c:pt>
                <c:pt idx="303">
                  <c:v>8</c:v>
                </c:pt>
                <c:pt idx="304">
                  <c:v>9.2100000000000009</c:v>
                </c:pt>
                <c:pt idx="305">
                  <c:v>11.79</c:v>
                </c:pt>
                <c:pt idx="306">
                  <c:v>24.04</c:v>
                </c:pt>
                <c:pt idx="307">
                  <c:v>10.52</c:v>
                </c:pt>
                <c:pt idx="308">
                  <c:v>9.35</c:v>
                </c:pt>
                <c:pt idx="309">
                  <c:v>12.89</c:v>
                </c:pt>
                <c:pt idx="310">
                  <c:v>20.7</c:v>
                </c:pt>
                <c:pt idx="311">
                  <c:v>7.54</c:v>
                </c:pt>
                <c:pt idx="312">
                  <c:v>5.87</c:v>
                </c:pt>
                <c:pt idx="313">
                  <c:v>11.03</c:v>
                </c:pt>
                <c:pt idx="314">
                  <c:v>11.15</c:v>
                </c:pt>
                <c:pt idx="315">
                  <c:v>10.37</c:v>
                </c:pt>
                <c:pt idx="316">
                  <c:v>10.27</c:v>
                </c:pt>
                <c:pt idx="317">
                  <c:v>12.03</c:v>
                </c:pt>
                <c:pt idx="318">
                  <c:v>15.79</c:v>
                </c:pt>
                <c:pt idx="319">
                  <c:v>14.37</c:v>
                </c:pt>
                <c:pt idx="320">
                  <c:v>11.28</c:v>
                </c:pt>
                <c:pt idx="321">
                  <c:v>10.16</c:v>
                </c:pt>
                <c:pt idx="322">
                  <c:v>6.6</c:v>
                </c:pt>
                <c:pt idx="323">
                  <c:v>18.670000000000002</c:v>
                </c:pt>
                <c:pt idx="324">
                  <c:v>11.31</c:v>
                </c:pt>
                <c:pt idx="325">
                  <c:v>20.420000000000002</c:v>
                </c:pt>
                <c:pt idx="326">
                  <c:v>12.14</c:v>
                </c:pt>
                <c:pt idx="327">
                  <c:v>12.8</c:v>
                </c:pt>
                <c:pt idx="328">
                  <c:v>19.34</c:v>
                </c:pt>
                <c:pt idx="329">
                  <c:v>15.13</c:v>
                </c:pt>
                <c:pt idx="330">
                  <c:v>13.79</c:v>
                </c:pt>
                <c:pt idx="331">
                  <c:v>8.75</c:v>
                </c:pt>
                <c:pt idx="332">
                  <c:v>6.82</c:v>
                </c:pt>
                <c:pt idx="333">
                  <c:v>6.37</c:v>
                </c:pt>
                <c:pt idx="334">
                  <c:v>4.8899999999999997</c:v>
                </c:pt>
                <c:pt idx="335">
                  <c:v>6</c:v>
                </c:pt>
                <c:pt idx="336">
                  <c:v>4.34</c:v>
                </c:pt>
                <c:pt idx="337">
                  <c:v>6.66</c:v>
                </c:pt>
                <c:pt idx="338">
                  <c:v>10.86</c:v>
                </c:pt>
                <c:pt idx="339">
                  <c:v>7.44</c:v>
                </c:pt>
                <c:pt idx="340">
                  <c:v>3.74</c:v>
                </c:pt>
                <c:pt idx="341">
                  <c:v>1.18</c:v>
                </c:pt>
                <c:pt idx="342">
                  <c:v>4.08</c:v>
                </c:pt>
                <c:pt idx="343">
                  <c:v>7.79</c:v>
                </c:pt>
                <c:pt idx="344">
                  <c:v>6.98</c:v>
                </c:pt>
                <c:pt idx="345">
                  <c:v>5.12</c:v>
                </c:pt>
                <c:pt idx="346">
                  <c:v>7.31</c:v>
                </c:pt>
                <c:pt idx="347">
                  <c:v>13.8</c:v>
                </c:pt>
                <c:pt idx="348">
                  <c:v>8.15</c:v>
                </c:pt>
                <c:pt idx="349">
                  <c:v>7.99</c:v>
                </c:pt>
                <c:pt idx="350">
                  <c:v>8.6199999999999992</c:v>
                </c:pt>
                <c:pt idx="351">
                  <c:v>7.62</c:v>
                </c:pt>
                <c:pt idx="352">
                  <c:v>13.13</c:v>
                </c:pt>
                <c:pt idx="353">
                  <c:v>18.8</c:v>
                </c:pt>
                <c:pt idx="354">
                  <c:v>10.89</c:v>
                </c:pt>
                <c:pt idx="355">
                  <c:v>7.28</c:v>
                </c:pt>
                <c:pt idx="356">
                  <c:v>13.02</c:v>
                </c:pt>
                <c:pt idx="357">
                  <c:v>9.4700000000000006</c:v>
                </c:pt>
                <c:pt idx="358">
                  <c:v>6.89</c:v>
                </c:pt>
                <c:pt idx="359">
                  <c:v>6.94</c:v>
                </c:pt>
                <c:pt idx="360">
                  <c:v>4.21</c:v>
                </c:pt>
                <c:pt idx="361">
                  <c:v>7.63</c:v>
                </c:pt>
                <c:pt idx="362">
                  <c:v>11.77</c:v>
                </c:pt>
                <c:pt idx="363">
                  <c:v>7.65</c:v>
                </c:pt>
                <c:pt idx="364">
                  <c:v>5.01</c:v>
                </c:pt>
                <c:pt idx="365">
                  <c:v>5.61</c:v>
                </c:pt>
                <c:pt idx="366">
                  <c:v>8.42</c:v>
                </c:pt>
                <c:pt idx="367">
                  <c:v>10.029999999999999</c:v>
                </c:pt>
                <c:pt idx="368">
                  <c:v>13.4</c:v>
                </c:pt>
                <c:pt idx="369">
                  <c:v>7.48</c:v>
                </c:pt>
                <c:pt idx="370">
                  <c:v>8.16</c:v>
                </c:pt>
                <c:pt idx="371">
                  <c:v>10.220000000000001</c:v>
                </c:pt>
                <c:pt idx="372">
                  <c:v>10.49</c:v>
                </c:pt>
                <c:pt idx="373">
                  <c:v>5.33</c:v>
                </c:pt>
                <c:pt idx="374">
                  <c:v>5.78</c:v>
                </c:pt>
                <c:pt idx="375">
                  <c:v>7.51</c:v>
                </c:pt>
                <c:pt idx="376">
                  <c:v>10.72</c:v>
                </c:pt>
                <c:pt idx="377">
                  <c:v>9.9600000000000009</c:v>
                </c:pt>
                <c:pt idx="378">
                  <c:v>8.1999999999999993</c:v>
                </c:pt>
                <c:pt idx="379">
                  <c:v>15.08</c:v>
                </c:pt>
                <c:pt idx="380">
                  <c:v>14.43</c:v>
                </c:pt>
                <c:pt idx="381">
                  <c:v>11.81</c:v>
                </c:pt>
                <c:pt idx="382">
                  <c:v>14.41</c:v>
                </c:pt>
                <c:pt idx="383">
                  <c:v>9.32</c:v>
                </c:pt>
                <c:pt idx="384">
                  <c:v>9.94</c:v>
                </c:pt>
                <c:pt idx="385">
                  <c:v>8.09</c:v>
                </c:pt>
                <c:pt idx="386">
                  <c:v>12.86</c:v>
                </c:pt>
                <c:pt idx="387">
                  <c:v>8.3800000000000008</c:v>
                </c:pt>
                <c:pt idx="388">
                  <c:v>13.6</c:v>
                </c:pt>
                <c:pt idx="389">
                  <c:v>11.44</c:v>
                </c:pt>
                <c:pt idx="390">
                  <c:v>19.899999999999999</c:v>
                </c:pt>
                <c:pt idx="391">
                  <c:v>7.36</c:v>
                </c:pt>
                <c:pt idx="392">
                  <c:v>9.48</c:v>
                </c:pt>
                <c:pt idx="393">
                  <c:v>6.91</c:v>
                </c:pt>
                <c:pt idx="394">
                  <c:v>9.27</c:v>
                </c:pt>
                <c:pt idx="395">
                  <c:v>6.09</c:v>
                </c:pt>
                <c:pt idx="396">
                  <c:v>8.4499999999999993</c:v>
                </c:pt>
                <c:pt idx="397">
                  <c:v>9.85</c:v>
                </c:pt>
                <c:pt idx="398">
                  <c:v>9.57</c:v>
                </c:pt>
                <c:pt idx="399">
                  <c:v>19.32</c:v>
                </c:pt>
                <c:pt idx="400">
                  <c:v>16.27</c:v>
                </c:pt>
                <c:pt idx="401">
                  <c:v>14.92</c:v>
                </c:pt>
                <c:pt idx="402">
                  <c:v>7.56</c:v>
                </c:pt>
                <c:pt idx="403">
                  <c:v>11.58</c:v>
                </c:pt>
                <c:pt idx="404">
                  <c:v>13.19</c:v>
                </c:pt>
                <c:pt idx="405">
                  <c:v>9.76</c:v>
                </c:pt>
                <c:pt idx="406">
                  <c:v>6.39</c:v>
                </c:pt>
                <c:pt idx="407">
                  <c:v>9.16</c:v>
                </c:pt>
                <c:pt idx="408">
                  <c:v>6.83</c:v>
                </c:pt>
                <c:pt idx="409">
                  <c:v>10.62</c:v>
                </c:pt>
                <c:pt idx="410">
                  <c:v>10.32</c:v>
                </c:pt>
                <c:pt idx="411">
                  <c:v>6.44</c:v>
                </c:pt>
                <c:pt idx="412">
                  <c:v>8.19</c:v>
                </c:pt>
                <c:pt idx="413">
                  <c:v>9.98</c:v>
                </c:pt>
                <c:pt idx="414">
                  <c:v>13.99</c:v>
                </c:pt>
                <c:pt idx="415">
                  <c:v>18.14</c:v>
                </c:pt>
                <c:pt idx="416">
                  <c:v>43.53</c:v>
                </c:pt>
                <c:pt idx="417">
                  <c:v>38.979999999999997</c:v>
                </c:pt>
                <c:pt idx="418">
                  <c:v>13.97</c:v>
                </c:pt>
                <c:pt idx="419">
                  <c:v>20.25</c:v>
                </c:pt>
                <c:pt idx="420">
                  <c:v>13.87</c:v>
                </c:pt>
                <c:pt idx="421">
                  <c:v>5.35</c:v>
                </c:pt>
                <c:pt idx="422">
                  <c:v>6.09</c:v>
                </c:pt>
                <c:pt idx="423">
                  <c:v>5.08</c:v>
                </c:pt>
                <c:pt idx="424">
                  <c:v>7.91</c:v>
                </c:pt>
                <c:pt idx="425">
                  <c:v>12.34</c:v>
                </c:pt>
                <c:pt idx="426">
                  <c:v>8.4600000000000009</c:v>
                </c:pt>
                <c:pt idx="427">
                  <c:v>6.52</c:v>
                </c:pt>
                <c:pt idx="428">
                  <c:v>7.32</c:v>
                </c:pt>
                <c:pt idx="429">
                  <c:v>9.4700000000000006</c:v>
                </c:pt>
                <c:pt idx="430">
                  <c:v>16.25</c:v>
                </c:pt>
                <c:pt idx="431">
                  <c:v>7.73</c:v>
                </c:pt>
                <c:pt idx="432">
                  <c:v>10.7</c:v>
                </c:pt>
                <c:pt idx="433">
                  <c:v>9.11</c:v>
                </c:pt>
                <c:pt idx="434">
                  <c:v>12.08</c:v>
                </c:pt>
                <c:pt idx="435">
                  <c:v>4.87</c:v>
                </c:pt>
                <c:pt idx="436">
                  <c:v>5.48</c:v>
                </c:pt>
                <c:pt idx="437">
                  <c:v>6.09</c:v>
                </c:pt>
                <c:pt idx="438">
                  <c:v>6.64</c:v>
                </c:pt>
                <c:pt idx="439">
                  <c:v>6.06</c:v>
                </c:pt>
                <c:pt idx="440">
                  <c:v>4.47</c:v>
                </c:pt>
                <c:pt idx="441">
                  <c:v>4.1900000000000004</c:v>
                </c:pt>
                <c:pt idx="442">
                  <c:v>11.73</c:v>
                </c:pt>
                <c:pt idx="443">
                  <c:v>7.5</c:v>
                </c:pt>
                <c:pt idx="444">
                  <c:v>8.6999999999999993</c:v>
                </c:pt>
                <c:pt idx="445">
                  <c:v>16.11</c:v>
                </c:pt>
                <c:pt idx="446">
                  <c:v>8.7200000000000006</c:v>
                </c:pt>
                <c:pt idx="447">
                  <c:v>7.06</c:v>
                </c:pt>
                <c:pt idx="448">
                  <c:v>7.02</c:v>
                </c:pt>
                <c:pt idx="449">
                  <c:v>7.54</c:v>
                </c:pt>
                <c:pt idx="450">
                  <c:v>6.45</c:v>
                </c:pt>
                <c:pt idx="451">
                  <c:v>7.15</c:v>
                </c:pt>
                <c:pt idx="452">
                  <c:v>9.1999999999999993</c:v>
                </c:pt>
                <c:pt idx="453">
                  <c:v>8.8000000000000007</c:v>
                </c:pt>
                <c:pt idx="454">
                  <c:v>14.27</c:v>
                </c:pt>
                <c:pt idx="455">
                  <c:v>18.899999999999999</c:v>
                </c:pt>
                <c:pt idx="456">
                  <c:v>19.829999999999998</c:v>
                </c:pt>
                <c:pt idx="457">
                  <c:v>13</c:v>
                </c:pt>
                <c:pt idx="458">
                  <c:v>18.2</c:v>
                </c:pt>
                <c:pt idx="459">
                  <c:v>11.48</c:v>
                </c:pt>
                <c:pt idx="460">
                  <c:v>8.73</c:v>
                </c:pt>
                <c:pt idx="461">
                  <c:v>15.42</c:v>
                </c:pt>
                <c:pt idx="462">
                  <c:v>25.77</c:v>
                </c:pt>
                <c:pt idx="463">
                  <c:v>24</c:v>
                </c:pt>
                <c:pt idx="464">
                  <c:v>9.48</c:v>
                </c:pt>
                <c:pt idx="465">
                  <c:v>7.99</c:v>
                </c:pt>
                <c:pt idx="466">
                  <c:v>9.15</c:v>
                </c:pt>
                <c:pt idx="467">
                  <c:v>11.14</c:v>
                </c:pt>
                <c:pt idx="468">
                  <c:v>15.98</c:v>
                </c:pt>
                <c:pt idx="469">
                  <c:v>9.75</c:v>
                </c:pt>
                <c:pt idx="470">
                  <c:v>9.99</c:v>
                </c:pt>
                <c:pt idx="471">
                  <c:v>7.24</c:v>
                </c:pt>
                <c:pt idx="472">
                  <c:v>12.41</c:v>
                </c:pt>
                <c:pt idx="473">
                  <c:v>7.98</c:v>
                </c:pt>
                <c:pt idx="474">
                  <c:v>7.33</c:v>
                </c:pt>
                <c:pt idx="475">
                  <c:v>10.25</c:v>
                </c:pt>
                <c:pt idx="476">
                  <c:v>12.72</c:v>
                </c:pt>
                <c:pt idx="477">
                  <c:v>12.61</c:v>
                </c:pt>
                <c:pt idx="478">
                  <c:v>7.62</c:v>
                </c:pt>
                <c:pt idx="479">
                  <c:v>8.84</c:v>
                </c:pt>
                <c:pt idx="480">
                  <c:v>5.98</c:v>
                </c:pt>
                <c:pt idx="481">
                  <c:v>14.25</c:v>
                </c:pt>
                <c:pt idx="482">
                  <c:v>6.67</c:v>
                </c:pt>
                <c:pt idx="483">
                  <c:v>9.74</c:v>
                </c:pt>
                <c:pt idx="484">
                  <c:v>9.49</c:v>
                </c:pt>
                <c:pt idx="485">
                  <c:v>11.04</c:v>
                </c:pt>
                <c:pt idx="486">
                  <c:v>6.06</c:v>
                </c:pt>
                <c:pt idx="487">
                  <c:v>9.75</c:v>
                </c:pt>
                <c:pt idx="488">
                  <c:v>18.239999999999998</c:v>
                </c:pt>
                <c:pt idx="489">
                  <c:v>6.78</c:v>
                </c:pt>
                <c:pt idx="490">
                  <c:v>12.9</c:v>
                </c:pt>
                <c:pt idx="491">
                  <c:v>11.61</c:v>
                </c:pt>
                <c:pt idx="492">
                  <c:v>7.06</c:v>
                </c:pt>
                <c:pt idx="493">
                  <c:v>9.51</c:v>
                </c:pt>
                <c:pt idx="494">
                  <c:v>10.16</c:v>
                </c:pt>
                <c:pt idx="495">
                  <c:v>9.17</c:v>
                </c:pt>
                <c:pt idx="496">
                  <c:v>10.82</c:v>
                </c:pt>
                <c:pt idx="497">
                  <c:v>9.93</c:v>
                </c:pt>
                <c:pt idx="498">
                  <c:v>9.75</c:v>
                </c:pt>
                <c:pt idx="499">
                  <c:v>4.7699999999999996</c:v>
                </c:pt>
                <c:pt idx="500">
                  <c:v>11.61</c:v>
                </c:pt>
                <c:pt idx="501">
                  <c:v>10.119999999999999</c:v>
                </c:pt>
                <c:pt idx="502">
                  <c:v>48.9</c:v>
                </c:pt>
                <c:pt idx="503">
                  <c:v>15.71</c:v>
                </c:pt>
                <c:pt idx="504">
                  <c:v>8.42</c:v>
                </c:pt>
                <c:pt idx="505">
                  <c:v>10.23</c:v>
                </c:pt>
                <c:pt idx="506">
                  <c:v>8.7899999999999991</c:v>
                </c:pt>
                <c:pt idx="507">
                  <c:v>8.36</c:v>
                </c:pt>
                <c:pt idx="508">
                  <c:v>9.6300000000000008</c:v>
                </c:pt>
                <c:pt idx="509">
                  <c:v>8.92</c:v>
                </c:pt>
                <c:pt idx="510">
                  <c:v>10.71</c:v>
                </c:pt>
                <c:pt idx="511">
                  <c:v>8.18</c:v>
                </c:pt>
                <c:pt idx="512">
                  <c:v>5.0199999999999996</c:v>
                </c:pt>
                <c:pt idx="513">
                  <c:v>7.77</c:v>
                </c:pt>
                <c:pt idx="514">
                  <c:v>16.37</c:v>
                </c:pt>
                <c:pt idx="515">
                  <c:v>8.14</c:v>
                </c:pt>
                <c:pt idx="516">
                  <c:v>12.91</c:v>
                </c:pt>
                <c:pt idx="517">
                  <c:v>18.829999999999998</c:v>
                </c:pt>
                <c:pt idx="518">
                  <c:v>8.9600000000000009</c:v>
                </c:pt>
                <c:pt idx="519">
                  <c:v>8.26</c:v>
                </c:pt>
                <c:pt idx="520">
                  <c:v>7.8</c:v>
                </c:pt>
                <c:pt idx="521">
                  <c:v>7.67</c:v>
                </c:pt>
                <c:pt idx="522">
                  <c:v>9.7799999999999994</c:v>
                </c:pt>
                <c:pt idx="523">
                  <c:v>12.21</c:v>
                </c:pt>
                <c:pt idx="524">
                  <c:v>29.13</c:v>
                </c:pt>
                <c:pt idx="525">
                  <c:v>9.9</c:v>
                </c:pt>
                <c:pt idx="526">
                  <c:v>10.28</c:v>
                </c:pt>
                <c:pt idx="527">
                  <c:v>11.86</c:v>
                </c:pt>
                <c:pt idx="528">
                  <c:v>10.42</c:v>
                </c:pt>
                <c:pt idx="529">
                  <c:v>20.64</c:v>
                </c:pt>
                <c:pt idx="530">
                  <c:v>25.79</c:v>
                </c:pt>
                <c:pt idx="531">
                  <c:v>22.3</c:v>
                </c:pt>
                <c:pt idx="532">
                  <c:v>55.75</c:v>
                </c:pt>
                <c:pt idx="533">
                  <c:v>64.52</c:v>
                </c:pt>
                <c:pt idx="534">
                  <c:v>17.13</c:v>
                </c:pt>
                <c:pt idx="535">
                  <c:v>14.09</c:v>
                </c:pt>
                <c:pt idx="536">
                  <c:v>21.04</c:v>
                </c:pt>
                <c:pt idx="537">
                  <c:v>12.5</c:v>
                </c:pt>
                <c:pt idx="538">
                  <c:v>12.3</c:v>
                </c:pt>
                <c:pt idx="539">
                  <c:v>7.12</c:v>
                </c:pt>
                <c:pt idx="540">
                  <c:v>13.1</c:v>
                </c:pt>
                <c:pt idx="541">
                  <c:v>8.35</c:v>
                </c:pt>
                <c:pt idx="542">
                  <c:v>12.56</c:v>
                </c:pt>
                <c:pt idx="543">
                  <c:v>13.71</c:v>
                </c:pt>
                <c:pt idx="544">
                  <c:v>8.25</c:v>
                </c:pt>
                <c:pt idx="545">
                  <c:v>14.41</c:v>
                </c:pt>
                <c:pt idx="546">
                  <c:v>6.64</c:v>
                </c:pt>
                <c:pt idx="547">
                  <c:v>4.58</c:v>
                </c:pt>
                <c:pt idx="548">
                  <c:v>6.95</c:v>
                </c:pt>
                <c:pt idx="549">
                  <c:v>10.62</c:v>
                </c:pt>
                <c:pt idx="550">
                  <c:v>8.2799999999999994</c:v>
                </c:pt>
                <c:pt idx="551">
                  <c:v>8.17</c:v>
                </c:pt>
                <c:pt idx="552">
                  <c:v>6.69</c:v>
                </c:pt>
                <c:pt idx="553">
                  <c:v>6</c:v>
                </c:pt>
                <c:pt idx="554">
                  <c:v>5.95</c:v>
                </c:pt>
                <c:pt idx="555">
                  <c:v>6.96</c:v>
                </c:pt>
                <c:pt idx="556">
                  <c:v>8.11</c:v>
                </c:pt>
                <c:pt idx="557">
                  <c:v>7.74</c:v>
                </c:pt>
                <c:pt idx="558">
                  <c:v>6.73</c:v>
                </c:pt>
                <c:pt idx="559">
                  <c:v>9.57</c:v>
                </c:pt>
                <c:pt idx="560">
                  <c:v>10.07</c:v>
                </c:pt>
                <c:pt idx="561">
                  <c:v>6.58</c:v>
                </c:pt>
                <c:pt idx="562">
                  <c:v>7.05</c:v>
                </c:pt>
                <c:pt idx="563">
                  <c:v>5.48</c:v>
                </c:pt>
                <c:pt idx="564">
                  <c:v>7.81</c:v>
                </c:pt>
                <c:pt idx="565">
                  <c:v>12.43</c:v>
                </c:pt>
                <c:pt idx="566">
                  <c:v>8.15</c:v>
                </c:pt>
                <c:pt idx="567">
                  <c:v>7.38</c:v>
                </c:pt>
                <c:pt idx="568">
                  <c:v>10.69</c:v>
                </c:pt>
                <c:pt idx="569">
                  <c:v>11.21</c:v>
                </c:pt>
                <c:pt idx="570">
                  <c:v>8.1300000000000008</c:v>
                </c:pt>
                <c:pt idx="571">
                  <c:v>6.2</c:v>
                </c:pt>
                <c:pt idx="572">
                  <c:v>9.81</c:v>
                </c:pt>
                <c:pt idx="573">
                  <c:v>6.33</c:v>
                </c:pt>
                <c:pt idx="574">
                  <c:v>9.7200000000000006</c:v>
                </c:pt>
                <c:pt idx="575">
                  <c:v>8.39</c:v>
                </c:pt>
                <c:pt idx="576">
                  <c:v>16.63</c:v>
                </c:pt>
                <c:pt idx="577">
                  <c:v>22.56</c:v>
                </c:pt>
                <c:pt idx="578">
                  <c:v>10.19</c:v>
                </c:pt>
                <c:pt idx="579">
                  <c:v>9.9</c:v>
                </c:pt>
                <c:pt idx="580">
                  <c:v>6.93</c:v>
                </c:pt>
                <c:pt idx="581">
                  <c:v>8.14</c:v>
                </c:pt>
                <c:pt idx="582">
                  <c:v>7.77</c:v>
                </c:pt>
                <c:pt idx="583">
                  <c:v>6.5</c:v>
                </c:pt>
                <c:pt idx="584">
                  <c:v>9.1999999999999993</c:v>
                </c:pt>
                <c:pt idx="585">
                  <c:v>7.84</c:v>
                </c:pt>
                <c:pt idx="586">
                  <c:v>9.99</c:v>
                </c:pt>
                <c:pt idx="587">
                  <c:v>7.6</c:v>
                </c:pt>
                <c:pt idx="588">
                  <c:v>15.45</c:v>
                </c:pt>
                <c:pt idx="589">
                  <c:v>17.64</c:v>
                </c:pt>
                <c:pt idx="590">
                  <c:v>10.95</c:v>
                </c:pt>
                <c:pt idx="591">
                  <c:v>19.329999999999998</c:v>
                </c:pt>
                <c:pt idx="592">
                  <c:v>20.61</c:v>
                </c:pt>
                <c:pt idx="593">
                  <c:v>10.050000000000001</c:v>
                </c:pt>
                <c:pt idx="594">
                  <c:v>8.39</c:v>
                </c:pt>
                <c:pt idx="595">
                  <c:v>10.74</c:v>
                </c:pt>
                <c:pt idx="596">
                  <c:v>16.78</c:v>
                </c:pt>
                <c:pt idx="597">
                  <c:v>19.670000000000002</c:v>
                </c:pt>
                <c:pt idx="598">
                  <c:v>13.83</c:v>
                </c:pt>
                <c:pt idx="599">
                  <c:v>13.07</c:v>
                </c:pt>
                <c:pt idx="600">
                  <c:v>18.559999999999999</c:v>
                </c:pt>
                <c:pt idx="601">
                  <c:v>17.239999999999998</c:v>
                </c:pt>
                <c:pt idx="602">
                  <c:v>3.17</c:v>
                </c:pt>
                <c:pt idx="603">
                  <c:v>27.37</c:v>
                </c:pt>
                <c:pt idx="604">
                  <c:v>18.47</c:v>
                </c:pt>
                <c:pt idx="605">
                  <c:v>16.3</c:v>
                </c:pt>
                <c:pt idx="606">
                  <c:v>20.89</c:v>
                </c:pt>
                <c:pt idx="607">
                  <c:v>6.93</c:v>
                </c:pt>
                <c:pt idx="608">
                  <c:v>6.42</c:v>
                </c:pt>
                <c:pt idx="609">
                  <c:v>7.27</c:v>
                </c:pt>
                <c:pt idx="610">
                  <c:v>10.34</c:v>
                </c:pt>
                <c:pt idx="611">
                  <c:v>10.61</c:v>
                </c:pt>
                <c:pt idx="612">
                  <c:v>9.39</c:v>
                </c:pt>
                <c:pt idx="613">
                  <c:v>10.51</c:v>
                </c:pt>
                <c:pt idx="614">
                  <c:v>22.24</c:v>
                </c:pt>
                <c:pt idx="615">
                  <c:v>8.8000000000000007</c:v>
                </c:pt>
                <c:pt idx="616">
                  <c:v>9.11</c:v>
                </c:pt>
                <c:pt idx="617">
                  <c:v>12.43</c:v>
                </c:pt>
                <c:pt idx="618">
                  <c:v>18.28</c:v>
                </c:pt>
                <c:pt idx="619">
                  <c:v>15.55</c:v>
                </c:pt>
                <c:pt idx="620">
                  <c:v>9.99</c:v>
                </c:pt>
                <c:pt idx="621">
                  <c:v>16.21</c:v>
                </c:pt>
                <c:pt idx="622">
                  <c:v>22.84</c:v>
                </c:pt>
                <c:pt idx="623">
                  <c:v>24.18</c:v>
                </c:pt>
                <c:pt idx="624">
                  <c:v>20.99</c:v>
                </c:pt>
                <c:pt idx="625">
                  <c:v>9.5299999999999994</c:v>
                </c:pt>
                <c:pt idx="626">
                  <c:v>14.37</c:v>
                </c:pt>
                <c:pt idx="627">
                  <c:v>12.49</c:v>
                </c:pt>
                <c:pt idx="628">
                  <c:v>8.42</c:v>
                </c:pt>
                <c:pt idx="629">
                  <c:v>12.27</c:v>
                </c:pt>
                <c:pt idx="630">
                  <c:v>10.52</c:v>
                </c:pt>
                <c:pt idx="631">
                  <c:v>8.7100000000000009</c:v>
                </c:pt>
                <c:pt idx="632">
                  <c:v>9.41</c:v>
                </c:pt>
                <c:pt idx="633">
                  <c:v>10.91</c:v>
                </c:pt>
                <c:pt idx="634">
                  <c:v>8.09</c:v>
                </c:pt>
                <c:pt idx="635">
                  <c:v>11.97</c:v>
                </c:pt>
                <c:pt idx="636">
                  <c:v>17.47</c:v>
                </c:pt>
                <c:pt idx="637">
                  <c:v>25.76</c:v>
                </c:pt>
                <c:pt idx="638">
                  <c:v>13.25</c:v>
                </c:pt>
                <c:pt idx="639">
                  <c:v>17.829999999999998</c:v>
                </c:pt>
                <c:pt idx="640">
                  <c:v>11.36</c:v>
                </c:pt>
                <c:pt idx="641">
                  <c:v>6.96</c:v>
                </c:pt>
                <c:pt idx="642">
                  <c:v>7.76</c:v>
                </c:pt>
                <c:pt idx="643">
                  <c:v>11.35</c:v>
                </c:pt>
                <c:pt idx="644">
                  <c:v>9.34</c:v>
                </c:pt>
                <c:pt idx="645">
                  <c:v>11.36</c:v>
                </c:pt>
                <c:pt idx="646">
                  <c:v>10.42</c:v>
                </c:pt>
                <c:pt idx="647">
                  <c:v>9.8800000000000008</c:v>
                </c:pt>
                <c:pt idx="648">
                  <c:v>7.98</c:v>
                </c:pt>
                <c:pt idx="649">
                  <c:v>8.61</c:v>
                </c:pt>
                <c:pt idx="650">
                  <c:v>6.42</c:v>
                </c:pt>
                <c:pt idx="651">
                  <c:v>10.89</c:v>
                </c:pt>
                <c:pt idx="652">
                  <c:v>8.92</c:v>
                </c:pt>
                <c:pt idx="653">
                  <c:v>8.31</c:v>
                </c:pt>
                <c:pt idx="654">
                  <c:v>10.09</c:v>
                </c:pt>
                <c:pt idx="655">
                  <c:v>15.9</c:v>
                </c:pt>
                <c:pt idx="656">
                  <c:v>17.7</c:v>
                </c:pt>
                <c:pt idx="657">
                  <c:v>38.979999999999997</c:v>
                </c:pt>
                <c:pt idx="658">
                  <c:v>15.89</c:v>
                </c:pt>
                <c:pt idx="659">
                  <c:v>16.93</c:v>
                </c:pt>
                <c:pt idx="660">
                  <c:v>10.84</c:v>
                </c:pt>
                <c:pt idx="661">
                  <c:v>9.35</c:v>
                </c:pt>
                <c:pt idx="662">
                  <c:v>9.74</c:v>
                </c:pt>
                <c:pt idx="663">
                  <c:v>10.64</c:v>
                </c:pt>
                <c:pt idx="664">
                  <c:v>9.9700000000000006</c:v>
                </c:pt>
                <c:pt idx="665">
                  <c:v>16.04</c:v>
                </c:pt>
                <c:pt idx="666">
                  <c:v>15.79</c:v>
                </c:pt>
                <c:pt idx="667">
                  <c:v>9.19</c:v>
                </c:pt>
                <c:pt idx="668">
                  <c:v>11.32</c:v>
                </c:pt>
                <c:pt idx="669">
                  <c:v>11.03</c:v>
                </c:pt>
                <c:pt idx="670">
                  <c:v>13.41</c:v>
                </c:pt>
                <c:pt idx="671">
                  <c:v>9.2799999999999994</c:v>
                </c:pt>
                <c:pt idx="672">
                  <c:v>14.07</c:v>
                </c:pt>
                <c:pt idx="673">
                  <c:v>12.35</c:v>
                </c:pt>
                <c:pt idx="674">
                  <c:v>11.11</c:v>
                </c:pt>
                <c:pt idx="675">
                  <c:v>13.79</c:v>
                </c:pt>
                <c:pt idx="676">
                  <c:v>18.29</c:v>
                </c:pt>
                <c:pt idx="677">
                  <c:v>18.57</c:v>
                </c:pt>
                <c:pt idx="678">
                  <c:v>39.880000000000003</c:v>
                </c:pt>
                <c:pt idx="679">
                  <c:v>35.17</c:v>
                </c:pt>
                <c:pt idx="680">
                  <c:v>19.260000000000002</c:v>
                </c:pt>
                <c:pt idx="681">
                  <c:v>16.02</c:v>
                </c:pt>
                <c:pt idx="682">
                  <c:v>11.24</c:v>
                </c:pt>
                <c:pt idx="683">
                  <c:v>8.17</c:v>
                </c:pt>
                <c:pt idx="684">
                  <c:v>7.01</c:v>
                </c:pt>
                <c:pt idx="685">
                  <c:v>9.07</c:v>
                </c:pt>
                <c:pt idx="686">
                  <c:v>11.32</c:v>
                </c:pt>
                <c:pt idx="687">
                  <c:v>13.88</c:v>
                </c:pt>
                <c:pt idx="688">
                  <c:v>17.079999999999998</c:v>
                </c:pt>
                <c:pt idx="689">
                  <c:v>16.649999999999999</c:v>
                </c:pt>
                <c:pt idx="690">
                  <c:v>14.29</c:v>
                </c:pt>
                <c:pt idx="691">
                  <c:v>5.0599999999999996</c:v>
                </c:pt>
                <c:pt idx="692">
                  <c:v>7.42</c:v>
                </c:pt>
                <c:pt idx="693">
                  <c:v>11.09</c:v>
                </c:pt>
                <c:pt idx="694">
                  <c:v>8.3699999999999992</c:v>
                </c:pt>
                <c:pt idx="695">
                  <c:v>9.86</c:v>
                </c:pt>
                <c:pt idx="696">
                  <c:v>14.36</c:v>
                </c:pt>
                <c:pt idx="697">
                  <c:v>10.83</c:v>
                </c:pt>
                <c:pt idx="698">
                  <c:v>10.93</c:v>
                </c:pt>
                <c:pt idx="699">
                  <c:v>12.49</c:v>
                </c:pt>
                <c:pt idx="700">
                  <c:v>14.24</c:v>
                </c:pt>
                <c:pt idx="701">
                  <c:v>14.7</c:v>
                </c:pt>
                <c:pt idx="702">
                  <c:v>23.21</c:v>
                </c:pt>
                <c:pt idx="703">
                  <c:v>11.82</c:v>
                </c:pt>
                <c:pt idx="704">
                  <c:v>13.47</c:v>
                </c:pt>
                <c:pt idx="705">
                  <c:v>18.420000000000002</c:v>
                </c:pt>
                <c:pt idx="706">
                  <c:v>15.29</c:v>
                </c:pt>
                <c:pt idx="707">
                  <c:v>15.55</c:v>
                </c:pt>
                <c:pt idx="708">
                  <c:v>21.7</c:v>
                </c:pt>
                <c:pt idx="709">
                  <c:v>32.369999999999997</c:v>
                </c:pt>
                <c:pt idx="710">
                  <c:v>78.290000000000006</c:v>
                </c:pt>
                <c:pt idx="711">
                  <c:v>20.2</c:v>
                </c:pt>
                <c:pt idx="712">
                  <c:v>17.8</c:v>
                </c:pt>
                <c:pt idx="713">
                  <c:v>8.19</c:v>
                </c:pt>
                <c:pt idx="714">
                  <c:v>11.92</c:v>
                </c:pt>
                <c:pt idx="715">
                  <c:v>20.04</c:v>
                </c:pt>
                <c:pt idx="716">
                  <c:v>17.34</c:v>
                </c:pt>
                <c:pt idx="717">
                  <c:v>18.03</c:v>
                </c:pt>
                <c:pt idx="718">
                  <c:v>21.4</c:v>
                </c:pt>
                <c:pt idx="719">
                  <c:v>34.49</c:v>
                </c:pt>
                <c:pt idx="720">
                  <c:v>17.93</c:v>
                </c:pt>
                <c:pt idx="721">
                  <c:v>25.95</c:v>
                </c:pt>
                <c:pt idx="722">
                  <c:v>18.97</c:v>
                </c:pt>
                <c:pt idx="723">
                  <c:v>20.420000000000002</c:v>
                </c:pt>
                <c:pt idx="724">
                  <c:v>27.92</c:v>
                </c:pt>
                <c:pt idx="725">
                  <c:v>16.579999999999998</c:v>
                </c:pt>
                <c:pt idx="726">
                  <c:v>20.54</c:v>
                </c:pt>
                <c:pt idx="727">
                  <c:v>24.21</c:v>
                </c:pt>
                <c:pt idx="728">
                  <c:v>15.67</c:v>
                </c:pt>
                <c:pt idx="729">
                  <c:v>23.41</c:v>
                </c:pt>
                <c:pt idx="730">
                  <c:v>24.51</c:v>
                </c:pt>
                <c:pt idx="731">
                  <c:v>23.38</c:v>
                </c:pt>
                <c:pt idx="732">
                  <c:v>24.4</c:v>
                </c:pt>
                <c:pt idx="733">
                  <c:v>21.41</c:v>
                </c:pt>
                <c:pt idx="734">
                  <c:v>23.55</c:v>
                </c:pt>
                <c:pt idx="735">
                  <c:v>46.15</c:v>
                </c:pt>
                <c:pt idx="736">
                  <c:v>37.83</c:v>
                </c:pt>
                <c:pt idx="737">
                  <c:v>16.059999999999999</c:v>
                </c:pt>
                <c:pt idx="738">
                  <c:v>19.600000000000001</c:v>
                </c:pt>
                <c:pt idx="739">
                  <c:v>27.18</c:v>
                </c:pt>
                <c:pt idx="740">
                  <c:v>15.91</c:v>
                </c:pt>
                <c:pt idx="741">
                  <c:v>14.31</c:v>
                </c:pt>
                <c:pt idx="742">
                  <c:v>25.66</c:v>
                </c:pt>
                <c:pt idx="743">
                  <c:v>17.600000000000001</c:v>
                </c:pt>
                <c:pt idx="744">
                  <c:v>18.12</c:v>
                </c:pt>
                <c:pt idx="745">
                  <c:v>24.92</c:v>
                </c:pt>
                <c:pt idx="746">
                  <c:v>29.28</c:v>
                </c:pt>
                <c:pt idx="747">
                  <c:v>38.24</c:v>
                </c:pt>
                <c:pt idx="748">
                  <c:v>40.49</c:v>
                </c:pt>
                <c:pt idx="749">
                  <c:v>36.950000000000003</c:v>
                </c:pt>
                <c:pt idx="750">
                  <c:v>27.98</c:v>
                </c:pt>
                <c:pt idx="751">
                  <c:v>34.22</c:v>
                </c:pt>
                <c:pt idx="752">
                  <c:v>21.63</c:v>
                </c:pt>
                <c:pt idx="753">
                  <c:v>33</c:v>
                </c:pt>
                <c:pt idx="754">
                  <c:v>35.11</c:v>
                </c:pt>
                <c:pt idx="755">
                  <c:v>41.7</c:v>
                </c:pt>
                <c:pt idx="756">
                  <c:v>36.130000000000003</c:v>
                </c:pt>
                <c:pt idx="757">
                  <c:v>42.29</c:v>
                </c:pt>
                <c:pt idx="758">
                  <c:v>36.04</c:v>
                </c:pt>
                <c:pt idx="759">
                  <c:v>45.26</c:v>
                </c:pt>
                <c:pt idx="760">
                  <c:v>66.84</c:v>
                </c:pt>
                <c:pt idx="761">
                  <c:v>28.53</c:v>
                </c:pt>
                <c:pt idx="762">
                  <c:v>19.3</c:v>
                </c:pt>
                <c:pt idx="763">
                  <c:v>20.03</c:v>
                </c:pt>
                <c:pt idx="764">
                  <c:v>23.63</c:v>
                </c:pt>
                <c:pt idx="765">
                  <c:v>41.34</c:v>
                </c:pt>
                <c:pt idx="766">
                  <c:v>11.01</c:v>
                </c:pt>
                <c:pt idx="767">
                  <c:v>25.75</c:v>
                </c:pt>
                <c:pt idx="768">
                  <c:v>16.13</c:v>
                </c:pt>
                <c:pt idx="769">
                  <c:v>8.67</c:v>
                </c:pt>
                <c:pt idx="770">
                  <c:v>14.02</c:v>
                </c:pt>
                <c:pt idx="771">
                  <c:v>11.23</c:v>
                </c:pt>
                <c:pt idx="772">
                  <c:v>12.88</c:v>
                </c:pt>
                <c:pt idx="773">
                  <c:v>22.75</c:v>
                </c:pt>
                <c:pt idx="774">
                  <c:v>18.100000000000001</c:v>
                </c:pt>
                <c:pt idx="775">
                  <c:v>19.559999999999999</c:v>
                </c:pt>
                <c:pt idx="776">
                  <c:v>11.89</c:v>
                </c:pt>
                <c:pt idx="777">
                  <c:v>16.2</c:v>
                </c:pt>
                <c:pt idx="778">
                  <c:v>24.17</c:v>
                </c:pt>
                <c:pt idx="779">
                  <c:v>56.71</c:v>
                </c:pt>
                <c:pt idx="780">
                  <c:v>27.85</c:v>
                </c:pt>
                <c:pt idx="781">
                  <c:v>41.13</c:v>
                </c:pt>
                <c:pt idx="782">
                  <c:v>43.21</c:v>
                </c:pt>
                <c:pt idx="783">
                  <c:v>15.04</c:v>
                </c:pt>
                <c:pt idx="784">
                  <c:v>15.28</c:v>
                </c:pt>
                <c:pt idx="785">
                  <c:v>23.15</c:v>
                </c:pt>
                <c:pt idx="786">
                  <c:v>18.32</c:v>
                </c:pt>
                <c:pt idx="787">
                  <c:v>17.350000000000001</c:v>
                </c:pt>
                <c:pt idx="788">
                  <c:v>16.59</c:v>
                </c:pt>
                <c:pt idx="789">
                  <c:v>17.329999999999998</c:v>
                </c:pt>
                <c:pt idx="790">
                  <c:v>11.47</c:v>
                </c:pt>
                <c:pt idx="791">
                  <c:v>14.39</c:v>
                </c:pt>
                <c:pt idx="792">
                  <c:v>12.32</c:v>
                </c:pt>
                <c:pt idx="793">
                  <c:v>10.57</c:v>
                </c:pt>
                <c:pt idx="794">
                  <c:v>11.5</c:v>
                </c:pt>
                <c:pt idx="795">
                  <c:v>13.16</c:v>
                </c:pt>
                <c:pt idx="796">
                  <c:v>8.02</c:v>
                </c:pt>
                <c:pt idx="797">
                  <c:v>15.84</c:v>
                </c:pt>
                <c:pt idx="798">
                  <c:v>8.86</c:v>
                </c:pt>
                <c:pt idx="799">
                  <c:v>8.9499999999999993</c:v>
                </c:pt>
                <c:pt idx="800">
                  <c:v>11.23</c:v>
                </c:pt>
                <c:pt idx="801">
                  <c:v>9.0500000000000007</c:v>
                </c:pt>
                <c:pt idx="802">
                  <c:v>7.77</c:v>
                </c:pt>
                <c:pt idx="803">
                  <c:v>7.58</c:v>
                </c:pt>
                <c:pt idx="804">
                  <c:v>9.74</c:v>
                </c:pt>
                <c:pt idx="805">
                  <c:v>11.48</c:v>
                </c:pt>
                <c:pt idx="806">
                  <c:v>11.57</c:v>
                </c:pt>
                <c:pt idx="807">
                  <c:v>8.15</c:v>
                </c:pt>
                <c:pt idx="808">
                  <c:v>16.579999999999998</c:v>
                </c:pt>
                <c:pt idx="809">
                  <c:v>22.21</c:v>
                </c:pt>
                <c:pt idx="810">
                  <c:v>17.239999999999998</c:v>
                </c:pt>
                <c:pt idx="811">
                  <c:v>19.399999999999999</c:v>
                </c:pt>
                <c:pt idx="812">
                  <c:v>37.340000000000003</c:v>
                </c:pt>
                <c:pt idx="813">
                  <c:v>29.68</c:v>
                </c:pt>
                <c:pt idx="814">
                  <c:v>24.2</c:v>
                </c:pt>
                <c:pt idx="815">
                  <c:v>34.65</c:v>
                </c:pt>
                <c:pt idx="816">
                  <c:v>37.51</c:v>
                </c:pt>
                <c:pt idx="817">
                  <c:v>22.05</c:v>
                </c:pt>
                <c:pt idx="818">
                  <c:v>35.159999999999997</c:v>
                </c:pt>
                <c:pt idx="819">
                  <c:v>38.24</c:v>
                </c:pt>
                <c:pt idx="820">
                  <c:v>9.86</c:v>
                </c:pt>
                <c:pt idx="821">
                  <c:v>8.9</c:v>
                </c:pt>
                <c:pt idx="822">
                  <c:v>13.14</c:v>
                </c:pt>
                <c:pt idx="823">
                  <c:v>13.79</c:v>
                </c:pt>
                <c:pt idx="824">
                  <c:v>15.9</c:v>
                </c:pt>
                <c:pt idx="825">
                  <c:v>13</c:v>
                </c:pt>
                <c:pt idx="826">
                  <c:v>23.5</c:v>
                </c:pt>
                <c:pt idx="827">
                  <c:v>22.13</c:v>
                </c:pt>
                <c:pt idx="828">
                  <c:v>27.03</c:v>
                </c:pt>
                <c:pt idx="829">
                  <c:v>23.9</c:v>
                </c:pt>
                <c:pt idx="830">
                  <c:v>14.14</c:v>
                </c:pt>
                <c:pt idx="831">
                  <c:v>13.43</c:v>
                </c:pt>
                <c:pt idx="832">
                  <c:v>22.57</c:v>
                </c:pt>
                <c:pt idx="833">
                  <c:v>20.23</c:v>
                </c:pt>
                <c:pt idx="834">
                  <c:v>46.7</c:v>
                </c:pt>
                <c:pt idx="835">
                  <c:v>14.68</c:v>
                </c:pt>
                <c:pt idx="836">
                  <c:v>38.76</c:v>
                </c:pt>
                <c:pt idx="837">
                  <c:v>11.86</c:v>
                </c:pt>
                <c:pt idx="838">
                  <c:v>8.1300000000000008</c:v>
                </c:pt>
                <c:pt idx="839">
                  <c:v>13.43</c:v>
                </c:pt>
                <c:pt idx="840">
                  <c:v>11.52</c:v>
                </c:pt>
                <c:pt idx="841">
                  <c:v>20.27</c:v>
                </c:pt>
                <c:pt idx="842">
                  <c:v>7.02</c:v>
                </c:pt>
                <c:pt idx="843">
                  <c:v>17.84</c:v>
                </c:pt>
                <c:pt idx="844">
                  <c:v>14.34</c:v>
                </c:pt>
                <c:pt idx="845">
                  <c:v>23.2</c:v>
                </c:pt>
                <c:pt idx="846">
                  <c:v>26.64</c:v>
                </c:pt>
                <c:pt idx="847">
                  <c:v>46.28</c:v>
                </c:pt>
                <c:pt idx="848">
                  <c:v>25.91</c:v>
                </c:pt>
                <c:pt idx="849">
                  <c:v>18.93</c:v>
                </c:pt>
                <c:pt idx="850">
                  <c:v>22.33</c:v>
                </c:pt>
                <c:pt idx="851">
                  <c:v>35.54</c:v>
                </c:pt>
                <c:pt idx="852">
                  <c:v>22.52</c:v>
                </c:pt>
                <c:pt idx="853">
                  <c:v>47.82</c:v>
                </c:pt>
                <c:pt idx="854">
                  <c:v>59.06</c:v>
                </c:pt>
                <c:pt idx="855">
                  <c:v>60.29</c:v>
                </c:pt>
                <c:pt idx="856">
                  <c:v>85.41</c:v>
                </c:pt>
                <c:pt idx="857">
                  <c:v>50.16</c:v>
                </c:pt>
                <c:pt idx="858">
                  <c:v>29.22</c:v>
                </c:pt>
                <c:pt idx="859">
                  <c:v>21.18</c:v>
                </c:pt>
                <c:pt idx="860">
                  <c:v>9.74</c:v>
                </c:pt>
                <c:pt idx="861">
                  <c:v>10.37</c:v>
                </c:pt>
                <c:pt idx="862">
                  <c:v>17.510000000000002</c:v>
                </c:pt>
                <c:pt idx="863">
                  <c:v>9.2200000000000006</c:v>
                </c:pt>
                <c:pt idx="864">
                  <c:v>10.69</c:v>
                </c:pt>
                <c:pt idx="865">
                  <c:v>15.96</c:v>
                </c:pt>
                <c:pt idx="866">
                  <c:v>16.36</c:v>
                </c:pt>
                <c:pt idx="867">
                  <c:v>15.45</c:v>
                </c:pt>
                <c:pt idx="868">
                  <c:v>15.71</c:v>
                </c:pt>
                <c:pt idx="869">
                  <c:v>22.89</c:v>
                </c:pt>
                <c:pt idx="870">
                  <c:v>24.82</c:v>
                </c:pt>
                <c:pt idx="871">
                  <c:v>21.79</c:v>
                </c:pt>
                <c:pt idx="872">
                  <c:v>52.62</c:v>
                </c:pt>
                <c:pt idx="873">
                  <c:v>56.67</c:v>
                </c:pt>
                <c:pt idx="874">
                  <c:v>70.39</c:v>
                </c:pt>
                <c:pt idx="875">
                  <c:v>79.5</c:v>
                </c:pt>
                <c:pt idx="876">
                  <c:v>20.25</c:v>
                </c:pt>
                <c:pt idx="877">
                  <c:v>19.62</c:v>
                </c:pt>
                <c:pt idx="878">
                  <c:v>16.04</c:v>
                </c:pt>
                <c:pt idx="879">
                  <c:v>19.05</c:v>
                </c:pt>
                <c:pt idx="880">
                  <c:v>17.23</c:v>
                </c:pt>
                <c:pt idx="881">
                  <c:v>37.49</c:v>
                </c:pt>
                <c:pt idx="882">
                  <c:v>10.63</c:v>
                </c:pt>
                <c:pt idx="883">
                  <c:v>10.23</c:v>
                </c:pt>
                <c:pt idx="884">
                  <c:v>14.32</c:v>
                </c:pt>
                <c:pt idx="885">
                  <c:v>16.239999999999998</c:v>
                </c:pt>
                <c:pt idx="886">
                  <c:v>25.81</c:v>
                </c:pt>
                <c:pt idx="887">
                  <c:v>12.08</c:v>
                </c:pt>
                <c:pt idx="888">
                  <c:v>10.48</c:v>
                </c:pt>
                <c:pt idx="889">
                  <c:v>14.84</c:v>
                </c:pt>
                <c:pt idx="890">
                  <c:v>10.59</c:v>
                </c:pt>
                <c:pt idx="891">
                  <c:v>12.49</c:v>
                </c:pt>
                <c:pt idx="892">
                  <c:v>9.94</c:v>
                </c:pt>
                <c:pt idx="893">
                  <c:v>19.420000000000002</c:v>
                </c:pt>
                <c:pt idx="894">
                  <c:v>10.74</c:v>
                </c:pt>
                <c:pt idx="895">
                  <c:v>7.86</c:v>
                </c:pt>
                <c:pt idx="896">
                  <c:v>11.19</c:v>
                </c:pt>
                <c:pt idx="897">
                  <c:v>18.850000000000001</c:v>
                </c:pt>
                <c:pt idx="898">
                  <c:v>27.69</c:v>
                </c:pt>
                <c:pt idx="899">
                  <c:v>15.42</c:v>
                </c:pt>
                <c:pt idx="900">
                  <c:v>18.16</c:v>
                </c:pt>
                <c:pt idx="901">
                  <c:v>20.36</c:v>
                </c:pt>
                <c:pt idx="902">
                  <c:v>23.58</c:v>
                </c:pt>
                <c:pt idx="903">
                  <c:v>47.18</c:v>
                </c:pt>
                <c:pt idx="904">
                  <c:v>11</c:v>
                </c:pt>
                <c:pt idx="905">
                  <c:v>18.47</c:v>
                </c:pt>
                <c:pt idx="906">
                  <c:v>9.67</c:v>
                </c:pt>
                <c:pt idx="907">
                  <c:v>14.94</c:v>
                </c:pt>
                <c:pt idx="908">
                  <c:v>15.6</c:v>
                </c:pt>
                <c:pt idx="909">
                  <c:v>14.74</c:v>
                </c:pt>
                <c:pt idx="910">
                  <c:v>24.44</c:v>
                </c:pt>
                <c:pt idx="911">
                  <c:v>47.26</c:v>
                </c:pt>
                <c:pt idx="912">
                  <c:v>44.53</c:v>
                </c:pt>
                <c:pt idx="913">
                  <c:v>18.309999999999999</c:v>
                </c:pt>
                <c:pt idx="914">
                  <c:v>23.66</c:v>
                </c:pt>
                <c:pt idx="915">
                  <c:v>16.46</c:v>
                </c:pt>
                <c:pt idx="916">
                  <c:v>29.02</c:v>
                </c:pt>
                <c:pt idx="917">
                  <c:v>28.85</c:v>
                </c:pt>
                <c:pt idx="918">
                  <c:v>20.48</c:v>
                </c:pt>
                <c:pt idx="919">
                  <c:v>10.83</c:v>
                </c:pt>
                <c:pt idx="920">
                  <c:v>13.09</c:v>
                </c:pt>
                <c:pt idx="921">
                  <c:v>11.83</c:v>
                </c:pt>
                <c:pt idx="922">
                  <c:v>20.93</c:v>
                </c:pt>
                <c:pt idx="923">
                  <c:v>17.88</c:v>
                </c:pt>
                <c:pt idx="924">
                  <c:v>11.09</c:v>
                </c:pt>
                <c:pt idx="925">
                  <c:v>10.25</c:v>
                </c:pt>
                <c:pt idx="926">
                  <c:v>12.7</c:v>
                </c:pt>
                <c:pt idx="927">
                  <c:v>10.19</c:v>
                </c:pt>
                <c:pt idx="928">
                  <c:v>15.94</c:v>
                </c:pt>
                <c:pt idx="929">
                  <c:v>13.33</c:v>
                </c:pt>
                <c:pt idx="930">
                  <c:v>14.63</c:v>
                </c:pt>
                <c:pt idx="931">
                  <c:v>13.88</c:v>
                </c:pt>
                <c:pt idx="932">
                  <c:v>22.44</c:v>
                </c:pt>
                <c:pt idx="933">
                  <c:v>12.58</c:v>
                </c:pt>
                <c:pt idx="934">
                  <c:v>18.04</c:v>
                </c:pt>
                <c:pt idx="935">
                  <c:v>19.07</c:v>
                </c:pt>
                <c:pt idx="936">
                  <c:v>23.57</c:v>
                </c:pt>
                <c:pt idx="937">
                  <c:v>21.48</c:v>
                </c:pt>
                <c:pt idx="938">
                  <c:v>20.100000000000001</c:v>
                </c:pt>
                <c:pt idx="939">
                  <c:v>14.85</c:v>
                </c:pt>
                <c:pt idx="940">
                  <c:v>17.68</c:v>
                </c:pt>
                <c:pt idx="941">
                  <c:v>21.42</c:v>
                </c:pt>
                <c:pt idx="942">
                  <c:v>30.72</c:v>
                </c:pt>
                <c:pt idx="943">
                  <c:v>24.89</c:v>
                </c:pt>
                <c:pt idx="944">
                  <c:v>21.26</c:v>
                </c:pt>
                <c:pt idx="945">
                  <c:v>31.43</c:v>
                </c:pt>
                <c:pt idx="946">
                  <c:v>30.13</c:v>
                </c:pt>
                <c:pt idx="947">
                  <c:v>46.66</c:v>
                </c:pt>
                <c:pt idx="948">
                  <c:v>96.65</c:v>
                </c:pt>
                <c:pt idx="949">
                  <c:v>38.76</c:v>
                </c:pt>
                <c:pt idx="950">
                  <c:v>73.040000000000006</c:v>
                </c:pt>
                <c:pt idx="951">
                  <c:v>25.6</c:v>
                </c:pt>
                <c:pt idx="952">
                  <c:v>47.55</c:v>
                </c:pt>
                <c:pt idx="953">
                  <c:v>17.579999999999998</c:v>
                </c:pt>
                <c:pt idx="954">
                  <c:v>25.33</c:v>
                </c:pt>
                <c:pt idx="955">
                  <c:v>28.87</c:v>
                </c:pt>
                <c:pt idx="956">
                  <c:v>22.64</c:v>
                </c:pt>
                <c:pt idx="957">
                  <c:v>20.88</c:v>
                </c:pt>
                <c:pt idx="958">
                  <c:v>24.41</c:v>
                </c:pt>
                <c:pt idx="959">
                  <c:v>30.48</c:v>
                </c:pt>
                <c:pt idx="960">
                  <c:v>38</c:v>
                </c:pt>
                <c:pt idx="961">
                  <c:v>61.65</c:v>
                </c:pt>
                <c:pt idx="962">
                  <c:v>16.54</c:v>
                </c:pt>
                <c:pt idx="963">
                  <c:v>13.75</c:v>
                </c:pt>
                <c:pt idx="964">
                  <c:v>16.3</c:v>
                </c:pt>
                <c:pt idx="965">
                  <c:v>19.46</c:v>
                </c:pt>
                <c:pt idx="966">
                  <c:v>14.32</c:v>
                </c:pt>
                <c:pt idx="967">
                  <c:v>13.86</c:v>
                </c:pt>
                <c:pt idx="968">
                  <c:v>18.260000000000002</c:v>
                </c:pt>
                <c:pt idx="969">
                  <c:v>20.61</c:v>
                </c:pt>
                <c:pt idx="970">
                  <c:v>16.5</c:v>
                </c:pt>
                <c:pt idx="971">
                  <c:v>13.1</c:v>
                </c:pt>
                <c:pt idx="972">
                  <c:v>12.71</c:v>
                </c:pt>
                <c:pt idx="973">
                  <c:v>11.44</c:v>
                </c:pt>
                <c:pt idx="974">
                  <c:v>19.89</c:v>
                </c:pt>
                <c:pt idx="975">
                  <c:v>19.63</c:v>
                </c:pt>
                <c:pt idx="976">
                  <c:v>23.14</c:v>
                </c:pt>
                <c:pt idx="977">
                  <c:v>21.36</c:v>
                </c:pt>
                <c:pt idx="978">
                  <c:v>15.79</c:v>
                </c:pt>
                <c:pt idx="979">
                  <c:v>13.31</c:v>
                </c:pt>
                <c:pt idx="980">
                  <c:v>17.53</c:v>
                </c:pt>
                <c:pt idx="981">
                  <c:v>20.25</c:v>
                </c:pt>
                <c:pt idx="982">
                  <c:v>34.51</c:v>
                </c:pt>
                <c:pt idx="983">
                  <c:v>16.36</c:v>
                </c:pt>
                <c:pt idx="984">
                  <c:v>14.12</c:v>
                </c:pt>
                <c:pt idx="985">
                  <c:v>15.2</c:v>
                </c:pt>
                <c:pt idx="986">
                  <c:v>25.67</c:v>
                </c:pt>
                <c:pt idx="987">
                  <c:v>31.38</c:v>
                </c:pt>
                <c:pt idx="988">
                  <c:v>29.06</c:v>
                </c:pt>
                <c:pt idx="989">
                  <c:v>36.49</c:v>
                </c:pt>
                <c:pt idx="990">
                  <c:v>27.79</c:v>
                </c:pt>
                <c:pt idx="991">
                  <c:v>26.08</c:v>
                </c:pt>
                <c:pt idx="992">
                  <c:v>40.68</c:v>
                </c:pt>
                <c:pt idx="993">
                  <c:v>27.61</c:v>
                </c:pt>
                <c:pt idx="994">
                  <c:v>41.56</c:v>
                </c:pt>
                <c:pt idx="995">
                  <c:v>46.05</c:v>
                </c:pt>
                <c:pt idx="996">
                  <c:v>91.99</c:v>
                </c:pt>
                <c:pt idx="997">
                  <c:v>78.58</c:v>
                </c:pt>
                <c:pt idx="998">
                  <c:v>48.76</c:v>
                </c:pt>
                <c:pt idx="999">
                  <c:v>41.12</c:v>
                </c:pt>
                <c:pt idx="1000">
                  <c:v>30.79</c:v>
                </c:pt>
                <c:pt idx="1001">
                  <c:v>19.600000000000001</c:v>
                </c:pt>
                <c:pt idx="1002">
                  <c:v>22.59</c:v>
                </c:pt>
                <c:pt idx="1003">
                  <c:v>22.99</c:v>
                </c:pt>
                <c:pt idx="1004">
                  <c:v>17.32</c:v>
                </c:pt>
                <c:pt idx="1005">
                  <c:v>24.9</c:v>
                </c:pt>
                <c:pt idx="1006">
                  <c:v>20.85</c:v>
                </c:pt>
                <c:pt idx="1007">
                  <c:v>25.6</c:v>
                </c:pt>
                <c:pt idx="1008">
                  <c:v>16.23</c:v>
                </c:pt>
                <c:pt idx="1009">
                  <c:v>43.43</c:v>
                </c:pt>
                <c:pt idx="1010">
                  <c:v>25.95</c:v>
                </c:pt>
                <c:pt idx="1011">
                  <c:v>13.16</c:v>
                </c:pt>
                <c:pt idx="1012">
                  <c:v>26.68</c:v>
                </c:pt>
                <c:pt idx="1013">
                  <c:v>51.55</c:v>
                </c:pt>
                <c:pt idx="1014">
                  <c:v>28.13</c:v>
                </c:pt>
                <c:pt idx="1015">
                  <c:v>24.07</c:v>
                </c:pt>
                <c:pt idx="1016">
                  <c:v>19.850000000000001</c:v>
                </c:pt>
                <c:pt idx="1017">
                  <c:v>29.15</c:v>
                </c:pt>
                <c:pt idx="1018">
                  <c:v>31.78</c:v>
                </c:pt>
                <c:pt idx="1019">
                  <c:v>43.63</c:v>
                </c:pt>
                <c:pt idx="1020">
                  <c:v>47.28</c:v>
                </c:pt>
                <c:pt idx="1021">
                  <c:v>70.66</c:v>
                </c:pt>
                <c:pt idx="1022">
                  <c:v>41.5</c:v>
                </c:pt>
                <c:pt idx="1023">
                  <c:v>53.64</c:v>
                </c:pt>
                <c:pt idx="1024">
                  <c:v>48.46</c:v>
                </c:pt>
                <c:pt idx="1025">
                  <c:v>57.74</c:v>
                </c:pt>
                <c:pt idx="1026">
                  <c:v>23.76</c:v>
                </c:pt>
                <c:pt idx="1027">
                  <c:v>22.13</c:v>
                </c:pt>
                <c:pt idx="1028">
                  <c:v>48.47</c:v>
                </c:pt>
                <c:pt idx="1029">
                  <c:v>24.97</c:v>
                </c:pt>
                <c:pt idx="1030">
                  <c:v>24.71</c:v>
                </c:pt>
                <c:pt idx="1031">
                  <c:v>29</c:v>
                </c:pt>
                <c:pt idx="1032">
                  <c:v>44.67</c:v>
                </c:pt>
                <c:pt idx="1033">
                  <c:v>31.79</c:v>
                </c:pt>
                <c:pt idx="1034">
                  <c:v>67.61</c:v>
                </c:pt>
                <c:pt idx="1035">
                  <c:v>58.32</c:v>
                </c:pt>
                <c:pt idx="1036">
                  <c:v>48.3</c:v>
                </c:pt>
                <c:pt idx="1037">
                  <c:v>63.93</c:v>
                </c:pt>
                <c:pt idx="1038">
                  <c:v>35.619999999999997</c:v>
                </c:pt>
                <c:pt idx="1039">
                  <c:v>42.97</c:v>
                </c:pt>
                <c:pt idx="1040">
                  <c:v>56.43</c:v>
                </c:pt>
                <c:pt idx="1041">
                  <c:v>34.950000000000003</c:v>
                </c:pt>
                <c:pt idx="1042">
                  <c:v>49.07</c:v>
                </c:pt>
                <c:pt idx="1043">
                  <c:v>18.02</c:v>
                </c:pt>
                <c:pt idx="1044">
                  <c:v>26.89</c:v>
                </c:pt>
                <c:pt idx="1045">
                  <c:v>19.53</c:v>
                </c:pt>
                <c:pt idx="1046">
                  <c:v>18.25</c:v>
                </c:pt>
                <c:pt idx="1047">
                  <c:v>18.93</c:v>
                </c:pt>
                <c:pt idx="1048">
                  <c:v>26.55</c:v>
                </c:pt>
                <c:pt idx="1049">
                  <c:v>15.74</c:v>
                </c:pt>
                <c:pt idx="1050">
                  <c:v>22.77</c:v>
                </c:pt>
                <c:pt idx="1051">
                  <c:v>23.7</c:v>
                </c:pt>
                <c:pt idx="1052">
                  <c:v>40.99</c:v>
                </c:pt>
                <c:pt idx="1053">
                  <c:v>41.83</c:v>
                </c:pt>
                <c:pt idx="1054">
                  <c:v>23.78</c:v>
                </c:pt>
                <c:pt idx="1055">
                  <c:v>22.39</c:v>
                </c:pt>
                <c:pt idx="1056">
                  <c:v>19.55</c:v>
                </c:pt>
                <c:pt idx="1057">
                  <c:v>23.26</c:v>
                </c:pt>
                <c:pt idx="1058">
                  <c:v>26.99</c:v>
                </c:pt>
                <c:pt idx="1059">
                  <c:v>60.32</c:v>
                </c:pt>
                <c:pt idx="1060">
                  <c:v>65.23</c:v>
                </c:pt>
                <c:pt idx="1061">
                  <c:v>39.68</c:v>
                </c:pt>
                <c:pt idx="1062">
                  <c:v>30.85</c:v>
                </c:pt>
                <c:pt idx="1063">
                  <c:v>35.69</c:v>
                </c:pt>
                <c:pt idx="1064">
                  <c:v>22.15</c:v>
                </c:pt>
                <c:pt idx="1065">
                  <c:v>28.01</c:v>
                </c:pt>
                <c:pt idx="1066">
                  <c:v>28.43</c:v>
                </c:pt>
                <c:pt idx="1067">
                  <c:v>15.89</c:v>
                </c:pt>
                <c:pt idx="1068">
                  <c:v>31.39</c:v>
                </c:pt>
                <c:pt idx="1069">
                  <c:v>24.22</c:v>
                </c:pt>
                <c:pt idx="1070">
                  <c:v>41.66</c:v>
                </c:pt>
                <c:pt idx="1071">
                  <c:v>45.41</c:v>
                </c:pt>
                <c:pt idx="1072">
                  <c:v>23.18</c:v>
                </c:pt>
                <c:pt idx="1073">
                  <c:v>45.31</c:v>
                </c:pt>
                <c:pt idx="1074">
                  <c:v>48.98</c:v>
                </c:pt>
                <c:pt idx="1075">
                  <c:v>26.6</c:v>
                </c:pt>
                <c:pt idx="1076">
                  <c:v>20.95</c:v>
                </c:pt>
                <c:pt idx="1077">
                  <c:v>7.77</c:v>
                </c:pt>
                <c:pt idx="1078">
                  <c:v>28.2</c:v>
                </c:pt>
                <c:pt idx="1079">
                  <c:v>46.37</c:v>
                </c:pt>
                <c:pt idx="1080">
                  <c:v>63.32</c:v>
                </c:pt>
                <c:pt idx="1081">
                  <c:v>57.46</c:v>
                </c:pt>
                <c:pt idx="1082">
                  <c:v>35.29</c:v>
                </c:pt>
                <c:pt idx="1083">
                  <c:v>34.25</c:v>
                </c:pt>
                <c:pt idx="1084">
                  <c:v>27</c:v>
                </c:pt>
                <c:pt idx="1085">
                  <c:v>18.809999999999999</c:v>
                </c:pt>
                <c:pt idx="1086">
                  <c:v>22.6</c:v>
                </c:pt>
                <c:pt idx="1087">
                  <c:v>14.37</c:v>
                </c:pt>
                <c:pt idx="1088">
                  <c:v>16.350000000000001</c:v>
                </c:pt>
                <c:pt idx="1089">
                  <c:v>21.01</c:v>
                </c:pt>
                <c:pt idx="1090">
                  <c:v>16.82</c:v>
                </c:pt>
                <c:pt idx="1091">
                  <c:v>45.89</c:v>
                </c:pt>
                <c:pt idx="1092">
                  <c:v>16.079999999999998</c:v>
                </c:pt>
                <c:pt idx="1093">
                  <c:v>20.149999999999999</c:v>
                </c:pt>
                <c:pt idx="1094">
                  <c:v>22.04</c:v>
                </c:pt>
                <c:pt idx="1095">
                  <c:v>16.48</c:v>
                </c:pt>
                <c:pt idx="1096">
                  <c:v>16.149999999999999</c:v>
                </c:pt>
                <c:pt idx="1097">
                  <c:v>19.02</c:v>
                </c:pt>
                <c:pt idx="1098">
                  <c:v>20.23</c:v>
                </c:pt>
                <c:pt idx="1099">
                  <c:v>27.12</c:v>
                </c:pt>
                <c:pt idx="1100">
                  <c:v>38.22</c:v>
                </c:pt>
                <c:pt idx="1101">
                  <c:v>35.69</c:v>
                </c:pt>
                <c:pt idx="1102">
                  <c:v>66.25</c:v>
                </c:pt>
                <c:pt idx="1103">
                  <c:v>22.37</c:v>
                </c:pt>
                <c:pt idx="1104">
                  <c:v>25.5</c:v>
                </c:pt>
                <c:pt idx="1105">
                  <c:v>16.29</c:v>
                </c:pt>
                <c:pt idx="1106">
                  <c:v>21.89</c:v>
                </c:pt>
                <c:pt idx="1107">
                  <c:v>24.3</c:v>
                </c:pt>
                <c:pt idx="1108">
                  <c:v>19.760000000000002</c:v>
                </c:pt>
                <c:pt idx="1109">
                  <c:v>18.48</c:v>
                </c:pt>
                <c:pt idx="1110">
                  <c:v>25.62</c:v>
                </c:pt>
                <c:pt idx="1111">
                  <c:v>23.19</c:v>
                </c:pt>
                <c:pt idx="1112">
                  <c:v>26.63</c:v>
                </c:pt>
                <c:pt idx="1113">
                  <c:v>31.49</c:v>
                </c:pt>
                <c:pt idx="1114">
                  <c:v>61.79</c:v>
                </c:pt>
                <c:pt idx="1115">
                  <c:v>18.53</c:v>
                </c:pt>
                <c:pt idx="1116">
                  <c:v>23.89</c:v>
                </c:pt>
                <c:pt idx="1117">
                  <c:v>29.78</c:v>
                </c:pt>
                <c:pt idx="1118">
                  <c:v>33.94</c:v>
                </c:pt>
                <c:pt idx="1119">
                  <c:v>50.65</c:v>
                </c:pt>
                <c:pt idx="1120">
                  <c:v>30.77</c:v>
                </c:pt>
                <c:pt idx="1121">
                  <c:v>30.99</c:v>
                </c:pt>
                <c:pt idx="1122">
                  <c:v>19.260000000000002</c:v>
                </c:pt>
                <c:pt idx="1123">
                  <c:v>17.79</c:v>
                </c:pt>
                <c:pt idx="1124">
                  <c:v>27.83</c:v>
                </c:pt>
                <c:pt idx="1125">
                  <c:v>25.59</c:v>
                </c:pt>
                <c:pt idx="1126">
                  <c:v>32.659999999999997</c:v>
                </c:pt>
                <c:pt idx="1127">
                  <c:v>41.39</c:v>
                </c:pt>
                <c:pt idx="1128">
                  <c:v>15.69</c:v>
                </c:pt>
                <c:pt idx="1129">
                  <c:v>20.59</c:v>
                </c:pt>
                <c:pt idx="1130">
                  <c:v>39.78</c:v>
                </c:pt>
                <c:pt idx="1131">
                  <c:v>97</c:v>
                </c:pt>
                <c:pt idx="1132">
                  <c:v>34.65</c:v>
                </c:pt>
                <c:pt idx="1133">
                  <c:v>47.21</c:v>
                </c:pt>
                <c:pt idx="1134">
                  <c:v>22.63</c:v>
                </c:pt>
                <c:pt idx="1135">
                  <c:v>15.2</c:v>
                </c:pt>
                <c:pt idx="1136">
                  <c:v>14.74</c:v>
                </c:pt>
                <c:pt idx="1137">
                  <c:v>17.23</c:v>
                </c:pt>
                <c:pt idx="1138">
                  <c:v>16.91</c:v>
                </c:pt>
                <c:pt idx="1139">
                  <c:v>15.47</c:v>
                </c:pt>
                <c:pt idx="1140">
                  <c:v>12.49</c:v>
                </c:pt>
                <c:pt idx="1141">
                  <c:v>11.74</c:v>
                </c:pt>
                <c:pt idx="1142">
                  <c:v>28.75</c:v>
                </c:pt>
                <c:pt idx="1143">
                  <c:v>22.7</c:v>
                </c:pt>
                <c:pt idx="1144">
                  <c:v>21.29</c:v>
                </c:pt>
                <c:pt idx="1145">
                  <c:v>55.14</c:v>
                </c:pt>
                <c:pt idx="1146">
                  <c:v>16.47</c:v>
                </c:pt>
                <c:pt idx="1147">
                  <c:v>20.91</c:v>
                </c:pt>
                <c:pt idx="1148">
                  <c:v>17.89</c:v>
                </c:pt>
                <c:pt idx="1149">
                  <c:v>48.77</c:v>
                </c:pt>
                <c:pt idx="1150">
                  <c:v>17.190000000000001</c:v>
                </c:pt>
                <c:pt idx="1151">
                  <c:v>13.27</c:v>
                </c:pt>
                <c:pt idx="1152">
                  <c:v>16.649999999999999</c:v>
                </c:pt>
                <c:pt idx="1153">
                  <c:v>16.32</c:v>
                </c:pt>
                <c:pt idx="1154">
                  <c:v>14.83</c:v>
                </c:pt>
                <c:pt idx="1155">
                  <c:v>19.29</c:v>
                </c:pt>
                <c:pt idx="1156">
                  <c:v>22.65</c:v>
                </c:pt>
                <c:pt idx="1157">
                  <c:v>60.19</c:v>
                </c:pt>
                <c:pt idx="1158">
                  <c:v>31.49</c:v>
                </c:pt>
                <c:pt idx="1159">
                  <c:v>32.57</c:v>
                </c:pt>
                <c:pt idx="1160">
                  <c:v>28.01</c:v>
                </c:pt>
                <c:pt idx="1161">
                  <c:v>18.920000000000002</c:v>
                </c:pt>
                <c:pt idx="1162">
                  <c:v>14.88</c:v>
                </c:pt>
                <c:pt idx="1163">
                  <c:v>22.14</c:v>
                </c:pt>
                <c:pt idx="1164">
                  <c:v>23.78</c:v>
                </c:pt>
                <c:pt idx="1165">
                  <c:v>18.48</c:v>
                </c:pt>
                <c:pt idx="1166">
                  <c:v>20.3</c:v>
                </c:pt>
                <c:pt idx="1167">
                  <c:v>16.190000000000001</c:v>
                </c:pt>
                <c:pt idx="1168">
                  <c:v>18.77</c:v>
                </c:pt>
                <c:pt idx="1169">
                  <c:v>21.28</c:v>
                </c:pt>
                <c:pt idx="1170">
                  <c:v>31.28</c:v>
                </c:pt>
                <c:pt idx="1171">
                  <c:v>34.71</c:v>
                </c:pt>
                <c:pt idx="1172">
                  <c:v>37.9</c:v>
                </c:pt>
                <c:pt idx="1173">
                  <c:v>39.32</c:v>
                </c:pt>
                <c:pt idx="1174">
                  <c:v>44.3</c:v>
                </c:pt>
                <c:pt idx="1175">
                  <c:v>41.22</c:v>
                </c:pt>
                <c:pt idx="1176">
                  <c:v>91.5</c:v>
                </c:pt>
                <c:pt idx="1177">
                  <c:v>71.959999999999994</c:v>
                </c:pt>
                <c:pt idx="1178">
                  <c:v>75.58</c:v>
                </c:pt>
                <c:pt idx="1179">
                  <c:v>54.65</c:v>
                </c:pt>
                <c:pt idx="1180">
                  <c:v>26.55</c:v>
                </c:pt>
                <c:pt idx="1181">
                  <c:v>31.4</c:v>
                </c:pt>
                <c:pt idx="1182">
                  <c:v>30.53</c:v>
                </c:pt>
                <c:pt idx="1183">
                  <c:v>28.89</c:v>
                </c:pt>
                <c:pt idx="1184">
                  <c:v>24.03</c:v>
                </c:pt>
                <c:pt idx="1185">
                  <c:v>27.64</c:v>
                </c:pt>
                <c:pt idx="1186">
                  <c:v>24.46</c:v>
                </c:pt>
                <c:pt idx="1187">
                  <c:v>22.56</c:v>
                </c:pt>
                <c:pt idx="1188">
                  <c:v>19.850000000000001</c:v>
                </c:pt>
                <c:pt idx="1189">
                  <c:v>27.2</c:v>
                </c:pt>
                <c:pt idx="1190">
                  <c:v>39.909999999999997</c:v>
                </c:pt>
                <c:pt idx="1191">
                  <c:v>19.559999999999999</c:v>
                </c:pt>
                <c:pt idx="1192">
                  <c:v>14.63</c:v>
                </c:pt>
                <c:pt idx="1193">
                  <c:v>22</c:v>
                </c:pt>
                <c:pt idx="1194">
                  <c:v>18.98</c:v>
                </c:pt>
                <c:pt idx="1195">
                  <c:v>22.63</c:v>
                </c:pt>
                <c:pt idx="1196">
                  <c:v>28.51</c:v>
                </c:pt>
                <c:pt idx="1197">
                  <c:v>35.840000000000003</c:v>
                </c:pt>
                <c:pt idx="1198">
                  <c:v>24.58</c:v>
                </c:pt>
                <c:pt idx="1199">
                  <c:v>24.55</c:v>
                </c:pt>
                <c:pt idx="1200">
                  <c:v>53.24</c:v>
                </c:pt>
                <c:pt idx="1201">
                  <c:v>39.01</c:v>
                </c:pt>
                <c:pt idx="1202">
                  <c:v>58.38</c:v>
                </c:pt>
                <c:pt idx="1203">
                  <c:v>25.32</c:v>
                </c:pt>
                <c:pt idx="1204">
                  <c:v>20.14</c:v>
                </c:pt>
                <c:pt idx="1205">
                  <c:v>20.8</c:v>
                </c:pt>
                <c:pt idx="1206">
                  <c:v>14.95</c:v>
                </c:pt>
                <c:pt idx="1207">
                  <c:v>14.95</c:v>
                </c:pt>
                <c:pt idx="1208">
                  <c:v>20.02</c:v>
                </c:pt>
                <c:pt idx="1209">
                  <c:v>21.39</c:v>
                </c:pt>
                <c:pt idx="1210">
                  <c:v>18.100000000000001</c:v>
                </c:pt>
                <c:pt idx="1211">
                  <c:v>25.31</c:v>
                </c:pt>
                <c:pt idx="1212">
                  <c:v>24.25</c:v>
                </c:pt>
                <c:pt idx="1213">
                  <c:v>65.59</c:v>
                </c:pt>
                <c:pt idx="1214">
                  <c:v>17.71</c:v>
                </c:pt>
                <c:pt idx="1215">
                  <c:v>30.3</c:v>
                </c:pt>
                <c:pt idx="1216">
                  <c:v>30.17</c:v>
                </c:pt>
                <c:pt idx="1217">
                  <c:v>21.46</c:v>
                </c:pt>
                <c:pt idx="1218">
                  <c:v>17.8</c:v>
                </c:pt>
                <c:pt idx="1219">
                  <c:v>13.09</c:v>
                </c:pt>
                <c:pt idx="1220">
                  <c:v>18.05</c:v>
                </c:pt>
                <c:pt idx="1221">
                  <c:v>32.97</c:v>
                </c:pt>
                <c:pt idx="1222">
                  <c:v>25.16</c:v>
                </c:pt>
                <c:pt idx="1223">
                  <c:v>23.33</c:v>
                </c:pt>
                <c:pt idx="1224">
                  <c:v>35.770000000000003</c:v>
                </c:pt>
                <c:pt idx="1225">
                  <c:v>26.67</c:v>
                </c:pt>
                <c:pt idx="1226">
                  <c:v>27.08</c:v>
                </c:pt>
                <c:pt idx="1227">
                  <c:v>49.09</c:v>
                </c:pt>
                <c:pt idx="1228">
                  <c:v>17.739999999999998</c:v>
                </c:pt>
                <c:pt idx="1229">
                  <c:v>42.64</c:v>
                </c:pt>
                <c:pt idx="1230">
                  <c:v>37.56</c:v>
                </c:pt>
                <c:pt idx="1231">
                  <c:v>36.119999999999997</c:v>
                </c:pt>
                <c:pt idx="1232">
                  <c:v>62.87</c:v>
                </c:pt>
                <c:pt idx="1233">
                  <c:v>18.14</c:v>
                </c:pt>
              </c:numCache>
            </c:numRef>
          </c:val>
          <c:extLst>
            <c:ext xmlns:c16="http://schemas.microsoft.com/office/drawing/2014/chart" uri="{C3380CC4-5D6E-409C-BE32-E72D297353CC}">
              <c16:uniqueId val="{00000000-5BF8-4141-894A-3D993EB42B8E}"/>
            </c:ext>
          </c:extLst>
        </c:ser>
        <c:dLbls>
          <c:showLegendKey val="0"/>
          <c:showVal val="0"/>
          <c:showCatName val="0"/>
          <c:showSerName val="0"/>
          <c:showPercent val="0"/>
          <c:showBubbleSize val="0"/>
        </c:dLbls>
        <c:axId val="2028294287"/>
        <c:axId val="2028300527"/>
      </c:areaChart>
      <c:dateAx>
        <c:axId val="20282942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21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028300527"/>
        <c:crosses val="autoZero"/>
        <c:auto val="0"/>
        <c:lblOffset val="100"/>
        <c:baseTimeUnit val="days"/>
        <c:majorUnit val="6"/>
        <c:majorTimeUnit val="months"/>
      </c:dateAx>
      <c:valAx>
        <c:axId val="2028300527"/>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94287"/>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sunburst" uniqueId="{26EEF192-2790-44D9-AF86-3E09C424F9BC}">
          <cx:dataPt idx="0">
            <cx:spPr>
              <a:solidFill>
                <a:sysClr val="window" lastClr="FFFFFF">
                  <a:lumMod val="50000"/>
                </a:sysClr>
              </a:solidFill>
            </cx:spPr>
          </cx:dataPt>
          <cx:dataPt idx="1">
            <cx:spPr>
              <a:solidFill>
                <a:srgbClr val="DEF5FA">
                  <a:lumMod val="50000"/>
                </a:srgbClr>
              </a:solidFill>
            </cx:spPr>
          </cx:dataPt>
          <cx:dataPt idx="3">
            <cx:spPr>
              <a:solidFill>
                <a:srgbClr val="FF9900"/>
              </a:solidFill>
            </cx:spPr>
          </cx:dataPt>
          <cx:dataId val="0"/>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Daily Returns Distribution </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Calibri"/>
            </a:rPr>
            <a:t>Daily Returns Distribution </a:t>
          </a:r>
        </a:p>
      </cx:txPr>
    </cx:title>
    <cx:plotArea>
      <cx:plotAreaRegion>
        <cx:plotSurface>
          <cx:spPr>
            <a:ln>
              <a:noFill/>
            </a:ln>
          </cx:spPr>
        </cx:plotSurface>
        <cx:series layoutId="clusteredColumn" uniqueId="{920687AA-EABE-4F3E-9325-45F5918097FA}">
          <cx:spPr>
            <a:solidFill>
              <a:srgbClr val="082C64"/>
            </a:solidFill>
            <a:ln>
              <a:noFill/>
            </a:ln>
          </cx:spPr>
          <cx:dataId val="0"/>
          <cx:layoutPr>
            <cx:binning intervalClosed="r"/>
          </cx:layoutPr>
        </cx:series>
      </cx:plotAreaRegion>
      <cx:axis id="0">
        <cx:catScaling gapWidth="0"/>
        <cx:tickLabels/>
        <cx:numFmt formatCode="0.0000000" sourceLinked="0"/>
      </cx:axis>
      <cx:axis id="1">
        <cx:valScaling/>
        <cx:majorGridlines>
          <cx:spPr>
            <a:ln>
              <a:noFill/>
            </a:ln>
          </cx:spPr>
        </cx:majorGridlines>
        <cx:tickLabels/>
      </cx:axis>
    </cx:plotArea>
  </cx:chart>
  <cx:spPr>
    <a:ln w="3175">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sunburst" uniqueId="{26EEF192-2790-44D9-AF86-3E09C424F9BC}">
          <cx:dataPt idx="0">
            <cx:spPr>
              <a:solidFill>
                <a:sysClr val="window" lastClr="FFFFFF">
                  <a:lumMod val="50000"/>
                </a:sysClr>
              </a:solidFill>
            </cx:spPr>
          </cx:dataPt>
          <cx:dataPt idx="1">
            <cx:spPr>
              <a:solidFill>
                <a:srgbClr val="DEF5FA">
                  <a:lumMod val="50000"/>
                </a:srgbClr>
              </a:solidFill>
            </cx:spPr>
          </cx:dataPt>
          <cx:dataPt idx="3">
            <cx:spPr>
              <a:solidFill>
                <a:srgbClr val="FF66CC"/>
              </a:solidFill>
            </cx:spPr>
          </cx:dataPt>
          <cx:dataLabels pos="ctr">
            <cx:visibility seriesName="0" categoryName="1" value="0"/>
          </cx:dataLabels>
          <cx:dataId val="0"/>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 /><Relationship Id="rId2" Type="http://schemas.openxmlformats.org/officeDocument/2006/relationships/chart" Target="../charts/chart1.xml" /><Relationship Id="rId1" Type="http://schemas.openxmlformats.org/officeDocument/2006/relationships/image" Target="../media/image2.png" /><Relationship Id="rId4" Type="http://schemas.microsoft.com/office/2014/relationships/chartEx" Target="../charts/chartEx1.xml" /></Relationships>
</file>

<file path=xl/drawings/_rels/drawing2.xml.rels><?xml version="1.0" encoding="UTF-8" standalone="yes"?>
<Relationships xmlns="http://schemas.openxmlformats.org/package/2006/relationships"><Relationship Id="rId1" Type="http://schemas.openxmlformats.org/officeDocument/2006/relationships/image" Target="../media/image2.png" /></Relationships>
</file>

<file path=xl/drawings/_rels/drawing3.xml.rels><?xml version="1.0" encoding="UTF-8" standalone="yes"?>
<Relationships xmlns="http://schemas.openxmlformats.org/package/2006/relationships"><Relationship Id="rId1" Type="http://schemas.openxmlformats.org/officeDocument/2006/relationships/image" Target="../media/image2.png" /></Relationships>
</file>

<file path=xl/drawings/_rels/drawing4.xml.rels><?xml version="1.0" encoding="UTF-8" standalone="yes"?>
<Relationships xmlns="http://schemas.openxmlformats.org/package/2006/relationships"><Relationship Id="rId1" Type="http://schemas.openxmlformats.org/officeDocument/2006/relationships/image" Target="../media/image2.png" /></Relationships>
</file>

<file path=xl/drawings/_rels/drawing5.xml.rels><?xml version="1.0" encoding="UTF-8" standalone="yes"?>
<Relationships xmlns="http://schemas.openxmlformats.org/package/2006/relationships"><Relationship Id="rId1" Type="http://schemas.openxmlformats.org/officeDocument/2006/relationships/image" Target="../media/image2.png" /></Relationships>
</file>

<file path=xl/drawings/_rels/drawing6.xml.rels><?xml version="1.0" encoding="UTF-8" standalone="yes"?>
<Relationships xmlns="http://schemas.openxmlformats.org/package/2006/relationships"><Relationship Id="rId1" Type="http://schemas.openxmlformats.org/officeDocument/2006/relationships/image" Target="../media/image2.png" /></Relationships>
</file>

<file path=xl/drawings/_rels/drawing7.xml.rels><?xml version="1.0" encoding="UTF-8" standalone="yes"?>
<Relationships xmlns="http://schemas.openxmlformats.org/package/2006/relationships"><Relationship Id="rId1" Type="http://schemas.openxmlformats.org/officeDocument/2006/relationships/image" Target="../media/image2.png" /></Relationships>
</file>

<file path=xl/drawings/_rels/drawing8.xml.rels><?xml version="1.0" encoding="UTF-8" standalone="yes"?>
<Relationships xmlns="http://schemas.openxmlformats.org/package/2006/relationships"><Relationship Id="rId1" Type="http://schemas.openxmlformats.org/officeDocument/2006/relationships/image" Target="../media/image2.png" /></Relationships>
</file>

<file path=xl/drawings/_rels/drawing9.xml.rels><?xml version="1.0" encoding="UTF-8" standalone="yes"?>
<Relationships xmlns="http://schemas.openxmlformats.org/package/2006/relationships"><Relationship Id="rId2" Type="http://schemas.openxmlformats.org/officeDocument/2006/relationships/image" Target="../media/image2.png" /><Relationship Id="rId1" Type="http://schemas.microsoft.com/office/2014/relationships/chartEx" Target="../charts/chartEx2.xml" /></Relationships>
</file>

<file path=xl/drawings/_rels/drawing10.xml.rels><?xml version="1.0" encoding="UTF-8" standalone="yes"?>
<Relationships xmlns="http://schemas.openxmlformats.org/package/2006/relationships"><Relationship Id="rId3" Type="http://schemas.openxmlformats.org/officeDocument/2006/relationships/chart" Target="../charts/chart4.xml" /><Relationship Id="rId7" Type="http://schemas.openxmlformats.org/officeDocument/2006/relationships/chart" Target="../charts/chart8.xml" /><Relationship Id="rId2" Type="http://schemas.openxmlformats.org/officeDocument/2006/relationships/chart" Target="../charts/chart3.xml" /><Relationship Id="rId1" Type="http://schemas.openxmlformats.org/officeDocument/2006/relationships/image" Target="../media/image2.png" /><Relationship Id="rId6" Type="http://schemas.openxmlformats.org/officeDocument/2006/relationships/chart" Target="../charts/chart7.xml" /><Relationship Id="rId5" Type="http://schemas.openxmlformats.org/officeDocument/2006/relationships/chart" Target="../charts/chart6.xml" /><Relationship Id="rId4" Type="http://schemas.openxmlformats.org/officeDocument/2006/relationships/chart" Target="../charts/chart5.xml" /></Relationships>
</file>

<file path=xl/drawings/_rels/drawing11.xml.rels><?xml version="1.0" encoding="UTF-8" standalone="yes"?>
<Relationships xmlns="http://schemas.openxmlformats.org/package/2006/relationships"><Relationship Id="rId3" Type="http://schemas.openxmlformats.org/officeDocument/2006/relationships/chart" Target="../charts/chart10.xml" /><Relationship Id="rId7" Type="http://schemas.openxmlformats.org/officeDocument/2006/relationships/chart" Target="../charts/chart14.xml" /><Relationship Id="rId2" Type="http://schemas.openxmlformats.org/officeDocument/2006/relationships/chart" Target="../charts/chart9.xml" /><Relationship Id="rId1" Type="http://schemas.openxmlformats.org/officeDocument/2006/relationships/image" Target="../media/image2.png" /><Relationship Id="rId6" Type="http://schemas.openxmlformats.org/officeDocument/2006/relationships/chart" Target="../charts/chart13.xml" /><Relationship Id="rId5" Type="http://schemas.openxmlformats.org/officeDocument/2006/relationships/chart" Target="../charts/chart12.xml" /><Relationship Id="rId4" Type="http://schemas.openxmlformats.org/officeDocument/2006/relationships/chart" Target="../charts/chart11.xml" /></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 /></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 /></Relationships>
</file>

<file path=xl/drawings/_rels/drawing14.xml.rels><?xml version="1.0" encoding="UTF-8" standalone="yes"?>
<Relationships xmlns="http://schemas.openxmlformats.org/package/2006/relationships"><Relationship Id="rId2" Type="http://schemas.openxmlformats.org/officeDocument/2006/relationships/chart" Target="../charts/chart16.xml" /><Relationship Id="rId1" Type="http://schemas.openxmlformats.org/officeDocument/2006/relationships/chart" Target="../charts/chart15.xml" /></Relationships>
</file>

<file path=xl/drawings/_rels/drawing15.xml.rels><?xml version="1.0" encoding="UTF-8" standalone="yes"?>
<Relationships xmlns="http://schemas.openxmlformats.org/package/2006/relationships"><Relationship Id="rId1" Type="http://schemas.microsoft.com/office/2014/relationships/chartEx" Target="../charts/chartEx3.xml" /></Relationships>
</file>

<file path=xl/drawings/drawing1.xml><?xml version="1.0" encoding="utf-8"?>
<xdr:wsDr xmlns:xdr="http://schemas.openxmlformats.org/drawingml/2006/spreadsheetDrawing" xmlns:a="http://schemas.openxmlformats.org/drawingml/2006/main">
  <xdr:oneCellAnchor>
    <xdr:from>
      <xdr:col>1</xdr:col>
      <xdr:colOff>15239</xdr:colOff>
      <xdr:row>3</xdr:row>
      <xdr:rowOff>53339</xdr:rowOff>
    </xdr:from>
    <xdr:ext cx="785701" cy="815341"/>
    <xdr:pic>
      <xdr:nvPicPr>
        <xdr:cNvPr id="2" name="Picture 1">
          <a:extLst>
            <a:ext uri="{FF2B5EF4-FFF2-40B4-BE49-F238E27FC236}">
              <a16:creationId xmlns:a16="http://schemas.microsoft.com/office/drawing/2014/main" id="{F57F9113-F4DA-47B8-80A2-C6D34AB2C35D}"/>
            </a:ext>
          </a:extLst>
        </xdr:cNvPr>
        <xdr:cNvPicPr>
          <a:picLocks noChangeAspect="1"/>
        </xdr:cNvPicPr>
      </xdr:nvPicPr>
      <xdr:blipFill>
        <a:blip xmlns:r="http://schemas.openxmlformats.org/officeDocument/2006/relationships" r:embed="rId1"/>
        <a:stretch>
          <a:fillRect/>
        </a:stretch>
      </xdr:blipFill>
      <xdr:spPr>
        <a:xfrm>
          <a:off x="144779" y="510539"/>
          <a:ext cx="785701" cy="815341"/>
        </a:xfrm>
        <a:prstGeom prst="rect">
          <a:avLst/>
        </a:prstGeom>
      </xdr:spPr>
    </xdr:pic>
    <xdr:clientData/>
  </xdr:oneCellAnchor>
  <xdr:twoCellAnchor>
    <xdr:from>
      <xdr:col>8</xdr:col>
      <xdr:colOff>0</xdr:colOff>
      <xdr:row>7</xdr:row>
      <xdr:rowOff>0</xdr:rowOff>
    </xdr:from>
    <xdr:to>
      <xdr:col>12</xdr:col>
      <xdr:colOff>30480</xdr:colOff>
      <xdr:row>17</xdr:row>
      <xdr:rowOff>76200</xdr:rowOff>
    </xdr:to>
    <xdr:graphicFrame macro="">
      <xdr:nvGraphicFramePr>
        <xdr:cNvPr id="3" name="Chart 2">
          <a:extLst>
            <a:ext uri="{FF2B5EF4-FFF2-40B4-BE49-F238E27FC236}">
              <a16:creationId xmlns:a16="http://schemas.microsoft.com/office/drawing/2014/main" id="{25E0DE78-9D94-4BDB-A7D6-5180C6574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xdr:colOff>
      <xdr:row>18</xdr:row>
      <xdr:rowOff>167640</xdr:rowOff>
    </xdr:from>
    <xdr:to>
      <xdr:col>12</xdr:col>
      <xdr:colOff>175260</xdr:colOff>
      <xdr:row>27</xdr:row>
      <xdr:rowOff>144780</xdr:rowOff>
    </xdr:to>
    <xdr:graphicFrame macro="">
      <xdr:nvGraphicFramePr>
        <xdr:cNvPr id="4" name="Chart 3">
          <a:extLst>
            <a:ext uri="{FF2B5EF4-FFF2-40B4-BE49-F238E27FC236}">
              <a16:creationId xmlns:a16="http://schemas.microsoft.com/office/drawing/2014/main" id="{952A3AC0-9E36-4713-97A6-65707467D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213360</xdr:colOff>
      <xdr:row>29</xdr:row>
      <xdr:rowOff>30480</xdr:rowOff>
    </xdr:from>
    <xdr:to>
      <xdr:col>12</xdr:col>
      <xdr:colOff>381000</xdr:colOff>
      <xdr:row>37</xdr:row>
      <xdr:rowOff>15240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0927650-2632-4C8E-A3EB-E97C51A56C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57</xdr:row>
      <xdr:rowOff>15240</xdr:rowOff>
    </xdr:from>
    <xdr:to>
      <xdr:col>11</xdr:col>
      <xdr:colOff>15240</xdr:colOff>
      <xdr:row>67</xdr:row>
      <xdr:rowOff>53340</xdr:rowOff>
    </xdr:to>
    <xdr:sp macro="" textlink="">
      <xdr:nvSpPr>
        <xdr:cNvPr id="6" name="TextBox 5">
          <a:extLst>
            <a:ext uri="{FF2B5EF4-FFF2-40B4-BE49-F238E27FC236}">
              <a16:creationId xmlns:a16="http://schemas.microsoft.com/office/drawing/2014/main" id="{0711C41A-CA75-466C-8C02-F8E781B58ED8}"/>
            </a:ext>
          </a:extLst>
        </xdr:cNvPr>
        <xdr:cNvSpPr txBox="1"/>
      </xdr:nvSpPr>
      <xdr:spPr>
        <a:xfrm>
          <a:off x="129540" y="10500360"/>
          <a:ext cx="8016240" cy="1706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Clr>
              <a:srgbClr val="082C64"/>
            </a:buClr>
            <a:buFont typeface="Arial" panose="020B0604020202020204" pitchFamily="34" charset="0"/>
            <a:buChar char="•"/>
          </a:pPr>
          <a:r>
            <a:rPr lang="en-IN"/>
            <a:t>ITC posted a standalone net profit of </a:t>
          </a:r>
          <a:r>
            <a:rPr lang="en-IN" b="1"/>
            <a:t>₹4,912 crore in Q1 FY26</a:t>
          </a:r>
          <a:r>
            <a:rPr lang="en-IN"/>
            <a:t>, supported by steady growth in cigarettes, packaged foods, and agri-business, along with stronger rural demand recovery.</a:t>
          </a:r>
        </a:p>
        <a:p>
          <a:pPr marL="171450" indent="-171450">
            <a:buClr>
              <a:srgbClr val="082C64"/>
            </a:buClr>
            <a:buFont typeface="Arial" panose="020B0604020202020204" pitchFamily="34" charset="0"/>
            <a:buChar char="•"/>
          </a:pPr>
          <a:r>
            <a:rPr lang="en-IN" b="1"/>
            <a:t>British American Tobacco (BAT) trimmed its stake</a:t>
          </a:r>
          <a:r>
            <a:rPr lang="en-IN"/>
            <a:t> in ITC by 2.5%, bringing its holding down to 22.94%, while raising over ₹12,900 crore through the stake sale.</a:t>
          </a:r>
        </a:p>
        <a:p>
          <a:pPr marL="171450" indent="-171450">
            <a:buClr>
              <a:srgbClr val="082C64"/>
            </a:buClr>
            <a:buFont typeface="Arial" panose="020B0604020202020204" pitchFamily="34" charset="0"/>
            <a:buChar char="•"/>
          </a:pPr>
          <a:r>
            <a:rPr lang="en-IN" b="1"/>
            <a:t>GQG Partners raised its shareholding</a:t>
          </a:r>
          <a:r>
            <a:rPr lang="en-IN"/>
            <a:t> in ITC to 5.47%, signaling continued foreign institutional investor confidence in the company.</a:t>
          </a:r>
        </a:p>
        <a:p>
          <a:pPr marL="171450" indent="-171450">
            <a:buClr>
              <a:srgbClr val="082C64"/>
            </a:buClr>
            <a:buFont typeface="Arial" panose="020B0604020202020204" pitchFamily="34" charset="0"/>
            <a:buChar char="•"/>
          </a:pPr>
          <a:r>
            <a:rPr lang="en-IN"/>
            <a:t>ITC announced plans to </a:t>
          </a:r>
          <a:r>
            <a:rPr lang="en-IN" b="1"/>
            <a:t>invest around ₹20,000 crore</a:t>
          </a:r>
          <a:r>
            <a:rPr lang="en-IN"/>
            <a:t> in expanding manufacturing units across FMCG, packaging, and agri-business segments to strengthen its long-term growth.</a:t>
          </a:r>
        </a:p>
        <a:p>
          <a:pPr marL="171450" indent="-171450">
            <a:buClr>
              <a:srgbClr val="082C64"/>
            </a:buClr>
            <a:buFont typeface="Arial" panose="020B0604020202020204" pitchFamily="34" charset="0"/>
            <a:buChar char="•"/>
          </a:pPr>
          <a:r>
            <a:rPr lang="en-IN" b="1"/>
            <a:t>ITC Hotels is pursuing aggressive expansion</a:t>
          </a:r>
          <a:r>
            <a:rPr lang="en-IN"/>
            <a:t>, targeting 220 properties by 2030, with 30 new agreements signed in 2024 and a strong pipeline of 58 projects.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572322</xdr:colOff>
      <xdr:row>1</xdr:row>
      <xdr:rowOff>45722</xdr:rowOff>
    </xdr:from>
    <xdr:to>
      <xdr:col>11</xdr:col>
      <xdr:colOff>609600</xdr:colOff>
      <xdr:row>4</xdr:row>
      <xdr:rowOff>167401</xdr:rowOff>
    </xdr:to>
    <xdr:pic>
      <xdr:nvPicPr>
        <xdr:cNvPr id="2" name="Picture 1">
          <a:extLst>
            <a:ext uri="{FF2B5EF4-FFF2-40B4-BE49-F238E27FC236}">
              <a16:creationId xmlns:a16="http://schemas.microsoft.com/office/drawing/2014/main" id="{97FC708E-E4C1-4A8C-9F5F-957D4D8B6F13}"/>
            </a:ext>
          </a:extLst>
        </xdr:cNvPr>
        <xdr:cNvPicPr>
          <a:picLocks noChangeAspect="1"/>
        </xdr:cNvPicPr>
      </xdr:nvPicPr>
      <xdr:blipFill>
        <a:blip xmlns:r="http://schemas.openxmlformats.org/officeDocument/2006/relationships" r:embed="rId1"/>
        <a:stretch>
          <a:fillRect/>
        </a:stretch>
      </xdr:blipFill>
      <xdr:spPr>
        <a:xfrm>
          <a:off x="9739182" y="228602"/>
          <a:ext cx="860238" cy="8379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236220</xdr:colOff>
      <xdr:row>1</xdr:row>
      <xdr:rowOff>45721</xdr:rowOff>
    </xdr:from>
    <xdr:to>
      <xdr:col>11</xdr:col>
      <xdr:colOff>462157</xdr:colOff>
      <xdr:row>4</xdr:row>
      <xdr:rowOff>167640</xdr:rowOff>
    </xdr:to>
    <xdr:pic>
      <xdr:nvPicPr>
        <xdr:cNvPr id="2" name="Picture 1">
          <a:extLst>
            <a:ext uri="{FF2B5EF4-FFF2-40B4-BE49-F238E27FC236}">
              <a16:creationId xmlns:a16="http://schemas.microsoft.com/office/drawing/2014/main" id="{47A3E843-1488-4F6E-ABF5-92FEE38106B6}"/>
            </a:ext>
          </a:extLst>
        </xdr:cNvPr>
        <xdr:cNvPicPr>
          <a:picLocks noChangeAspect="1"/>
        </xdr:cNvPicPr>
      </xdr:nvPicPr>
      <xdr:blipFill>
        <a:blip xmlns:r="http://schemas.openxmlformats.org/officeDocument/2006/relationships" r:embed="rId1"/>
        <a:stretch>
          <a:fillRect/>
        </a:stretch>
      </xdr:blipFill>
      <xdr:spPr>
        <a:xfrm>
          <a:off x="7063740" y="228601"/>
          <a:ext cx="835537" cy="8381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304800</xdr:colOff>
      <xdr:row>1</xdr:row>
      <xdr:rowOff>45721</xdr:rowOff>
    </xdr:from>
    <xdr:to>
      <xdr:col>14</xdr:col>
      <xdr:colOff>484498</xdr:colOff>
      <xdr:row>4</xdr:row>
      <xdr:rowOff>152401</xdr:rowOff>
    </xdr:to>
    <xdr:pic>
      <xdr:nvPicPr>
        <xdr:cNvPr id="2" name="Picture 1">
          <a:extLst>
            <a:ext uri="{FF2B5EF4-FFF2-40B4-BE49-F238E27FC236}">
              <a16:creationId xmlns:a16="http://schemas.microsoft.com/office/drawing/2014/main" id="{6003652D-04AB-4C2D-8CB4-14858EE074F6}"/>
            </a:ext>
          </a:extLst>
        </xdr:cNvPr>
        <xdr:cNvPicPr>
          <a:picLocks noChangeAspect="1"/>
        </xdr:cNvPicPr>
      </xdr:nvPicPr>
      <xdr:blipFill>
        <a:blip xmlns:r="http://schemas.openxmlformats.org/officeDocument/2006/relationships" r:embed="rId1"/>
        <a:stretch>
          <a:fillRect/>
        </a:stretch>
      </xdr:blipFill>
      <xdr:spPr>
        <a:xfrm>
          <a:off x="10332720" y="228601"/>
          <a:ext cx="850258" cy="8229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450402</xdr:colOff>
      <xdr:row>1</xdr:row>
      <xdr:rowOff>45720</xdr:rowOff>
    </xdr:from>
    <xdr:to>
      <xdr:col>11</xdr:col>
      <xdr:colOff>656027</xdr:colOff>
      <xdr:row>4</xdr:row>
      <xdr:rowOff>160020</xdr:rowOff>
    </xdr:to>
    <xdr:pic>
      <xdr:nvPicPr>
        <xdr:cNvPr id="2" name="Picture 1">
          <a:extLst>
            <a:ext uri="{FF2B5EF4-FFF2-40B4-BE49-F238E27FC236}">
              <a16:creationId xmlns:a16="http://schemas.microsoft.com/office/drawing/2014/main" id="{58D6A2C1-0BA1-42B3-96E2-3E9D74EFF07C}"/>
            </a:ext>
          </a:extLst>
        </xdr:cNvPr>
        <xdr:cNvPicPr>
          <a:picLocks noChangeAspect="1"/>
        </xdr:cNvPicPr>
      </xdr:nvPicPr>
      <xdr:blipFill>
        <a:blip xmlns:r="http://schemas.openxmlformats.org/officeDocument/2006/relationships" r:embed="rId1"/>
        <a:stretch>
          <a:fillRect/>
        </a:stretch>
      </xdr:blipFill>
      <xdr:spPr>
        <a:xfrm>
          <a:off x="8436162" y="228600"/>
          <a:ext cx="845705" cy="8305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640902</xdr:colOff>
      <xdr:row>1</xdr:row>
      <xdr:rowOff>38101</xdr:rowOff>
    </xdr:from>
    <xdr:to>
      <xdr:col>8</xdr:col>
      <xdr:colOff>556260</xdr:colOff>
      <xdr:row>4</xdr:row>
      <xdr:rowOff>166397</xdr:rowOff>
    </xdr:to>
    <xdr:pic>
      <xdr:nvPicPr>
        <xdr:cNvPr id="2" name="Picture 1">
          <a:extLst>
            <a:ext uri="{FF2B5EF4-FFF2-40B4-BE49-F238E27FC236}">
              <a16:creationId xmlns:a16="http://schemas.microsoft.com/office/drawing/2014/main" id="{EC3E832D-7D43-4AE9-9C4B-601358DD4BD5}"/>
            </a:ext>
          </a:extLst>
        </xdr:cNvPr>
        <xdr:cNvPicPr>
          <a:picLocks noChangeAspect="1"/>
        </xdr:cNvPicPr>
      </xdr:nvPicPr>
      <xdr:blipFill>
        <a:blip xmlns:r="http://schemas.openxmlformats.org/officeDocument/2006/relationships" r:embed="rId1"/>
        <a:stretch>
          <a:fillRect/>
        </a:stretch>
      </xdr:blipFill>
      <xdr:spPr>
        <a:xfrm>
          <a:off x="5982522" y="220981"/>
          <a:ext cx="844998" cy="8445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625662</xdr:colOff>
      <xdr:row>1</xdr:row>
      <xdr:rowOff>38100</xdr:rowOff>
    </xdr:from>
    <xdr:to>
      <xdr:col>9</xdr:col>
      <xdr:colOff>548640</xdr:colOff>
      <xdr:row>4</xdr:row>
      <xdr:rowOff>159878</xdr:rowOff>
    </xdr:to>
    <xdr:pic>
      <xdr:nvPicPr>
        <xdr:cNvPr id="2" name="Picture 1">
          <a:extLst>
            <a:ext uri="{FF2B5EF4-FFF2-40B4-BE49-F238E27FC236}">
              <a16:creationId xmlns:a16="http://schemas.microsoft.com/office/drawing/2014/main" id="{1680B844-18C9-4E8B-BF89-B4CB55C632E8}"/>
            </a:ext>
          </a:extLst>
        </xdr:cNvPr>
        <xdr:cNvPicPr>
          <a:picLocks noChangeAspect="1"/>
        </xdr:cNvPicPr>
      </xdr:nvPicPr>
      <xdr:blipFill>
        <a:blip xmlns:r="http://schemas.openxmlformats.org/officeDocument/2006/relationships" r:embed="rId1"/>
        <a:stretch>
          <a:fillRect/>
        </a:stretch>
      </xdr:blipFill>
      <xdr:spPr>
        <a:xfrm>
          <a:off x="6180642" y="220980"/>
          <a:ext cx="860238" cy="838058"/>
        </a:xfrm>
        <a:prstGeom prst="rect">
          <a:avLst/>
        </a:prstGeom>
      </xdr:spPr>
    </xdr:pic>
    <xdr:clientData/>
  </xdr:twoCellAnchor>
  <xdr:twoCellAnchor>
    <xdr:from>
      <xdr:col>5</xdr:col>
      <xdr:colOff>0</xdr:colOff>
      <xdr:row>28</xdr:row>
      <xdr:rowOff>0</xdr:rowOff>
    </xdr:from>
    <xdr:to>
      <xdr:col>5</xdr:col>
      <xdr:colOff>281940</xdr:colOff>
      <xdr:row>33</xdr:row>
      <xdr:rowOff>0</xdr:rowOff>
    </xdr:to>
    <xdr:sp macro="" textlink="">
      <xdr:nvSpPr>
        <xdr:cNvPr id="3" name="TextBox 2">
          <a:extLst>
            <a:ext uri="{FF2B5EF4-FFF2-40B4-BE49-F238E27FC236}">
              <a16:creationId xmlns:a16="http://schemas.microsoft.com/office/drawing/2014/main" id="{5B530E97-14E5-40EB-95A4-57D9CC2E9C74}"/>
            </a:ext>
          </a:extLst>
        </xdr:cNvPr>
        <xdr:cNvSpPr txBox="1"/>
      </xdr:nvSpPr>
      <xdr:spPr>
        <a:xfrm>
          <a:off x="3444240" y="4930140"/>
          <a:ext cx="281940" cy="922020"/>
        </a:xfrm>
        <a:prstGeom prst="rect">
          <a:avLst/>
        </a:prstGeom>
        <a:solidFill>
          <a:srgbClr val="082C6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pPr lvl="0" algn="ctr"/>
          <a:r>
            <a:rPr lang="en-IN" sz="1200" b="1">
              <a:solidFill>
                <a:schemeClr val="bg1"/>
              </a:solidFill>
            </a:rPr>
            <a:t>WACC</a:t>
          </a:r>
        </a:p>
      </xdr:txBody>
    </xdr:sp>
    <xdr:clientData/>
  </xdr:twoCellAnchor>
  <xdr:twoCellAnchor>
    <xdr:from>
      <xdr:col>5</xdr:col>
      <xdr:colOff>0</xdr:colOff>
      <xdr:row>39</xdr:row>
      <xdr:rowOff>0</xdr:rowOff>
    </xdr:from>
    <xdr:to>
      <xdr:col>5</xdr:col>
      <xdr:colOff>281940</xdr:colOff>
      <xdr:row>44</xdr:row>
      <xdr:rowOff>7620</xdr:rowOff>
    </xdr:to>
    <xdr:sp macro="" textlink="">
      <xdr:nvSpPr>
        <xdr:cNvPr id="4" name="TextBox 3">
          <a:extLst>
            <a:ext uri="{FF2B5EF4-FFF2-40B4-BE49-F238E27FC236}">
              <a16:creationId xmlns:a16="http://schemas.microsoft.com/office/drawing/2014/main" id="{6AB17DB6-C948-481A-A54F-C5921D36A597}"/>
            </a:ext>
          </a:extLst>
        </xdr:cNvPr>
        <xdr:cNvSpPr txBox="1"/>
      </xdr:nvSpPr>
      <xdr:spPr>
        <a:xfrm>
          <a:off x="3444240" y="6819900"/>
          <a:ext cx="281940" cy="929640"/>
        </a:xfrm>
        <a:prstGeom prst="rect">
          <a:avLst/>
        </a:prstGeom>
        <a:solidFill>
          <a:srgbClr val="082C6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pPr lvl="0" algn="ctr"/>
          <a:r>
            <a:rPr lang="en-IN" sz="1200" b="1">
              <a:solidFill>
                <a:schemeClr val="bg1"/>
              </a:solidFill>
            </a:rPr>
            <a:t>WACC</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14</xdr:col>
      <xdr:colOff>601133</xdr:colOff>
      <xdr:row>1</xdr:row>
      <xdr:rowOff>8467</xdr:rowOff>
    </xdr:from>
    <xdr:to>
      <xdr:col>15</xdr:col>
      <xdr:colOff>728101</xdr:colOff>
      <xdr:row>4</xdr:row>
      <xdr:rowOff>152635</xdr:rowOff>
    </xdr:to>
    <xdr:pic>
      <xdr:nvPicPr>
        <xdr:cNvPr id="2" name="Picture 1">
          <a:extLst>
            <a:ext uri="{FF2B5EF4-FFF2-40B4-BE49-F238E27FC236}">
              <a16:creationId xmlns:a16="http://schemas.microsoft.com/office/drawing/2014/main" id="{3529EAA7-89B0-40A0-9B92-0561C6A6E0BA}"/>
            </a:ext>
          </a:extLst>
        </xdr:cNvPr>
        <xdr:cNvPicPr>
          <a:picLocks noChangeAspect="1"/>
        </xdr:cNvPicPr>
      </xdr:nvPicPr>
      <xdr:blipFill>
        <a:blip xmlns:r="http://schemas.openxmlformats.org/officeDocument/2006/relationships" r:embed="rId1"/>
        <a:stretch>
          <a:fillRect/>
        </a:stretch>
      </xdr:blipFill>
      <xdr:spPr>
        <a:xfrm>
          <a:off x="10947400" y="194734"/>
          <a:ext cx="956701" cy="93156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190500</xdr:colOff>
      <xdr:row>27</xdr:row>
      <xdr:rowOff>175260</xdr:rowOff>
    </xdr:from>
    <xdr:to>
      <xdr:col>12</xdr:col>
      <xdr:colOff>685800</xdr:colOff>
      <xdr:row>41</xdr:row>
      <xdr:rowOff>167640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BB13BED-75C6-E6C4-E78D-A87CDB0CBD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419922</xdr:colOff>
      <xdr:row>1</xdr:row>
      <xdr:rowOff>15240</xdr:rowOff>
    </xdr:from>
    <xdr:to>
      <xdr:col>12</xdr:col>
      <xdr:colOff>641742</xdr:colOff>
      <xdr:row>4</xdr:row>
      <xdr:rowOff>155841</xdr:rowOff>
    </xdr:to>
    <xdr:pic>
      <xdr:nvPicPr>
        <xdr:cNvPr id="3" name="Picture 2">
          <a:extLst>
            <a:ext uri="{FF2B5EF4-FFF2-40B4-BE49-F238E27FC236}">
              <a16:creationId xmlns:a16="http://schemas.microsoft.com/office/drawing/2014/main" id="{EAEF1C68-78A8-49C2-8935-541FD61C9658}"/>
            </a:ext>
          </a:extLst>
        </xdr:cNvPr>
        <xdr:cNvPicPr>
          <a:picLocks noChangeAspect="1"/>
        </xdr:cNvPicPr>
      </xdr:nvPicPr>
      <xdr:blipFill>
        <a:blip xmlns:r="http://schemas.openxmlformats.org/officeDocument/2006/relationships" r:embed="rId2"/>
        <a:stretch>
          <a:fillRect/>
        </a:stretch>
      </xdr:blipFill>
      <xdr:spPr>
        <a:xfrm>
          <a:off x="7620822" y="198120"/>
          <a:ext cx="900000" cy="85688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267522</xdr:colOff>
      <xdr:row>1</xdr:row>
      <xdr:rowOff>30480</xdr:rowOff>
    </xdr:from>
    <xdr:to>
      <xdr:col>9</xdr:col>
      <xdr:colOff>485381</xdr:colOff>
      <xdr:row>4</xdr:row>
      <xdr:rowOff>152400</xdr:rowOff>
    </xdr:to>
    <xdr:pic>
      <xdr:nvPicPr>
        <xdr:cNvPr id="2" name="Picture 1">
          <a:extLst>
            <a:ext uri="{FF2B5EF4-FFF2-40B4-BE49-F238E27FC236}">
              <a16:creationId xmlns:a16="http://schemas.microsoft.com/office/drawing/2014/main" id="{DDC18558-4D9D-7365-E14B-E80AFAC76C94}"/>
            </a:ext>
          </a:extLst>
        </xdr:cNvPr>
        <xdr:cNvPicPr>
          <a:picLocks noChangeAspect="1"/>
        </xdr:cNvPicPr>
      </xdr:nvPicPr>
      <xdr:blipFill>
        <a:blip xmlns:r="http://schemas.openxmlformats.org/officeDocument/2006/relationships" r:embed="rId1"/>
        <a:stretch>
          <a:fillRect/>
        </a:stretch>
      </xdr:blipFill>
      <xdr:spPr>
        <a:xfrm>
          <a:off x="7232202" y="144780"/>
          <a:ext cx="964619" cy="960120"/>
        </a:xfrm>
        <a:prstGeom prst="rect">
          <a:avLst/>
        </a:prstGeom>
      </xdr:spPr>
    </xdr:pic>
    <xdr:clientData/>
  </xdr:twoCellAnchor>
  <xdr:twoCellAnchor>
    <xdr:from>
      <xdr:col>1</xdr:col>
      <xdr:colOff>22860</xdr:colOff>
      <xdr:row>13</xdr:row>
      <xdr:rowOff>171450</xdr:rowOff>
    </xdr:from>
    <xdr:to>
      <xdr:col>1</xdr:col>
      <xdr:colOff>2247900</xdr:colOff>
      <xdr:row>23</xdr:row>
      <xdr:rowOff>0</xdr:rowOff>
    </xdr:to>
    <xdr:graphicFrame macro="">
      <xdr:nvGraphicFramePr>
        <xdr:cNvPr id="3" name="Chart 2">
          <a:extLst>
            <a:ext uri="{FF2B5EF4-FFF2-40B4-BE49-F238E27FC236}">
              <a16:creationId xmlns:a16="http://schemas.microsoft.com/office/drawing/2014/main" id="{67748F31-ECE4-62B2-A8F1-1AE8E4786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449171</xdr:colOff>
      <xdr:row>12</xdr:row>
      <xdr:rowOff>45720</xdr:rowOff>
    </xdr:from>
    <xdr:ext cx="1371914" cy="280205"/>
    <xdr:sp macro="" textlink="">
      <xdr:nvSpPr>
        <xdr:cNvPr id="6" name="TextBox 5">
          <a:extLst>
            <a:ext uri="{FF2B5EF4-FFF2-40B4-BE49-F238E27FC236}">
              <a16:creationId xmlns:a16="http://schemas.microsoft.com/office/drawing/2014/main" id="{291BB281-FB49-222E-6255-D1DB969B4D71}"/>
            </a:ext>
          </a:extLst>
        </xdr:cNvPr>
        <xdr:cNvSpPr txBox="1"/>
      </xdr:nvSpPr>
      <xdr:spPr>
        <a:xfrm>
          <a:off x="578711" y="3070860"/>
          <a:ext cx="1371914"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200" b="1">
              <a:solidFill>
                <a:srgbClr val="082C64"/>
              </a:solidFill>
              <a:latin typeface="+mn-lt"/>
            </a:rPr>
            <a:t>Revenue (INR</a:t>
          </a:r>
          <a:r>
            <a:rPr lang="en-IN" sz="1200" b="1" baseline="0">
              <a:solidFill>
                <a:srgbClr val="082C64"/>
              </a:solidFill>
              <a:latin typeface="+mn-lt"/>
            </a:rPr>
            <a:t> Crs.)</a:t>
          </a:r>
        </a:p>
      </xdr:txBody>
    </xdr:sp>
    <xdr:clientData/>
  </xdr:oneCellAnchor>
  <xdr:twoCellAnchor>
    <xdr:from>
      <xdr:col>2</xdr:col>
      <xdr:colOff>579120</xdr:colOff>
      <xdr:row>13</xdr:row>
      <xdr:rowOff>171450</xdr:rowOff>
    </xdr:from>
    <xdr:to>
      <xdr:col>5</xdr:col>
      <xdr:colOff>659130</xdr:colOff>
      <xdr:row>23</xdr:row>
      <xdr:rowOff>0</xdr:rowOff>
    </xdr:to>
    <xdr:graphicFrame macro="">
      <xdr:nvGraphicFramePr>
        <xdr:cNvPr id="13" name="Chart 12">
          <a:extLst>
            <a:ext uri="{FF2B5EF4-FFF2-40B4-BE49-F238E27FC236}">
              <a16:creationId xmlns:a16="http://schemas.microsoft.com/office/drawing/2014/main" id="{994E5811-112F-4319-A70F-B94842E1B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321728</xdr:colOff>
      <xdr:row>12</xdr:row>
      <xdr:rowOff>45720</xdr:rowOff>
    </xdr:from>
    <xdr:ext cx="1443921" cy="280205"/>
    <xdr:sp macro="" textlink="">
      <xdr:nvSpPr>
        <xdr:cNvPr id="14" name="TextBox 13">
          <a:extLst>
            <a:ext uri="{FF2B5EF4-FFF2-40B4-BE49-F238E27FC236}">
              <a16:creationId xmlns:a16="http://schemas.microsoft.com/office/drawing/2014/main" id="{F5FA2A42-D022-49CF-94A3-416254883815}"/>
            </a:ext>
          </a:extLst>
        </xdr:cNvPr>
        <xdr:cNvSpPr txBox="1"/>
      </xdr:nvSpPr>
      <xdr:spPr>
        <a:xfrm>
          <a:off x="3552608" y="3070860"/>
          <a:ext cx="1443921"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200" b="1">
              <a:solidFill>
                <a:srgbClr val="082C64"/>
              </a:solidFill>
              <a:latin typeface="+mn-lt"/>
            </a:rPr>
            <a:t>Net Profit (INR</a:t>
          </a:r>
          <a:r>
            <a:rPr lang="en-IN" sz="1200" b="1" baseline="0">
              <a:solidFill>
                <a:srgbClr val="082C64"/>
              </a:solidFill>
              <a:latin typeface="+mn-lt"/>
            </a:rPr>
            <a:t> Crs.)</a:t>
          </a:r>
        </a:p>
      </xdr:txBody>
    </xdr:sp>
    <xdr:clientData/>
  </xdr:oneCellAnchor>
  <xdr:twoCellAnchor>
    <xdr:from>
      <xdr:col>7</xdr:col>
      <xdr:colOff>22860</xdr:colOff>
      <xdr:row>13</xdr:row>
      <xdr:rowOff>171450</xdr:rowOff>
    </xdr:from>
    <xdr:to>
      <xdr:col>10</xdr:col>
      <xdr:colOff>7620</xdr:colOff>
      <xdr:row>23</xdr:row>
      <xdr:rowOff>0</xdr:rowOff>
    </xdr:to>
    <xdr:graphicFrame macro="">
      <xdr:nvGraphicFramePr>
        <xdr:cNvPr id="16" name="Chart 15">
          <a:extLst>
            <a:ext uri="{FF2B5EF4-FFF2-40B4-BE49-F238E27FC236}">
              <a16:creationId xmlns:a16="http://schemas.microsoft.com/office/drawing/2014/main" id="{8AD4E177-DF2E-4A47-84E6-B6E2D1D66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7</xdr:col>
      <xdr:colOff>92702</xdr:colOff>
      <xdr:row>12</xdr:row>
      <xdr:rowOff>45720</xdr:rowOff>
    </xdr:from>
    <xdr:ext cx="2084866" cy="280205"/>
    <xdr:sp macro="" textlink="">
      <xdr:nvSpPr>
        <xdr:cNvPr id="17" name="TextBox 16">
          <a:extLst>
            <a:ext uri="{FF2B5EF4-FFF2-40B4-BE49-F238E27FC236}">
              <a16:creationId xmlns:a16="http://schemas.microsoft.com/office/drawing/2014/main" id="{81BE949F-C8C3-4D14-A022-5AC19A8604BE}"/>
            </a:ext>
          </a:extLst>
        </xdr:cNvPr>
        <xdr:cNvSpPr txBox="1"/>
      </xdr:nvSpPr>
      <xdr:spPr>
        <a:xfrm>
          <a:off x="6310622" y="3070860"/>
          <a:ext cx="2084866"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200" b="1">
              <a:solidFill>
                <a:srgbClr val="082C64"/>
              </a:solidFill>
              <a:latin typeface="+mn-lt"/>
            </a:rPr>
            <a:t>Average</a:t>
          </a:r>
          <a:r>
            <a:rPr lang="en-IN" sz="1200" b="1" baseline="0">
              <a:solidFill>
                <a:srgbClr val="082C64"/>
              </a:solidFill>
              <a:latin typeface="+mn-lt"/>
            </a:rPr>
            <a:t> Total Asset</a:t>
          </a:r>
          <a:r>
            <a:rPr lang="en-IN" sz="1200" b="1">
              <a:solidFill>
                <a:srgbClr val="082C64"/>
              </a:solidFill>
              <a:latin typeface="+mn-lt"/>
            </a:rPr>
            <a:t> (INR</a:t>
          </a:r>
          <a:r>
            <a:rPr lang="en-IN" sz="1200" b="1" baseline="0">
              <a:solidFill>
                <a:srgbClr val="082C64"/>
              </a:solidFill>
              <a:latin typeface="+mn-lt"/>
            </a:rPr>
            <a:t> Crs.)</a:t>
          </a:r>
        </a:p>
      </xdr:txBody>
    </xdr:sp>
    <xdr:clientData/>
  </xdr:oneCellAnchor>
  <xdr:twoCellAnchor>
    <xdr:from>
      <xdr:col>1</xdr:col>
      <xdr:colOff>0</xdr:colOff>
      <xdr:row>25</xdr:row>
      <xdr:rowOff>26671</xdr:rowOff>
    </xdr:from>
    <xdr:to>
      <xdr:col>1</xdr:col>
      <xdr:colOff>2225040</xdr:colOff>
      <xdr:row>34</xdr:row>
      <xdr:rowOff>49107</xdr:rowOff>
    </xdr:to>
    <xdr:graphicFrame macro="">
      <xdr:nvGraphicFramePr>
        <xdr:cNvPr id="19" name="Chart 18">
          <a:extLst>
            <a:ext uri="{FF2B5EF4-FFF2-40B4-BE49-F238E27FC236}">
              <a16:creationId xmlns:a16="http://schemas.microsoft.com/office/drawing/2014/main" id="{A1205C98-41DB-49A4-88BD-052A6F12B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360212</xdr:colOff>
      <xdr:row>23</xdr:row>
      <xdr:rowOff>163407</xdr:rowOff>
    </xdr:from>
    <xdr:ext cx="1504131" cy="280205"/>
    <xdr:sp macro="" textlink="">
      <xdr:nvSpPr>
        <xdr:cNvPr id="20" name="TextBox 19">
          <a:extLst>
            <a:ext uri="{FF2B5EF4-FFF2-40B4-BE49-F238E27FC236}">
              <a16:creationId xmlns:a16="http://schemas.microsoft.com/office/drawing/2014/main" id="{078F1BBE-DEFD-4BC9-BEA7-253FD7145173}"/>
            </a:ext>
          </a:extLst>
        </xdr:cNvPr>
        <xdr:cNvSpPr txBox="1"/>
      </xdr:nvSpPr>
      <xdr:spPr>
        <a:xfrm>
          <a:off x="489752" y="5200227"/>
          <a:ext cx="1504131"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200" b="1">
              <a:solidFill>
                <a:srgbClr val="082C64"/>
              </a:solidFill>
              <a:latin typeface="+mn-lt"/>
            </a:rPr>
            <a:t>Return</a:t>
          </a:r>
          <a:r>
            <a:rPr lang="en-IN" sz="1200" b="1" baseline="0">
              <a:solidFill>
                <a:srgbClr val="082C64"/>
              </a:solidFill>
              <a:latin typeface="+mn-lt"/>
            </a:rPr>
            <a:t> on Equity </a:t>
          </a:r>
          <a:r>
            <a:rPr lang="en-IN" sz="1200" b="1">
              <a:solidFill>
                <a:srgbClr val="082C64"/>
              </a:solidFill>
              <a:latin typeface="+mn-lt"/>
            </a:rPr>
            <a:t>(%</a:t>
          </a:r>
          <a:r>
            <a:rPr lang="en-IN" sz="1200" b="1" baseline="0">
              <a:solidFill>
                <a:srgbClr val="082C64"/>
              </a:solidFill>
              <a:latin typeface="+mn-lt"/>
            </a:rPr>
            <a:t>)</a:t>
          </a:r>
        </a:p>
      </xdr:txBody>
    </xdr:sp>
    <xdr:clientData/>
  </xdr:oneCellAnchor>
  <xdr:twoCellAnchor>
    <xdr:from>
      <xdr:col>2</xdr:col>
      <xdr:colOff>556260</xdr:colOff>
      <xdr:row>25</xdr:row>
      <xdr:rowOff>26671</xdr:rowOff>
    </xdr:from>
    <xdr:to>
      <xdr:col>5</xdr:col>
      <xdr:colOff>636270</xdr:colOff>
      <xdr:row>34</xdr:row>
      <xdr:rowOff>49107</xdr:rowOff>
    </xdr:to>
    <xdr:graphicFrame macro="">
      <xdr:nvGraphicFramePr>
        <xdr:cNvPr id="22" name="Chart 21">
          <a:extLst>
            <a:ext uri="{FF2B5EF4-FFF2-40B4-BE49-F238E27FC236}">
              <a16:creationId xmlns:a16="http://schemas.microsoft.com/office/drawing/2014/main" id="{3C158F32-7DEF-4DB3-A299-6A68BADE8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297523</xdr:colOff>
      <xdr:row>23</xdr:row>
      <xdr:rowOff>163407</xdr:rowOff>
    </xdr:from>
    <xdr:ext cx="1446614" cy="280205"/>
    <xdr:sp macro="" textlink="">
      <xdr:nvSpPr>
        <xdr:cNvPr id="23" name="TextBox 22">
          <a:extLst>
            <a:ext uri="{FF2B5EF4-FFF2-40B4-BE49-F238E27FC236}">
              <a16:creationId xmlns:a16="http://schemas.microsoft.com/office/drawing/2014/main" id="{50A1E08A-81AC-4DF6-B4B0-DB7FE46EFB94}"/>
            </a:ext>
          </a:extLst>
        </xdr:cNvPr>
        <xdr:cNvSpPr txBox="1"/>
      </xdr:nvSpPr>
      <xdr:spPr>
        <a:xfrm>
          <a:off x="3528403" y="5200227"/>
          <a:ext cx="1446614"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200" b="1">
              <a:solidFill>
                <a:srgbClr val="082C64"/>
              </a:solidFill>
              <a:latin typeface="+mn-lt"/>
            </a:rPr>
            <a:t>Return</a:t>
          </a:r>
          <a:r>
            <a:rPr lang="en-IN" sz="1200" b="1" baseline="0">
              <a:solidFill>
                <a:srgbClr val="082C64"/>
              </a:solidFill>
              <a:latin typeface="+mn-lt"/>
            </a:rPr>
            <a:t> on Asset</a:t>
          </a:r>
          <a:r>
            <a:rPr lang="en-IN" sz="1200" b="1">
              <a:solidFill>
                <a:srgbClr val="082C64"/>
              </a:solidFill>
              <a:latin typeface="+mn-lt"/>
            </a:rPr>
            <a:t> (%</a:t>
          </a:r>
          <a:r>
            <a:rPr lang="en-IN" sz="1200" b="1" baseline="0">
              <a:solidFill>
                <a:srgbClr val="082C64"/>
              </a:solidFill>
              <a:latin typeface="+mn-lt"/>
            </a:rPr>
            <a:t>)</a:t>
          </a:r>
        </a:p>
      </xdr:txBody>
    </xdr:sp>
    <xdr:clientData/>
  </xdr:oneCellAnchor>
  <xdr:twoCellAnchor>
    <xdr:from>
      <xdr:col>7</xdr:col>
      <xdr:colOff>0</xdr:colOff>
      <xdr:row>25</xdr:row>
      <xdr:rowOff>26671</xdr:rowOff>
    </xdr:from>
    <xdr:to>
      <xdr:col>9</xdr:col>
      <xdr:colOff>727710</xdr:colOff>
      <xdr:row>34</xdr:row>
      <xdr:rowOff>49107</xdr:rowOff>
    </xdr:to>
    <xdr:graphicFrame macro="">
      <xdr:nvGraphicFramePr>
        <xdr:cNvPr id="25" name="Chart 24">
          <a:extLst>
            <a:ext uri="{FF2B5EF4-FFF2-40B4-BE49-F238E27FC236}">
              <a16:creationId xmlns:a16="http://schemas.microsoft.com/office/drawing/2014/main" id="{8DA97B60-FA2D-4E17-941C-37FAC0E82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7</xdr:col>
      <xdr:colOff>482265</xdr:colOff>
      <xdr:row>23</xdr:row>
      <xdr:rowOff>163407</xdr:rowOff>
    </xdr:from>
    <xdr:ext cx="1260025" cy="280205"/>
    <xdr:sp macro="" textlink="">
      <xdr:nvSpPr>
        <xdr:cNvPr id="26" name="TextBox 25">
          <a:extLst>
            <a:ext uri="{FF2B5EF4-FFF2-40B4-BE49-F238E27FC236}">
              <a16:creationId xmlns:a16="http://schemas.microsoft.com/office/drawing/2014/main" id="{7E813BC6-2404-4736-9C02-681ED0AD26D0}"/>
            </a:ext>
          </a:extLst>
        </xdr:cNvPr>
        <xdr:cNvSpPr txBox="1"/>
      </xdr:nvSpPr>
      <xdr:spPr>
        <a:xfrm>
          <a:off x="6700185" y="5200227"/>
          <a:ext cx="1260025"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200" b="1">
              <a:solidFill>
                <a:srgbClr val="082C64"/>
              </a:solidFill>
              <a:latin typeface="+mn-lt"/>
            </a:rPr>
            <a:t>Equity</a:t>
          </a:r>
          <a:r>
            <a:rPr lang="en-IN" sz="1200" b="1" baseline="0">
              <a:solidFill>
                <a:srgbClr val="082C64"/>
              </a:solidFill>
              <a:latin typeface="+mn-lt"/>
            </a:rPr>
            <a:t> Multiplier</a:t>
          </a:r>
        </a:p>
      </xdr:txBody>
    </xdr:sp>
    <xdr:clientData/>
  </xdr:oneCellAnchor>
  <xdr:twoCellAnchor>
    <xdr:from>
      <xdr:col>1</xdr:col>
      <xdr:colOff>77893</xdr:colOff>
      <xdr:row>35</xdr:row>
      <xdr:rowOff>53340</xdr:rowOff>
    </xdr:from>
    <xdr:to>
      <xdr:col>9</xdr:col>
      <xdr:colOff>712893</xdr:colOff>
      <xdr:row>52</xdr:row>
      <xdr:rowOff>68580</xdr:rowOff>
    </xdr:to>
    <xdr:sp macro="" textlink="">
      <xdr:nvSpPr>
        <xdr:cNvPr id="29" name="TextBox 28">
          <a:extLst>
            <a:ext uri="{FF2B5EF4-FFF2-40B4-BE49-F238E27FC236}">
              <a16:creationId xmlns:a16="http://schemas.microsoft.com/office/drawing/2014/main" id="{52D126AE-53E8-CA36-16D0-A9B5421B4654}"/>
            </a:ext>
          </a:extLst>
        </xdr:cNvPr>
        <xdr:cNvSpPr txBox="1"/>
      </xdr:nvSpPr>
      <xdr:spPr>
        <a:xfrm>
          <a:off x="207433" y="7284720"/>
          <a:ext cx="8216900" cy="3124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buFont typeface="Arial" panose="020B0604020202020204" pitchFamily="34" charset="0"/>
            <a:buNone/>
          </a:pPr>
          <a:r>
            <a:rPr lang="en-IN" sz="1400" b="1">
              <a:solidFill>
                <a:srgbClr val="082C64"/>
              </a:solidFill>
            </a:rPr>
            <a:t>Recent Updates </a:t>
          </a:r>
        </a:p>
        <a:p>
          <a:pPr marL="171450" indent="-171450">
            <a:buClr>
              <a:srgbClr val="082C64"/>
            </a:buClr>
            <a:buFont typeface="Arial" panose="020B0604020202020204" pitchFamily="34" charset="0"/>
            <a:buChar char="•"/>
          </a:pPr>
          <a:r>
            <a:rPr lang="en-IN" sz="1200"/>
            <a:t>Return on Equity (ROE) for FY2024 stood at 27.4%, reflecting strong profitability and efficient capital utilization; this remains well above the industry average.</a:t>
          </a:r>
        </a:p>
        <a:p>
          <a:pPr marL="171450" indent="-171450">
            <a:buClr>
              <a:srgbClr val="082C64"/>
            </a:buClr>
            <a:buFont typeface="Arial" panose="020B0604020202020204" pitchFamily="34" charset="0"/>
            <a:buChar char="•"/>
          </a:pPr>
          <a:r>
            <a:rPr lang="en-IN" sz="1200"/>
            <a:t>Return on Assets (ROA) improved to 20.6%, supported by higher asset turnover and consistent earnings growth across FMCG and cigarette segments.</a:t>
          </a:r>
        </a:p>
        <a:p>
          <a:pPr marL="171450" indent="-171450">
            <a:buClr>
              <a:srgbClr val="082C64"/>
            </a:buClr>
            <a:buFont typeface="Arial" panose="020B0604020202020204" pitchFamily="34" charset="0"/>
            <a:buChar char="•"/>
          </a:pPr>
          <a:r>
            <a:rPr lang="en-IN" sz="1200"/>
            <a:t>ITC continues to maintain a virtually debt-free balance sheet, enhancing shareholder returns through stable free cash flow generation.</a:t>
          </a:r>
        </a:p>
        <a:p>
          <a:pPr marL="171450" indent="-171450">
            <a:buClr>
              <a:srgbClr val="082C64"/>
            </a:buClr>
            <a:buFont typeface="Arial" panose="020B0604020202020204" pitchFamily="34" charset="0"/>
            <a:buChar char="•"/>
          </a:pPr>
          <a:r>
            <a:rPr lang="en-IN" sz="1200"/>
            <a:t>The company declared a total dividend of ₹15.75 per share in FY2024, translating into a dividend payout ratio above 80%, reaffirming its status as a high dividend-yield stock.</a:t>
          </a:r>
        </a:p>
        <a:p>
          <a:pPr marL="171450" indent="-171450">
            <a:buClr>
              <a:srgbClr val="082C64"/>
            </a:buClr>
            <a:buFont typeface="Arial" panose="020B0604020202020204" pitchFamily="34" charset="0"/>
            <a:buChar char="•"/>
          </a:pPr>
          <a:r>
            <a:rPr lang="en-IN" sz="1200"/>
            <a:t>Share buybacks have not been announced recently, with ITC focusing instead on high dividend distributions as the primary route of capital return.</a:t>
          </a:r>
        </a:p>
        <a:p>
          <a:pPr marL="171450" indent="-171450">
            <a:buClr>
              <a:srgbClr val="082C64"/>
            </a:buClr>
            <a:buFont typeface="Arial" panose="020B0604020202020204" pitchFamily="34" charset="0"/>
            <a:buChar char="•"/>
          </a:pPr>
          <a:r>
            <a:rPr lang="en-IN" sz="1200"/>
            <a:t>Long-term shareholders have benefited from a 3-year average ROE of 26%, reflecting sustained profitability and efficient capital allocation.</a:t>
          </a:r>
        </a:p>
        <a:p>
          <a:pPr marL="171450" indent="-171450">
            <a:buClr>
              <a:srgbClr val="082C64"/>
            </a:buClr>
            <a:buFont typeface="Arial" panose="020B0604020202020204" pitchFamily="34" charset="0"/>
            <a:buChar char="•"/>
          </a:pPr>
          <a:r>
            <a:rPr lang="en-IN" sz="1200"/>
            <a:t>Earnings per Share (EPS) for FY2024 grew by 10% YoY, strengthening per-share returns and supporting dividend sustainability.</a:t>
          </a:r>
        </a:p>
        <a:p>
          <a:pPr marL="171450" indent="-171450">
            <a:buClr>
              <a:srgbClr val="082C64"/>
            </a:buClr>
            <a:buFont typeface="Arial" panose="020B0604020202020204" pitchFamily="34" charset="0"/>
            <a:buChar char="•"/>
          </a:pPr>
          <a:r>
            <a:rPr lang="en-IN" sz="1200"/>
            <a:t>Over the past five years, ITC has delivered a consistent average ROA above 18%, highlighting its ability to generate shareholder value even in periods of muted topline growth.</a:t>
          </a:r>
        </a:p>
      </xdr:txBody>
    </xdr:sp>
    <xdr:clientData/>
  </xdr:twoCellAnchor>
  <xdr:twoCellAnchor>
    <xdr:from>
      <xdr:col>1</xdr:col>
      <xdr:colOff>0</xdr:colOff>
      <xdr:row>55</xdr:row>
      <xdr:rowOff>83820</xdr:rowOff>
    </xdr:from>
    <xdr:to>
      <xdr:col>9</xdr:col>
      <xdr:colOff>609600</xdr:colOff>
      <xdr:row>57</xdr:row>
      <xdr:rowOff>30480</xdr:rowOff>
    </xdr:to>
    <xdr:sp macro="" textlink="">
      <xdr:nvSpPr>
        <xdr:cNvPr id="31" name="TextBox 30">
          <a:extLst>
            <a:ext uri="{FF2B5EF4-FFF2-40B4-BE49-F238E27FC236}">
              <a16:creationId xmlns:a16="http://schemas.microsoft.com/office/drawing/2014/main" id="{9F17BE29-2FA5-F29D-0200-D84F6189B234}"/>
            </a:ext>
          </a:extLst>
        </xdr:cNvPr>
        <xdr:cNvSpPr txBox="1"/>
      </xdr:nvSpPr>
      <xdr:spPr>
        <a:xfrm>
          <a:off x="129540" y="11018520"/>
          <a:ext cx="81915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rgbClr val="082C64"/>
              </a:solidFill>
            </a:rPr>
            <a:t>DuPont Analysis - Return</a:t>
          </a:r>
          <a:r>
            <a:rPr lang="en-IN" sz="1800" b="1" baseline="0">
              <a:solidFill>
                <a:srgbClr val="082C64"/>
              </a:solidFill>
            </a:rPr>
            <a:t> on Equity &amp; Return on Asset</a:t>
          </a:r>
          <a:endParaRPr lang="en-IN" sz="1800" b="1">
            <a:solidFill>
              <a:srgbClr val="082C64"/>
            </a:solidFill>
          </a:endParaRPr>
        </a:p>
      </xdr:txBody>
    </xdr:sp>
    <xdr:clientData/>
  </xdr:twoCellAnchor>
  <xdr:twoCellAnchor>
    <xdr:from>
      <xdr:col>0</xdr:col>
      <xdr:colOff>114300</xdr:colOff>
      <xdr:row>98</xdr:row>
      <xdr:rowOff>99060</xdr:rowOff>
    </xdr:from>
    <xdr:to>
      <xdr:col>10</xdr:col>
      <xdr:colOff>12700</xdr:colOff>
      <xdr:row>111</xdr:row>
      <xdr:rowOff>167640</xdr:rowOff>
    </xdr:to>
    <xdr:sp macro="" textlink="">
      <xdr:nvSpPr>
        <xdr:cNvPr id="32" name="TextBox 31">
          <a:extLst>
            <a:ext uri="{FF2B5EF4-FFF2-40B4-BE49-F238E27FC236}">
              <a16:creationId xmlns:a16="http://schemas.microsoft.com/office/drawing/2014/main" id="{CA0D8978-6D65-47DC-8FF3-FA8F5A63FD59}"/>
            </a:ext>
          </a:extLst>
        </xdr:cNvPr>
        <xdr:cNvSpPr txBox="1"/>
      </xdr:nvSpPr>
      <xdr:spPr>
        <a:xfrm>
          <a:off x="114300" y="18958560"/>
          <a:ext cx="8356600" cy="2446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buFont typeface="Arial" panose="020B0604020202020204" pitchFamily="34" charset="0"/>
            <a:buNone/>
          </a:pPr>
          <a:r>
            <a:rPr lang="en-IN" sz="1600" b="1">
              <a:solidFill>
                <a:srgbClr val="082C64"/>
              </a:solidFill>
            </a:rPr>
            <a:t>DuPont</a:t>
          </a:r>
          <a:r>
            <a:rPr lang="en-IN" sz="1600" b="1" baseline="0">
              <a:solidFill>
                <a:srgbClr val="082C64"/>
              </a:solidFill>
            </a:rPr>
            <a:t> Summary</a:t>
          </a:r>
          <a:endParaRPr lang="en-IN" sz="1600" b="1">
            <a:solidFill>
              <a:srgbClr val="082C64"/>
            </a:solidFill>
          </a:endParaRPr>
        </a:p>
        <a:p>
          <a:pPr marL="171450" indent="-171450">
            <a:buClr>
              <a:srgbClr val="082C64"/>
            </a:buClr>
            <a:buFont typeface="Arial" panose="020B0604020202020204" pitchFamily="34" charset="0"/>
            <a:buChar char="•"/>
          </a:pPr>
          <a:r>
            <a:rPr lang="en-IN" sz="1200" b="1"/>
            <a:t>COVID dip (FY21):</a:t>
          </a:r>
          <a:r>
            <a:rPr lang="en-IN" sz="1200"/>
            <a:t> ROE/ROA fell to 14% / 12% as lockdowns hit cigarettes &amp; hotels;</a:t>
          </a:r>
          <a:r>
            <a:rPr lang="en-IN" sz="1200" baseline="0"/>
            <a:t> </a:t>
          </a:r>
          <a:r>
            <a:rPr lang="en-IN" sz="1200"/>
            <a:t>asset turnover softened while leverage stayed low.</a:t>
          </a:r>
        </a:p>
        <a:p>
          <a:pPr marL="171450" indent="-171450">
            <a:buClr>
              <a:srgbClr val="082C64"/>
            </a:buClr>
            <a:buFont typeface="Arial" panose="020B0604020202020204" pitchFamily="34" charset="0"/>
            <a:buChar char="•"/>
          </a:pPr>
          <a:r>
            <a:rPr lang="en-IN" sz="1200" b="1"/>
            <a:t>Recovery (FY22–FY24):</a:t>
          </a:r>
          <a:r>
            <a:rPr lang="en-IN" sz="1200"/>
            <a:t> Normalization of cigarette volumes, FMCG scale benefits and cost control lifted margins; ROE moved back to high-teens</a:t>
          </a:r>
          <a:r>
            <a:rPr lang="en-IN" sz="1200" baseline="0"/>
            <a:t> </a:t>
          </a:r>
          <a:r>
            <a:rPr lang="en-IN" sz="1200"/>
            <a:t>20% and ROA to mid-teens.</a:t>
          </a:r>
        </a:p>
        <a:p>
          <a:pPr marL="171450" indent="-171450">
            <a:buClr>
              <a:srgbClr val="082C64"/>
            </a:buClr>
            <a:buFont typeface="Arial" panose="020B0604020202020204" pitchFamily="34" charset="0"/>
            <a:buChar char="•"/>
          </a:pPr>
          <a:r>
            <a:rPr lang="en-IN" sz="1200" b="1"/>
            <a:t>FY25 step-up:</a:t>
          </a:r>
          <a:r>
            <a:rPr lang="en-IN" sz="1200"/>
            <a:t> Mix shift to higher-margin cigarettes, calibrated price hikes, hotel turnaround and operating leverage pushed </a:t>
          </a:r>
          <a:r>
            <a:rPr lang="en-IN" sz="1200" b="0"/>
            <a:t>ROE to 32% </a:t>
          </a:r>
          <a:r>
            <a:rPr lang="en-IN" sz="1200"/>
            <a:t>and </a:t>
          </a:r>
          <a:r>
            <a:rPr lang="en-IN" sz="1200" b="0"/>
            <a:t>ROA to 21%</a:t>
          </a:r>
          <a:r>
            <a:rPr lang="en-IN" sz="1200" b="0" baseline="0"/>
            <a:t> </a:t>
          </a:r>
          <a:r>
            <a:rPr lang="en-IN" sz="1200"/>
            <a:t>margin-led gains.</a:t>
          </a:r>
        </a:p>
        <a:p>
          <a:pPr marL="171450" indent="-171450">
            <a:buClr>
              <a:srgbClr val="082C64"/>
            </a:buClr>
            <a:buFont typeface="Arial" panose="020B0604020202020204" pitchFamily="34" charset="0"/>
            <a:buChar char="•"/>
          </a:pPr>
          <a:r>
            <a:rPr lang="en-IN" sz="1200" b="1"/>
            <a:t>Efficiency flat:</a:t>
          </a:r>
          <a:r>
            <a:rPr lang="en-IN" sz="1200"/>
            <a:t> Asset turnover held roughly </a:t>
          </a:r>
          <a:r>
            <a:rPr lang="en-IN" sz="1200" b="0"/>
            <a:t>0.45–0.55x</a:t>
          </a:r>
          <a:r>
            <a:rPr lang="en-IN" sz="1200"/>
            <a:t> throughout; a cash-rich balance sheet and steady capex kept asset intensity high, so efficiency wasn’t the driver of returns.</a:t>
          </a:r>
        </a:p>
        <a:p>
          <a:pPr marL="171450" indent="-171450">
            <a:buClr>
              <a:srgbClr val="082C64"/>
            </a:buClr>
            <a:buFont typeface="Arial" panose="020B0604020202020204" pitchFamily="34" charset="0"/>
            <a:buChar char="•"/>
          </a:pPr>
          <a:r>
            <a:rPr lang="en-IN" sz="1200" b="1"/>
            <a:t>Prudent leverage:</a:t>
          </a:r>
          <a:r>
            <a:rPr lang="en-IN" sz="1200"/>
            <a:t> Equity multiplier rose only modestly (1.27x to</a:t>
          </a:r>
          <a:r>
            <a:rPr lang="en-IN" sz="1200" baseline="0"/>
            <a:t> </a:t>
          </a:r>
          <a:r>
            <a:rPr lang="en-IN" sz="1200"/>
            <a:t>1.5x); near debt-free, so shareholder returns are driven by profitability (and dividends), not financial leverage.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381822</xdr:colOff>
      <xdr:row>1</xdr:row>
      <xdr:rowOff>22860</xdr:rowOff>
    </xdr:from>
    <xdr:to>
      <xdr:col>9</xdr:col>
      <xdr:colOff>582308</xdr:colOff>
      <xdr:row>4</xdr:row>
      <xdr:rowOff>167640</xdr:rowOff>
    </xdr:to>
    <xdr:pic>
      <xdr:nvPicPr>
        <xdr:cNvPr id="2" name="Picture 1">
          <a:extLst>
            <a:ext uri="{FF2B5EF4-FFF2-40B4-BE49-F238E27FC236}">
              <a16:creationId xmlns:a16="http://schemas.microsoft.com/office/drawing/2014/main" id="{63F8316F-F5E6-41CD-9DF5-58EC2A6CC227}"/>
            </a:ext>
          </a:extLst>
        </xdr:cNvPr>
        <xdr:cNvPicPr>
          <a:picLocks noChangeAspect="1"/>
        </xdr:cNvPicPr>
      </xdr:nvPicPr>
      <xdr:blipFill>
        <a:blip xmlns:r="http://schemas.openxmlformats.org/officeDocument/2006/relationships" r:embed="rId1"/>
        <a:stretch>
          <a:fillRect/>
        </a:stretch>
      </xdr:blipFill>
      <xdr:spPr>
        <a:xfrm>
          <a:off x="7521762" y="137160"/>
          <a:ext cx="947246" cy="982980"/>
        </a:xfrm>
        <a:prstGeom prst="rect">
          <a:avLst/>
        </a:prstGeom>
      </xdr:spPr>
    </xdr:pic>
    <xdr:clientData/>
  </xdr:twoCellAnchor>
  <xdr:twoCellAnchor>
    <xdr:from>
      <xdr:col>1</xdr:col>
      <xdr:colOff>15240</xdr:colOff>
      <xdr:row>14</xdr:row>
      <xdr:rowOff>148590</xdr:rowOff>
    </xdr:from>
    <xdr:to>
      <xdr:col>1</xdr:col>
      <xdr:colOff>2240280</xdr:colOff>
      <xdr:row>23</xdr:row>
      <xdr:rowOff>160020</xdr:rowOff>
    </xdr:to>
    <xdr:graphicFrame macro="">
      <xdr:nvGraphicFramePr>
        <xdr:cNvPr id="3" name="Chart 2">
          <a:extLst>
            <a:ext uri="{FF2B5EF4-FFF2-40B4-BE49-F238E27FC236}">
              <a16:creationId xmlns:a16="http://schemas.microsoft.com/office/drawing/2014/main" id="{D1A89A6F-DFE4-4135-8FCC-56EFC6C2C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158867</xdr:colOff>
      <xdr:row>13</xdr:row>
      <xdr:rowOff>53340</xdr:rowOff>
    </xdr:from>
    <xdr:ext cx="1952522" cy="264560"/>
    <xdr:sp macro="" textlink="">
      <xdr:nvSpPr>
        <xdr:cNvPr id="4" name="TextBox 3">
          <a:extLst>
            <a:ext uri="{FF2B5EF4-FFF2-40B4-BE49-F238E27FC236}">
              <a16:creationId xmlns:a16="http://schemas.microsoft.com/office/drawing/2014/main" id="{A8FCAAB9-7193-45EB-8D63-CC2001A7DE92}"/>
            </a:ext>
          </a:extLst>
        </xdr:cNvPr>
        <xdr:cNvSpPr txBox="1"/>
      </xdr:nvSpPr>
      <xdr:spPr>
        <a:xfrm>
          <a:off x="288407" y="3124200"/>
          <a:ext cx="1952522"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baseline="0">
              <a:solidFill>
                <a:srgbClr val="082C64"/>
              </a:solidFill>
              <a:latin typeface="+mn-lt"/>
            </a:rPr>
            <a:t>Working Capital / Total Assets</a:t>
          </a:r>
        </a:p>
      </xdr:txBody>
    </xdr:sp>
    <xdr:clientData/>
  </xdr:oneCellAnchor>
  <xdr:twoCellAnchor>
    <xdr:from>
      <xdr:col>2</xdr:col>
      <xdr:colOff>579120</xdr:colOff>
      <xdr:row>14</xdr:row>
      <xdr:rowOff>148590</xdr:rowOff>
    </xdr:from>
    <xdr:to>
      <xdr:col>5</xdr:col>
      <xdr:colOff>659130</xdr:colOff>
      <xdr:row>23</xdr:row>
      <xdr:rowOff>160020</xdr:rowOff>
    </xdr:to>
    <xdr:graphicFrame macro="">
      <xdr:nvGraphicFramePr>
        <xdr:cNvPr id="5" name="Chart 4">
          <a:extLst>
            <a:ext uri="{FF2B5EF4-FFF2-40B4-BE49-F238E27FC236}">
              <a16:creationId xmlns:a16="http://schemas.microsoft.com/office/drawing/2014/main" id="{CC81F16A-151F-4DF0-9430-5DC9F15AE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8725</xdr:colOff>
      <xdr:row>13</xdr:row>
      <xdr:rowOff>53340</xdr:rowOff>
    </xdr:from>
    <xdr:ext cx="2069926" cy="264560"/>
    <xdr:sp macro="" textlink="">
      <xdr:nvSpPr>
        <xdr:cNvPr id="6" name="TextBox 5">
          <a:extLst>
            <a:ext uri="{FF2B5EF4-FFF2-40B4-BE49-F238E27FC236}">
              <a16:creationId xmlns:a16="http://schemas.microsoft.com/office/drawing/2014/main" id="{9D96F1DD-3232-458D-87FC-D2B5993EDE5E}"/>
            </a:ext>
          </a:extLst>
        </xdr:cNvPr>
        <xdr:cNvSpPr txBox="1"/>
      </xdr:nvSpPr>
      <xdr:spPr>
        <a:xfrm>
          <a:off x="3338665" y="3124200"/>
          <a:ext cx="2069926"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a:solidFill>
                <a:srgbClr val="082C64"/>
              </a:solidFill>
              <a:latin typeface="+mn-lt"/>
            </a:rPr>
            <a:t>Retained Earnings / Total Assets</a:t>
          </a:r>
          <a:endParaRPr lang="en-IN" sz="1100" b="1" baseline="0">
            <a:solidFill>
              <a:srgbClr val="082C64"/>
            </a:solidFill>
            <a:latin typeface="+mn-lt"/>
          </a:endParaRPr>
        </a:p>
      </xdr:txBody>
    </xdr:sp>
    <xdr:clientData/>
  </xdr:oneCellAnchor>
  <xdr:twoCellAnchor>
    <xdr:from>
      <xdr:col>7</xdr:col>
      <xdr:colOff>22860</xdr:colOff>
      <xdr:row>14</xdr:row>
      <xdr:rowOff>140970</xdr:rowOff>
    </xdr:from>
    <xdr:to>
      <xdr:col>10</xdr:col>
      <xdr:colOff>7620</xdr:colOff>
      <xdr:row>23</xdr:row>
      <xdr:rowOff>152400</xdr:rowOff>
    </xdr:to>
    <xdr:graphicFrame macro="">
      <xdr:nvGraphicFramePr>
        <xdr:cNvPr id="7" name="Chart 6">
          <a:extLst>
            <a:ext uri="{FF2B5EF4-FFF2-40B4-BE49-F238E27FC236}">
              <a16:creationId xmlns:a16="http://schemas.microsoft.com/office/drawing/2014/main" id="{47F26923-2C78-450D-93B7-A0880D68A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7</xdr:col>
      <xdr:colOff>500441</xdr:colOff>
      <xdr:row>13</xdr:row>
      <xdr:rowOff>53340</xdr:rowOff>
    </xdr:from>
    <xdr:ext cx="1269386" cy="264560"/>
    <xdr:sp macro="" textlink="">
      <xdr:nvSpPr>
        <xdr:cNvPr id="8" name="TextBox 7">
          <a:extLst>
            <a:ext uri="{FF2B5EF4-FFF2-40B4-BE49-F238E27FC236}">
              <a16:creationId xmlns:a16="http://schemas.microsoft.com/office/drawing/2014/main" id="{AA2D84F6-EEFB-4523-9871-61A407563EA1}"/>
            </a:ext>
          </a:extLst>
        </xdr:cNvPr>
        <xdr:cNvSpPr txBox="1"/>
      </xdr:nvSpPr>
      <xdr:spPr>
        <a:xfrm>
          <a:off x="6893621" y="3124200"/>
          <a:ext cx="1269386"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a:solidFill>
                <a:srgbClr val="082C64"/>
              </a:solidFill>
              <a:latin typeface="+mn-lt"/>
            </a:rPr>
            <a:t>EBIT / Total Assets</a:t>
          </a:r>
          <a:endParaRPr lang="en-IN" sz="1100" b="1" baseline="0">
            <a:solidFill>
              <a:srgbClr val="082C64"/>
            </a:solidFill>
            <a:latin typeface="+mn-lt"/>
          </a:endParaRPr>
        </a:p>
      </xdr:txBody>
    </xdr:sp>
    <xdr:clientData/>
  </xdr:oneCellAnchor>
  <xdr:twoCellAnchor>
    <xdr:from>
      <xdr:col>1</xdr:col>
      <xdr:colOff>0</xdr:colOff>
      <xdr:row>26</xdr:row>
      <xdr:rowOff>110491</xdr:rowOff>
    </xdr:from>
    <xdr:to>
      <xdr:col>1</xdr:col>
      <xdr:colOff>2225040</xdr:colOff>
      <xdr:row>35</xdr:row>
      <xdr:rowOff>132927</xdr:rowOff>
    </xdr:to>
    <xdr:graphicFrame macro="">
      <xdr:nvGraphicFramePr>
        <xdr:cNvPr id="9" name="Chart 8">
          <a:extLst>
            <a:ext uri="{FF2B5EF4-FFF2-40B4-BE49-F238E27FC236}">
              <a16:creationId xmlns:a16="http://schemas.microsoft.com/office/drawing/2014/main" id="{0D324C7F-3EA4-4F21-8181-19675E1A7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152040</xdr:colOff>
      <xdr:row>24</xdr:row>
      <xdr:rowOff>163407</xdr:rowOff>
    </xdr:from>
    <xdr:ext cx="2242665" cy="264560"/>
    <xdr:sp macro="" textlink="">
      <xdr:nvSpPr>
        <xdr:cNvPr id="10" name="TextBox 9">
          <a:extLst>
            <a:ext uri="{FF2B5EF4-FFF2-40B4-BE49-F238E27FC236}">
              <a16:creationId xmlns:a16="http://schemas.microsoft.com/office/drawing/2014/main" id="{0AC4A8F4-A25A-4895-AB87-4143F8DF3207}"/>
            </a:ext>
          </a:extLst>
        </xdr:cNvPr>
        <xdr:cNvSpPr txBox="1"/>
      </xdr:nvSpPr>
      <xdr:spPr>
        <a:xfrm>
          <a:off x="281580" y="5284047"/>
          <a:ext cx="2242665"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baseline="0">
              <a:solidFill>
                <a:srgbClr val="082C64"/>
              </a:solidFill>
              <a:latin typeface="+mn-lt"/>
            </a:rPr>
            <a:t>Market Cap. / Long-Term Liabilities</a:t>
          </a:r>
        </a:p>
      </xdr:txBody>
    </xdr:sp>
    <xdr:clientData/>
  </xdr:oneCellAnchor>
  <xdr:twoCellAnchor>
    <xdr:from>
      <xdr:col>2</xdr:col>
      <xdr:colOff>556260</xdr:colOff>
      <xdr:row>26</xdr:row>
      <xdr:rowOff>110491</xdr:rowOff>
    </xdr:from>
    <xdr:to>
      <xdr:col>5</xdr:col>
      <xdr:colOff>636270</xdr:colOff>
      <xdr:row>35</xdr:row>
      <xdr:rowOff>132927</xdr:rowOff>
    </xdr:to>
    <xdr:graphicFrame macro="">
      <xdr:nvGraphicFramePr>
        <xdr:cNvPr id="11" name="Chart 10">
          <a:extLst>
            <a:ext uri="{FF2B5EF4-FFF2-40B4-BE49-F238E27FC236}">
              <a16:creationId xmlns:a16="http://schemas.microsoft.com/office/drawing/2014/main" id="{1992B349-D89A-4EC4-BEFE-0A0209B3A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364657</xdr:colOff>
      <xdr:row>24</xdr:row>
      <xdr:rowOff>163407</xdr:rowOff>
    </xdr:from>
    <xdr:ext cx="1312346" cy="264560"/>
    <xdr:sp macro="" textlink="">
      <xdr:nvSpPr>
        <xdr:cNvPr id="12" name="TextBox 11">
          <a:extLst>
            <a:ext uri="{FF2B5EF4-FFF2-40B4-BE49-F238E27FC236}">
              <a16:creationId xmlns:a16="http://schemas.microsoft.com/office/drawing/2014/main" id="{E73BF176-85C8-4E50-AF13-D25810FF1AC0}"/>
            </a:ext>
          </a:extLst>
        </xdr:cNvPr>
        <xdr:cNvSpPr txBox="1"/>
      </xdr:nvSpPr>
      <xdr:spPr>
        <a:xfrm>
          <a:off x="3694597" y="5284047"/>
          <a:ext cx="1312346"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a:solidFill>
                <a:srgbClr val="082C64"/>
              </a:solidFill>
              <a:latin typeface="+mn-lt"/>
            </a:rPr>
            <a:t>Sales / Total Assets</a:t>
          </a:r>
          <a:endParaRPr lang="en-IN" sz="1100" b="1" baseline="0">
            <a:solidFill>
              <a:srgbClr val="082C64"/>
            </a:solidFill>
            <a:latin typeface="+mn-lt"/>
          </a:endParaRPr>
        </a:p>
      </xdr:txBody>
    </xdr:sp>
    <xdr:clientData/>
  </xdr:oneCellAnchor>
  <xdr:twoCellAnchor>
    <xdr:from>
      <xdr:col>7</xdr:col>
      <xdr:colOff>0</xdr:colOff>
      <xdr:row>26</xdr:row>
      <xdr:rowOff>110491</xdr:rowOff>
    </xdr:from>
    <xdr:to>
      <xdr:col>9</xdr:col>
      <xdr:colOff>727710</xdr:colOff>
      <xdr:row>35</xdr:row>
      <xdr:rowOff>132927</xdr:rowOff>
    </xdr:to>
    <xdr:graphicFrame macro="">
      <xdr:nvGraphicFramePr>
        <xdr:cNvPr id="13" name="Chart 12">
          <a:extLst>
            <a:ext uri="{FF2B5EF4-FFF2-40B4-BE49-F238E27FC236}">
              <a16:creationId xmlns:a16="http://schemas.microsoft.com/office/drawing/2014/main" id="{4C30E2FA-DAE7-4373-AE66-F0D83B510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7</xdr:col>
      <xdr:colOff>549028</xdr:colOff>
      <xdr:row>24</xdr:row>
      <xdr:rowOff>171027</xdr:rowOff>
    </xdr:from>
    <xdr:ext cx="1156984" cy="264560"/>
    <xdr:sp macro="" textlink="">
      <xdr:nvSpPr>
        <xdr:cNvPr id="14" name="TextBox 13">
          <a:extLst>
            <a:ext uri="{FF2B5EF4-FFF2-40B4-BE49-F238E27FC236}">
              <a16:creationId xmlns:a16="http://schemas.microsoft.com/office/drawing/2014/main" id="{6749223E-5389-4C6D-AD31-E78B624224F9}"/>
            </a:ext>
          </a:extLst>
        </xdr:cNvPr>
        <xdr:cNvSpPr txBox="1"/>
      </xdr:nvSpPr>
      <xdr:spPr>
        <a:xfrm>
          <a:off x="6942208" y="5291667"/>
          <a:ext cx="1156984"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a:solidFill>
                <a:srgbClr val="082C64"/>
              </a:solidFill>
              <a:latin typeface="+mn-lt"/>
            </a:rPr>
            <a:t>Altman's</a:t>
          </a:r>
          <a:r>
            <a:rPr lang="en-IN" sz="1100" b="1" baseline="0">
              <a:solidFill>
                <a:srgbClr val="082C64"/>
              </a:solidFill>
              <a:latin typeface="+mn-lt"/>
            </a:rPr>
            <a:t> Z</a:t>
          </a:r>
          <a:r>
            <a:rPr lang="en-IN" sz="1100" b="1">
              <a:solidFill>
                <a:srgbClr val="082C64"/>
              </a:solidFill>
              <a:latin typeface="+mn-lt"/>
            </a:rPr>
            <a:t> Score</a:t>
          </a:r>
          <a:endParaRPr lang="en-IN" sz="1100" b="1" baseline="0">
            <a:solidFill>
              <a:srgbClr val="082C64"/>
            </a:solidFill>
            <a:latin typeface="+mn-lt"/>
          </a:endParaRPr>
        </a:p>
      </xdr:txBody>
    </xdr:sp>
    <xdr:clientData/>
  </xdr:oneCellAnchor>
  <xdr:twoCellAnchor>
    <xdr:from>
      <xdr:col>1</xdr:col>
      <xdr:colOff>77893</xdr:colOff>
      <xdr:row>36</xdr:row>
      <xdr:rowOff>53340</xdr:rowOff>
    </xdr:from>
    <xdr:to>
      <xdr:col>9</xdr:col>
      <xdr:colOff>712893</xdr:colOff>
      <xdr:row>53</xdr:row>
      <xdr:rowOff>68580</xdr:rowOff>
    </xdr:to>
    <xdr:sp macro="" textlink="">
      <xdr:nvSpPr>
        <xdr:cNvPr id="15" name="TextBox 14">
          <a:extLst>
            <a:ext uri="{FF2B5EF4-FFF2-40B4-BE49-F238E27FC236}">
              <a16:creationId xmlns:a16="http://schemas.microsoft.com/office/drawing/2014/main" id="{D7C35BDD-09B2-4C39-8C12-92F9D36149BF}"/>
            </a:ext>
          </a:extLst>
        </xdr:cNvPr>
        <xdr:cNvSpPr txBox="1"/>
      </xdr:nvSpPr>
      <xdr:spPr>
        <a:xfrm>
          <a:off x="207433" y="7284720"/>
          <a:ext cx="8216900" cy="3124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buFont typeface="Arial" panose="020B0604020202020204" pitchFamily="34" charset="0"/>
            <a:buNone/>
          </a:pPr>
          <a:r>
            <a:rPr lang="en-IN" sz="1600" b="1">
              <a:solidFill>
                <a:srgbClr val="082C64"/>
              </a:solidFill>
            </a:rPr>
            <a:t>Recent</a:t>
          </a:r>
          <a:r>
            <a:rPr lang="en-IN" sz="1400" b="1">
              <a:solidFill>
                <a:srgbClr val="082C64"/>
              </a:solidFill>
            </a:rPr>
            <a:t> </a:t>
          </a:r>
          <a:r>
            <a:rPr lang="en-IN" sz="1600" b="1">
              <a:solidFill>
                <a:srgbClr val="082C64"/>
              </a:solidFill>
            </a:rPr>
            <a:t>Updates</a:t>
          </a:r>
          <a:r>
            <a:rPr lang="en-IN" sz="1400" b="1">
              <a:solidFill>
                <a:srgbClr val="082C64"/>
              </a:solidFill>
            </a:rPr>
            <a:t> </a:t>
          </a:r>
        </a:p>
        <a:p>
          <a:pPr marL="171450" indent="-171450">
            <a:buClr>
              <a:srgbClr val="082C64"/>
            </a:buClr>
            <a:buFont typeface="Arial" panose="020B0604020202020204" pitchFamily="34" charset="0"/>
            <a:buChar char="•"/>
          </a:pPr>
          <a:r>
            <a:rPr lang="en-IN" sz="1200"/>
            <a:t>Return on Equity (ROE) for FY2024 stood at 27.4%, reflecting strong profitability and efficient capital utilization; this remains well above the industry average.</a:t>
          </a:r>
        </a:p>
        <a:p>
          <a:pPr marL="171450" indent="-171450">
            <a:buClr>
              <a:srgbClr val="082C64"/>
            </a:buClr>
            <a:buFont typeface="Arial" panose="020B0604020202020204" pitchFamily="34" charset="0"/>
            <a:buChar char="•"/>
          </a:pPr>
          <a:r>
            <a:rPr lang="en-IN" sz="1200"/>
            <a:t>Return on Assets (ROA) improved to 20.6%, supported by higher asset turnover and consistent earnings growth across FMCG and cigarette segments.</a:t>
          </a:r>
        </a:p>
        <a:p>
          <a:pPr marL="171450" indent="-171450">
            <a:buClr>
              <a:srgbClr val="082C64"/>
            </a:buClr>
            <a:buFont typeface="Arial" panose="020B0604020202020204" pitchFamily="34" charset="0"/>
            <a:buChar char="•"/>
          </a:pPr>
          <a:r>
            <a:rPr lang="en-IN" sz="1200"/>
            <a:t>ITC continues to maintain a virtually debt-free balance sheet, enhancing shareholder returns through stable free cash flow generation.</a:t>
          </a:r>
        </a:p>
        <a:p>
          <a:pPr marL="171450" indent="-171450">
            <a:buClr>
              <a:srgbClr val="082C64"/>
            </a:buClr>
            <a:buFont typeface="Arial" panose="020B0604020202020204" pitchFamily="34" charset="0"/>
            <a:buChar char="•"/>
          </a:pPr>
          <a:r>
            <a:rPr lang="en-IN" sz="1200"/>
            <a:t>The company declared a total dividend of ₹15.75 per share in FY2024, translating into a dividend payout ratio above 80%, reaffirming its status as a high dividend-yield stock.</a:t>
          </a:r>
        </a:p>
        <a:p>
          <a:pPr marL="171450" indent="-171450">
            <a:buClr>
              <a:srgbClr val="082C64"/>
            </a:buClr>
            <a:buFont typeface="Arial" panose="020B0604020202020204" pitchFamily="34" charset="0"/>
            <a:buChar char="•"/>
          </a:pPr>
          <a:r>
            <a:rPr lang="en-IN" sz="1200"/>
            <a:t>Share buybacks have not been announced recently, with ITC focusing instead on high dividend distributions as the primary route of capital return.</a:t>
          </a:r>
        </a:p>
        <a:p>
          <a:pPr marL="171450" indent="-171450">
            <a:buClr>
              <a:srgbClr val="082C64"/>
            </a:buClr>
            <a:buFont typeface="Arial" panose="020B0604020202020204" pitchFamily="34" charset="0"/>
            <a:buChar char="•"/>
          </a:pPr>
          <a:r>
            <a:rPr lang="en-IN" sz="1200"/>
            <a:t>Long-term shareholders have benefited from a 3-year average ROE of 26%, reflecting sustained profitability and efficient capital allocation.</a:t>
          </a:r>
        </a:p>
        <a:p>
          <a:pPr marL="171450" indent="-171450">
            <a:buClr>
              <a:srgbClr val="082C64"/>
            </a:buClr>
            <a:buFont typeface="Arial" panose="020B0604020202020204" pitchFamily="34" charset="0"/>
            <a:buChar char="•"/>
          </a:pPr>
          <a:r>
            <a:rPr lang="en-IN" sz="1200"/>
            <a:t>Earnings per Share (EPS) for FY2024 grew by 10% YoY, strengthening per-share returns and supporting dividend sustainability.</a:t>
          </a:r>
        </a:p>
        <a:p>
          <a:pPr marL="171450" indent="-171450">
            <a:buClr>
              <a:srgbClr val="082C64"/>
            </a:buClr>
            <a:buFont typeface="Arial" panose="020B0604020202020204" pitchFamily="34" charset="0"/>
            <a:buChar char="•"/>
          </a:pPr>
          <a:r>
            <a:rPr lang="en-IN" sz="1200"/>
            <a:t>Over the past five years, ITC has delivered a consistent average ROA above 18%, highlighting its ability to generate shareholder value even in periods of muted topline growth.</a:t>
          </a:r>
        </a:p>
      </xdr:txBody>
    </xdr:sp>
    <xdr:clientData/>
  </xdr:twoCellAnchor>
  <xdr:twoCellAnchor>
    <xdr:from>
      <xdr:col>1</xdr:col>
      <xdr:colOff>45720</xdr:colOff>
      <xdr:row>56</xdr:row>
      <xdr:rowOff>83820</xdr:rowOff>
    </xdr:from>
    <xdr:to>
      <xdr:col>9</xdr:col>
      <xdr:colOff>655320</xdr:colOff>
      <xdr:row>58</xdr:row>
      <xdr:rowOff>30480</xdr:rowOff>
    </xdr:to>
    <xdr:sp macro="" textlink="">
      <xdr:nvSpPr>
        <xdr:cNvPr id="16" name="TextBox 15">
          <a:extLst>
            <a:ext uri="{FF2B5EF4-FFF2-40B4-BE49-F238E27FC236}">
              <a16:creationId xmlns:a16="http://schemas.microsoft.com/office/drawing/2014/main" id="{844FB89F-E3D9-4655-AC66-64C8CB56BFB8}"/>
            </a:ext>
          </a:extLst>
        </xdr:cNvPr>
        <xdr:cNvSpPr txBox="1"/>
      </xdr:nvSpPr>
      <xdr:spPr>
        <a:xfrm>
          <a:off x="175260" y="10881360"/>
          <a:ext cx="81915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082C64"/>
              </a:solidFill>
            </a:rPr>
            <a:t>Altman</a:t>
          </a:r>
          <a:r>
            <a:rPr lang="en-IN" sz="1800" b="1" baseline="0">
              <a:solidFill>
                <a:srgbClr val="082C64"/>
              </a:solidFill>
            </a:rPr>
            <a:t>'s Z Score Analysis</a:t>
          </a:r>
          <a:endParaRPr lang="en-IN" sz="1800" b="1">
            <a:solidFill>
              <a:srgbClr val="082C64"/>
            </a:solidFill>
          </a:endParaRPr>
        </a:p>
      </xdr:txBody>
    </xdr:sp>
    <xdr:clientData/>
  </xdr:twoCellAnchor>
  <xdr:twoCellAnchor>
    <xdr:from>
      <xdr:col>0</xdr:col>
      <xdr:colOff>114300</xdr:colOff>
      <xdr:row>93</xdr:row>
      <xdr:rowOff>99060</xdr:rowOff>
    </xdr:from>
    <xdr:to>
      <xdr:col>10</xdr:col>
      <xdr:colOff>12700</xdr:colOff>
      <xdr:row>105</xdr:row>
      <xdr:rowOff>45720</xdr:rowOff>
    </xdr:to>
    <xdr:sp macro="" textlink="">
      <xdr:nvSpPr>
        <xdr:cNvPr id="19" name="TextBox 16">
          <a:extLst>
            <a:ext uri="{FF2B5EF4-FFF2-40B4-BE49-F238E27FC236}">
              <a16:creationId xmlns:a16="http://schemas.microsoft.com/office/drawing/2014/main" id="{517E25C7-7A11-4B2B-8813-8206B0D924BC}"/>
            </a:ext>
          </a:extLst>
        </xdr:cNvPr>
        <xdr:cNvSpPr txBox="1"/>
      </xdr:nvSpPr>
      <xdr:spPr>
        <a:xfrm>
          <a:off x="114300" y="17952720"/>
          <a:ext cx="8531860" cy="2141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buFont typeface="Arial" panose="020B0604020202020204" pitchFamily="34" charset="0"/>
            <a:buNone/>
          </a:pPr>
          <a:r>
            <a:rPr lang="en-IN" sz="1600" b="1" baseline="0">
              <a:solidFill>
                <a:srgbClr val="082C64"/>
              </a:solidFill>
            </a:rPr>
            <a:t>Altman's Z Score Summary</a:t>
          </a:r>
        </a:p>
        <a:p>
          <a:pPr marL="171450" indent="-171450">
            <a:buClr>
              <a:srgbClr val="082C64"/>
            </a:buClr>
            <a:buFont typeface="Arial" panose="020B0604020202020204" pitchFamily="34" charset="0"/>
            <a:buChar char="•"/>
          </a:pPr>
          <a:r>
            <a:rPr lang="en-IN" sz="1200"/>
            <a:t>ITC’s Z-Score stays well above the safe zone throughout, clearly indicating no bankruptcy or distress risk.</a:t>
          </a:r>
        </a:p>
        <a:p>
          <a:pPr marL="171450" indent="-171450">
            <a:buClr>
              <a:srgbClr val="082C64"/>
            </a:buClr>
            <a:buFont typeface="Arial" panose="020B0604020202020204" pitchFamily="34" charset="0"/>
            <a:buChar char="•"/>
          </a:pPr>
          <a:r>
            <a:rPr lang="en-IN" sz="1200"/>
            <a:t>Working capital to total assets is steady in the 0.13x</a:t>
          </a:r>
          <a:r>
            <a:rPr lang="en-IN" sz="1200" baseline="0"/>
            <a:t> to </a:t>
          </a:r>
          <a:r>
            <a:rPr lang="en-IN" sz="1200"/>
            <a:t>0.15x range, showing consistent short-term liquidity.</a:t>
          </a:r>
        </a:p>
        <a:p>
          <a:pPr marL="171450" indent="-171450">
            <a:buClr>
              <a:srgbClr val="082C64"/>
            </a:buClr>
            <a:buFont typeface="Arial" panose="020B0604020202020204" pitchFamily="34" charset="0"/>
            <a:buChar char="•"/>
          </a:pPr>
          <a:r>
            <a:rPr lang="en-IN" sz="1200"/>
            <a:t>Retained earnings to total assets have dropped close to zero after FY21, as most profits are distributed via dividends rather than retained.</a:t>
          </a:r>
        </a:p>
        <a:p>
          <a:pPr marL="171450" indent="-171450">
            <a:buClr>
              <a:srgbClr val="082C64"/>
            </a:buClr>
            <a:buFont typeface="Arial" panose="020B0604020202020204" pitchFamily="34" charset="0"/>
            <a:buChar char="•"/>
          </a:pPr>
          <a:r>
            <a:rPr lang="en-IN" sz="1200"/>
            <a:t>EBIT to total assets remains strong (0.24x</a:t>
          </a:r>
          <a:r>
            <a:rPr lang="en-IN" sz="1200" baseline="0"/>
            <a:t> to </a:t>
          </a:r>
          <a:r>
            <a:rPr lang="en-IN" sz="1200"/>
            <a:t>0.28x), highlighting stable profitability even through external challenges.</a:t>
          </a:r>
        </a:p>
        <a:p>
          <a:pPr marL="171450" indent="-171450">
            <a:buClr>
              <a:srgbClr val="082C64"/>
            </a:buClr>
            <a:buFont typeface="Arial" panose="020B0604020202020204" pitchFamily="34" charset="0"/>
            <a:buChar char="•"/>
          </a:pPr>
          <a:r>
            <a:rPr lang="en-IN" sz="1200"/>
            <a:t>Market cap to long-term liabilities is exceptionally high, reflecting a debt-light balance sheet and strong market confidence.</a:t>
          </a:r>
        </a:p>
        <a:p>
          <a:pPr marL="171450" indent="-171450">
            <a:buClr>
              <a:srgbClr val="082C64"/>
            </a:buClr>
            <a:buFont typeface="Arial" panose="020B0604020202020204" pitchFamily="34" charset="0"/>
            <a:buChar char="•"/>
          </a:pPr>
          <a:r>
            <a:rPr lang="en-IN" sz="1200"/>
            <a:t>Sales to total assets improved from 0.64x in FY20 to 0.83x in FY23, showing a post-COVID recovery in asset productivity.</a:t>
          </a:r>
        </a:p>
        <a:p>
          <a:pPr marL="171450" indent="-171450">
            <a:buClr>
              <a:srgbClr val="082C64"/>
            </a:buClr>
            <a:buFont typeface="Arial" panose="020B0604020202020204" pitchFamily="34" charset="0"/>
            <a:buChar char="•"/>
          </a:pPr>
          <a:r>
            <a:rPr lang="en-IN" sz="1200"/>
            <a:t>COVID year (FY21) caused</a:t>
          </a:r>
          <a:r>
            <a:rPr lang="en-IN" sz="1200" baseline="0"/>
            <a:t> a dip in asset productivity but recovery has been swift.</a:t>
          </a:r>
        </a:p>
        <a:p>
          <a:pPr marL="171450" indent="-171450">
            <a:buClr>
              <a:srgbClr val="082C64"/>
            </a:buClr>
            <a:buFont typeface="Arial" panose="020B0604020202020204" pitchFamily="34" charset="0"/>
            <a:buChar char="•"/>
          </a:pPr>
          <a:r>
            <a:rPr lang="en-IN" sz="1200" baseline="0"/>
            <a:t>Overall financial heallth is strong supported by low debt, stable profits and asset efficiency.</a:t>
          </a:r>
          <a:endParaRPr lang="en-IN" sz="12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15240</xdr:colOff>
      <xdr:row>13</xdr:row>
      <xdr:rowOff>91440</xdr:rowOff>
    </xdr:from>
    <xdr:to>
      <xdr:col>12</xdr:col>
      <xdr:colOff>15240</xdr:colOff>
      <xdr:row>18</xdr:row>
      <xdr:rowOff>167640</xdr:rowOff>
    </xdr:to>
    <xdr:sp macro="" textlink="">
      <xdr:nvSpPr>
        <xdr:cNvPr id="3" name="TextBox 2">
          <a:extLst>
            <a:ext uri="{FF2B5EF4-FFF2-40B4-BE49-F238E27FC236}">
              <a16:creationId xmlns:a16="http://schemas.microsoft.com/office/drawing/2014/main" id="{023717F0-4C0B-B455-50C0-75A11844A1AD}"/>
            </a:ext>
          </a:extLst>
        </xdr:cNvPr>
        <xdr:cNvSpPr txBox="1"/>
      </xdr:nvSpPr>
      <xdr:spPr>
        <a:xfrm>
          <a:off x="144780" y="2514600"/>
          <a:ext cx="6827520" cy="99060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28600" indent="-228600">
            <a:buClr>
              <a:srgbClr val="082C64"/>
            </a:buClr>
            <a:buFont typeface="+mj-lt"/>
            <a:buAutoNum type="arabicPeriod"/>
          </a:pPr>
          <a:r>
            <a:rPr lang="en-IN" b="1"/>
            <a:t>Terminal Growth Rate</a:t>
          </a:r>
          <a:r>
            <a:rPr lang="en-IN"/>
            <a:t>: 5.00%, aligned with long-term economic growth expectations and FMCG sector maturity.</a:t>
          </a:r>
        </a:p>
        <a:p>
          <a:pPr marL="228600" indent="-228600">
            <a:buClr>
              <a:srgbClr val="082C64"/>
            </a:buClr>
            <a:buFont typeface="+mj-lt"/>
            <a:buAutoNum type="arabicPeriod"/>
          </a:pPr>
          <a:r>
            <a:rPr lang="en-IN" b="1"/>
            <a:t>Reinvestment Rate</a:t>
          </a:r>
          <a:r>
            <a:rPr lang="en-IN"/>
            <a:t>: Average reinvestment rate of 20.69%, reflecting ITC’s capital allocation and growth strategy.</a:t>
          </a:r>
        </a:p>
        <a:p>
          <a:pPr marL="228600" indent="-228600">
            <a:buClr>
              <a:srgbClr val="082C64"/>
            </a:buClr>
            <a:buFont typeface="+mj-lt"/>
            <a:buAutoNum type="arabicPeriod"/>
          </a:pPr>
          <a:r>
            <a:rPr lang="en-IN" b="1"/>
            <a:t>Cost of Equity (via CAPM)</a:t>
          </a:r>
          <a:r>
            <a:rPr lang="en-IN"/>
            <a:t>: Incorporated within WACC of 9.81%, based on risk-free rate, beta, and equity risk premium assumptions.</a:t>
          </a:r>
        </a:p>
        <a:p>
          <a:pPr marL="228600" indent="-228600">
            <a:buClr>
              <a:srgbClr val="082C64"/>
            </a:buClr>
            <a:buFont typeface="+mj-lt"/>
            <a:buAutoNum type="arabicPeriod"/>
          </a:pPr>
          <a:r>
            <a:rPr lang="en-IN" b="1"/>
            <a:t>Tax Rate</a:t>
          </a:r>
          <a:r>
            <a:rPr lang="en-IN"/>
            <a:t>: 30%, consistent with applicable statutory norms and sector averages.</a:t>
          </a:r>
        </a:p>
      </xdr:txBody>
    </xdr:sp>
    <xdr:clientData/>
  </xdr:twoCellAnchor>
  <xdr:twoCellAnchor>
    <xdr:from>
      <xdr:col>1</xdr:col>
      <xdr:colOff>7620</xdr:colOff>
      <xdr:row>22</xdr:row>
      <xdr:rowOff>30480</xdr:rowOff>
    </xdr:from>
    <xdr:to>
      <xdr:col>11</xdr:col>
      <xdr:colOff>601980</xdr:colOff>
      <xdr:row>30</xdr:row>
      <xdr:rowOff>15240</xdr:rowOff>
    </xdr:to>
    <xdr:sp macro="" textlink="">
      <xdr:nvSpPr>
        <xdr:cNvPr id="4" name="TextBox 3">
          <a:extLst>
            <a:ext uri="{FF2B5EF4-FFF2-40B4-BE49-F238E27FC236}">
              <a16:creationId xmlns:a16="http://schemas.microsoft.com/office/drawing/2014/main" id="{A366A954-6BF7-4EA2-80D8-9E6AD64227F8}"/>
            </a:ext>
          </a:extLst>
        </xdr:cNvPr>
        <xdr:cNvSpPr txBox="1"/>
      </xdr:nvSpPr>
      <xdr:spPr>
        <a:xfrm>
          <a:off x="137160" y="4046220"/>
          <a:ext cx="6812280" cy="134874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Clr>
              <a:srgbClr val="082C64"/>
            </a:buClr>
            <a:buFontTx/>
            <a:buNone/>
          </a:pPr>
          <a:r>
            <a:rPr lang="en-IN" b="1"/>
            <a:t>Enterprise Value: </a:t>
          </a:r>
          <a:r>
            <a:rPr lang="en-IN"/>
            <a:t>₹1,78,286 Cr</a:t>
          </a:r>
        </a:p>
        <a:p>
          <a:pPr marL="0" indent="0">
            <a:buClr>
              <a:srgbClr val="082C64"/>
            </a:buClr>
            <a:buFontTx/>
            <a:buNone/>
          </a:pPr>
          <a:r>
            <a:rPr lang="en-IN" b="1"/>
            <a:t>Equity Value per Share: </a:t>
          </a:r>
          <a:r>
            <a:rPr lang="en-IN"/>
            <a:t>₹145.30</a:t>
          </a:r>
        </a:p>
        <a:p>
          <a:pPr marL="0" indent="0">
            <a:buClr>
              <a:srgbClr val="082C64"/>
            </a:buClr>
            <a:buFontTx/>
            <a:buNone/>
          </a:pPr>
          <a:r>
            <a:rPr lang="en-IN" b="1"/>
            <a:t>Weighted Average Cost of Capital: </a:t>
          </a:r>
          <a:r>
            <a:rPr lang="en-IN"/>
            <a:t>9.81%</a:t>
          </a:r>
        </a:p>
        <a:p>
          <a:pPr marL="0" indent="0">
            <a:buClr>
              <a:srgbClr val="082C64"/>
            </a:buClr>
            <a:buFontTx/>
            <a:buNone/>
          </a:pPr>
          <a:endParaRPr lang="en-IN"/>
        </a:p>
        <a:p>
          <a:pPr marL="0" indent="0">
            <a:buClr>
              <a:srgbClr val="082C64"/>
            </a:buClr>
            <a:buFontTx/>
            <a:buNone/>
          </a:pPr>
          <a:r>
            <a:rPr lang="en-IN" sz="1050" i="1">
              <a:solidFill>
                <a:schemeClr val="tx1"/>
              </a:solidFill>
            </a:rPr>
            <a:t>Interpretation: The DCF outcome implies a fundamental value of ₹145.3 per share, which is well below the current market price (₹411 as of September 2025). This suggests the stock is trading at a substantial premium to intrinsic fundamentals, reflecting strong investor confidence in ITC’s brand equity, FMCG growth, and cash generation capacity.</a:t>
          </a:r>
        </a:p>
        <a:p>
          <a:pPr marL="228600" indent="-228600">
            <a:buClr>
              <a:srgbClr val="082C64"/>
            </a:buClr>
            <a:buFont typeface="+mj-lt"/>
            <a:buAutoNum type="arabicPeriod"/>
          </a:pPr>
          <a:endParaRPr lang="en-IN"/>
        </a:p>
      </xdr:txBody>
    </xdr:sp>
    <xdr:clientData/>
  </xdr:twoCellAnchor>
  <xdr:twoCellAnchor>
    <xdr:from>
      <xdr:col>1</xdr:col>
      <xdr:colOff>15240</xdr:colOff>
      <xdr:row>31</xdr:row>
      <xdr:rowOff>22860</xdr:rowOff>
    </xdr:from>
    <xdr:to>
      <xdr:col>11</xdr:col>
      <xdr:colOff>571500</xdr:colOff>
      <xdr:row>38</xdr:row>
      <xdr:rowOff>83820</xdr:rowOff>
    </xdr:to>
    <xdr:sp macro="" textlink="">
      <xdr:nvSpPr>
        <xdr:cNvPr id="8" name="TextBox 7">
          <a:extLst>
            <a:ext uri="{FF2B5EF4-FFF2-40B4-BE49-F238E27FC236}">
              <a16:creationId xmlns:a16="http://schemas.microsoft.com/office/drawing/2014/main" id="{D7D54BD5-2A5E-4F4C-AEA9-2C78193AE723}"/>
            </a:ext>
          </a:extLst>
        </xdr:cNvPr>
        <xdr:cNvSpPr txBox="1"/>
      </xdr:nvSpPr>
      <xdr:spPr>
        <a:xfrm>
          <a:off x="142240" y="5483860"/>
          <a:ext cx="6779260" cy="12166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Clr>
              <a:srgbClr val="082C64"/>
            </a:buClr>
            <a:buFont typeface="Arial" panose="020B0604020202020204" pitchFamily="34" charset="0"/>
            <a:buChar char="•"/>
          </a:pPr>
          <a:r>
            <a:rPr lang="en-IN" sz="1050" b="1"/>
            <a:t>EV/Revenue Implied Value</a:t>
          </a:r>
          <a:r>
            <a:rPr lang="en-IN" sz="1050"/>
            <a:t>: ₹489.20 per share</a:t>
          </a:r>
        </a:p>
        <a:p>
          <a:pPr marL="171450" indent="-171450">
            <a:buClr>
              <a:srgbClr val="082C64"/>
            </a:buClr>
            <a:buFont typeface="Arial" panose="020B0604020202020204" pitchFamily="34" charset="0"/>
            <a:buChar char="•"/>
          </a:pPr>
          <a:r>
            <a:rPr lang="en-IN" sz="1050" b="1"/>
            <a:t>EV/EBITDA Implied Value</a:t>
          </a:r>
          <a:r>
            <a:rPr lang="en-IN" sz="1050"/>
            <a:t>: ₹1,364.70 per share</a:t>
          </a:r>
        </a:p>
        <a:p>
          <a:pPr marL="171450" indent="-171450">
            <a:buClr>
              <a:srgbClr val="082C64"/>
            </a:buClr>
            <a:buFont typeface="Arial" panose="020B0604020202020204" pitchFamily="34" charset="0"/>
            <a:buChar char="•"/>
          </a:pPr>
          <a:r>
            <a:rPr lang="en-IN" sz="1050" b="1"/>
            <a:t>P/E Implied Value</a:t>
          </a:r>
          <a:r>
            <a:rPr lang="en-IN" sz="1050"/>
            <a:t>: ₹1,696.90 per share</a:t>
          </a:r>
        </a:p>
        <a:p>
          <a:endParaRPr lang="en-IN" sz="1050"/>
        </a:p>
        <a:p>
          <a:r>
            <a:rPr lang="en-IN" sz="1050" b="0" i="1"/>
            <a:t>Interpretation: Market multiples imply a much higher valuation range compared to the DCF results. While the EV/Revenue approach is conservative, the P/E and EV/EBITDA multiples indicate significant upside relative to current levels, reinforcing ITC’s status as a high-margin FMCG leader with strong market positioning.</a:t>
          </a:r>
        </a:p>
        <a:p>
          <a:pPr marL="0" indent="0">
            <a:buClr>
              <a:srgbClr val="082C64"/>
            </a:buClr>
            <a:buFontTx/>
            <a:buNone/>
          </a:pPr>
          <a:endParaRPr lang="en-IN" sz="1050" i="1">
            <a:solidFill>
              <a:schemeClr val="tx1"/>
            </a:solidFill>
          </a:endParaRPr>
        </a:p>
        <a:p>
          <a:pPr marL="228600" indent="-228600">
            <a:buClr>
              <a:srgbClr val="082C64"/>
            </a:buClr>
            <a:buFont typeface="+mj-lt"/>
            <a:buAutoNum type="arabicPeriod"/>
          </a:pPr>
          <a:endParaRPr lang="en-IN"/>
        </a:p>
      </xdr:txBody>
    </xdr:sp>
    <xdr:clientData/>
  </xdr:twoCellAnchor>
  <xdr:twoCellAnchor>
    <xdr:from>
      <xdr:col>1</xdr:col>
      <xdr:colOff>15240</xdr:colOff>
      <xdr:row>40</xdr:row>
      <xdr:rowOff>38100</xdr:rowOff>
    </xdr:from>
    <xdr:to>
      <xdr:col>11</xdr:col>
      <xdr:colOff>535940</xdr:colOff>
      <xdr:row>45</xdr:row>
      <xdr:rowOff>254000</xdr:rowOff>
    </xdr:to>
    <xdr:sp macro="" textlink="">
      <xdr:nvSpPr>
        <xdr:cNvPr id="9" name="TextBox 8">
          <a:extLst>
            <a:ext uri="{FF2B5EF4-FFF2-40B4-BE49-F238E27FC236}">
              <a16:creationId xmlns:a16="http://schemas.microsoft.com/office/drawing/2014/main" id="{A7DE8D25-A332-4768-8FD8-9EA5F31AFE48}"/>
            </a:ext>
          </a:extLst>
        </xdr:cNvPr>
        <xdr:cNvSpPr txBox="1"/>
      </xdr:nvSpPr>
      <xdr:spPr>
        <a:xfrm>
          <a:off x="142240" y="7010400"/>
          <a:ext cx="6743700" cy="10160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Clr>
              <a:srgbClr val="082C64"/>
            </a:buClr>
            <a:buFont typeface="Arial" panose="020B0604020202020204" pitchFamily="34" charset="0"/>
            <a:buChar char="•"/>
          </a:pPr>
          <a:r>
            <a:rPr lang="en-IN" sz="1050" b="1"/>
            <a:t>95% Confidence (1-day)</a:t>
          </a:r>
          <a:r>
            <a:rPr lang="en-IN" sz="1050"/>
            <a:t>: -2.63% meaning</a:t>
          </a:r>
          <a:r>
            <a:rPr lang="en-IN" sz="1050" baseline="0"/>
            <a:t> </a:t>
          </a:r>
          <a:r>
            <a:rPr lang="en-IN" sz="1050"/>
            <a:t> ₹10.8 potential loss on a ₹420 stock</a:t>
          </a:r>
        </a:p>
        <a:p>
          <a:pPr marL="171450" indent="-171450">
            <a:buClr>
              <a:srgbClr val="082C64"/>
            </a:buClr>
            <a:buFont typeface="Arial" panose="020B0604020202020204" pitchFamily="34" charset="0"/>
            <a:buChar char="•"/>
          </a:pPr>
          <a:r>
            <a:rPr lang="en-IN" sz="1050" b="1"/>
            <a:t>99% Confidence (1-day)</a:t>
          </a:r>
          <a:r>
            <a:rPr lang="en-IN" sz="1050"/>
            <a:t>: -4.65%</a:t>
          </a:r>
          <a:r>
            <a:rPr lang="en-IN" sz="1050" baseline="0"/>
            <a:t> meaning </a:t>
          </a:r>
          <a:r>
            <a:rPr lang="en-IN" sz="1050"/>
            <a:t>₹19.0 potential loss.</a:t>
          </a:r>
        </a:p>
        <a:p>
          <a:endParaRPr lang="en-IN" sz="1050" i="1"/>
        </a:p>
        <a:p>
          <a:r>
            <a:rPr lang="en-IN" sz="1050" i="1"/>
            <a:t>Interpretation:</a:t>
          </a:r>
          <a:r>
            <a:rPr lang="en-IN" sz="1050" i="1" baseline="0"/>
            <a:t> </a:t>
          </a:r>
          <a:r>
            <a:rPr lang="en-IN" sz="1050" i="1"/>
            <a:t>VaR analysis indicates that ITC has a moderate daily downside risk, consistent with a stable FMCG business but still exposed to market volatility.</a:t>
          </a:r>
          <a:endParaRPr lang="en-IN" sz="1050"/>
        </a:p>
        <a:p>
          <a:endParaRPr lang="en-IN" sz="1050" i="1">
            <a:solidFill>
              <a:schemeClr val="tx1"/>
            </a:solidFill>
          </a:endParaRPr>
        </a:p>
        <a:p>
          <a:pPr marL="228600" indent="-228600">
            <a:buClr>
              <a:srgbClr val="082C64"/>
            </a:buClr>
            <a:buFont typeface="+mj-lt"/>
            <a:buAutoNum type="arabicPeriod"/>
          </a:pPr>
          <a:endParaRPr lang="en-IN"/>
        </a:p>
      </xdr:txBody>
    </xdr:sp>
    <xdr:clientData/>
  </xdr:twoCellAnchor>
  <xdr:twoCellAnchor>
    <xdr:from>
      <xdr:col>1</xdr:col>
      <xdr:colOff>15240</xdr:colOff>
      <xdr:row>48</xdr:row>
      <xdr:rowOff>38100</xdr:rowOff>
    </xdr:from>
    <xdr:to>
      <xdr:col>11</xdr:col>
      <xdr:colOff>601980</xdr:colOff>
      <xdr:row>55</xdr:row>
      <xdr:rowOff>99060</xdr:rowOff>
    </xdr:to>
    <xdr:sp macro="" textlink="">
      <xdr:nvSpPr>
        <xdr:cNvPr id="10" name="TextBox 9">
          <a:extLst>
            <a:ext uri="{FF2B5EF4-FFF2-40B4-BE49-F238E27FC236}">
              <a16:creationId xmlns:a16="http://schemas.microsoft.com/office/drawing/2014/main" id="{DDF08AA8-F660-4790-BD71-AA76F567B940}"/>
            </a:ext>
          </a:extLst>
        </xdr:cNvPr>
        <xdr:cNvSpPr txBox="1"/>
      </xdr:nvSpPr>
      <xdr:spPr>
        <a:xfrm>
          <a:off x="144780" y="8412480"/>
          <a:ext cx="6804660" cy="12420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Clr>
              <a:srgbClr val="082C64"/>
            </a:buClr>
            <a:buFont typeface="Arial" panose="020B0604020202020204" pitchFamily="34" charset="0"/>
            <a:buChar char="•"/>
          </a:pPr>
          <a:r>
            <a:rPr lang="en-IN" sz="1050" b="1"/>
            <a:t>Net Profit Margin (Mar-25)</a:t>
          </a:r>
          <a:r>
            <a:rPr lang="en-IN" sz="1050"/>
            <a:t>: 46.13%</a:t>
          </a:r>
        </a:p>
        <a:p>
          <a:pPr marL="171450" indent="-171450">
            <a:buClr>
              <a:srgbClr val="082C64"/>
            </a:buClr>
            <a:buFont typeface="Arial" panose="020B0604020202020204" pitchFamily="34" charset="0"/>
            <a:buChar char="•"/>
          </a:pPr>
          <a:r>
            <a:rPr lang="en-IN" sz="1050" b="1"/>
            <a:t>Asset Turnover (Mar-25)</a:t>
          </a:r>
          <a:r>
            <a:rPr lang="en-IN" sz="1050"/>
            <a:t>: 56.26%</a:t>
          </a:r>
        </a:p>
        <a:p>
          <a:pPr marL="171450" indent="-171450">
            <a:buClr>
              <a:srgbClr val="082C64"/>
            </a:buClr>
            <a:buFont typeface="Arial" panose="020B0604020202020204" pitchFamily="34" charset="0"/>
            <a:buChar char="•"/>
          </a:pPr>
          <a:r>
            <a:rPr lang="en-IN" sz="1050" b="1"/>
            <a:t>Equity Multiplier (Mar-25)</a:t>
          </a:r>
          <a:r>
            <a:rPr lang="en-IN" sz="1050"/>
            <a:t>: 1.33x</a:t>
          </a:r>
        </a:p>
        <a:p>
          <a:pPr marL="171450" indent="-171450">
            <a:buClr>
              <a:srgbClr val="082C64"/>
            </a:buClr>
            <a:buFont typeface="Arial" panose="020B0604020202020204" pitchFamily="34" charset="0"/>
            <a:buChar char="•"/>
          </a:pPr>
          <a:r>
            <a:rPr lang="en-IN" sz="1050" b="1"/>
            <a:t>Return on Equity (ROE, Mar-25)</a:t>
          </a:r>
          <a:r>
            <a:rPr lang="en-IN" sz="1050"/>
            <a:t>: 31.73%</a:t>
          </a:r>
        </a:p>
        <a:p>
          <a:endParaRPr lang="en-IN" sz="1050"/>
        </a:p>
        <a:p>
          <a:r>
            <a:rPr lang="en-IN" sz="1100" i="1">
              <a:solidFill>
                <a:schemeClr val="dk1"/>
              </a:solidFill>
              <a:effectLst/>
              <a:latin typeface="+mn-lt"/>
              <a:ea typeface="+mn-ea"/>
              <a:cs typeface="+mn-cs"/>
            </a:rPr>
            <a:t>Interpretation: </a:t>
          </a:r>
          <a:r>
            <a:rPr lang="en-IN" sz="1050" i="1"/>
            <a:t>DuPont shows ITC’s ROE is primarily driven by high profit margins, supplemented by steady asset utilization and conservative leverage. Strong margin expansion is the key contributor to rising shareholder returns.</a:t>
          </a:r>
          <a:endParaRPr lang="en-IN" sz="1050"/>
        </a:p>
        <a:p>
          <a:endParaRPr lang="en-IN" sz="1050" i="1">
            <a:solidFill>
              <a:schemeClr val="tx1"/>
            </a:solidFill>
          </a:endParaRPr>
        </a:p>
        <a:p>
          <a:pPr marL="228600" indent="-228600">
            <a:buClr>
              <a:srgbClr val="082C64"/>
            </a:buClr>
            <a:buFont typeface="+mj-lt"/>
            <a:buAutoNum type="arabicPeriod"/>
          </a:pPr>
          <a:endParaRPr lang="en-IN"/>
        </a:p>
      </xdr:txBody>
    </xdr:sp>
    <xdr:clientData/>
  </xdr:twoCellAnchor>
  <xdr:twoCellAnchor>
    <xdr:from>
      <xdr:col>1</xdr:col>
      <xdr:colOff>15240</xdr:colOff>
      <xdr:row>57</xdr:row>
      <xdr:rowOff>38100</xdr:rowOff>
    </xdr:from>
    <xdr:to>
      <xdr:col>11</xdr:col>
      <xdr:colOff>457200</xdr:colOff>
      <xdr:row>61</xdr:row>
      <xdr:rowOff>60960</xdr:rowOff>
    </xdr:to>
    <xdr:sp macro="" textlink="">
      <xdr:nvSpPr>
        <xdr:cNvPr id="11" name="TextBox 10">
          <a:extLst>
            <a:ext uri="{FF2B5EF4-FFF2-40B4-BE49-F238E27FC236}">
              <a16:creationId xmlns:a16="http://schemas.microsoft.com/office/drawing/2014/main" id="{AED9FBE5-75DF-4736-A982-41170524DDB2}"/>
            </a:ext>
          </a:extLst>
        </xdr:cNvPr>
        <xdr:cNvSpPr txBox="1"/>
      </xdr:nvSpPr>
      <xdr:spPr>
        <a:xfrm>
          <a:off x="144780" y="9959340"/>
          <a:ext cx="6659880" cy="6553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Clr>
              <a:srgbClr val="082C64"/>
            </a:buClr>
            <a:buFont typeface="Arial" panose="020B0604020202020204" pitchFamily="34" charset="0"/>
            <a:buChar char="•"/>
          </a:pPr>
          <a:r>
            <a:rPr lang="en-IN" sz="1050" b="1"/>
            <a:t>Z-Score (Mar-25)</a:t>
          </a:r>
          <a:r>
            <a:rPr lang="en-IN" sz="1050"/>
            <a:t>: 2221.4</a:t>
          </a:r>
        </a:p>
        <a:p>
          <a:pPr marL="171450" indent="-171450">
            <a:buClr>
              <a:srgbClr val="082C64"/>
            </a:buClr>
            <a:buFont typeface="Arial" panose="020B0604020202020204" pitchFamily="34" charset="0"/>
            <a:buChar char="•"/>
          </a:pPr>
          <a:r>
            <a:rPr lang="en-IN" sz="1050" b="1"/>
            <a:t>Zone</a:t>
          </a:r>
          <a:r>
            <a:rPr lang="en-IN" sz="1050"/>
            <a:t>: Safe</a:t>
          </a:r>
        </a:p>
        <a:p>
          <a:r>
            <a:rPr lang="en-IN" sz="1100" i="1">
              <a:solidFill>
                <a:schemeClr val="dk1"/>
              </a:solidFill>
              <a:effectLst/>
              <a:latin typeface="+mn-lt"/>
              <a:ea typeface="+mn-ea"/>
              <a:cs typeface="+mn-cs"/>
            </a:rPr>
            <a:t>Interpretation:</a:t>
          </a:r>
          <a:r>
            <a:rPr lang="en-IN" sz="1050"/>
            <a:t> </a:t>
          </a:r>
          <a:r>
            <a:rPr lang="en-IN" sz="1050" i="1"/>
            <a:t>ITC’s Z-Score has consistently remained well above the safe zone across all years.</a:t>
          </a:r>
          <a:endParaRPr lang="en-IN" sz="1050"/>
        </a:p>
        <a:p>
          <a:endParaRPr lang="en-IN" sz="1050" i="1">
            <a:solidFill>
              <a:schemeClr val="tx1"/>
            </a:solidFill>
          </a:endParaRPr>
        </a:p>
        <a:p>
          <a:pPr marL="228600" indent="-228600">
            <a:buClr>
              <a:srgbClr val="082C64"/>
            </a:buClr>
            <a:buFont typeface="+mj-lt"/>
            <a:buAutoNum type="arabicPeriod"/>
          </a:pPr>
          <a:endParaRPr lang="en-IN"/>
        </a:p>
      </xdr:txBody>
    </xdr:sp>
    <xdr:clientData/>
  </xdr:twoCellAnchor>
  <xdr:oneCellAnchor>
    <xdr:from>
      <xdr:col>10</xdr:col>
      <xdr:colOff>168461</xdr:colOff>
      <xdr:row>1</xdr:row>
      <xdr:rowOff>45720</xdr:rowOff>
    </xdr:from>
    <xdr:ext cx="900000" cy="845240"/>
    <xdr:pic>
      <xdr:nvPicPr>
        <xdr:cNvPr id="12" name="Picture 11">
          <a:extLst>
            <a:ext uri="{FF2B5EF4-FFF2-40B4-BE49-F238E27FC236}">
              <a16:creationId xmlns:a16="http://schemas.microsoft.com/office/drawing/2014/main" id="{BF946166-B151-4726-8B69-8B8C4FEB3DBA}"/>
            </a:ext>
          </a:extLst>
        </xdr:cNvPr>
        <xdr:cNvPicPr>
          <a:picLocks noChangeAspect="1"/>
        </xdr:cNvPicPr>
      </xdr:nvPicPr>
      <xdr:blipFill>
        <a:blip xmlns:r="http://schemas.openxmlformats.org/officeDocument/2006/relationships" r:embed="rId1"/>
        <a:stretch>
          <a:fillRect/>
        </a:stretch>
      </xdr:blipFill>
      <xdr:spPr>
        <a:xfrm>
          <a:off x="5906321" y="228600"/>
          <a:ext cx="900000" cy="845240"/>
        </a:xfrm>
        <a:prstGeom prst="rect">
          <a:avLst/>
        </a:prstGeom>
      </xdr:spPr>
    </xdr:pic>
    <xdr:clientData/>
  </xdr:oneCellAnchor>
  <xdr:twoCellAnchor>
    <xdr:from>
      <xdr:col>0</xdr:col>
      <xdr:colOff>114300</xdr:colOff>
      <xdr:row>72</xdr:row>
      <xdr:rowOff>76200</xdr:rowOff>
    </xdr:from>
    <xdr:to>
      <xdr:col>12</xdr:col>
      <xdr:colOff>15240</xdr:colOff>
      <xdr:row>74</xdr:row>
      <xdr:rowOff>175260</xdr:rowOff>
    </xdr:to>
    <xdr:sp macro="" textlink="">
      <xdr:nvSpPr>
        <xdr:cNvPr id="2" name="TextBox 1">
          <a:extLst>
            <a:ext uri="{FF2B5EF4-FFF2-40B4-BE49-F238E27FC236}">
              <a16:creationId xmlns:a16="http://schemas.microsoft.com/office/drawing/2014/main" id="{9D701C54-86BA-471E-85BA-74B90207A18B}"/>
            </a:ext>
          </a:extLst>
        </xdr:cNvPr>
        <xdr:cNvSpPr txBox="1"/>
      </xdr:nvSpPr>
      <xdr:spPr>
        <a:xfrm>
          <a:off x="114300" y="12672060"/>
          <a:ext cx="6858000" cy="4648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i="1">
              <a:solidFill>
                <a:srgbClr val="082C64"/>
              </a:solidFill>
            </a:rPr>
            <a:t>Disclamer:</a:t>
          </a:r>
          <a:r>
            <a:rPr lang="en-IN" sz="900" b="1" i="1" baseline="0">
              <a:solidFill>
                <a:srgbClr val="082C64"/>
              </a:solidFill>
            </a:rPr>
            <a:t> </a:t>
          </a:r>
          <a:r>
            <a:rPr lang="en-IN" sz="900" i="1" baseline="0">
              <a:solidFill>
                <a:schemeClr val="tx1"/>
              </a:solidFill>
            </a:rPr>
            <a:t>This report is made as a part of educational assignment and is meant for educational purpose only. Author of this report is not liable for any losses due to action taken on the basis of this report. It is advicable to consult SEBI registered analyst before making any investment.</a:t>
          </a:r>
          <a:endParaRPr lang="en-IN" sz="900" i="1">
            <a:solidFill>
              <a:schemeClr val="tx1"/>
            </a:solidFill>
          </a:endParaRPr>
        </a:p>
        <a:p>
          <a:pPr marL="228600" indent="-228600">
            <a:buClr>
              <a:srgbClr val="082C64"/>
            </a:buClr>
            <a:buFont typeface="+mj-lt"/>
            <a:buAutoNum type="arabicPeriod"/>
          </a:pPr>
          <a:endParaRPr lang="en-IN" sz="1000"/>
        </a:p>
      </xdr:txBody>
    </xdr:sp>
    <xdr:clientData/>
  </xdr:twoCellAnchor>
  <xdr:twoCellAnchor>
    <xdr:from>
      <xdr:col>1</xdr:col>
      <xdr:colOff>15240</xdr:colOff>
      <xdr:row>63</xdr:row>
      <xdr:rowOff>22860</xdr:rowOff>
    </xdr:from>
    <xdr:to>
      <xdr:col>11</xdr:col>
      <xdr:colOff>601980</xdr:colOff>
      <xdr:row>67</xdr:row>
      <xdr:rowOff>68580</xdr:rowOff>
    </xdr:to>
    <xdr:sp macro="" textlink="">
      <xdr:nvSpPr>
        <xdr:cNvPr id="5" name="TextBox 4">
          <a:extLst>
            <a:ext uri="{FF2B5EF4-FFF2-40B4-BE49-F238E27FC236}">
              <a16:creationId xmlns:a16="http://schemas.microsoft.com/office/drawing/2014/main" id="{9EDC6E34-43EE-41DF-A4C4-0E4BBA3D26EC}"/>
            </a:ext>
          </a:extLst>
        </xdr:cNvPr>
        <xdr:cNvSpPr txBox="1"/>
      </xdr:nvSpPr>
      <xdr:spPr>
        <a:xfrm>
          <a:off x="144780" y="10957560"/>
          <a:ext cx="6804660" cy="77724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Clr>
              <a:srgbClr val="082C64"/>
            </a:buClr>
            <a:buFont typeface="Arial" panose="020B0604020202020204" pitchFamily="34" charset="0"/>
            <a:buChar char="•"/>
          </a:pPr>
          <a:r>
            <a:rPr lang="en-IN" sz="1050" b="0" i="0">
              <a:solidFill>
                <a:schemeClr val="dk1"/>
              </a:solidFill>
            </a:rPr>
            <a:t>The</a:t>
          </a:r>
          <a:r>
            <a:rPr lang="en-IN" sz="1050" b="0" i="0" baseline="0">
              <a:solidFill>
                <a:schemeClr val="dk1"/>
              </a:solidFill>
            </a:rPr>
            <a:t> Valuation School </a:t>
          </a:r>
        </a:p>
        <a:p>
          <a:pPr marL="171450" indent="-171450">
            <a:buClr>
              <a:srgbClr val="082C64"/>
            </a:buClr>
            <a:buFont typeface="Arial" panose="020B0604020202020204" pitchFamily="34" charset="0"/>
            <a:buChar char="•"/>
          </a:pPr>
          <a:r>
            <a:rPr lang="en-IN" sz="1050" b="0" i="0" baseline="0">
              <a:solidFill>
                <a:schemeClr val="dk1"/>
              </a:solidFill>
            </a:rPr>
            <a:t>Screener.in</a:t>
          </a:r>
        </a:p>
        <a:p>
          <a:pPr marL="171450" indent="-171450">
            <a:buClr>
              <a:srgbClr val="082C64"/>
            </a:buClr>
            <a:buFont typeface="Arial" panose="020B0604020202020204" pitchFamily="34" charset="0"/>
            <a:buChar char="•"/>
          </a:pPr>
          <a:r>
            <a:rPr lang="en-IN" sz="1050" b="0" i="0" baseline="0">
              <a:solidFill>
                <a:schemeClr val="dk1"/>
              </a:solidFill>
            </a:rPr>
            <a:t>moneycontrol</a:t>
          </a:r>
        </a:p>
        <a:p>
          <a:pPr marL="171450" indent="-171450">
            <a:buClr>
              <a:srgbClr val="082C64"/>
            </a:buClr>
            <a:buFont typeface="Arial" panose="020B0604020202020204" pitchFamily="34" charset="0"/>
            <a:buChar char="•"/>
          </a:pPr>
          <a:r>
            <a:rPr lang="en-IN" sz="1050" b="0" i="0" baseline="0">
              <a:solidFill>
                <a:schemeClr val="dk1"/>
              </a:solidFill>
            </a:rPr>
            <a:t>ITC Ltd. Annual Reports</a:t>
          </a:r>
          <a:endParaRPr lang="en-IN" sz="1050" b="0" i="1">
            <a:solidFill>
              <a:schemeClr val="tx1"/>
            </a:solidFill>
          </a:endParaRPr>
        </a:p>
        <a:p>
          <a:pPr marL="228600" indent="-228600">
            <a:buClr>
              <a:srgbClr val="082C64"/>
            </a:buClr>
            <a:buFont typeface="+mj-lt"/>
            <a:buAutoNum type="arabicPeriod"/>
          </a:pPr>
          <a:endParaRPr lang="en-IN"/>
        </a:p>
      </xdr:txBody>
    </xdr:sp>
    <xdr:clientData/>
  </xdr:twoCellAnchor>
  <xdr:twoCellAnchor>
    <xdr:from>
      <xdr:col>1</xdr:col>
      <xdr:colOff>15240</xdr:colOff>
      <xdr:row>69</xdr:row>
      <xdr:rowOff>30480</xdr:rowOff>
    </xdr:from>
    <xdr:to>
      <xdr:col>11</xdr:col>
      <xdr:colOff>601980</xdr:colOff>
      <xdr:row>72</xdr:row>
      <xdr:rowOff>99060</xdr:rowOff>
    </xdr:to>
    <xdr:sp macro="" textlink="">
      <xdr:nvSpPr>
        <xdr:cNvPr id="6" name="TextBox 5">
          <a:extLst>
            <a:ext uri="{FF2B5EF4-FFF2-40B4-BE49-F238E27FC236}">
              <a16:creationId xmlns:a16="http://schemas.microsoft.com/office/drawing/2014/main" id="{192AD661-B986-4E7B-A701-C337CB06C0C8}"/>
            </a:ext>
          </a:extLst>
        </xdr:cNvPr>
        <xdr:cNvSpPr txBox="1"/>
      </xdr:nvSpPr>
      <xdr:spPr>
        <a:xfrm>
          <a:off x="144780" y="12077700"/>
          <a:ext cx="6804660" cy="61722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Clr>
              <a:srgbClr val="082C64"/>
            </a:buClr>
            <a:buFontTx/>
            <a:buNone/>
          </a:pPr>
          <a:r>
            <a:rPr lang="en-IN" sz="1050"/>
            <a:t>The DCF value comes out lower mainly due to incomplete data and discrepancies across public sources. Since DCF is highly sensitive to assumptions like WACC, reinvestment, and terminal growth, the outcome should be seen as a conservative baseline, complemented by relative valuation and other metrics for a fuller picture.</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511362</xdr:colOff>
      <xdr:row>22</xdr:row>
      <xdr:rowOff>52496</xdr:rowOff>
    </xdr:from>
    <xdr:to>
      <xdr:col>10</xdr:col>
      <xdr:colOff>609600</xdr:colOff>
      <xdr:row>27</xdr:row>
      <xdr:rowOff>6852</xdr:rowOff>
    </xdr:to>
    <xdr:pic>
      <xdr:nvPicPr>
        <xdr:cNvPr id="3" name="Picture 2">
          <a:extLst>
            <a:ext uri="{FF2B5EF4-FFF2-40B4-BE49-F238E27FC236}">
              <a16:creationId xmlns:a16="http://schemas.microsoft.com/office/drawing/2014/main" id="{E57A5FA1-782C-417A-A04B-99A5E4C6B647}"/>
            </a:ext>
          </a:extLst>
        </xdr:cNvPr>
        <xdr:cNvPicPr>
          <a:picLocks noChangeAspect="1"/>
        </xdr:cNvPicPr>
      </xdr:nvPicPr>
      <xdr:blipFill>
        <a:blip xmlns:r="http://schemas.openxmlformats.org/officeDocument/2006/relationships" r:embed="rId1"/>
        <a:stretch>
          <a:fillRect/>
        </a:stretch>
      </xdr:blipFill>
      <xdr:spPr>
        <a:xfrm>
          <a:off x="10249722" y="4075856"/>
          <a:ext cx="898338" cy="88399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198120</xdr:colOff>
      <xdr:row>1</xdr:row>
      <xdr:rowOff>121920</xdr:rowOff>
    </xdr:from>
    <xdr:to>
      <xdr:col>12</xdr:col>
      <xdr:colOff>586740</xdr:colOff>
      <xdr:row>10</xdr:row>
      <xdr:rowOff>53340</xdr:rowOff>
    </xdr:to>
    <xdr:graphicFrame macro="">
      <xdr:nvGraphicFramePr>
        <xdr:cNvPr id="4" name="Chart 3">
          <a:extLst>
            <a:ext uri="{FF2B5EF4-FFF2-40B4-BE49-F238E27FC236}">
              <a16:creationId xmlns:a16="http://schemas.microsoft.com/office/drawing/2014/main" id="{CBFEEFCF-EBF4-415E-FEC8-FFFB15E5C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137160</xdr:colOff>
      <xdr:row>14</xdr:row>
      <xdr:rowOff>60960</xdr:rowOff>
    </xdr:from>
    <xdr:to>
      <xdr:col>13</xdr:col>
      <xdr:colOff>15240</xdr:colOff>
      <xdr:row>28</xdr:row>
      <xdr:rowOff>171450</xdr:rowOff>
    </xdr:to>
    <xdr:graphicFrame macro="">
      <xdr:nvGraphicFramePr>
        <xdr:cNvPr id="6" name="Chart 5">
          <a:extLst>
            <a:ext uri="{FF2B5EF4-FFF2-40B4-BE49-F238E27FC236}">
              <a16:creationId xmlns:a16="http://schemas.microsoft.com/office/drawing/2014/main" id="{C73EAF71-1E29-22E0-DE82-104AFCDCB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441960</xdr:colOff>
      <xdr:row>27</xdr:row>
      <xdr:rowOff>87630</xdr:rowOff>
    </xdr:from>
    <xdr:to>
      <xdr:col>7</xdr:col>
      <xdr:colOff>38100</xdr:colOff>
      <xdr:row>36</xdr:row>
      <xdr:rowOff>175260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6ECCC5F-97B7-430F-F79E-914E8BF340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464820</xdr:colOff>
      <xdr:row>40</xdr:row>
      <xdr:rowOff>144780</xdr:rowOff>
    </xdr:from>
    <xdr:to>
      <xdr:col>7</xdr:col>
      <xdr:colOff>236220</xdr:colOff>
      <xdr:row>51</xdr:row>
      <xdr:rowOff>76200</xdr:rowOff>
    </xdr:to>
    <xdr:sp macro="" textlink="">
      <xdr:nvSpPr>
        <xdr:cNvPr id="3" name="TextBox 2">
          <a:extLst>
            <a:ext uri="{FF2B5EF4-FFF2-40B4-BE49-F238E27FC236}">
              <a16:creationId xmlns:a16="http://schemas.microsoft.com/office/drawing/2014/main" id="{06AD3D0B-A30E-493E-5F66-EFE786D11780}"/>
            </a:ext>
          </a:extLst>
        </xdr:cNvPr>
        <xdr:cNvSpPr txBox="1"/>
      </xdr:nvSpPr>
      <xdr:spPr>
        <a:xfrm>
          <a:off x="594360" y="8199120"/>
          <a:ext cx="6035040" cy="194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Clr>
              <a:srgbClr val="082C64"/>
            </a:buClr>
            <a:buFont typeface="Arial" panose="020B0604020202020204" pitchFamily="34" charset="0"/>
            <a:buChar char="•"/>
          </a:pPr>
          <a:r>
            <a:rPr lang="en-IN"/>
            <a:t>ITC posted a standalone net profit of </a:t>
          </a:r>
          <a:r>
            <a:rPr lang="en-IN" b="1"/>
            <a:t>₹4,912 crore in Q1 FY26</a:t>
          </a:r>
          <a:r>
            <a:rPr lang="en-IN"/>
            <a:t>, supported by steady growth in cigarettes, packaged foods, and agri-business, along with stronger rural demand recovery.</a:t>
          </a:r>
        </a:p>
        <a:p>
          <a:pPr marL="171450" indent="-171450">
            <a:buClr>
              <a:srgbClr val="082C64"/>
            </a:buClr>
            <a:buFont typeface="Arial" panose="020B0604020202020204" pitchFamily="34" charset="0"/>
            <a:buChar char="•"/>
          </a:pPr>
          <a:r>
            <a:rPr lang="en-IN" b="1"/>
            <a:t>British American Tobacco (BAT) trimmed its stake</a:t>
          </a:r>
          <a:r>
            <a:rPr lang="en-IN"/>
            <a:t> in ITC by 2.5%, bringing its holding down to 22.94%, while raising over ₹12,900 crore through the stake sale.</a:t>
          </a:r>
        </a:p>
        <a:p>
          <a:pPr marL="171450" indent="-171450">
            <a:buClr>
              <a:srgbClr val="082C64"/>
            </a:buClr>
            <a:buFont typeface="Arial" panose="020B0604020202020204" pitchFamily="34" charset="0"/>
            <a:buChar char="•"/>
          </a:pPr>
          <a:r>
            <a:rPr lang="en-IN" b="1"/>
            <a:t>GQG Partners raised its shareholding</a:t>
          </a:r>
          <a:r>
            <a:rPr lang="en-IN"/>
            <a:t> in ITC to 5.47%, signaling continued foreign institutional investor confidence in the company.</a:t>
          </a:r>
        </a:p>
        <a:p>
          <a:pPr marL="171450" indent="-171450">
            <a:buClr>
              <a:srgbClr val="082C64"/>
            </a:buClr>
            <a:buFont typeface="Arial" panose="020B0604020202020204" pitchFamily="34" charset="0"/>
            <a:buChar char="•"/>
          </a:pPr>
          <a:r>
            <a:rPr lang="en-IN"/>
            <a:t>ITC announced plans to </a:t>
          </a:r>
          <a:r>
            <a:rPr lang="en-IN" b="1"/>
            <a:t>invest around ₹20,000 crore</a:t>
          </a:r>
          <a:r>
            <a:rPr lang="en-IN"/>
            <a:t> in expanding manufacturing units across FMCG, packaging, and agri-business segments to strengthen its long-term growth.</a:t>
          </a:r>
        </a:p>
        <a:p>
          <a:pPr marL="171450" indent="-171450">
            <a:buClr>
              <a:srgbClr val="082C64"/>
            </a:buClr>
            <a:buFont typeface="Arial" panose="020B0604020202020204" pitchFamily="34" charset="0"/>
            <a:buChar char="•"/>
          </a:pPr>
          <a:r>
            <a:rPr lang="en-IN" b="1"/>
            <a:t>ITC Hotels is pursuing aggressive expansion</a:t>
          </a:r>
          <a:r>
            <a:rPr lang="en-IN"/>
            <a:t>, targeting 220 properties by 2030, with 30 new agreements signed in 2024 and a strong pipeline of 58 projects.</a:t>
          </a:r>
        </a:p>
      </xdr:txBody>
    </xdr:sp>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 /></Relationships>
</file>

<file path=xl/theme/theme1.xml><?xml version="1.0" encoding="utf-8"?>
<a:theme xmlns:a="http://schemas.openxmlformats.org/drawingml/2006/main" name="Adjacency">
  <a:themeElements>
    <a:clrScheme name="Custom 2">
      <a:dk1>
        <a:sysClr val="windowText" lastClr="000000"/>
      </a:dk1>
      <a:lt1>
        <a:sysClr val="window" lastClr="FFFFFF"/>
      </a:lt1>
      <a:dk2>
        <a:srgbClr val="464646"/>
      </a:dk2>
      <a:lt2>
        <a:srgbClr val="DEF5FA"/>
      </a:lt2>
      <a:accent1>
        <a:srgbClr val="082C64"/>
      </a:accent1>
      <a:accent2>
        <a:srgbClr val="1C5BBF"/>
      </a:accent2>
      <a:accent3>
        <a:srgbClr val="6FA6FF"/>
      </a:accent3>
      <a:accent4>
        <a:srgbClr val="C0392B"/>
      </a:accent4>
      <a:accent5>
        <a:srgbClr val="E8EEF7"/>
      </a:accent5>
      <a:accent6>
        <a:srgbClr val="F5F5F5"/>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 /><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 /><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 /><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 /><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 /><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 /><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 /><Relationship Id="rId1" Type="http://schemas.openxmlformats.org/officeDocument/2006/relationships/printerSettings" Target="../printerSettings/printerSettings11.bin" /></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 /><Relationship Id="rId1" Type="http://schemas.openxmlformats.org/officeDocument/2006/relationships/printerSettings" Target="../printerSettings/printerSettings12.bin" /></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 /><Relationship Id="rId1" Type="http://schemas.openxmlformats.org/officeDocument/2006/relationships/printerSettings" Target="../printerSettings/printerSettings13.bin" /></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 /></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 /><Relationship Id="rId1" Type="http://schemas.openxmlformats.org/officeDocument/2006/relationships/hyperlink" Target="https://www.screener.in/excel/" TargetMode="External" /></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 /><Relationship Id="rId1" Type="http://schemas.openxmlformats.org/officeDocument/2006/relationships/printerSettings" Target="../printerSettings/printerSettings16.bin" /></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 /><Relationship Id="rId1" Type="http://schemas.openxmlformats.org/officeDocument/2006/relationships/printerSettings" Target="../printerSettings/printerSettings17.bin" /></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 /><Relationship Id="rId1" Type="http://schemas.openxmlformats.org/officeDocument/2006/relationships/printerSettings" Target="../printerSettings/printerSettings18.bin" /></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 /></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 /></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4AF60-4CBA-4456-8EA8-C0D3C9DA2B5F}">
  <sheetPr>
    <tabColor rgb="FF082C64"/>
  </sheetPr>
  <dimension ref="A1"/>
  <sheetViews>
    <sheetView topLeftCell="A28" workbookViewId="0">
      <selection activeCell="A28" sqref="A28"/>
    </sheetView>
  </sheetViews>
  <sheetFormatPr defaultRowHeight="15" x14ac:dyDescent="0.2"/>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08BB6-6227-4676-820F-0CAEFA72A82F}">
  <dimension ref="A2:K69"/>
  <sheetViews>
    <sheetView showGridLines="0" zoomScaleNormal="100" workbookViewId="0">
      <selection activeCell="S13" sqref="S13"/>
    </sheetView>
  </sheetViews>
  <sheetFormatPr defaultRowHeight="15" x14ac:dyDescent="0.2"/>
  <cols>
    <col min="1" max="1" width="1.8828125" customWidth="1"/>
    <col min="2" max="2" width="30.9375" bestFit="1" customWidth="1"/>
    <col min="3" max="3" width="13.31640625" bestFit="1" customWidth="1"/>
    <col min="4" max="4" width="8.609375" bestFit="1" customWidth="1"/>
    <col min="5" max="5" width="10.0859375" bestFit="1" customWidth="1"/>
    <col min="6" max="6" width="7.93359375" bestFit="1" customWidth="1"/>
    <col min="7" max="7" width="8.609375" bestFit="1" customWidth="1"/>
    <col min="8" max="8" width="3.359375" customWidth="1"/>
    <col min="9" max="9" width="11.1640625" customWidth="1"/>
    <col min="10" max="10" width="10.625" customWidth="1"/>
    <col min="11" max="11" width="11.8359375" customWidth="1"/>
    <col min="12" max="12" width="1.8828125" customWidth="1"/>
  </cols>
  <sheetData>
    <row r="2" spans="2:11" ht="18.75" x14ac:dyDescent="0.25">
      <c r="B2" s="229" t="str">
        <f>'Data Sheet'!B1&amp; " - "&amp; "One Page Profile"</f>
        <v>ITC LTD - One Page Profile</v>
      </c>
      <c r="C2" s="229"/>
      <c r="D2" s="229"/>
      <c r="E2" s="229"/>
      <c r="F2" s="229"/>
      <c r="G2" s="229"/>
      <c r="H2" s="229"/>
      <c r="I2" s="229"/>
      <c r="J2" s="229"/>
      <c r="K2" s="229"/>
    </row>
    <row r="3" spans="2:11" ht="3.6" customHeight="1" x14ac:dyDescent="0.2">
      <c r="B3" s="213"/>
      <c r="C3" s="213"/>
      <c r="D3" s="213"/>
      <c r="E3" s="213"/>
      <c r="F3" s="213"/>
      <c r="G3" s="213"/>
      <c r="H3" s="213"/>
      <c r="I3" s="213"/>
      <c r="J3" s="213"/>
      <c r="K3" s="213"/>
    </row>
    <row r="4" spans="2:11" ht="72.599999999999994" customHeight="1" x14ac:dyDescent="0.2">
      <c r="B4" s="214"/>
      <c r="C4" s="231" t="str">
        <f>Input!C2</f>
        <v>ITC Limited is an Indian conglomerate, headquartered in Kolkata. It has a presence across six business segments, namely FMCG, agribusiness, information technology, paper products, and packaging. It generates a plurality of its revenue from tobacco products. In terms of market capitalization, ITC is the second largest FMCG company in India and the third-largest tobacco company in the world. It employs 36,500 people at more than 60 locations across India.</v>
      </c>
      <c r="D4" s="231"/>
      <c r="E4" s="231"/>
      <c r="F4" s="231"/>
      <c r="G4" s="231"/>
      <c r="H4" s="231"/>
      <c r="I4" s="231"/>
      <c r="J4" s="231"/>
      <c r="K4" s="231"/>
    </row>
    <row r="5" spans="2:11" x14ac:dyDescent="0.2">
      <c r="B5" s="34" t="s">
        <v>8605</v>
      </c>
    </row>
    <row r="6" spans="2:11" x14ac:dyDescent="0.2">
      <c r="B6" s="116" t="s">
        <v>8604</v>
      </c>
      <c r="C6" s="212">
        <f>'Data Sheet'!G$16</f>
        <v>44286</v>
      </c>
      <c r="D6" s="212">
        <f>'Data Sheet'!H$16</f>
        <v>44651</v>
      </c>
      <c r="E6" s="212">
        <f>'Data Sheet'!I$16</f>
        <v>45016</v>
      </c>
      <c r="F6" s="212">
        <f>'Data Sheet'!J$16</f>
        <v>45382</v>
      </c>
      <c r="G6" s="212">
        <f>'Data Sheet'!K$16</f>
        <v>45747</v>
      </c>
      <c r="H6" s="140"/>
      <c r="I6" s="230" t="s">
        <v>8609</v>
      </c>
      <c r="J6" s="230"/>
      <c r="K6" s="224"/>
    </row>
    <row r="7" spans="2:11" ht="2.4500000000000002" customHeight="1" x14ac:dyDescent="0.2"/>
    <row r="8" spans="2:11" x14ac:dyDescent="0.2">
      <c r="B8" s="122" t="s">
        <v>8585</v>
      </c>
      <c r="C8" s="179">
        <f>'Data Sheet'!G17</f>
        <v>49257.45</v>
      </c>
      <c r="D8" s="179">
        <f>'Data Sheet'!H17</f>
        <v>60644.54</v>
      </c>
      <c r="E8" s="179">
        <f>'Data Sheet'!I17</f>
        <v>70919.03</v>
      </c>
      <c r="F8" s="179">
        <f>'Data Sheet'!J17</f>
        <v>67931.94</v>
      </c>
      <c r="G8" s="179">
        <f>'Data Sheet'!K17</f>
        <v>75323.34</v>
      </c>
    </row>
    <row r="9" spans="2:11" x14ac:dyDescent="0.2">
      <c r="B9" s="180" t="s">
        <v>8603</v>
      </c>
      <c r="C9" s="181">
        <f>'Ratio Analysis'!H10</f>
        <v>-2.6372963308678443E-3</v>
      </c>
      <c r="D9" s="181">
        <f>'Ratio Analysis'!I10</f>
        <v>0.23117497962237188</v>
      </c>
      <c r="E9" s="181">
        <f>'Ratio Analysis'!J10</f>
        <v>0.1694215175842706</v>
      </c>
      <c r="F9" s="181">
        <f>'Ratio Analysis'!K10</f>
        <v>-4.2119724423754779E-2</v>
      </c>
      <c r="G9" s="181">
        <f>'Ratio Analysis'!L10</f>
        <v>0.10880596078957838</v>
      </c>
    </row>
    <row r="10" spans="2:11" x14ac:dyDescent="0.2">
      <c r="B10" s="122" t="s">
        <v>8602</v>
      </c>
      <c r="C10" s="182">
        <f>'Ratio Analysis'!H17</f>
        <v>0.45426509086442762</v>
      </c>
      <c r="D10" s="182">
        <f>'Ratio Analysis'!I17</f>
        <v>0.43848102401304379</v>
      </c>
      <c r="E10" s="182">
        <f>'Ratio Analysis'!J17</f>
        <v>0.45991745797989614</v>
      </c>
      <c r="F10" s="182">
        <f>'Ratio Analysis'!K17</f>
        <v>0.47497465845962877</v>
      </c>
      <c r="G10" s="182">
        <f>'Ratio Analysis'!L17</f>
        <v>0.44945072802135433</v>
      </c>
    </row>
    <row r="11" spans="2:11" x14ac:dyDescent="0.2">
      <c r="B11" s="122" t="s">
        <v>8601</v>
      </c>
      <c r="C11" s="182">
        <f>'Ratio Analysis'!H18</f>
        <v>0.3464405891900616</v>
      </c>
      <c r="D11" s="182">
        <f>'Ratio Analysis'!I18</f>
        <v>0.34006606365552439</v>
      </c>
      <c r="E11" s="182">
        <f>'Ratio Analysis'!J18</f>
        <v>0.36244517162741785</v>
      </c>
      <c r="F11" s="182">
        <f>'Ratio Analysis'!K18</f>
        <v>0.37077595605248426</v>
      </c>
      <c r="G11" s="182">
        <f>'Ratio Analysis'!L18</f>
        <v>0.34304705553418102</v>
      </c>
    </row>
    <row r="12" spans="2:11" x14ac:dyDescent="0.2">
      <c r="B12" s="122" t="s">
        <v>8600</v>
      </c>
      <c r="C12" s="182">
        <f>'Ratio Analysis'!H19</f>
        <v>0.3130326478532689</v>
      </c>
      <c r="D12" s="182">
        <f>'Ratio Analysis'!I19</f>
        <v>0.31149943589315698</v>
      </c>
      <c r="E12" s="182">
        <f>'Ratio Analysis'!J19</f>
        <v>0.33693706752616326</v>
      </c>
      <c r="F12" s="182">
        <f>'Ratio Analysis'!K19</f>
        <v>0.34842932499793172</v>
      </c>
      <c r="G12" s="182">
        <f>'Ratio Analysis'!L19</f>
        <v>0.3211903508261848</v>
      </c>
    </row>
    <row r="13" spans="2:11" x14ac:dyDescent="0.2">
      <c r="B13" s="122" t="s">
        <v>8599</v>
      </c>
      <c r="C13" s="182">
        <f>'Ratio Analysis'!H21</f>
        <v>0.21937656131204519</v>
      </c>
      <c r="D13" s="182">
        <f>'Ratio Analysis'!I21</f>
        <v>0.2241489505897809</v>
      </c>
      <c r="E13" s="182">
        <f>'Ratio Analysis'!J21</f>
        <v>0.24505524116728605</v>
      </c>
      <c r="F13" s="182">
        <f>'Ratio Analysis'!K21</f>
        <v>0.25644652574326599</v>
      </c>
      <c r="G13" s="182">
        <f>'Ratio Analysis'!L21</f>
        <v>0.22911357887209988</v>
      </c>
    </row>
    <row r="14" spans="2:11" x14ac:dyDescent="0.2">
      <c r="B14" s="122" t="s">
        <v>8598</v>
      </c>
      <c r="C14" s="126">
        <f>HistoricalFS!H45</f>
        <v>8.7790280124788769</v>
      </c>
      <c r="D14" s="126">
        <f>HistoricalFS!I45</f>
        <v>11.030657372619341</v>
      </c>
      <c r="E14" s="126">
        <f>HistoricalFS!J45</f>
        <v>13.983810749919533</v>
      </c>
      <c r="F14" s="126">
        <f>HistoricalFS!K45</f>
        <v>13.953807460331445</v>
      </c>
      <c r="G14" s="126">
        <f>HistoricalFS!L45</f>
        <v>13.790524288602452</v>
      </c>
    </row>
    <row r="15" spans="2:11" x14ac:dyDescent="0.2">
      <c r="B15" s="180" t="s">
        <v>8597</v>
      </c>
      <c r="C15" s="181">
        <f>HistoricalFS!H46</f>
        <v>0.81904971921278535</v>
      </c>
      <c r="D15" s="181">
        <f>HistoricalFS!I46</f>
        <v>1.2564782065782116</v>
      </c>
      <c r="E15" s="181">
        <f>HistoricalFS!J46</f>
        <v>1.2677223376215643</v>
      </c>
      <c r="F15" s="181">
        <f>HistoricalFS!K46</f>
        <v>0.99785442679934289</v>
      </c>
      <c r="G15" s="181">
        <f>HistoricalFS!L46</f>
        <v>0.98829830695362664</v>
      </c>
    </row>
    <row r="16" spans="2:11" x14ac:dyDescent="0.2">
      <c r="B16" s="122" t="s">
        <v>8596</v>
      </c>
      <c r="C16" s="126">
        <f>HistoricalFS!H48</f>
        <v>10.749999999999998</v>
      </c>
      <c r="D16" s="183">
        <f>HistoricalFS!I48</f>
        <v>11.500004057354767</v>
      </c>
      <c r="E16" s="126">
        <f>HistoricalFS!J48</f>
        <v>15.500000000000002</v>
      </c>
      <c r="F16" s="126">
        <f>HistoricalFS!K48</f>
        <v>13.749997997548999</v>
      </c>
      <c r="G16" s="126">
        <f>HistoricalFS!L48</f>
        <v>14.349997203154841</v>
      </c>
    </row>
    <row r="17" spans="2:11" x14ac:dyDescent="0.2">
      <c r="B17" s="180" t="s">
        <v>8595</v>
      </c>
      <c r="C17" s="181">
        <f>HistoricalFS!H49</f>
        <v>1.2245091352618422</v>
      </c>
      <c r="D17" s="181">
        <f>HistoricalFS!I49</f>
        <v>1.0425492941064831</v>
      </c>
      <c r="E17" s="181">
        <f>HistoricalFS!J49</f>
        <v>1.108424611659536</v>
      </c>
      <c r="F17" s="181">
        <f>HistoricalFS!K49</f>
        <v>0.98539398917737353</v>
      </c>
      <c r="G17" s="181">
        <f>HistoricalFS!L49</f>
        <v>1.040569372334508</v>
      </c>
    </row>
    <row r="18" spans="2:11" ht="9" customHeight="1" x14ac:dyDescent="0.2"/>
    <row r="19" spans="2:11" x14ac:dyDescent="0.2">
      <c r="B19" s="91" t="s">
        <v>8610</v>
      </c>
      <c r="C19" s="92">
        <f>'Data Sheet'!G$16</f>
        <v>44286</v>
      </c>
      <c r="D19" s="92">
        <f>'Data Sheet'!H$16</f>
        <v>44651</v>
      </c>
      <c r="E19" s="92">
        <f>'Data Sheet'!I$16</f>
        <v>45016</v>
      </c>
      <c r="F19" s="92">
        <f>'Data Sheet'!J$16</f>
        <v>45382</v>
      </c>
      <c r="G19" s="92">
        <f>'Data Sheet'!K$16</f>
        <v>45747</v>
      </c>
      <c r="I19" s="224" t="s">
        <v>8624</v>
      </c>
      <c r="J19" s="224"/>
      <c r="K19" s="224"/>
    </row>
    <row r="20" spans="2:11" ht="3.6" customHeight="1" x14ac:dyDescent="0.2"/>
    <row r="21" spans="2:11" x14ac:dyDescent="0.2">
      <c r="B21" s="122" t="str">
        <f>Input!B14</f>
        <v>Price to Earning</v>
      </c>
      <c r="C21" s="184">
        <f>Input!H14</f>
        <v>23.330601031100514</v>
      </c>
      <c r="D21" s="184">
        <f>Input!I14</f>
        <v>21.30063441035032</v>
      </c>
      <c r="E21" s="184">
        <f>Input!J14</f>
        <v>25.707584751321711</v>
      </c>
      <c r="F21" s="184">
        <f>Input!K14</f>
        <v>28.775658625180888</v>
      </c>
      <c r="G21" s="184">
        <f>Input!L14</f>
        <v>29.712430900009281</v>
      </c>
    </row>
    <row r="22" spans="2:11" x14ac:dyDescent="0.2">
      <c r="B22" s="122" t="str">
        <f>Input!B9</f>
        <v>EV/EBITDA</v>
      </c>
      <c r="C22" s="184">
        <f>Input!C9</f>
        <v>16.62794389288366</v>
      </c>
      <c r="D22" s="184">
        <f>Input!D9</f>
        <v>20.443521158718017</v>
      </c>
      <c r="E22" s="184">
        <f>Input!E9</f>
        <v>17.519308027134624</v>
      </c>
      <c r="F22" s="184">
        <f>Input!F9</f>
        <v>18.202942291228698</v>
      </c>
      <c r="G22" s="184">
        <f>Input!G9</f>
        <v>9.8659846646477334</v>
      </c>
    </row>
    <row r="23" spans="2:11" x14ac:dyDescent="0.2">
      <c r="B23" s="122" t="str">
        <f>Input!B10</f>
        <v>EV/Sales</v>
      </c>
      <c r="C23" s="184">
        <f>Input!C10</f>
        <v>6.1652424952987968</v>
      </c>
      <c r="D23" s="184">
        <f>Input!D10</f>
        <v>7.3946458300208562</v>
      </c>
      <c r="E23" s="184">
        <f>Input!E10</f>
        <v>6.6613663072102574</v>
      </c>
      <c r="F23" s="184">
        <f>Input!F10</f>
        <v>6.9805124579071629</v>
      </c>
      <c r="G23" s="184">
        <f>Input!G10</f>
        <v>3.8641821546660409</v>
      </c>
    </row>
    <row r="24" spans="2:11" x14ac:dyDescent="0.2">
      <c r="B24" s="122" t="str">
        <f>Input!B12</f>
        <v>Price to Book Value</v>
      </c>
      <c r="C24" s="184">
        <f>Input!C12</f>
        <v>5.8015722857239247</v>
      </c>
      <c r="D24" s="184">
        <f>Input!D12</f>
        <v>6.8768107292515257</v>
      </c>
      <c r="E24" s="184">
        <f>Input!E12</f>
        <v>5.5664134963724132</v>
      </c>
      <c r="F24" s="184">
        <f>Input!F12</f>
        <v>5.7755936021908356</v>
      </c>
      <c r="G24" s="184">
        <f>Input!G12</f>
        <v>3.0309955255796939</v>
      </c>
    </row>
    <row r="25" spans="2:11" x14ac:dyDescent="0.2">
      <c r="B25" s="122" t="s">
        <v>8619</v>
      </c>
      <c r="C25" s="182">
        <f>'Ratio Analysis'!H29</f>
        <v>0.17906224201431251</v>
      </c>
      <c r="D25" s="182">
        <f>'Ratio Analysis'!I29</f>
        <v>0.21764928252195909</v>
      </c>
      <c r="E25" s="182">
        <f>'Ratio Analysis'!J29</f>
        <v>0.25130525140097792</v>
      </c>
      <c r="F25" s="182">
        <f>'Ratio Analysis'!K29</f>
        <v>0.23381574885581222</v>
      </c>
      <c r="G25" s="182">
        <f>'Ratio Analysis'!L29</f>
        <v>0.2464313533975771</v>
      </c>
    </row>
    <row r="26" spans="2:11" x14ac:dyDescent="0.2">
      <c r="B26" s="122" t="s">
        <v>8620</v>
      </c>
      <c r="C26" s="182">
        <f>'Ratio Analysis'!H27</f>
        <v>0.25436581143904541</v>
      </c>
      <c r="D26" s="182">
        <f>'Ratio Analysis'!I27</f>
        <v>0.30126364703553982</v>
      </c>
      <c r="E26" s="182">
        <f>'Ratio Analysis'!J27</f>
        <v>0.34400810235339674</v>
      </c>
      <c r="F26" s="182">
        <f>'Ratio Analysis'!K27</f>
        <v>0.31639278106007412</v>
      </c>
      <c r="G26" s="182">
        <f>'Ratio Analysis'!L27</f>
        <v>0.3440698438261533</v>
      </c>
    </row>
    <row r="27" spans="2:11" ht="9.6" customHeight="1" x14ac:dyDescent="0.2"/>
    <row r="28" spans="2:11" x14ac:dyDescent="0.2">
      <c r="B28" s="91" t="s">
        <v>8675</v>
      </c>
      <c r="C28" s="224" t="s">
        <v>8638</v>
      </c>
      <c r="D28" s="224"/>
      <c r="E28" s="170" t="s">
        <v>8636</v>
      </c>
      <c r="F28" s="224" t="s">
        <v>8637</v>
      </c>
      <c r="G28" s="224"/>
      <c r="I28" s="224" t="s">
        <v>8641</v>
      </c>
      <c r="J28" s="224"/>
      <c r="K28" s="224"/>
    </row>
    <row r="29" spans="2:11" ht="1.9" customHeight="1" x14ac:dyDescent="0.2">
      <c r="C29" s="222"/>
      <c r="D29" s="222"/>
      <c r="F29" s="222"/>
      <c r="G29" s="222"/>
    </row>
    <row r="30" spans="2:11" x14ac:dyDescent="0.2">
      <c r="B30" s="122" t="str">
        <f>Input!B17</f>
        <v>Tobacco Manufacturers Ltd.</v>
      </c>
      <c r="C30" s="227">
        <f>Input!C17</f>
        <v>222.8495863</v>
      </c>
      <c r="D30" s="227"/>
      <c r="E30" s="137">
        <f>Input!D17</f>
        <v>0.17809999999999998</v>
      </c>
      <c r="F30" s="227">
        <f>Input!E17</f>
        <v>91312.617986425001</v>
      </c>
      <c r="G30" s="227"/>
    </row>
    <row r="31" spans="2:11" x14ac:dyDescent="0.2">
      <c r="B31" s="122" t="str">
        <f>Input!B18</f>
        <v>Life Insurance Corporation of India</v>
      </c>
      <c r="C31" s="227">
        <f>Input!C18</f>
        <v>197.70108769999999</v>
      </c>
      <c r="D31" s="227"/>
      <c r="E31" s="137">
        <f>Input!D18</f>
        <v>0.158</v>
      </c>
      <c r="F31" s="227">
        <f>Input!E18</f>
        <v>81008.020685074996</v>
      </c>
      <c r="G31" s="227"/>
    </row>
    <row r="32" spans="2:11" x14ac:dyDescent="0.2">
      <c r="B32" s="185" t="str">
        <f>Input!B19</f>
        <v>SUUTI</v>
      </c>
      <c r="C32" s="227">
        <f>Input!C19</f>
        <v>97.453142700000001</v>
      </c>
      <c r="D32" s="227"/>
      <c r="E32" s="137">
        <f>Input!D19</f>
        <v>7.7899999999999997E-2</v>
      </c>
      <c r="F32" s="227">
        <f>Input!E19</f>
        <v>39931.425221325</v>
      </c>
      <c r="G32" s="227"/>
    </row>
    <row r="33" spans="1:11" x14ac:dyDescent="0.2">
      <c r="B33" s="122" t="str">
        <f>Input!B20</f>
        <v>Myddleton Investment Company Ltd</v>
      </c>
      <c r="C33" s="227">
        <f>Input!C20</f>
        <v>48.631194000000001</v>
      </c>
      <c r="D33" s="227"/>
      <c r="E33" s="137">
        <f>Input!D20</f>
        <v>3.8900000000000004E-2</v>
      </c>
      <c r="F33" s="227">
        <f>Input!E20</f>
        <v>19926.631741500001</v>
      </c>
      <c r="G33" s="227"/>
    </row>
    <row r="34" spans="1:11" x14ac:dyDescent="0.2">
      <c r="B34" s="122" t="str">
        <f>Input!B21</f>
        <v>SBI Mutual Funds</v>
      </c>
      <c r="C34" s="227">
        <f>Input!C21</f>
        <v>43.517441400000003</v>
      </c>
      <c r="D34" s="227"/>
      <c r="E34" s="137">
        <f>Input!D21</f>
        <v>3.4799999999999998E-2</v>
      </c>
      <c r="F34" s="227">
        <f>Input!E21</f>
        <v>17831.271613650002</v>
      </c>
      <c r="G34" s="227"/>
    </row>
    <row r="35" spans="1:11" x14ac:dyDescent="0.2">
      <c r="B35" s="122" t="str">
        <f>Input!B22</f>
        <v>ICICI Prudential Mutual Funds</v>
      </c>
      <c r="C35" s="227">
        <f>Input!C22</f>
        <v>27.619721200000001</v>
      </c>
      <c r="D35" s="227"/>
      <c r="E35" s="137">
        <f>Input!D22</f>
        <v>2.2099999999999998E-2</v>
      </c>
      <c r="F35" s="227">
        <f>Input!E22</f>
        <v>11317.180761699999</v>
      </c>
      <c r="G35" s="227"/>
    </row>
    <row r="36" spans="1:11" x14ac:dyDescent="0.2">
      <c r="B36" s="146" t="str">
        <f>Input!B23</f>
        <v>GQG Partners Equity Fund</v>
      </c>
      <c r="C36" s="228">
        <f>Input!C23</f>
        <v>26.390174099999999</v>
      </c>
      <c r="D36" s="228"/>
      <c r="E36" s="190">
        <f>Input!D23</f>
        <v>2.1099999999999997E-2</v>
      </c>
      <c r="F36" s="228">
        <f>Input!E23</f>
        <v>10813.373837474999</v>
      </c>
      <c r="G36" s="228"/>
    </row>
    <row r="37" spans="1:11" ht="9" customHeight="1" x14ac:dyDescent="0.2">
      <c r="A37" s="146"/>
      <c r="B37" s="146"/>
      <c r="C37" s="146"/>
      <c r="D37" s="146"/>
      <c r="E37" s="146"/>
      <c r="F37" s="146"/>
      <c r="G37" s="146"/>
      <c r="H37" s="146"/>
      <c r="I37" s="146"/>
      <c r="J37" s="146"/>
      <c r="K37" s="146"/>
    </row>
    <row r="38" spans="1:11" x14ac:dyDescent="0.2">
      <c r="B38" s="91" t="s">
        <v>8652</v>
      </c>
      <c r="C38" s="91" t="s">
        <v>8653</v>
      </c>
      <c r="D38" s="224" t="s">
        <v>8666</v>
      </c>
      <c r="E38" s="224"/>
      <c r="F38" s="224" t="s">
        <v>8654</v>
      </c>
      <c r="G38" s="224"/>
      <c r="I38" s="224" t="s">
        <v>181</v>
      </c>
      <c r="J38" s="224"/>
      <c r="K38" s="224"/>
    </row>
    <row r="39" spans="1:11" ht="1.9" customHeight="1" x14ac:dyDescent="0.2"/>
    <row r="40" spans="1:11" x14ac:dyDescent="0.2">
      <c r="B40" s="122" t="s">
        <v>8655</v>
      </c>
      <c r="C40" s="122" t="s">
        <v>8656</v>
      </c>
      <c r="D40" s="225">
        <v>2566.4699999999998</v>
      </c>
      <c r="E40" s="225"/>
      <c r="F40" s="226">
        <v>377</v>
      </c>
      <c r="G40" s="226"/>
      <c r="H40" s="122"/>
      <c r="I40" s="122" t="s">
        <v>8647</v>
      </c>
      <c r="J40" s="122"/>
      <c r="K40" s="186">
        <f>'Data Sheet'!B8</f>
        <v>409.75</v>
      </c>
    </row>
    <row r="41" spans="1:11" x14ac:dyDescent="0.2">
      <c r="B41" s="122" t="s">
        <v>8657</v>
      </c>
      <c r="C41" s="122" t="s">
        <v>8663</v>
      </c>
      <c r="D41" s="225">
        <v>853.14</v>
      </c>
      <c r="E41" s="225"/>
      <c r="F41" s="226">
        <v>132</v>
      </c>
      <c r="G41" s="226"/>
      <c r="H41" s="122"/>
      <c r="I41" s="122" t="s">
        <v>8648</v>
      </c>
      <c r="J41" s="122"/>
      <c r="K41" s="186">
        <f>'Data Sheet'!B6</f>
        <v>1252.6662843197071</v>
      </c>
    </row>
    <row r="42" spans="1:11" x14ac:dyDescent="0.2">
      <c r="B42" s="122" t="s">
        <v>8658</v>
      </c>
      <c r="C42" s="122" t="s">
        <v>8664</v>
      </c>
      <c r="D42" s="225">
        <v>494.13</v>
      </c>
      <c r="E42" s="225"/>
      <c r="F42" s="226">
        <v>99</v>
      </c>
      <c r="G42" s="226"/>
      <c r="H42" s="122"/>
      <c r="I42" s="93" t="s">
        <v>44</v>
      </c>
      <c r="J42" s="122"/>
      <c r="K42" s="187">
        <f>K40*K41</f>
        <v>513280.00999999995</v>
      </c>
    </row>
    <row r="43" spans="1:11" x14ac:dyDescent="0.2">
      <c r="B43" s="122" t="s">
        <v>8659</v>
      </c>
      <c r="C43" s="122" t="s">
        <v>8664</v>
      </c>
      <c r="D43" s="225">
        <v>1181.4000000000001</v>
      </c>
      <c r="E43" s="225"/>
      <c r="F43" s="226">
        <v>174</v>
      </c>
      <c r="G43" s="226"/>
      <c r="H43" s="122"/>
      <c r="I43" s="188" t="s">
        <v>8649</v>
      </c>
      <c r="J43" s="122"/>
      <c r="K43" s="186">
        <f>-'Data Sheet'!K69</f>
        <v>-4012.36</v>
      </c>
    </row>
    <row r="44" spans="1:11" x14ac:dyDescent="0.2">
      <c r="B44" s="122" t="s">
        <v>8660</v>
      </c>
      <c r="C44" s="122" t="s">
        <v>8665</v>
      </c>
      <c r="D44" s="225">
        <v>104.1</v>
      </c>
      <c r="E44" s="225"/>
      <c r="F44" s="226">
        <v>14</v>
      </c>
      <c r="G44" s="226"/>
      <c r="H44" s="122"/>
      <c r="I44" s="188" t="s">
        <v>8650</v>
      </c>
      <c r="J44" s="122"/>
      <c r="K44" s="186">
        <f>'Data Sheet'!K59</f>
        <v>284.54000000000002</v>
      </c>
    </row>
    <row r="45" spans="1:11" x14ac:dyDescent="0.2">
      <c r="B45" s="122" t="s">
        <v>8661</v>
      </c>
      <c r="C45" s="122" t="s">
        <v>8665</v>
      </c>
      <c r="D45" s="225">
        <v>66.8</v>
      </c>
      <c r="E45" s="225"/>
      <c r="F45" s="226">
        <v>9</v>
      </c>
      <c r="G45" s="226"/>
      <c r="H45" s="122"/>
      <c r="I45" s="188" t="s">
        <v>8651</v>
      </c>
      <c r="J45" s="122"/>
      <c r="K45" s="123">
        <f>'Raw Bs'!L12</f>
        <v>368</v>
      </c>
    </row>
    <row r="46" spans="1:11" x14ac:dyDescent="0.2">
      <c r="B46" s="122" t="s">
        <v>8662</v>
      </c>
      <c r="C46" s="122" t="s">
        <v>8665</v>
      </c>
      <c r="D46" s="225">
        <v>3</v>
      </c>
      <c r="E46" s="225"/>
      <c r="F46" s="226">
        <v>9</v>
      </c>
      <c r="G46" s="226"/>
      <c r="H46" s="122"/>
      <c r="I46" s="93" t="s">
        <v>292</v>
      </c>
      <c r="J46" s="122"/>
      <c r="K46" s="187">
        <f>K42+K43+K44+K45</f>
        <v>509920.18999999994</v>
      </c>
    </row>
    <row r="47" spans="1:11" ht="9" customHeight="1" x14ac:dyDescent="0.2"/>
    <row r="48" spans="1:11" x14ac:dyDescent="0.2">
      <c r="B48" s="91" t="s">
        <v>8669</v>
      </c>
      <c r="C48" s="130"/>
      <c r="D48" s="130"/>
      <c r="E48" s="130"/>
      <c r="F48" s="130"/>
      <c r="G48" s="130"/>
      <c r="H48" s="130"/>
      <c r="I48" s="130"/>
      <c r="J48" s="130"/>
      <c r="K48" s="130"/>
    </row>
    <row r="49" spans="2:11" x14ac:dyDescent="0.2">
      <c r="B49" s="91" t="s">
        <v>8670</v>
      </c>
      <c r="C49" s="91" t="str">
        <f>'Comps Data'!E2</f>
        <v>CMP (INR)</v>
      </c>
      <c r="D49" s="221" t="str">
        <f>'Comps Data'!G2</f>
        <v>Market Capitalization</v>
      </c>
      <c r="E49" s="221"/>
      <c r="F49" s="129" t="str">
        <f>'Comps Data'!H2</f>
        <v>Debt</v>
      </c>
      <c r="G49" s="221" t="str">
        <f>'Comps Data'!I2</f>
        <v>Cash at End</v>
      </c>
      <c r="H49" s="221"/>
      <c r="I49" s="129" t="str">
        <f>'Comps Data'!K2</f>
        <v>Sales</v>
      </c>
      <c r="J49" s="129" t="str">
        <f>'Comps Data'!N2</f>
        <v>ROE %</v>
      </c>
      <c r="K49" s="129" t="str">
        <f>'Comps Data'!O2</f>
        <v>ROCE %</v>
      </c>
    </row>
    <row r="50" spans="2:11" ht="1.9" customHeight="1" x14ac:dyDescent="0.2">
      <c r="D50" s="222"/>
      <c r="E50" s="222"/>
      <c r="G50" s="222"/>
      <c r="H50" s="222"/>
    </row>
    <row r="51" spans="2:11" x14ac:dyDescent="0.2">
      <c r="B51" s="122" t="str">
        <f>'Comps Data'!C4</f>
        <v>Hind. Unilever</v>
      </c>
      <c r="C51" s="189">
        <f>'Comps Data'!E4</f>
        <v>2659.8</v>
      </c>
      <c r="D51" s="223">
        <f>'Comps Data'!G4</f>
        <v>624946.60800000001</v>
      </c>
      <c r="E51" s="223"/>
      <c r="F51" s="189">
        <f>'Comps Data'!H4</f>
        <v>1648</v>
      </c>
      <c r="G51" s="223">
        <f>'Comps Data'!I4</f>
        <v>7554</v>
      </c>
      <c r="H51" s="223"/>
      <c r="I51" s="189">
        <f>'Comps Data'!K4</f>
        <v>63928</v>
      </c>
      <c r="J51" s="182">
        <f>'Comps Data'!N4</f>
        <v>0.2732</v>
      </c>
      <c r="K51" s="182">
        <f>'Comps Data'!O4</f>
        <v>0.3679</v>
      </c>
    </row>
    <row r="52" spans="2:11" x14ac:dyDescent="0.2">
      <c r="B52" s="122" t="str">
        <f>'Comps Data'!C5</f>
        <v>Nestle India</v>
      </c>
      <c r="C52" s="189">
        <f>'Comps Data'!E5</f>
        <v>1156.2</v>
      </c>
      <c r="D52" s="223">
        <f>'Comps Data'!G5</f>
        <v>222950.04600000003</v>
      </c>
      <c r="E52" s="223"/>
      <c r="F52" s="189">
        <f>'Comps Data'!H5</f>
        <v>1166.8499999999999</v>
      </c>
      <c r="G52" s="223">
        <f>'Comps Data'!I5</f>
        <v>95.65</v>
      </c>
      <c r="H52" s="223"/>
      <c r="I52" s="189">
        <f>'Comps Data'!K5</f>
        <v>20483.77</v>
      </c>
      <c r="J52" s="182">
        <f>'Comps Data'!N5</f>
        <v>0.83019999999999994</v>
      </c>
      <c r="K52" s="182">
        <f>'Comps Data'!O5</f>
        <v>0.95660000000000001</v>
      </c>
    </row>
    <row r="53" spans="2:11" x14ac:dyDescent="0.2">
      <c r="B53" s="122" t="str">
        <f>'Comps Data'!C6</f>
        <v>Varun Beverages</v>
      </c>
      <c r="C53" s="189">
        <f>'Comps Data'!E6</f>
        <v>487.15</v>
      </c>
      <c r="D53" s="223">
        <f>'Comps Data'!G6</f>
        <v>164754.12999999998</v>
      </c>
      <c r="E53" s="223"/>
      <c r="F53" s="189">
        <f>'Comps Data'!H6</f>
        <v>2138.25</v>
      </c>
      <c r="G53" s="223">
        <f>'Comps Data'!I6</f>
        <v>2450.0500000000002</v>
      </c>
      <c r="H53" s="223"/>
      <c r="I53" s="189">
        <f>'Comps Data'!K6</f>
        <v>21077.78</v>
      </c>
      <c r="J53" s="182">
        <f>'Comps Data'!N6</f>
        <v>0.22489999999999999</v>
      </c>
      <c r="K53" s="182">
        <f>'Comps Data'!O6</f>
        <v>0.24850000000000003</v>
      </c>
    </row>
    <row r="54" spans="2:11" x14ac:dyDescent="0.2">
      <c r="B54" s="122" t="str">
        <f>'Comps Data'!C7</f>
        <v>Britannia Inds.</v>
      </c>
      <c r="C54" s="189">
        <f>'Comps Data'!E7</f>
        <v>5824</v>
      </c>
      <c r="D54" s="223">
        <f>'Comps Data'!G7</f>
        <v>140300.16</v>
      </c>
      <c r="E54" s="223"/>
      <c r="F54" s="189">
        <f>'Comps Data'!H7</f>
        <v>1246.51</v>
      </c>
      <c r="G54" s="223">
        <f>'Comps Data'!I7</f>
        <v>312.48</v>
      </c>
      <c r="H54" s="223"/>
      <c r="I54" s="189">
        <f>'Comps Data'!K7</f>
        <v>18314.59</v>
      </c>
      <c r="J54" s="182">
        <f>'Comps Data'!N7</f>
        <v>0.52939999999999998</v>
      </c>
      <c r="K54" s="182">
        <f>'Comps Data'!O7</f>
        <v>0.52990000000000004</v>
      </c>
    </row>
    <row r="55" spans="2:11" x14ac:dyDescent="0.2">
      <c r="B55" s="122" t="str">
        <f>'Comps Data'!C8</f>
        <v>Godrej Consumer</v>
      </c>
      <c r="C55" s="189">
        <f>'Comps Data'!E8</f>
        <v>1242.5999999999999</v>
      </c>
      <c r="D55" s="223">
        <f>'Comps Data'!G8</f>
        <v>127130.40599999999</v>
      </c>
      <c r="E55" s="223"/>
      <c r="F55" s="189">
        <f>'Comps Data'!H8</f>
        <v>4009.19</v>
      </c>
      <c r="G55" s="223">
        <f>'Comps Data'!I8</f>
        <v>483.06</v>
      </c>
      <c r="H55" s="223"/>
      <c r="I55" s="189">
        <f>'Comps Data'!K8</f>
        <v>14694.57</v>
      </c>
      <c r="J55" s="182">
        <f>'Comps Data'!N8</f>
        <v>0.15210000000000001</v>
      </c>
      <c r="K55" s="182">
        <f>'Comps Data'!O8</f>
        <v>0.19210000000000002</v>
      </c>
    </row>
    <row r="56" spans="2:11" ht="9" customHeight="1" x14ac:dyDescent="0.2"/>
    <row r="57" spans="2:11" x14ac:dyDescent="0.2">
      <c r="B57" s="91" t="s">
        <v>8673</v>
      </c>
      <c r="C57" s="130"/>
      <c r="D57" s="130"/>
      <c r="E57" s="130"/>
      <c r="F57" s="130"/>
      <c r="G57" s="130"/>
      <c r="H57" s="130"/>
      <c r="I57" s="130"/>
      <c r="J57" s="130"/>
      <c r="K57" s="130"/>
    </row>
    <row r="58" spans="2:11" ht="1.9" customHeight="1" x14ac:dyDescent="0.2"/>
    <row r="68" spans="2:11" ht="9" customHeight="1" x14ac:dyDescent="0.2">
      <c r="B68" s="113"/>
      <c r="C68" s="113"/>
      <c r="D68" s="113"/>
      <c r="E68" s="113"/>
      <c r="F68" s="113"/>
      <c r="G68" s="113"/>
      <c r="H68" s="113"/>
      <c r="I68" s="113"/>
      <c r="J68" s="113"/>
      <c r="K68" s="113"/>
    </row>
    <row r="69" spans="2:11" x14ac:dyDescent="0.2">
      <c r="B69" s="178" t="s">
        <v>8674</v>
      </c>
    </row>
  </sheetData>
  <mergeCells count="54">
    <mergeCell ref="B2:K2"/>
    <mergeCell ref="I6:K6"/>
    <mergeCell ref="I19:K19"/>
    <mergeCell ref="C28:D28"/>
    <mergeCell ref="F28:G28"/>
    <mergeCell ref="I28:K28"/>
    <mergeCell ref="C4:K4"/>
    <mergeCell ref="C34:D34"/>
    <mergeCell ref="C35:D35"/>
    <mergeCell ref="C36:D36"/>
    <mergeCell ref="C29:D29"/>
    <mergeCell ref="C30:D30"/>
    <mergeCell ref="C31:D31"/>
    <mergeCell ref="C32:D32"/>
    <mergeCell ref="C33:D33"/>
    <mergeCell ref="I38:K38"/>
    <mergeCell ref="F29:G29"/>
    <mergeCell ref="F30:G30"/>
    <mergeCell ref="F31:G31"/>
    <mergeCell ref="F32:G32"/>
    <mergeCell ref="F33:G33"/>
    <mergeCell ref="F34:G34"/>
    <mergeCell ref="F35:G35"/>
    <mergeCell ref="F36:G36"/>
    <mergeCell ref="D43:E43"/>
    <mergeCell ref="D44:E44"/>
    <mergeCell ref="D45:E45"/>
    <mergeCell ref="D46:E46"/>
    <mergeCell ref="F40:G40"/>
    <mergeCell ref="F41:G41"/>
    <mergeCell ref="F42:G42"/>
    <mergeCell ref="F43:G43"/>
    <mergeCell ref="F44:G44"/>
    <mergeCell ref="F45:G45"/>
    <mergeCell ref="F46:G46"/>
    <mergeCell ref="D38:E38"/>
    <mergeCell ref="F38:G38"/>
    <mergeCell ref="D40:E40"/>
    <mergeCell ref="D41:E41"/>
    <mergeCell ref="D42:E42"/>
    <mergeCell ref="D49:E49"/>
    <mergeCell ref="D50:E50"/>
    <mergeCell ref="G54:H54"/>
    <mergeCell ref="G55:H55"/>
    <mergeCell ref="D51:E51"/>
    <mergeCell ref="D52:E52"/>
    <mergeCell ref="D53:E53"/>
    <mergeCell ref="D54:E54"/>
    <mergeCell ref="D55:E55"/>
    <mergeCell ref="G49:H49"/>
    <mergeCell ref="G50:H50"/>
    <mergeCell ref="G51:H51"/>
    <mergeCell ref="G52:H52"/>
    <mergeCell ref="G53:H53"/>
  </mergeCells>
  <printOptions horizontalCentered="1"/>
  <pageMargins left="0.34" right="0.35" top="0.21" bottom="0.23" header="0.19" footer="0.21"/>
  <pageSetup scale="80" fitToWidth="0" orientation="portrait" r:id="rId1"/>
  <colBreaks count="1" manualBreakCount="1">
    <brk id="11"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0BFF9-C8F5-44E9-9C40-BF275CF4C185}">
  <dimension ref="A1:M117"/>
  <sheetViews>
    <sheetView showGridLines="0" zoomScaleNormal="100" workbookViewId="0">
      <selection activeCell="G2" sqref="G2"/>
    </sheetView>
  </sheetViews>
  <sheetFormatPr defaultRowHeight="15" x14ac:dyDescent="0.2"/>
  <cols>
    <col min="1" max="1" width="1.8828125" customWidth="1"/>
    <col min="2" max="2" width="35.78125" customWidth="1"/>
    <col min="3" max="12" width="11.97265625" bestFit="1" customWidth="1"/>
    <col min="13" max="13" width="11.02734375" bestFit="1" customWidth="1"/>
  </cols>
  <sheetData>
    <row r="1" spans="1:13" x14ac:dyDescent="0.2">
      <c r="B1" s="113"/>
      <c r="C1" s="113"/>
      <c r="D1" s="113"/>
      <c r="E1" s="113"/>
      <c r="F1" s="113"/>
      <c r="G1" s="113"/>
      <c r="H1" s="113"/>
      <c r="I1" s="113"/>
      <c r="J1" s="113"/>
      <c r="K1" s="113"/>
      <c r="L1" s="113"/>
    </row>
    <row r="2" spans="1:13" ht="24" customHeight="1" x14ac:dyDescent="0.2">
      <c r="B2" s="215" t="str">
        <f>'Data Sheet'!B1</f>
        <v>ITC LTD</v>
      </c>
      <c r="C2" s="213"/>
      <c r="D2" s="216"/>
      <c r="E2" s="213"/>
      <c r="F2" s="213"/>
      <c r="G2" s="213"/>
      <c r="H2" s="213"/>
      <c r="I2" s="213"/>
      <c r="J2" s="213"/>
      <c r="K2" s="213"/>
      <c r="L2" s="213"/>
    </row>
    <row r="3" spans="1:13" x14ac:dyDescent="0.2">
      <c r="B3" s="213" t="s">
        <v>8676</v>
      </c>
      <c r="C3" s="213"/>
      <c r="D3" s="213"/>
      <c r="E3" s="213"/>
      <c r="F3" s="213"/>
      <c r="G3" s="213"/>
      <c r="H3" s="213"/>
      <c r="I3" s="213"/>
      <c r="J3" s="213"/>
      <c r="K3" s="213"/>
      <c r="L3" s="213"/>
    </row>
    <row r="4" spans="1:13" ht="18.75" x14ac:dyDescent="0.25">
      <c r="B4" s="217" t="str">
        <f>CONCATENATE("INR"," ", 'Data Sheet'!B8)</f>
        <v>INR 409.75</v>
      </c>
      <c r="C4" s="213"/>
      <c r="D4" s="213"/>
      <c r="E4" s="213"/>
      <c r="F4" s="213"/>
      <c r="G4" s="213"/>
      <c r="H4" s="213"/>
      <c r="I4" s="213"/>
      <c r="J4" s="213"/>
      <c r="K4" s="213"/>
      <c r="L4" s="213"/>
    </row>
    <row r="5" spans="1:13" x14ac:dyDescent="0.2">
      <c r="B5" s="214" t="s">
        <v>8557</v>
      </c>
      <c r="C5" s="214"/>
      <c r="D5" s="214"/>
      <c r="E5" s="214"/>
      <c r="F5" s="214"/>
      <c r="G5" s="214"/>
      <c r="H5" s="214"/>
      <c r="I5" s="214"/>
      <c r="J5" s="214"/>
      <c r="K5" s="214"/>
      <c r="L5" s="214"/>
    </row>
    <row r="6" spans="1:13" x14ac:dyDescent="0.2">
      <c r="B6" s="140"/>
      <c r="C6" s="140"/>
      <c r="D6" s="140"/>
      <c r="E6" s="140"/>
      <c r="F6" s="140"/>
      <c r="G6" s="140"/>
      <c r="H6" s="140"/>
      <c r="I6" s="140"/>
      <c r="J6" s="140"/>
    </row>
    <row r="7" spans="1:13" x14ac:dyDescent="0.2">
      <c r="B7" s="224" t="str">
        <f>"Historical Financials Statements - "&amp;'Data Sheet'!B1</f>
        <v>Historical Financials Statements - ITC LTD</v>
      </c>
      <c r="C7" s="224"/>
      <c r="D7" s="224"/>
      <c r="E7" s="224"/>
      <c r="F7" s="224"/>
      <c r="G7" s="224"/>
      <c r="H7" s="224"/>
      <c r="I7" s="224"/>
      <c r="J7" s="224"/>
      <c r="K7" s="224"/>
      <c r="L7" s="224"/>
    </row>
    <row r="8" spans="1:13" x14ac:dyDescent="0.2">
      <c r="B8" s="91" t="s">
        <v>55</v>
      </c>
      <c r="C8" s="92">
        <f>'Data Sheet'!B16</f>
        <v>42460</v>
      </c>
      <c r="D8" s="92">
        <f>'Data Sheet'!C16</f>
        <v>42825</v>
      </c>
      <c r="E8" s="92">
        <f>'Data Sheet'!D16</f>
        <v>43190</v>
      </c>
      <c r="F8" s="92">
        <f>'Data Sheet'!E16</f>
        <v>43555</v>
      </c>
      <c r="G8" s="92">
        <f>'Data Sheet'!F16</f>
        <v>43921</v>
      </c>
      <c r="H8" s="92">
        <f>'Data Sheet'!G16</f>
        <v>44286</v>
      </c>
      <c r="I8" s="92">
        <f>'Data Sheet'!H16</f>
        <v>44651</v>
      </c>
      <c r="J8" s="92">
        <f>'Data Sheet'!I16</f>
        <v>45016</v>
      </c>
      <c r="K8" s="92">
        <f>'Data Sheet'!J16</f>
        <v>45382</v>
      </c>
      <c r="L8" s="92">
        <f>'Data Sheet'!K16</f>
        <v>45747</v>
      </c>
      <c r="M8" s="9"/>
    </row>
    <row r="9" spans="1:13" x14ac:dyDescent="0.2">
      <c r="A9" s="2" t="s">
        <v>57</v>
      </c>
      <c r="B9" s="144" t="s">
        <v>56</v>
      </c>
      <c r="C9" s="144"/>
      <c r="D9" s="145"/>
      <c r="E9" s="145"/>
      <c r="F9" s="145"/>
      <c r="G9" s="145"/>
      <c r="H9" s="145"/>
      <c r="I9" s="145"/>
      <c r="J9" s="145"/>
      <c r="K9" s="145"/>
      <c r="L9" s="145"/>
    </row>
    <row r="10" spans="1:13" x14ac:dyDescent="0.2">
      <c r="B10" t="s">
        <v>1</v>
      </c>
      <c r="C10" s="10">
        <f>IFERROR('Data Sheet'!B17,0)</f>
        <v>39192.1</v>
      </c>
      <c r="D10" s="10">
        <f>IFERROR('Data Sheet'!C17,0)</f>
        <v>42767.6</v>
      </c>
      <c r="E10" s="10">
        <f>IFERROR('Data Sheet'!D17,0)</f>
        <v>43448.94</v>
      </c>
      <c r="F10" s="10">
        <f>IFERROR('Data Sheet'!E17,0)</f>
        <v>48339.58</v>
      </c>
      <c r="G10" s="10">
        <f>IFERROR('Data Sheet'!F17,0)</f>
        <v>49387.7</v>
      </c>
      <c r="H10" s="10">
        <f>IFERROR('Data Sheet'!G17,0)</f>
        <v>49257.45</v>
      </c>
      <c r="I10" s="10">
        <f>IFERROR('Data Sheet'!H17,0)</f>
        <v>60644.54</v>
      </c>
      <c r="J10" s="10">
        <f>IFERROR('Data Sheet'!I17,0)</f>
        <v>70919.03</v>
      </c>
      <c r="K10" s="10">
        <f>IFERROR('Data Sheet'!J17,0)</f>
        <v>67931.94</v>
      </c>
      <c r="L10" s="10">
        <f>IFERROR('Data Sheet'!K17,0)</f>
        <v>75323.34</v>
      </c>
    </row>
    <row r="11" spans="1:13" x14ac:dyDescent="0.2">
      <c r="B11" s="11" t="s">
        <v>58</v>
      </c>
      <c r="C11" s="12" t="s">
        <v>60</v>
      </c>
      <c r="D11" s="13">
        <f>D10/C10-1</f>
        <v>9.1230120355888067E-2</v>
      </c>
      <c r="E11" s="13">
        <f t="shared" ref="E11:L11" si="0">E10/D10-1</f>
        <v>1.5931218960147486E-2</v>
      </c>
      <c r="F11" s="13">
        <f t="shared" si="0"/>
        <v>0.11256062863673999</v>
      </c>
      <c r="G11" s="13">
        <f t="shared" si="0"/>
        <v>2.1682439110972673E-2</v>
      </c>
      <c r="H11" s="13">
        <f t="shared" si="0"/>
        <v>-2.6372963308678443E-3</v>
      </c>
      <c r="I11" s="13">
        <f t="shared" si="0"/>
        <v>0.23117497962237188</v>
      </c>
      <c r="J11" s="13">
        <f t="shared" si="0"/>
        <v>0.1694215175842706</v>
      </c>
      <c r="K11" s="13">
        <f t="shared" si="0"/>
        <v>-4.2119724423754779E-2</v>
      </c>
      <c r="L11" s="13">
        <f t="shared" si="0"/>
        <v>0.10880596078957838</v>
      </c>
    </row>
    <row r="13" spans="1:13" x14ac:dyDescent="0.2">
      <c r="B13" t="s">
        <v>59</v>
      </c>
      <c r="C13" s="10">
        <f>IFERROR(SUM('Data Sheet'!B18,'Data Sheet'!B20:B22)-1*'Data Sheet'!B19,0)</f>
        <v>19162.939999999999</v>
      </c>
      <c r="D13" s="10">
        <f>IFERROR(SUM('Data Sheet'!C18,'Data Sheet'!C20:C22)-1*'Data Sheet'!C19,0)</f>
        <v>21949.119999999999</v>
      </c>
      <c r="E13" s="10">
        <f>IFERROR(SUM('Data Sheet'!D18,'Data Sheet'!D20:D22)-1*'Data Sheet'!D19,0)</f>
        <v>21967.5</v>
      </c>
      <c r="F13" s="10">
        <f>IFERROR(SUM('Data Sheet'!E18,'Data Sheet'!E20:E22)-1*'Data Sheet'!E19,0)</f>
        <v>24215.95</v>
      </c>
      <c r="G13" s="10">
        <f>IFERROR(SUM('Data Sheet'!F18,'Data Sheet'!F20:F22)-1*'Data Sheet'!F19,0)</f>
        <v>24330.399999999998</v>
      </c>
      <c r="H13" s="10">
        <f>IFERROR(SUM('Data Sheet'!G18,'Data Sheet'!G20:G22)-1*'Data Sheet'!G19,0)</f>
        <v>26881.51</v>
      </c>
      <c r="I13" s="10">
        <f>IFERROR(SUM('Data Sheet'!H18,'Data Sheet'!H20:H22)-1*'Data Sheet'!H19,0)</f>
        <v>34053.060000000005</v>
      </c>
      <c r="J13" s="10">
        <f>IFERROR(SUM('Data Sheet'!I18,'Data Sheet'!I20:I22)-1*'Data Sheet'!I19,0)</f>
        <v>38302.130000000005</v>
      </c>
      <c r="K13" s="10">
        <f>IFERROR(SUM('Data Sheet'!J18,'Data Sheet'!J20:J22)-1*'Data Sheet'!J19,0)</f>
        <v>35665.990000000005</v>
      </c>
      <c r="L13" s="10">
        <f>IFERROR(SUM('Data Sheet'!K18,'Data Sheet'!K20:K22)-1*'Data Sheet'!K19,0)</f>
        <v>41469.21</v>
      </c>
    </row>
    <row r="14" spans="1:13" x14ac:dyDescent="0.2">
      <c r="B14" s="11" t="s">
        <v>64</v>
      </c>
      <c r="C14" s="13">
        <f>C13/C10</f>
        <v>0.48894904840516329</v>
      </c>
      <c r="D14" s="13">
        <f t="shared" ref="D14:L14" si="1">D13/D10</f>
        <v>0.51321841768067411</v>
      </c>
      <c r="E14" s="13">
        <f t="shared" si="1"/>
        <v>0.50559346211898382</v>
      </c>
      <c r="F14" s="13">
        <f t="shared" si="1"/>
        <v>0.50095491106873502</v>
      </c>
      <c r="G14" s="13">
        <f t="shared" si="1"/>
        <v>0.49264088021916386</v>
      </c>
      <c r="H14" s="13">
        <f t="shared" si="1"/>
        <v>0.54573490913557243</v>
      </c>
      <c r="I14" s="13">
        <f t="shared" si="1"/>
        <v>0.56151897598695621</v>
      </c>
      <c r="J14" s="13">
        <f t="shared" si="1"/>
        <v>0.54008254202010386</v>
      </c>
      <c r="K14" s="13">
        <f t="shared" si="1"/>
        <v>0.52502534154037117</v>
      </c>
      <c r="L14" s="13">
        <f t="shared" si="1"/>
        <v>0.55054927197864567</v>
      </c>
    </row>
    <row r="16" spans="1:13" x14ac:dyDescent="0.2">
      <c r="B16" s="93" t="s">
        <v>61</v>
      </c>
      <c r="C16" s="94">
        <f>C10-C13</f>
        <v>20029.16</v>
      </c>
      <c r="D16" s="94">
        <f t="shared" ref="D16:L16" si="2">D10-D13</f>
        <v>20818.48</v>
      </c>
      <c r="E16" s="94">
        <f t="shared" si="2"/>
        <v>21481.440000000002</v>
      </c>
      <c r="F16" s="94">
        <f t="shared" si="2"/>
        <v>24123.63</v>
      </c>
      <c r="G16" s="94">
        <f t="shared" si="2"/>
        <v>25057.3</v>
      </c>
      <c r="H16" s="94">
        <f t="shared" si="2"/>
        <v>22375.94</v>
      </c>
      <c r="I16" s="94">
        <f t="shared" si="2"/>
        <v>26591.479999999996</v>
      </c>
      <c r="J16" s="94">
        <f t="shared" si="2"/>
        <v>32616.899999999994</v>
      </c>
      <c r="K16" s="94">
        <f t="shared" si="2"/>
        <v>32265.949999999997</v>
      </c>
      <c r="L16" s="94">
        <f t="shared" si="2"/>
        <v>33854.129999999997</v>
      </c>
    </row>
    <row r="17" spans="2:12" x14ac:dyDescent="0.2">
      <c r="B17" s="11" t="s">
        <v>65</v>
      </c>
      <c r="C17" s="13">
        <f>C16/C10</f>
        <v>0.51105095159483671</v>
      </c>
      <c r="D17" s="13">
        <f t="shared" ref="D17:L17" si="3">D16/D10</f>
        <v>0.48678158231932583</v>
      </c>
      <c r="E17" s="13">
        <f t="shared" si="3"/>
        <v>0.49440653788101624</v>
      </c>
      <c r="F17" s="13">
        <f t="shared" si="3"/>
        <v>0.49904508893126504</v>
      </c>
      <c r="G17" s="13">
        <f t="shared" si="3"/>
        <v>0.50735911978083614</v>
      </c>
      <c r="H17" s="13">
        <f t="shared" si="3"/>
        <v>0.45426509086442762</v>
      </c>
      <c r="I17" s="13">
        <f t="shared" si="3"/>
        <v>0.43848102401304379</v>
      </c>
      <c r="J17" s="13">
        <f t="shared" si="3"/>
        <v>0.45991745797989614</v>
      </c>
      <c r="K17" s="13">
        <f t="shared" si="3"/>
        <v>0.47497465845962877</v>
      </c>
      <c r="L17" s="13">
        <f t="shared" si="3"/>
        <v>0.44945072802135433</v>
      </c>
    </row>
    <row r="19" spans="2:12" x14ac:dyDescent="0.2">
      <c r="B19" t="s">
        <v>62</v>
      </c>
      <c r="C19" s="10">
        <f>IFERROR(SUM('Data Sheet'!B23:B24),0)</f>
        <v>5497.67</v>
      </c>
      <c r="D19" s="10">
        <f>IFERROR(SUM('Data Sheet'!C23:C24),0)</f>
        <v>5348.9699999999993</v>
      </c>
      <c r="E19" s="10">
        <f>IFERROR(SUM('Data Sheet'!D23:D24),0)</f>
        <v>4960.8500000000004</v>
      </c>
      <c r="F19" s="10">
        <f>IFERROR(SUM('Data Sheet'!E23:E24),0)</f>
        <v>5586.24</v>
      </c>
      <c r="G19" s="10">
        <f>IFERROR(SUM('Data Sheet'!F23:F24),0)</f>
        <v>5713.76</v>
      </c>
      <c r="H19" s="10">
        <f>IFERROR(SUM('Data Sheet'!G23:G24),0)</f>
        <v>5311.1600000000008</v>
      </c>
      <c r="I19" s="10">
        <f>IFERROR(SUM('Data Sheet'!H23:H24),0)</f>
        <v>5968.33</v>
      </c>
      <c r="J19" s="10">
        <f>IFERROR(SUM('Data Sheet'!I23:I24),0)</f>
        <v>6912.6399999999994</v>
      </c>
      <c r="K19" s="10">
        <f>IFERROR(SUM('Data Sheet'!J23:J24),0)</f>
        <v>7078.42</v>
      </c>
      <c r="L19" s="10">
        <f>IFERROR(SUM('Data Sheet'!K23:K24),0)</f>
        <v>8014.68</v>
      </c>
    </row>
    <row r="20" spans="2:12" x14ac:dyDescent="0.2">
      <c r="B20" s="11" t="s">
        <v>63</v>
      </c>
      <c r="C20" s="13">
        <f>C19/C10</f>
        <v>0.14027495337070481</v>
      </c>
      <c r="D20" s="13">
        <f t="shared" ref="D20:L20" si="4">D19/D10</f>
        <v>0.12507061420327537</v>
      </c>
      <c r="E20" s="13">
        <f t="shared" si="4"/>
        <v>0.11417654838069698</v>
      </c>
      <c r="F20" s="13">
        <f t="shared" si="4"/>
        <v>0.11556244386070379</v>
      </c>
      <c r="G20" s="13">
        <f t="shared" si="4"/>
        <v>0.11569196378855465</v>
      </c>
      <c r="H20" s="13">
        <f t="shared" si="4"/>
        <v>0.10782450167436604</v>
      </c>
      <c r="I20" s="13">
        <f t="shared" si="4"/>
        <v>9.8414960357519399E-2</v>
      </c>
      <c r="J20" s="13">
        <f t="shared" si="4"/>
        <v>9.7472286352478302E-2</v>
      </c>
      <c r="K20" s="13">
        <f t="shared" si="4"/>
        <v>0.10419870240714456</v>
      </c>
      <c r="L20" s="13">
        <f t="shared" si="4"/>
        <v>0.10640367248717331</v>
      </c>
    </row>
    <row r="22" spans="2:12" x14ac:dyDescent="0.2">
      <c r="B22" s="93" t="s">
        <v>66</v>
      </c>
      <c r="C22" s="94">
        <f>C16-C19</f>
        <v>14531.49</v>
      </c>
      <c r="D22" s="94">
        <f t="shared" ref="D22:L22" si="5">D16-D19</f>
        <v>15469.51</v>
      </c>
      <c r="E22" s="94">
        <f t="shared" si="5"/>
        <v>16520.590000000004</v>
      </c>
      <c r="F22" s="94">
        <f t="shared" si="5"/>
        <v>18537.39</v>
      </c>
      <c r="G22" s="94">
        <f t="shared" si="5"/>
        <v>19343.54</v>
      </c>
      <c r="H22" s="94">
        <f t="shared" si="5"/>
        <v>17064.78</v>
      </c>
      <c r="I22" s="94">
        <f t="shared" si="5"/>
        <v>20623.149999999994</v>
      </c>
      <c r="J22" s="94">
        <f t="shared" si="5"/>
        <v>25704.259999999995</v>
      </c>
      <c r="K22" s="94">
        <f t="shared" si="5"/>
        <v>25187.53</v>
      </c>
      <c r="L22" s="94">
        <f t="shared" si="5"/>
        <v>25839.449999999997</v>
      </c>
    </row>
    <row r="23" spans="2:12" x14ac:dyDescent="0.2">
      <c r="B23" s="11" t="s">
        <v>67</v>
      </c>
      <c r="C23" s="13">
        <f>C22/C10</f>
        <v>0.37077599822413193</v>
      </c>
      <c r="D23" s="13">
        <f t="shared" ref="D23:L23" si="6">D22/D10</f>
        <v>0.36171096811605047</v>
      </c>
      <c r="E23" s="13">
        <f t="shared" si="6"/>
        <v>0.38022998950031928</v>
      </c>
      <c r="F23" s="13">
        <f t="shared" si="6"/>
        <v>0.38348264507056118</v>
      </c>
      <c r="G23" s="13">
        <f t="shared" si="6"/>
        <v>0.39166715599228152</v>
      </c>
      <c r="H23" s="13">
        <f t="shared" si="6"/>
        <v>0.3464405891900616</v>
      </c>
      <c r="I23" s="13">
        <f t="shared" si="6"/>
        <v>0.34006606365552439</v>
      </c>
      <c r="J23" s="13">
        <f t="shared" si="6"/>
        <v>0.36244517162741785</v>
      </c>
      <c r="K23" s="13">
        <f t="shared" si="6"/>
        <v>0.37077595605248426</v>
      </c>
      <c r="L23" s="13">
        <f t="shared" si="6"/>
        <v>0.34304705553418102</v>
      </c>
    </row>
    <row r="25" spans="2:12" x14ac:dyDescent="0.2">
      <c r="B25" t="s">
        <v>6</v>
      </c>
      <c r="C25" s="10">
        <f>IFERROR('Data Sheet'!B27,0)</f>
        <v>78.13</v>
      </c>
      <c r="D25" s="10">
        <f>IFERROR('Data Sheet'!C27,0)</f>
        <v>49.03</v>
      </c>
      <c r="E25" s="10">
        <f>IFERROR('Data Sheet'!D27,0)</f>
        <v>115.01</v>
      </c>
      <c r="F25" s="10">
        <f>IFERROR('Data Sheet'!E27,0)</f>
        <v>71.400000000000006</v>
      </c>
      <c r="G25" s="10">
        <f>IFERROR('Data Sheet'!F27,0)</f>
        <v>81.38</v>
      </c>
      <c r="H25" s="10">
        <f>IFERROR('Data Sheet'!G27,0)</f>
        <v>57.97</v>
      </c>
      <c r="I25" s="10">
        <f>IFERROR('Data Sheet'!H27,0)</f>
        <v>59.99</v>
      </c>
      <c r="J25" s="10">
        <f>IFERROR('Data Sheet'!I27,0)</f>
        <v>77.77</v>
      </c>
      <c r="K25" s="10">
        <f>IFERROR('Data Sheet'!J27,0)</f>
        <v>39.11</v>
      </c>
      <c r="L25" s="10">
        <f>IFERROR('Data Sheet'!K27,0)</f>
        <v>45.06</v>
      </c>
    </row>
    <row r="26" spans="2:12" x14ac:dyDescent="0.2">
      <c r="B26" s="11" t="s">
        <v>68</v>
      </c>
      <c r="C26" s="13">
        <f>C25/C10</f>
        <v>1.9935139989946953E-3</v>
      </c>
      <c r="D26" s="13">
        <f t="shared" ref="D26:L26" si="7">D25/D10</f>
        <v>1.146428604831695E-3</v>
      </c>
      <c r="E26" s="13">
        <f t="shared" si="7"/>
        <v>2.647015094039118E-3</v>
      </c>
      <c r="F26" s="13">
        <f t="shared" si="7"/>
        <v>1.4770504832685763E-3</v>
      </c>
      <c r="G26" s="13">
        <f t="shared" si="7"/>
        <v>1.647778697934911E-3</v>
      </c>
      <c r="H26" s="13">
        <f t="shared" si="7"/>
        <v>1.1768778123918311E-3</v>
      </c>
      <c r="I26" s="13">
        <f t="shared" si="7"/>
        <v>9.8920694262006107E-4</v>
      </c>
      <c r="J26" s="13">
        <f t="shared" si="7"/>
        <v>1.0966027031108574E-3</v>
      </c>
      <c r="K26" s="13">
        <f t="shared" si="7"/>
        <v>5.7572329010477244E-4</v>
      </c>
      <c r="L26" s="13">
        <f t="shared" si="7"/>
        <v>5.9822094984104534E-4</v>
      </c>
    </row>
    <row r="28" spans="2:12" x14ac:dyDescent="0.2">
      <c r="B28" t="s">
        <v>69</v>
      </c>
      <c r="C28" s="10">
        <f>IFERROR('Data Sheet'!B26,0)</f>
        <v>1077.4000000000001</v>
      </c>
      <c r="D28" s="10">
        <f>IFERROR('Data Sheet'!C26,0)</f>
        <v>1152.79</v>
      </c>
      <c r="E28" s="10">
        <f>IFERROR('Data Sheet'!D26,0)</f>
        <v>1236.28</v>
      </c>
      <c r="F28" s="10">
        <f>IFERROR('Data Sheet'!E26,0)</f>
        <v>1396.61</v>
      </c>
      <c r="G28" s="10">
        <f>IFERROR('Data Sheet'!F26,0)</f>
        <v>1644.91</v>
      </c>
      <c r="H28" s="10">
        <f>IFERROR('Data Sheet'!G26,0)</f>
        <v>1645.59</v>
      </c>
      <c r="I28" s="10">
        <f>IFERROR('Data Sheet'!H26,0)</f>
        <v>1732.41</v>
      </c>
      <c r="J28" s="10">
        <f>IFERROR('Data Sheet'!I26,0)</f>
        <v>1809.01</v>
      </c>
      <c r="K28" s="10">
        <f>IFERROR('Data Sheet'!J26,0)</f>
        <v>1518.05</v>
      </c>
      <c r="L28" s="10">
        <f>IFERROR('Data Sheet'!K26,0)</f>
        <v>1646.32</v>
      </c>
    </row>
    <row r="29" spans="2:12" x14ac:dyDescent="0.2">
      <c r="B29" s="11" t="s">
        <v>70</v>
      </c>
      <c r="C29" s="13">
        <f t="shared" ref="C29:L29" si="8">C28/C10</f>
        <v>2.7490234001240049E-2</v>
      </c>
      <c r="D29" s="13">
        <f t="shared" si="8"/>
        <v>2.6954750792656124E-2</v>
      </c>
      <c r="E29" s="13">
        <f t="shared" si="8"/>
        <v>2.845362855802696E-2</v>
      </c>
      <c r="F29" s="13">
        <f t="shared" si="8"/>
        <v>2.8891645314253867E-2</v>
      </c>
      <c r="G29" s="13">
        <f t="shared" si="8"/>
        <v>3.3306066085280348E-2</v>
      </c>
      <c r="H29" s="13">
        <f t="shared" si="8"/>
        <v>3.3407941336792708E-2</v>
      </c>
      <c r="I29" s="13">
        <f t="shared" si="8"/>
        <v>2.8566627762367396E-2</v>
      </c>
      <c r="J29" s="13">
        <f t="shared" si="8"/>
        <v>2.550810410125463E-2</v>
      </c>
      <c r="K29" s="13">
        <f t="shared" si="8"/>
        <v>2.2346631054552542E-2</v>
      </c>
      <c r="L29" s="13">
        <f t="shared" si="8"/>
        <v>2.1856704707996222E-2</v>
      </c>
    </row>
    <row r="31" spans="2:12" x14ac:dyDescent="0.2">
      <c r="B31" s="93" t="s">
        <v>144</v>
      </c>
      <c r="C31" s="95">
        <f t="shared" ref="C31:L31" si="9">C22-C28</f>
        <v>13454.09</v>
      </c>
      <c r="D31" s="95">
        <f t="shared" si="9"/>
        <v>14316.720000000001</v>
      </c>
      <c r="E31" s="95">
        <f t="shared" si="9"/>
        <v>15284.310000000003</v>
      </c>
      <c r="F31" s="95">
        <f t="shared" si="9"/>
        <v>17140.78</v>
      </c>
      <c r="G31" s="95">
        <f t="shared" si="9"/>
        <v>17698.63</v>
      </c>
      <c r="H31" s="95">
        <f t="shared" si="9"/>
        <v>15419.189999999999</v>
      </c>
      <c r="I31" s="95">
        <f t="shared" si="9"/>
        <v>18890.739999999994</v>
      </c>
      <c r="J31" s="95">
        <f t="shared" si="9"/>
        <v>23895.249999999996</v>
      </c>
      <c r="K31" s="95">
        <f t="shared" si="9"/>
        <v>23669.48</v>
      </c>
      <c r="L31" s="95">
        <f t="shared" si="9"/>
        <v>24193.129999999997</v>
      </c>
    </row>
    <row r="32" spans="2:12" x14ac:dyDescent="0.2">
      <c r="B32" s="11" t="s">
        <v>145</v>
      </c>
      <c r="C32" s="13">
        <f t="shared" ref="C32:L32" si="10">IFERROR(C31/C10,0)</f>
        <v>0.34328576422289186</v>
      </c>
      <c r="D32" s="13">
        <f t="shared" si="10"/>
        <v>0.33475621732339439</v>
      </c>
      <c r="E32" s="13">
        <f t="shared" si="10"/>
        <v>0.35177636094229231</v>
      </c>
      <c r="F32" s="13">
        <f t="shared" si="10"/>
        <v>0.35459099975630731</v>
      </c>
      <c r="G32" s="13">
        <f t="shared" si="10"/>
        <v>0.35836108990700116</v>
      </c>
      <c r="H32" s="13">
        <f t="shared" si="10"/>
        <v>0.3130326478532689</v>
      </c>
      <c r="I32" s="13">
        <f t="shared" si="10"/>
        <v>0.31149943589315698</v>
      </c>
      <c r="J32" s="13">
        <f t="shared" si="10"/>
        <v>0.33693706752616326</v>
      </c>
      <c r="K32" s="13">
        <f t="shared" si="10"/>
        <v>0.34842932499793172</v>
      </c>
      <c r="L32" s="13">
        <f t="shared" si="10"/>
        <v>0.3211903508261848</v>
      </c>
    </row>
    <row r="34" spans="2:12" x14ac:dyDescent="0.2">
      <c r="B34" s="93" t="s">
        <v>71</v>
      </c>
      <c r="C34" s="94">
        <f t="shared" ref="C34:L34" si="11">IFERROR(C22-SUM(C25,C28),0)</f>
        <v>13375.96</v>
      </c>
      <c r="D34" s="94">
        <f t="shared" si="11"/>
        <v>14267.69</v>
      </c>
      <c r="E34" s="94">
        <f t="shared" si="11"/>
        <v>15169.300000000003</v>
      </c>
      <c r="F34" s="94">
        <f t="shared" si="11"/>
        <v>17069.38</v>
      </c>
      <c r="G34" s="94">
        <f t="shared" si="11"/>
        <v>17617.25</v>
      </c>
      <c r="H34" s="94">
        <f t="shared" si="11"/>
        <v>15361.22</v>
      </c>
      <c r="I34" s="94">
        <f t="shared" si="11"/>
        <v>18830.749999999993</v>
      </c>
      <c r="J34" s="94">
        <f t="shared" si="11"/>
        <v>23817.479999999996</v>
      </c>
      <c r="K34" s="94">
        <f t="shared" si="11"/>
        <v>23630.37</v>
      </c>
      <c r="L34" s="94">
        <f t="shared" si="11"/>
        <v>24148.069999999996</v>
      </c>
    </row>
    <row r="35" spans="2:12" x14ac:dyDescent="0.2">
      <c r="B35" s="11" t="s">
        <v>146</v>
      </c>
      <c r="C35" s="13">
        <f>C34/C10</f>
        <v>0.34129225022389714</v>
      </c>
      <c r="D35" s="13">
        <f t="shared" ref="D35:L35" si="12">D34/D10</f>
        <v>0.33360978871856267</v>
      </c>
      <c r="E35" s="13">
        <f t="shared" si="12"/>
        <v>0.34912934584825317</v>
      </c>
      <c r="F35" s="13">
        <f t="shared" si="12"/>
        <v>0.3531139492730388</v>
      </c>
      <c r="G35" s="13">
        <f t="shared" si="12"/>
        <v>0.35671331120906624</v>
      </c>
      <c r="H35" s="13">
        <f t="shared" si="12"/>
        <v>0.31185577004087706</v>
      </c>
      <c r="I35" s="13">
        <f t="shared" si="12"/>
        <v>0.31051022895053687</v>
      </c>
      <c r="J35" s="13">
        <f t="shared" si="12"/>
        <v>0.33584046482305235</v>
      </c>
      <c r="K35" s="13">
        <f t="shared" si="12"/>
        <v>0.34785360170782698</v>
      </c>
      <c r="L35" s="13">
        <f t="shared" si="12"/>
        <v>0.32059212987634372</v>
      </c>
    </row>
    <row r="37" spans="2:12" x14ac:dyDescent="0.2">
      <c r="B37" t="s">
        <v>72</v>
      </c>
      <c r="C37" s="10">
        <f>IFERROR('Data Sheet'!B29,0)</f>
        <v>5358.21</v>
      </c>
      <c r="D37" s="10">
        <f>IFERROR('Data Sheet'!C29,0)</f>
        <v>5549.09</v>
      </c>
      <c r="E37" s="10">
        <f>IFERROR('Data Sheet'!D29,0)</f>
        <v>5916.43</v>
      </c>
      <c r="F37" s="10">
        <f>IFERROR('Data Sheet'!E29,0)</f>
        <v>6313.92</v>
      </c>
      <c r="G37" s="10">
        <f>IFERROR('Data Sheet'!F29,0)</f>
        <v>4441.79</v>
      </c>
      <c r="H37" s="10">
        <f>IFERROR('Data Sheet'!G29,0)</f>
        <v>4555.29</v>
      </c>
      <c r="I37" s="10">
        <f>IFERROR('Data Sheet'!H29,0)</f>
        <v>5237.34</v>
      </c>
      <c r="J37" s="10">
        <f>IFERROR('Data Sheet'!I29,0)</f>
        <v>6438.4</v>
      </c>
      <c r="K37" s="10">
        <f>IFERROR('Data Sheet'!J29,0)</f>
        <v>6209.46</v>
      </c>
      <c r="L37" s="10">
        <f>IFERROR('Data Sheet'!K29,0)</f>
        <v>6890.47</v>
      </c>
    </row>
    <row r="38" spans="2:12" x14ac:dyDescent="0.2">
      <c r="B38" s="11" t="s">
        <v>73</v>
      </c>
      <c r="C38" s="13">
        <f>C37/C34</f>
        <v>0.40058507950083588</v>
      </c>
      <c r="D38" s="13">
        <f t="shared" ref="D38:L38" si="13">D37/D34</f>
        <v>0.3889270092075171</v>
      </c>
      <c r="E38" s="13">
        <f t="shared" si="13"/>
        <v>0.3900265668158715</v>
      </c>
      <c r="F38" s="13">
        <f t="shared" si="13"/>
        <v>0.36989744208635578</v>
      </c>
      <c r="G38" s="13">
        <f t="shared" si="13"/>
        <v>0.25212731839532276</v>
      </c>
      <c r="H38" s="13">
        <f t="shared" si="13"/>
        <v>0.29654480568600672</v>
      </c>
      <c r="I38" s="13">
        <f t="shared" si="13"/>
        <v>0.27812699972120081</v>
      </c>
      <c r="J38" s="13">
        <f t="shared" si="13"/>
        <v>0.27032246904374435</v>
      </c>
      <c r="K38" s="13">
        <f t="shared" si="13"/>
        <v>0.2627745566404589</v>
      </c>
      <c r="L38" s="13">
        <f t="shared" si="13"/>
        <v>0.28534247250401384</v>
      </c>
    </row>
    <row r="40" spans="2:12" ht="15.75" thickBot="1" x14ac:dyDescent="0.25">
      <c r="B40" s="100" t="s">
        <v>74</v>
      </c>
      <c r="C40" s="101">
        <f>C34-C37</f>
        <v>8017.7499999999991</v>
      </c>
      <c r="D40" s="101">
        <f t="shared" ref="D40:L40" si="14">D34-D37</f>
        <v>8718.6</v>
      </c>
      <c r="E40" s="101">
        <f t="shared" si="14"/>
        <v>9252.8700000000026</v>
      </c>
      <c r="F40" s="101">
        <f t="shared" si="14"/>
        <v>10755.460000000001</v>
      </c>
      <c r="G40" s="101">
        <f t="shared" si="14"/>
        <v>13175.46</v>
      </c>
      <c r="H40" s="101">
        <f>H34-H37</f>
        <v>10805.93</v>
      </c>
      <c r="I40" s="101">
        <f t="shared" si="14"/>
        <v>13593.409999999993</v>
      </c>
      <c r="J40" s="101">
        <f t="shared" si="14"/>
        <v>17379.079999999994</v>
      </c>
      <c r="K40" s="101">
        <f t="shared" si="14"/>
        <v>17420.91</v>
      </c>
      <c r="L40" s="101">
        <f t="shared" si="14"/>
        <v>17257.599999999995</v>
      </c>
    </row>
    <row r="41" spans="2:12" x14ac:dyDescent="0.2">
      <c r="B41" s="11" t="s">
        <v>75</v>
      </c>
      <c r="C41" s="13">
        <f>C40/C10</f>
        <v>0.20457566703493815</v>
      </c>
      <c r="D41" s="13">
        <f t="shared" ref="D41:L41" si="15">D40/D10</f>
        <v>0.20385993134990041</v>
      </c>
      <c r="E41" s="13">
        <f t="shared" si="15"/>
        <v>0.21295962571238797</v>
      </c>
      <c r="F41" s="13">
        <f t="shared" si="15"/>
        <v>0.22249800267193054</v>
      </c>
      <c r="G41" s="13">
        <f t="shared" si="15"/>
        <v>0.26677614061800814</v>
      </c>
      <c r="H41" s="13">
        <f t="shared" si="15"/>
        <v>0.21937656131204519</v>
      </c>
      <c r="I41" s="13">
        <f t="shared" si="15"/>
        <v>0.2241489505897809</v>
      </c>
      <c r="J41" s="13">
        <f t="shared" si="15"/>
        <v>0.24505524116728605</v>
      </c>
      <c r="K41" s="13">
        <f t="shared" si="15"/>
        <v>0.25644652574326599</v>
      </c>
      <c r="L41" s="13">
        <f t="shared" si="15"/>
        <v>0.22911357887209988</v>
      </c>
    </row>
    <row r="43" spans="2:12" x14ac:dyDescent="0.2">
      <c r="B43" t="s">
        <v>77</v>
      </c>
      <c r="C43">
        <f>IFERROR('Data Sheet'!B93,0)</f>
        <v>1207.08</v>
      </c>
      <c r="D43">
        <f>IFERROR('Data Sheet'!C93,0)</f>
        <v>1214.74</v>
      </c>
      <c r="E43">
        <f>IFERROR('Data Sheet'!D93,0)</f>
        <v>1220.43</v>
      </c>
      <c r="F43">
        <f>IFERROR('Data Sheet'!E93,0)</f>
        <v>1225.8599999999999</v>
      </c>
      <c r="G43">
        <f>IFERROR('Data Sheet'!F93,0)</f>
        <v>1229.22</v>
      </c>
      <c r="H43">
        <f>IFERROR('Data Sheet'!G93,0)</f>
        <v>1230.8800000000001</v>
      </c>
      <c r="I43">
        <f>IFERROR('Data Sheet'!H93,0)</f>
        <v>1232.33</v>
      </c>
      <c r="J43">
        <f>IFERROR('Data Sheet'!I93,0)</f>
        <v>1242.8</v>
      </c>
      <c r="K43">
        <f>IFERROR('Data Sheet'!J93,0)</f>
        <v>1248.47</v>
      </c>
      <c r="L43">
        <f>IFERROR('Data Sheet'!K93,0)</f>
        <v>1251.4100000000001</v>
      </c>
    </row>
    <row r="45" spans="2:12" x14ac:dyDescent="0.2">
      <c r="B45" t="s">
        <v>30</v>
      </c>
      <c r="C45" s="10">
        <f>IFERROR(C40/C43,0)</f>
        <v>6.6422689465486959</v>
      </c>
      <c r="D45" s="10">
        <f t="shared" ref="D45:L45" si="16">IFERROR(D40/D43,0)</f>
        <v>7.1773383604722003</v>
      </c>
      <c r="E45" s="10">
        <f t="shared" si="16"/>
        <v>7.5816474521275303</v>
      </c>
      <c r="F45" s="10">
        <f t="shared" si="16"/>
        <v>8.7738077757655866</v>
      </c>
      <c r="G45" s="10">
        <f t="shared" si="16"/>
        <v>10.718553228876848</v>
      </c>
      <c r="H45" s="10">
        <f t="shared" si="16"/>
        <v>8.7790280124788769</v>
      </c>
      <c r="I45" s="10">
        <f t="shared" si="16"/>
        <v>11.030657372619341</v>
      </c>
      <c r="J45" s="10">
        <f t="shared" si="16"/>
        <v>13.983810749919533</v>
      </c>
      <c r="K45" s="10">
        <f t="shared" si="16"/>
        <v>13.953807460331445</v>
      </c>
      <c r="L45" s="10">
        <f t="shared" si="16"/>
        <v>13.790524288602452</v>
      </c>
    </row>
    <row r="46" spans="2:12" x14ac:dyDescent="0.2">
      <c r="B46" s="11" t="s">
        <v>78</v>
      </c>
      <c r="C46" s="14" t="s">
        <v>60</v>
      </c>
      <c r="D46" s="13">
        <f>IFERROR(D45/C45,0)</f>
        <v>1.0805552166329435</v>
      </c>
      <c r="E46" s="13">
        <f>IFERROR(E45/D45,0)</f>
        <v>1.0563313405819048</v>
      </c>
      <c r="F46" s="13">
        <f t="shared" ref="F46:L46" si="17">IFERROR(F45/E45,0)</f>
        <v>1.1572429120670227</v>
      </c>
      <c r="G46" s="13">
        <f t="shared" si="17"/>
        <v>1.2216535286404273</v>
      </c>
      <c r="H46" s="13">
        <f t="shared" si="17"/>
        <v>0.81904971921278535</v>
      </c>
      <c r="I46" s="13">
        <f t="shared" si="17"/>
        <v>1.2564782065782116</v>
      </c>
      <c r="J46" s="13">
        <f t="shared" si="17"/>
        <v>1.2677223376215643</v>
      </c>
      <c r="K46" s="13">
        <f t="shared" si="17"/>
        <v>0.99785442679934289</v>
      </c>
      <c r="L46" s="13">
        <f t="shared" si="17"/>
        <v>0.98829830695362664</v>
      </c>
    </row>
    <row r="48" spans="2:12" x14ac:dyDescent="0.2">
      <c r="B48" t="s">
        <v>76</v>
      </c>
      <c r="C48" s="10">
        <f>IFERROR('Data Sheet'!B31/HistoricalFS!C43,0)</f>
        <v>5.666666666666667</v>
      </c>
      <c r="D48" s="10">
        <f>IFERROR('Data Sheet'!C31/HistoricalFS!D43,0)</f>
        <v>4.7500041161071511</v>
      </c>
      <c r="E48" s="10">
        <f>IFERROR('Data Sheet'!D31/HistoricalFS!E43,0)</f>
        <v>5.1499963127750057</v>
      </c>
      <c r="F48" s="10">
        <f>IFERROR('Data Sheet'!E31/HistoricalFS!F43,0)</f>
        <v>5.7500040787691908</v>
      </c>
      <c r="G48" s="10">
        <f>IFERROR('Data Sheet'!F31/HistoricalFS!G43,0)</f>
        <v>10.149997559427929</v>
      </c>
      <c r="H48" s="10">
        <f>IFERROR('Data Sheet'!G31/HistoricalFS!H43,0)</f>
        <v>10.749999999999998</v>
      </c>
      <c r="I48" s="10">
        <f>IFERROR('Data Sheet'!H31/HistoricalFS!I43,0)</f>
        <v>11.500004057354767</v>
      </c>
      <c r="J48" s="10">
        <f>IFERROR('Data Sheet'!I31/HistoricalFS!J43,0)</f>
        <v>15.500000000000002</v>
      </c>
      <c r="K48" s="10">
        <f>IFERROR('Data Sheet'!J31/HistoricalFS!K43,0)</f>
        <v>13.749997997548999</v>
      </c>
      <c r="L48" s="10">
        <f>IFERROR('Data Sheet'!K31/HistoricalFS!L43,0)</f>
        <v>14.349997203154841</v>
      </c>
    </row>
    <row r="49" spans="1:13" x14ac:dyDescent="0.2">
      <c r="B49" s="11" t="s">
        <v>142</v>
      </c>
      <c r="C49" s="13">
        <f>IFERROR(C48/C45,0)</f>
        <v>0.85312213526238667</v>
      </c>
      <c r="D49" s="13">
        <f t="shared" ref="D49:L49" si="18">IFERROR(D48/D45,0)</f>
        <v>0.66180579450829269</v>
      </c>
      <c r="E49" s="13">
        <f t="shared" si="18"/>
        <v>0.67927140443991962</v>
      </c>
      <c r="F49" s="13">
        <f t="shared" si="18"/>
        <v>0.65536016125763097</v>
      </c>
      <c r="G49" s="13">
        <f t="shared" si="18"/>
        <v>0.94695593170940517</v>
      </c>
      <c r="H49" s="13">
        <f t="shared" si="18"/>
        <v>1.2245091352618422</v>
      </c>
      <c r="I49" s="13">
        <f t="shared" si="18"/>
        <v>1.0425492941064831</v>
      </c>
      <c r="J49" s="13">
        <f t="shared" si="18"/>
        <v>1.108424611659536</v>
      </c>
      <c r="K49" s="13">
        <f t="shared" si="18"/>
        <v>0.98539398917737353</v>
      </c>
      <c r="L49" s="13">
        <f t="shared" si="18"/>
        <v>1.040569372334508</v>
      </c>
    </row>
    <row r="51" spans="1:13" x14ac:dyDescent="0.2">
      <c r="B51" t="s">
        <v>79</v>
      </c>
      <c r="C51" s="15">
        <f>IFERROR(IF(C45&gt;C48,1-C49,0),0)</f>
        <v>0.14687786473761333</v>
      </c>
      <c r="D51" s="15">
        <f t="shared" ref="D51:L51" si="19">IFERROR(IF(D45&gt;D48,1-D49,0),0)</f>
        <v>0.33819420549170731</v>
      </c>
      <c r="E51" s="15">
        <f t="shared" si="19"/>
        <v>0.32072859556008038</v>
      </c>
      <c r="F51" s="15">
        <f t="shared" si="19"/>
        <v>0.34463983874236903</v>
      </c>
      <c r="G51" s="15">
        <f t="shared" si="19"/>
        <v>5.3044068290594826E-2</v>
      </c>
      <c r="H51" s="15">
        <f t="shared" si="19"/>
        <v>0</v>
      </c>
      <c r="I51" s="15">
        <f t="shared" si="19"/>
        <v>0</v>
      </c>
      <c r="J51" s="15">
        <f t="shared" si="19"/>
        <v>0</v>
      </c>
      <c r="K51" s="15">
        <f t="shared" si="19"/>
        <v>1.460601082262647E-2</v>
      </c>
      <c r="L51" s="15">
        <f t="shared" si="19"/>
        <v>0</v>
      </c>
    </row>
    <row r="53" spans="1:13" x14ac:dyDescent="0.2">
      <c r="A53" s="2" t="s">
        <v>57</v>
      </c>
      <c r="B53" s="144" t="s">
        <v>80</v>
      </c>
      <c r="C53" s="144"/>
      <c r="D53" s="145"/>
      <c r="E53" s="145"/>
      <c r="F53" s="145"/>
      <c r="G53" s="145"/>
      <c r="H53" s="145"/>
      <c r="I53" s="145"/>
      <c r="J53" s="145"/>
      <c r="K53" s="145"/>
      <c r="L53" s="145"/>
    </row>
    <row r="54" spans="1:13" x14ac:dyDescent="0.2">
      <c r="B54" s="4" t="s">
        <v>10</v>
      </c>
      <c r="C54" s="10">
        <f>IFERROR('Data Sheet'!B57,0)</f>
        <v>804.72</v>
      </c>
      <c r="D54" s="10">
        <f>IFERROR('Data Sheet'!C57,0)</f>
        <v>1214.74</v>
      </c>
      <c r="E54" s="10">
        <f>IFERROR('Data Sheet'!D57,0)</f>
        <v>1220.43</v>
      </c>
      <c r="F54" s="10">
        <f>IFERROR('Data Sheet'!E57,0)</f>
        <v>1225.8599999999999</v>
      </c>
      <c r="G54" s="10">
        <f>IFERROR('Data Sheet'!F57,0)</f>
        <v>1229.22</v>
      </c>
      <c r="H54" s="10">
        <f>IFERROR('Data Sheet'!G57,0)</f>
        <v>1230.8800000000001</v>
      </c>
      <c r="I54" s="10">
        <f>IFERROR('Data Sheet'!H57,0)</f>
        <v>1232.33</v>
      </c>
      <c r="J54" s="10">
        <f>IFERROR('Data Sheet'!I57,0)</f>
        <v>1242.8</v>
      </c>
      <c r="K54" s="10">
        <f>IFERROR('Data Sheet'!J57,0)</f>
        <v>1248.47</v>
      </c>
      <c r="L54" s="10">
        <f>IFERROR('Data Sheet'!K57,0)</f>
        <v>1251.4100000000001</v>
      </c>
    </row>
    <row r="55" spans="1:13" x14ac:dyDescent="0.2">
      <c r="B55" s="4" t="s">
        <v>11</v>
      </c>
      <c r="C55" s="10">
        <f>IFERROR('Data Sheet'!B58,0)</f>
        <v>41874.800000000003</v>
      </c>
      <c r="D55" s="10">
        <f>IFERROR('Data Sheet'!C58,0)</f>
        <v>45198.19</v>
      </c>
      <c r="E55" s="10">
        <f>IFERROR('Data Sheet'!D58,0)</f>
        <v>51289.68</v>
      </c>
      <c r="F55" s="10">
        <f>IFERROR('Data Sheet'!E58,0)</f>
        <v>57915.01</v>
      </c>
      <c r="G55" s="10">
        <f>IFERROR('Data Sheet'!F58,0)</f>
        <v>64044.04</v>
      </c>
      <c r="H55" s="10">
        <f>IFERROR('Data Sheet'!G58,0)</f>
        <v>59116.46</v>
      </c>
      <c r="I55" s="10">
        <f>IFERROR('Data Sheet'!H58,0)</f>
        <v>61223.24</v>
      </c>
      <c r="J55" s="10">
        <f>IFERROR('Data Sheet'!I58,0)</f>
        <v>67912.460000000006</v>
      </c>
      <c r="K55" s="10">
        <f>IFERROR('Data Sheet'!J58,0)</f>
        <v>73258.53</v>
      </c>
      <c r="L55" s="10">
        <f>IFERROR('Data Sheet'!K58,0)</f>
        <v>68778.64</v>
      </c>
    </row>
    <row r="56" spans="1:13" x14ac:dyDescent="0.2">
      <c r="B56" s="4" t="s">
        <v>36</v>
      </c>
      <c r="C56" s="10">
        <f>IFERROR('Data Sheet'!B59,0)</f>
        <v>83.78</v>
      </c>
      <c r="D56" s="10">
        <f>IFERROR('Data Sheet'!C59,0)</f>
        <v>45.72</v>
      </c>
      <c r="E56" s="10">
        <f>IFERROR('Data Sheet'!D59,0)</f>
        <v>35.92</v>
      </c>
      <c r="F56" s="10">
        <f>IFERROR('Data Sheet'!E59,0)</f>
        <v>13.44</v>
      </c>
      <c r="G56" s="10">
        <f>IFERROR('Data Sheet'!F59,0)</f>
        <v>277.45</v>
      </c>
      <c r="H56" s="10">
        <f>IFERROR('Data Sheet'!G59,0)</f>
        <v>270.83</v>
      </c>
      <c r="I56" s="10">
        <f>IFERROR('Data Sheet'!H59,0)</f>
        <v>249.44</v>
      </c>
      <c r="J56" s="10">
        <f>IFERROR('Data Sheet'!I59,0)</f>
        <v>306.04000000000002</v>
      </c>
      <c r="K56" s="10">
        <f>IFERROR('Data Sheet'!J59,0)</f>
        <v>303.43</v>
      </c>
      <c r="L56" s="10">
        <f>IFERROR('Data Sheet'!K59,0)</f>
        <v>284.54000000000002</v>
      </c>
    </row>
    <row r="57" spans="1:13" x14ac:dyDescent="0.2">
      <c r="B57" s="4" t="s">
        <v>37</v>
      </c>
      <c r="C57" s="10">
        <f>IFERROR('Data Sheet'!B60,0)</f>
        <v>8888.0400000000009</v>
      </c>
      <c r="D57" s="10">
        <f>IFERROR('Data Sheet'!C60,0)</f>
        <v>9439.67</v>
      </c>
      <c r="E57" s="10">
        <f>IFERROR('Data Sheet'!D60,0)</f>
        <v>11694.85</v>
      </c>
      <c r="F57" s="10">
        <f>IFERROR('Data Sheet'!E60,0)</f>
        <v>12584.73</v>
      </c>
      <c r="G57" s="10">
        <f>IFERROR('Data Sheet'!F60,0)</f>
        <v>11760.04</v>
      </c>
      <c r="H57" s="10">
        <f>IFERROR('Data Sheet'!G60,0)</f>
        <v>13142.59</v>
      </c>
      <c r="I57" s="10">
        <f>IFERROR('Data Sheet'!H60,0)</f>
        <v>14491.01</v>
      </c>
      <c r="J57" s="10">
        <f>IFERROR('Data Sheet'!I60,0)</f>
        <v>16369.66</v>
      </c>
      <c r="K57" s="10">
        <f>IFERROR('Data Sheet'!J60,0)</f>
        <v>16943.54</v>
      </c>
      <c r="L57" s="10">
        <f>IFERROR('Data Sheet'!K60,0)</f>
        <v>17688.11</v>
      </c>
      <c r="M57" s="10"/>
    </row>
    <row r="58" spans="1:13" ht="15.75" thickBot="1" x14ac:dyDescent="0.25">
      <c r="B58" s="102" t="s">
        <v>81</v>
      </c>
      <c r="C58" s="101">
        <f>SUM(C54:C57)</f>
        <v>51651.340000000004</v>
      </c>
      <c r="D58" s="101">
        <f t="shared" ref="D58:L58" si="20">SUM(D54:D57)</f>
        <v>55898.32</v>
      </c>
      <c r="E58" s="101">
        <f t="shared" si="20"/>
        <v>64240.88</v>
      </c>
      <c r="F58" s="101">
        <f t="shared" si="20"/>
        <v>71739.040000000008</v>
      </c>
      <c r="G58" s="101">
        <f t="shared" si="20"/>
        <v>77310.75</v>
      </c>
      <c r="H58" s="101">
        <f t="shared" si="20"/>
        <v>73760.759999999995</v>
      </c>
      <c r="I58" s="101">
        <f t="shared" si="20"/>
        <v>77196.02</v>
      </c>
      <c r="J58" s="101">
        <f t="shared" si="20"/>
        <v>85830.96</v>
      </c>
      <c r="K58" s="101">
        <f t="shared" si="20"/>
        <v>91753.97</v>
      </c>
      <c r="L58" s="101">
        <f t="shared" si="20"/>
        <v>88002.7</v>
      </c>
    </row>
    <row r="59" spans="1:13" x14ac:dyDescent="0.2">
      <c r="B59" s="1"/>
    </row>
    <row r="60" spans="1:13" x14ac:dyDescent="0.2">
      <c r="B60" s="3" t="s">
        <v>8681</v>
      </c>
      <c r="C60" s="10">
        <f>IFERROR('Data Sheet'!B62,0)</f>
        <v>15106.63</v>
      </c>
      <c r="D60" s="10">
        <f>IFERROR('Data Sheet'!C62,0)</f>
        <v>15893.48</v>
      </c>
      <c r="E60" s="10">
        <f>IFERROR('Data Sheet'!D62,0)</f>
        <v>16523.96</v>
      </c>
      <c r="F60" s="10">
        <f>IFERROR('Data Sheet'!E62,0)</f>
        <v>19374.189999999999</v>
      </c>
      <c r="G60" s="10">
        <f>IFERROR('Data Sheet'!F62,0)</f>
        <v>21713.34</v>
      </c>
      <c r="H60" s="10">
        <f>IFERROR('Data Sheet'!G62,0)</f>
        <v>23298.48</v>
      </c>
      <c r="I60" s="10">
        <f>IFERROR('Data Sheet'!H62,0)</f>
        <v>24231.59</v>
      </c>
      <c r="J60" s="10">
        <f>IFERROR('Data Sheet'!I62,0)</f>
        <v>25851.27</v>
      </c>
      <c r="K60" s="10">
        <f>IFERROR('Data Sheet'!J62,0)</f>
        <v>27820.22</v>
      </c>
      <c r="L60" s="10">
        <f>IFERROR('Data Sheet'!K62,0)</f>
        <v>21954.85</v>
      </c>
    </row>
    <row r="61" spans="1:13" x14ac:dyDescent="0.2">
      <c r="B61" s="4" t="s">
        <v>14</v>
      </c>
      <c r="C61" s="10">
        <f>IFERROR('Data Sheet'!B63,0)</f>
        <v>2559.7199999999998</v>
      </c>
      <c r="D61" s="10">
        <f>IFERROR('Data Sheet'!C63,0)</f>
        <v>3729.89</v>
      </c>
      <c r="E61" s="10">
        <f>IFERROR('Data Sheet'!D63,0)</f>
        <v>5508.33</v>
      </c>
      <c r="F61" s="10">
        <f>IFERROR('Data Sheet'!E63,0)</f>
        <v>4136.42</v>
      </c>
      <c r="G61" s="10">
        <f>IFERROR('Data Sheet'!F63,0)</f>
        <v>3256.46</v>
      </c>
      <c r="H61" s="10">
        <f>IFERROR('Data Sheet'!G63,0)</f>
        <v>4011.29</v>
      </c>
      <c r="I61" s="10">
        <f>IFERROR('Data Sheet'!H63,0)</f>
        <v>3225.54</v>
      </c>
      <c r="J61" s="10">
        <f>IFERROR('Data Sheet'!I63,0)</f>
        <v>3003.3</v>
      </c>
      <c r="K61" s="10">
        <f>IFERROR('Data Sheet'!J63,0)</f>
        <v>2860.78</v>
      </c>
      <c r="L61" s="10">
        <f>IFERROR('Data Sheet'!K63,0)</f>
        <v>1090.9100000000001</v>
      </c>
    </row>
    <row r="62" spans="1:13" x14ac:dyDescent="0.2">
      <c r="B62" s="4" t="s">
        <v>15</v>
      </c>
      <c r="C62" s="10">
        <f>IFERROR('Data Sheet'!B64,0)</f>
        <v>11747.59</v>
      </c>
      <c r="D62" s="10">
        <f>IFERROR('Data Sheet'!C64,0)</f>
        <v>17581.38</v>
      </c>
      <c r="E62" s="10">
        <f>IFERROR('Data Sheet'!D64,0)</f>
        <v>22052.86</v>
      </c>
      <c r="F62" s="10">
        <f>IFERROR('Data Sheet'!E64,0)</f>
        <v>25043.49</v>
      </c>
      <c r="G62" s="10">
        <f>IFERROR('Data Sheet'!F64,0)</f>
        <v>28663.35</v>
      </c>
      <c r="H62" s="10">
        <f>IFERROR('Data Sheet'!G64,0)</f>
        <v>24870.87</v>
      </c>
      <c r="I62" s="10">
        <f>IFERROR('Data Sheet'!H64,0)</f>
        <v>24841.01</v>
      </c>
      <c r="J62" s="10">
        <f>IFERROR('Data Sheet'!I64,0)</f>
        <v>29415.02</v>
      </c>
      <c r="K62" s="10">
        <f>IFERROR('Data Sheet'!J64,0)</f>
        <v>31114.02</v>
      </c>
      <c r="L62" s="10">
        <f>IFERROR('Data Sheet'!K64,0)</f>
        <v>34719.82</v>
      </c>
    </row>
    <row r="63" spans="1:13" x14ac:dyDescent="0.2">
      <c r="B63" s="4" t="s">
        <v>38</v>
      </c>
      <c r="C63" s="10">
        <f>IFERROR('Data Sheet'!B65-SUM('Data Sheet'!B67:B69),0)</f>
        <v>5194.82</v>
      </c>
      <c r="D63" s="10">
        <f>IFERROR('Data Sheet'!C65-SUM('Data Sheet'!C67:C69),0)</f>
        <v>5135.7800000000007</v>
      </c>
      <c r="E63" s="10">
        <f>IFERROR('Data Sheet'!D65-SUM('Data Sheet'!D67:D69),0)</f>
        <v>7078.7499999999982</v>
      </c>
      <c r="F63" s="10">
        <f>IFERROR('Data Sheet'!E65-SUM('Data Sheet'!E67:E69),0)</f>
        <v>7138.07</v>
      </c>
      <c r="G63" s="10">
        <f>IFERROR('Data Sheet'!F65-SUM('Data Sheet'!F67:F69),0)</f>
        <v>4958.4499999999971</v>
      </c>
      <c r="H63" s="10">
        <f>IFERROR('Data Sheet'!G65-SUM('Data Sheet'!G67:G69),0)</f>
        <v>4022.239999999998</v>
      </c>
      <c r="I63" s="10">
        <f>IFERROR('Data Sheet'!H65-SUM('Data Sheet'!H67:H69),0)</f>
        <v>6917.41</v>
      </c>
      <c r="J63" s="10">
        <f>IFERROR('Data Sheet'!I65-SUM('Data Sheet'!I67:I69),0)</f>
        <v>7953.8499999999985</v>
      </c>
      <c r="K63" s="10">
        <f>IFERROR('Data Sheet'!J65-SUM('Data Sheet'!J67:J69),0)</f>
        <v>4562.57</v>
      </c>
      <c r="L63" s="10">
        <f>IFERROR('Data Sheet'!K65-SUM('Data Sheet'!K67:K69),0)</f>
        <v>5867.5299999999988</v>
      </c>
    </row>
    <row r="64" spans="1:13" x14ac:dyDescent="0.2">
      <c r="B64" s="96" t="s">
        <v>82</v>
      </c>
      <c r="C64" s="94">
        <f>SUM(C60:C63)</f>
        <v>34608.759999999995</v>
      </c>
      <c r="D64" s="94">
        <f t="shared" ref="D64:L64" si="21">SUM(D60:D63)</f>
        <v>42340.53</v>
      </c>
      <c r="E64" s="94">
        <f t="shared" si="21"/>
        <v>51163.9</v>
      </c>
      <c r="F64" s="94">
        <f t="shared" si="21"/>
        <v>55692.170000000006</v>
      </c>
      <c r="G64" s="94">
        <f t="shared" si="21"/>
        <v>58591.599999999991</v>
      </c>
      <c r="H64" s="94">
        <f t="shared" si="21"/>
        <v>56202.879999999997</v>
      </c>
      <c r="I64" s="94">
        <f t="shared" si="21"/>
        <v>59215.55</v>
      </c>
      <c r="J64" s="94">
        <f t="shared" si="21"/>
        <v>66223.44</v>
      </c>
      <c r="K64" s="94">
        <f t="shared" si="21"/>
        <v>66357.59</v>
      </c>
      <c r="L64" s="94">
        <f t="shared" si="21"/>
        <v>63633.11</v>
      </c>
    </row>
    <row r="65" spans="1:12" x14ac:dyDescent="0.2">
      <c r="B65" s="1"/>
    </row>
    <row r="66" spans="1:12" x14ac:dyDescent="0.2">
      <c r="B66" s="4" t="s">
        <v>43</v>
      </c>
      <c r="C66" s="10">
        <f>IFERROR('Data Sheet'!B67,0)</f>
        <v>1917.18</v>
      </c>
      <c r="D66" s="10">
        <f>IFERROR('Data Sheet'!C67,0)</f>
        <v>2474.29</v>
      </c>
      <c r="E66" s="10">
        <f>IFERROR('Data Sheet'!D67,0)</f>
        <v>2682.29</v>
      </c>
      <c r="F66" s="10">
        <f>IFERROR('Data Sheet'!E67,0)</f>
        <v>4035.28</v>
      </c>
      <c r="G66" s="10">
        <f>IFERROR('Data Sheet'!F67,0)</f>
        <v>2562.48</v>
      </c>
      <c r="H66" s="10">
        <f>IFERROR('Data Sheet'!G67,0)</f>
        <v>2501.6999999999998</v>
      </c>
      <c r="I66" s="10">
        <f>IFERROR('Data Sheet'!H67,0)</f>
        <v>2461.9</v>
      </c>
      <c r="J66" s="10">
        <f>IFERROR('Data Sheet'!I67,0)</f>
        <v>2956.17</v>
      </c>
      <c r="K66" s="10">
        <f>IFERROR('Data Sheet'!J67,0)</f>
        <v>4025.82</v>
      </c>
      <c r="L66" s="10">
        <f>IFERROR('Data Sheet'!K67,0)</f>
        <v>4719.67</v>
      </c>
    </row>
    <row r="67" spans="1:12" x14ac:dyDescent="0.2">
      <c r="B67" s="4" t="s">
        <v>29</v>
      </c>
      <c r="C67" s="10">
        <f>IFERROR('Data Sheet'!B68,0)</f>
        <v>9062.1</v>
      </c>
      <c r="D67" s="10">
        <f>IFERROR('Data Sheet'!C68,0)</f>
        <v>8116.1</v>
      </c>
      <c r="E67" s="10">
        <f>IFERROR('Data Sheet'!D68,0)</f>
        <v>7495.09</v>
      </c>
      <c r="F67" s="10">
        <f>IFERROR('Data Sheet'!E68,0)</f>
        <v>7859.56</v>
      </c>
      <c r="G67" s="10">
        <f>IFERROR('Data Sheet'!F68,0)</f>
        <v>8879.33</v>
      </c>
      <c r="H67" s="10">
        <f>IFERROR('Data Sheet'!G68,0)</f>
        <v>10397.16</v>
      </c>
      <c r="I67" s="10">
        <f>IFERROR('Data Sheet'!H68,0)</f>
        <v>10864.15</v>
      </c>
      <c r="J67" s="10">
        <f>IFERROR('Data Sheet'!I68,0)</f>
        <v>11771.16</v>
      </c>
      <c r="K67" s="10">
        <f>IFERROR('Data Sheet'!J68,0)</f>
        <v>14152.88</v>
      </c>
      <c r="L67" s="10">
        <f>IFERROR('Data Sheet'!K68,0)</f>
        <v>15637.56</v>
      </c>
    </row>
    <row r="68" spans="1:12" x14ac:dyDescent="0.2">
      <c r="B68" s="3" t="s">
        <v>52</v>
      </c>
      <c r="C68" s="10">
        <f>IFERROR('Data Sheet'!B69,0)</f>
        <v>6063.3</v>
      </c>
      <c r="D68" s="10">
        <f>IFERROR('Data Sheet'!C69,0)</f>
        <v>2967.4</v>
      </c>
      <c r="E68" s="10">
        <f>IFERROR('Data Sheet'!D69,0)</f>
        <v>2899.6</v>
      </c>
      <c r="F68" s="10">
        <f>IFERROR('Data Sheet'!E69,0)</f>
        <v>4152.03</v>
      </c>
      <c r="G68" s="10">
        <f>IFERROR('Data Sheet'!F69,0)</f>
        <v>7277.34</v>
      </c>
      <c r="H68" s="10">
        <f>IFERROR('Data Sheet'!G69,0)</f>
        <v>4659.0200000000004</v>
      </c>
      <c r="I68" s="10">
        <f>IFERROR('Data Sheet'!H69,0)</f>
        <v>4654.42</v>
      </c>
      <c r="J68" s="10">
        <f>IFERROR('Data Sheet'!I69,0)</f>
        <v>4880.1899999999996</v>
      </c>
      <c r="K68" s="10">
        <f>IFERROR('Data Sheet'!J69,0)</f>
        <v>7217.68</v>
      </c>
      <c r="L68" s="10">
        <f>IFERROR('Data Sheet'!K69,0)</f>
        <v>4012.36</v>
      </c>
    </row>
    <row r="69" spans="1:12" x14ac:dyDescent="0.2">
      <c r="B69" s="97" t="s">
        <v>83</v>
      </c>
      <c r="C69" s="94">
        <f>SUM(C66:C68)</f>
        <v>17042.580000000002</v>
      </c>
      <c r="D69" s="94">
        <f t="shared" ref="D69:L69" si="22">SUM(D66:D68)</f>
        <v>13557.789999999999</v>
      </c>
      <c r="E69" s="94">
        <f t="shared" si="22"/>
        <v>13076.980000000001</v>
      </c>
      <c r="F69" s="94">
        <f t="shared" si="22"/>
        <v>16046.869999999999</v>
      </c>
      <c r="G69" s="94">
        <f t="shared" si="22"/>
        <v>18719.150000000001</v>
      </c>
      <c r="H69" s="94">
        <f t="shared" si="22"/>
        <v>17557.88</v>
      </c>
      <c r="I69" s="94">
        <f t="shared" si="22"/>
        <v>17980.47</v>
      </c>
      <c r="J69" s="94">
        <f t="shared" si="22"/>
        <v>19607.52</v>
      </c>
      <c r="K69" s="94">
        <f t="shared" si="22"/>
        <v>25396.38</v>
      </c>
      <c r="L69" s="94">
        <f t="shared" si="22"/>
        <v>24369.59</v>
      </c>
    </row>
    <row r="71" spans="1:12" ht="15.75" thickBot="1" x14ac:dyDescent="0.25">
      <c r="B71" s="103" t="s">
        <v>84</v>
      </c>
      <c r="C71" s="101">
        <f>SUM(C69,C64)</f>
        <v>51651.34</v>
      </c>
      <c r="D71" s="101">
        <f t="shared" ref="D71:L71" si="23">SUM(D69,D64)</f>
        <v>55898.32</v>
      </c>
      <c r="E71" s="101">
        <f t="shared" si="23"/>
        <v>64240.880000000005</v>
      </c>
      <c r="F71" s="101">
        <f t="shared" si="23"/>
        <v>71739.040000000008</v>
      </c>
      <c r="G71" s="101">
        <f t="shared" si="23"/>
        <v>77310.75</v>
      </c>
      <c r="H71" s="101">
        <f t="shared" si="23"/>
        <v>73760.759999999995</v>
      </c>
      <c r="I71" s="101">
        <f t="shared" si="23"/>
        <v>77196.02</v>
      </c>
      <c r="J71" s="101">
        <f t="shared" si="23"/>
        <v>85830.96</v>
      </c>
      <c r="K71" s="101">
        <f t="shared" si="23"/>
        <v>91753.97</v>
      </c>
      <c r="L71" s="101">
        <f t="shared" si="23"/>
        <v>88002.7</v>
      </c>
    </row>
    <row r="73" spans="1:12" x14ac:dyDescent="0.2">
      <c r="B73" s="17" t="s">
        <v>85</v>
      </c>
      <c r="C73" s="17" t="b">
        <f>C71=C58</f>
        <v>1</v>
      </c>
      <c r="D73" s="17" t="b">
        <f t="shared" ref="D73:L73" si="24">D71=D58</f>
        <v>1</v>
      </c>
      <c r="E73" s="17" t="b">
        <f t="shared" si="24"/>
        <v>1</v>
      </c>
      <c r="F73" s="17" t="b">
        <f t="shared" si="24"/>
        <v>1</v>
      </c>
      <c r="G73" s="17" t="b">
        <f t="shared" si="24"/>
        <v>1</v>
      </c>
      <c r="H73" s="17" t="b">
        <f t="shared" si="24"/>
        <v>1</v>
      </c>
      <c r="I73" s="17" t="b">
        <f t="shared" si="24"/>
        <v>1</v>
      </c>
      <c r="J73" s="17" t="b">
        <f t="shared" si="24"/>
        <v>1</v>
      </c>
      <c r="K73" s="17" t="b">
        <f t="shared" si="24"/>
        <v>1</v>
      </c>
      <c r="L73" s="17" t="b">
        <f t="shared" si="24"/>
        <v>1</v>
      </c>
    </row>
    <row r="74" spans="1:12" x14ac:dyDescent="0.2">
      <c r="B74" s="17"/>
      <c r="C74" s="17"/>
      <c r="D74" s="17"/>
      <c r="E74" s="17"/>
      <c r="F74" s="17"/>
      <c r="G74" s="17"/>
      <c r="H74" s="17"/>
      <c r="I74" s="17"/>
      <c r="J74" s="17"/>
      <c r="K74" s="17"/>
      <c r="L74" s="17"/>
    </row>
    <row r="75" spans="1:12" x14ac:dyDescent="0.2">
      <c r="A75" s="2" t="s">
        <v>57</v>
      </c>
      <c r="B75" s="144" t="s">
        <v>108</v>
      </c>
      <c r="C75" s="144"/>
      <c r="D75" s="145"/>
      <c r="E75" s="145"/>
      <c r="F75" s="145"/>
      <c r="G75" s="145"/>
      <c r="H75" s="145"/>
      <c r="I75" s="145"/>
      <c r="J75" s="145"/>
      <c r="K75" s="145"/>
      <c r="L75" s="145"/>
    </row>
    <row r="76" spans="1:12" x14ac:dyDescent="0.2">
      <c r="B76" s="17"/>
      <c r="C76" s="17"/>
      <c r="D76" s="17"/>
      <c r="E76" s="17"/>
      <c r="F76" s="17"/>
      <c r="G76" s="17"/>
      <c r="H76" s="17"/>
      <c r="I76" s="17"/>
      <c r="J76" s="17"/>
      <c r="K76" s="17"/>
      <c r="L76" s="17"/>
    </row>
    <row r="77" spans="1:12" x14ac:dyDescent="0.2">
      <c r="B77" s="2" t="s">
        <v>109</v>
      </c>
      <c r="C77" s="10">
        <f>IFERROR('Data Sheet'!B82,0)</f>
        <v>9799.0400000000009</v>
      </c>
      <c r="D77" s="10">
        <f>IFERROR('Data Sheet'!C82,0)</f>
        <v>10627.31</v>
      </c>
      <c r="E77" s="10">
        <f>IFERROR('Data Sheet'!D82,0)</f>
        <v>13169.4</v>
      </c>
      <c r="F77" s="10">
        <f>IFERROR('Data Sheet'!E82,0)</f>
        <v>12583.41</v>
      </c>
      <c r="G77" s="10">
        <f>IFERROR('Data Sheet'!F82,0)</f>
        <v>14689.66</v>
      </c>
      <c r="H77" s="10">
        <f>IFERROR('Data Sheet'!G82,0)</f>
        <v>12526.97</v>
      </c>
      <c r="I77" s="10">
        <f>IFERROR('Data Sheet'!H82,0)</f>
        <v>15775.51</v>
      </c>
      <c r="J77" s="10">
        <f>IFERROR('Data Sheet'!I82,0)</f>
        <v>18877.55</v>
      </c>
      <c r="K77" s="10">
        <f>IFERROR('Data Sheet'!J82,0)</f>
        <v>17178.86</v>
      </c>
      <c r="L77" s="10">
        <f>IFERROR('Data Sheet'!K82,0)</f>
        <v>17627.04</v>
      </c>
    </row>
    <row r="78" spans="1:12" x14ac:dyDescent="0.2">
      <c r="B78" s="2" t="s">
        <v>111</v>
      </c>
      <c r="C78" s="10">
        <f>IFERROR('Data Sheet'!B83,0)</f>
        <v>-3920.73</v>
      </c>
      <c r="D78" s="10">
        <f>IFERROR('Data Sheet'!C83,0)</f>
        <v>-3250.93</v>
      </c>
      <c r="E78" s="10">
        <f>IFERROR('Data Sheet'!D83,0)</f>
        <v>-7113.89</v>
      </c>
      <c r="F78" s="10">
        <f>IFERROR('Data Sheet'!E83,0)</f>
        <v>-5545.68</v>
      </c>
      <c r="G78" s="10">
        <f>IFERROR('Data Sheet'!F83,0)</f>
        <v>-6174.02</v>
      </c>
      <c r="H78" s="10">
        <f>IFERROR('Data Sheet'!G83,0)</f>
        <v>5739.98</v>
      </c>
      <c r="I78" s="10">
        <f>IFERROR('Data Sheet'!H83,0)</f>
        <v>-2238.4899999999998</v>
      </c>
      <c r="J78" s="10">
        <f>IFERROR('Data Sheet'!I83,0)</f>
        <v>-5732.29</v>
      </c>
      <c r="K78" s="10">
        <f>IFERROR('Data Sheet'!J83,0)</f>
        <v>1562.77</v>
      </c>
      <c r="L78" s="10">
        <f>IFERROR('Data Sheet'!K83,0)</f>
        <v>-563.84</v>
      </c>
    </row>
    <row r="79" spans="1:12" x14ac:dyDescent="0.2">
      <c r="B79" s="2" t="s">
        <v>113</v>
      </c>
      <c r="C79" s="10">
        <f>IFERROR('Data Sheet'!B84,0)</f>
        <v>-5612.52</v>
      </c>
      <c r="D79" s="10">
        <f>IFERROR('Data Sheet'!C84,0)</f>
        <v>-7301.03</v>
      </c>
      <c r="E79" s="10">
        <f>IFERROR('Data Sheet'!D84,0)</f>
        <v>-6221.13</v>
      </c>
      <c r="F79" s="10">
        <f>IFERROR('Data Sheet'!E84,0)</f>
        <v>-6868.64</v>
      </c>
      <c r="G79" s="10">
        <f>IFERROR('Data Sheet'!F84,0)</f>
        <v>-8181.48</v>
      </c>
      <c r="H79" s="10">
        <f>IFERROR('Data Sheet'!G84,0)</f>
        <v>-18633.830000000002</v>
      </c>
      <c r="I79" s="10">
        <f>IFERROR('Data Sheet'!H84,0)</f>
        <v>-13580.5</v>
      </c>
      <c r="J79" s="10">
        <f>IFERROR('Data Sheet'!I84,0)</f>
        <v>-13006.03</v>
      </c>
      <c r="K79" s="10">
        <f>IFERROR('Data Sheet'!J84,0)</f>
        <v>-18550.96</v>
      </c>
      <c r="L79" s="10">
        <f>IFERROR('Data Sheet'!K84,0)</f>
        <v>-17037.400000000001</v>
      </c>
    </row>
    <row r="80" spans="1:12" x14ac:dyDescent="0.2">
      <c r="B80" s="17"/>
      <c r="C80" s="17"/>
      <c r="D80" s="17"/>
      <c r="E80" s="17"/>
      <c r="F80" s="17"/>
      <c r="G80" s="17"/>
      <c r="H80" s="17"/>
      <c r="I80" s="17"/>
      <c r="J80" s="17"/>
      <c r="K80" s="17"/>
      <c r="L80" s="17"/>
    </row>
    <row r="81" spans="1:12" ht="15.75" thickBot="1" x14ac:dyDescent="0.25">
      <c r="B81" s="100" t="s">
        <v>115</v>
      </c>
      <c r="C81" s="101">
        <f>SUM(C77:C79)</f>
        <v>265.79000000000087</v>
      </c>
      <c r="D81" s="101">
        <f t="shared" ref="D81:L81" si="25">SUM(D77:D79)</f>
        <v>75.349999999999454</v>
      </c>
      <c r="E81" s="101">
        <f t="shared" si="25"/>
        <v>-165.6200000000008</v>
      </c>
      <c r="F81" s="101">
        <f t="shared" si="25"/>
        <v>169.08999999999924</v>
      </c>
      <c r="G81" s="101">
        <f t="shared" si="25"/>
        <v>334.15999999999985</v>
      </c>
      <c r="H81" s="101">
        <f t="shared" si="25"/>
        <v>-366.88000000000466</v>
      </c>
      <c r="I81" s="101">
        <f t="shared" si="25"/>
        <v>-43.479999999999563</v>
      </c>
      <c r="J81" s="101">
        <f t="shared" si="25"/>
        <v>139.22999999999774</v>
      </c>
      <c r="K81" s="101">
        <f t="shared" si="25"/>
        <v>190.67000000000189</v>
      </c>
      <c r="L81" s="101">
        <f t="shared" si="25"/>
        <v>25.799999999999272</v>
      </c>
    </row>
    <row r="82" spans="1:12" s="17" customFormat="1" x14ac:dyDescent="0.2"/>
    <row r="83" spans="1:12" x14ac:dyDescent="0.2">
      <c r="A83" s="2" t="s">
        <v>57</v>
      </c>
      <c r="B83" s="144" t="s">
        <v>116</v>
      </c>
      <c r="C83" s="144"/>
      <c r="D83" s="145"/>
      <c r="E83" s="145"/>
      <c r="F83" s="145"/>
      <c r="G83" s="145"/>
      <c r="H83" s="145"/>
      <c r="I83" s="145"/>
      <c r="J83" s="145"/>
      <c r="K83" s="145"/>
      <c r="L83" s="145"/>
    </row>
    <row r="85" spans="1:12" x14ac:dyDescent="0.2">
      <c r="B85" s="2" t="s">
        <v>109</v>
      </c>
    </row>
    <row r="86" spans="1:12" x14ac:dyDescent="0.2">
      <c r="B86" t="s">
        <v>87</v>
      </c>
      <c r="C86" s="10">
        <f>IFERROR('Raw CF'!E4,0)</f>
        <v>15154</v>
      </c>
      <c r="D86" s="10">
        <f>IFERROR('Raw CF'!F4,0)</f>
        <v>16075</v>
      </c>
      <c r="E86" s="10">
        <f>IFERROR('Raw CF'!G4,0)</f>
        <v>17433</v>
      </c>
      <c r="F86" s="10">
        <f>IFERROR('Raw CF'!H4,0)</f>
        <v>18862</v>
      </c>
      <c r="G86" s="10">
        <f>IFERROR('Raw CF'!I4,0)</f>
        <v>19416</v>
      </c>
      <c r="H86" s="10">
        <f>IFERROR('Raw CF'!J4,0)</f>
        <v>17326</v>
      </c>
      <c r="I86" s="10">
        <f>IFERROR('Raw CF'!K4,0)</f>
        <v>20857</v>
      </c>
      <c r="J86" s="10">
        <f>IFERROR('Raw CF'!L4,0)</f>
        <v>26052</v>
      </c>
      <c r="K86" s="10">
        <f>IFERROR('Raw CF'!M4,0)</f>
        <v>26635</v>
      </c>
      <c r="L86" s="10">
        <f>IFERROR('Raw CF'!N4,0)</f>
        <v>26719</v>
      </c>
    </row>
    <row r="87" spans="1:12" x14ac:dyDescent="0.2">
      <c r="B87" t="s">
        <v>43</v>
      </c>
      <c r="C87" s="10">
        <f>IFERROR('Raw CF'!E5,0)</f>
        <v>-207</v>
      </c>
      <c r="D87" s="10">
        <f>IFERROR('Raw CF'!F5,0)</f>
        <v>-870</v>
      </c>
      <c r="E87" s="10">
        <f>IFERROR('Raw CF'!G5,0)</f>
        <v>-964</v>
      </c>
      <c r="F87" s="10">
        <f>IFERROR('Raw CF'!H5,0)</f>
        <v>-755</v>
      </c>
      <c r="G87" s="10">
        <f>IFERROR('Raw CF'!I5,0)</f>
        <v>1411</v>
      </c>
      <c r="H87" s="10">
        <f>IFERROR('Raw CF'!J5,0)</f>
        <v>-66</v>
      </c>
      <c r="I87" s="10">
        <f>IFERROR('Raw CF'!K5,0)</f>
        <v>-732</v>
      </c>
      <c r="J87" s="10">
        <f>IFERROR('Raw CF'!L5,0)</f>
        <v>-884</v>
      </c>
      <c r="K87" s="10">
        <f>IFERROR('Raw CF'!M5,0)</f>
        <v>-934</v>
      </c>
      <c r="L87" s="10">
        <f>IFERROR('Raw CF'!N5,0)</f>
        <v>-1023</v>
      </c>
    </row>
    <row r="88" spans="1:12" x14ac:dyDescent="0.2">
      <c r="B88" t="s">
        <v>29</v>
      </c>
      <c r="C88" s="10">
        <f>IFERROR('Raw CF'!E6,0)</f>
        <v>-693</v>
      </c>
      <c r="D88" s="10">
        <f>IFERROR('Raw CF'!F6,0)</f>
        <v>593</v>
      </c>
      <c r="E88" s="10">
        <f>IFERROR('Raw CF'!G6,0)</f>
        <v>602</v>
      </c>
      <c r="F88" s="10">
        <f>IFERROR('Raw CF'!H6,0)</f>
        <v>-359</v>
      </c>
      <c r="G88" s="10">
        <f>IFERROR('Raw CF'!I6,0)</f>
        <v>-508</v>
      </c>
      <c r="H88" s="10">
        <f>IFERROR('Raw CF'!J6,0)</f>
        <v>-1460</v>
      </c>
      <c r="I88" s="10">
        <f>IFERROR('Raw CF'!K6,0)</f>
        <v>-466</v>
      </c>
      <c r="J88" s="10">
        <f>IFERROR('Raw CF'!L6,0)</f>
        <v>-1098</v>
      </c>
      <c r="K88" s="10">
        <f>IFERROR('Raw CF'!M6,0)</f>
        <v>-2545</v>
      </c>
      <c r="L88" s="10">
        <f>IFERROR('Raw CF'!N6,0)</f>
        <v>-2975</v>
      </c>
    </row>
    <row r="89" spans="1:12" x14ac:dyDescent="0.2">
      <c r="B89" t="s">
        <v>88</v>
      </c>
      <c r="C89" s="10">
        <f>IFERROR('Raw CF'!E7,0)</f>
        <v>622</v>
      </c>
      <c r="D89" s="10">
        <f>IFERROR('Raw CF'!F7,0)</f>
        <v>321</v>
      </c>
      <c r="E89" s="10">
        <f>IFERROR('Raw CF'!G7,0)</f>
        <v>2098</v>
      </c>
      <c r="F89" s="10">
        <f>IFERROR('Raw CF'!H7,0)</f>
        <v>639</v>
      </c>
      <c r="G89" s="10">
        <f>IFERROR('Raw CF'!I7,0)</f>
        <v>-607</v>
      </c>
      <c r="H89" s="10">
        <f>IFERROR('Raw CF'!J7,0)</f>
        <v>1112</v>
      </c>
      <c r="I89" s="10">
        <f>IFERROR('Raw CF'!K7,0)</f>
        <v>1099</v>
      </c>
      <c r="J89" s="10">
        <f>IFERROR('Raw CF'!L7,0)</f>
        <v>1058</v>
      </c>
      <c r="K89" s="10">
        <f>IFERROR('Raw CF'!M7,0)</f>
        <v>141</v>
      </c>
      <c r="L89" s="10">
        <f>IFERROR('Raw CF'!N7,0)</f>
        <v>1256</v>
      </c>
    </row>
    <row r="90" spans="1:12" x14ac:dyDescent="0.2">
      <c r="B90" t="s">
        <v>89</v>
      </c>
      <c r="C90" s="10">
        <f>IFERROR('Raw CF'!E8,0)</f>
        <v>-277</v>
      </c>
      <c r="D90" s="10">
        <f>IFERROR('Raw CF'!F8,0)</f>
        <v>44</v>
      </c>
      <c r="E90" s="10">
        <f>IFERROR('Raw CF'!G8,0)</f>
        <v>1736</v>
      </c>
      <c r="F90" s="10">
        <f>IFERROR('Raw CF'!H8,0)</f>
        <v>-476</v>
      </c>
      <c r="G90" s="10">
        <f>IFERROR('Raw CF'!I8,0)</f>
        <v>296</v>
      </c>
      <c r="H90" s="10">
        <f>IFERROR('Raw CF'!J8,0)</f>
        <v>-413</v>
      </c>
      <c r="I90" s="10">
        <f>IFERROR('Raw CF'!K8,0)</f>
        <v>-100</v>
      </c>
      <c r="J90" s="10">
        <f>IFERROR('Raw CF'!L8,0)</f>
        <v>-924</v>
      </c>
      <c r="K90" s="10">
        <f>IFERROR('Raw CF'!M8,0)</f>
        <v>-3337</v>
      </c>
      <c r="L90" s="10">
        <f>IFERROR('Raw CF'!N8,0)</f>
        <v>-2742</v>
      </c>
    </row>
    <row r="91" spans="1:12" x14ac:dyDescent="0.2">
      <c r="B91" t="s">
        <v>90</v>
      </c>
      <c r="C91" s="10">
        <f>IFERROR('Raw CF'!E9,0)</f>
        <v>-5078</v>
      </c>
      <c r="D91" s="10">
        <f>IFERROR('Raw CF'!F9,0)</f>
        <v>-5492</v>
      </c>
      <c r="E91" s="10">
        <f>IFERROR('Raw CF'!G9,0)</f>
        <v>-6000</v>
      </c>
      <c r="F91" s="10">
        <f>IFERROR('Raw CF'!H9,0)</f>
        <v>-5803</v>
      </c>
      <c r="G91" s="10">
        <f>IFERROR('Raw CF'!I9,0)</f>
        <v>-5023</v>
      </c>
      <c r="H91" s="10">
        <f>IFERROR('Raw CF'!J9,0)</f>
        <v>-4387</v>
      </c>
      <c r="I91" s="10">
        <f>IFERROR('Raw CF'!K9,0)</f>
        <v>-4982</v>
      </c>
      <c r="J91" s="10">
        <f>IFERROR('Raw CF'!L9,0)</f>
        <v>-6250</v>
      </c>
      <c r="K91" s="10">
        <f>IFERROR('Raw CF'!M9,0)</f>
        <v>-6120</v>
      </c>
      <c r="L91" s="10">
        <f>IFERROR('Raw CF'!N9,0)</f>
        <v>-6350</v>
      </c>
    </row>
    <row r="92" spans="1:12" x14ac:dyDescent="0.2">
      <c r="B92" s="93" t="s">
        <v>110</v>
      </c>
      <c r="C92" s="94">
        <f t="shared" ref="C92:L92" si="26">IFERROR(SUM(C86:C91),0)</f>
        <v>9521</v>
      </c>
      <c r="D92" s="94">
        <f t="shared" si="26"/>
        <v>10671</v>
      </c>
      <c r="E92" s="94">
        <f t="shared" si="26"/>
        <v>14905</v>
      </c>
      <c r="F92" s="94">
        <f t="shared" si="26"/>
        <v>12108</v>
      </c>
      <c r="G92" s="94">
        <f t="shared" si="26"/>
        <v>14985</v>
      </c>
      <c r="H92" s="94">
        <f t="shared" si="26"/>
        <v>12112</v>
      </c>
      <c r="I92" s="94">
        <f t="shared" si="26"/>
        <v>15676</v>
      </c>
      <c r="J92" s="94">
        <f t="shared" si="26"/>
        <v>17954</v>
      </c>
      <c r="K92" s="94">
        <f t="shared" si="26"/>
        <v>13840</v>
      </c>
      <c r="L92" s="94">
        <f t="shared" si="26"/>
        <v>14885</v>
      </c>
    </row>
    <row r="94" spans="1:12" x14ac:dyDescent="0.2">
      <c r="B94" s="2" t="s">
        <v>111</v>
      </c>
    </row>
    <row r="95" spans="1:12" x14ac:dyDescent="0.2">
      <c r="B95" t="s">
        <v>92</v>
      </c>
      <c r="C95" s="10">
        <f>IFERROR('Raw CF'!E11,0)</f>
        <v>-2348</v>
      </c>
      <c r="D95" s="10">
        <f>IFERROR('Raw CF'!F11,0)</f>
        <v>-3122</v>
      </c>
      <c r="E95" s="10">
        <f>IFERROR('Raw CF'!G11,0)</f>
        <v>-2878</v>
      </c>
      <c r="F95" s="10">
        <f>IFERROR('Raw CF'!H11,0)</f>
        <v>-3169</v>
      </c>
      <c r="G95" s="10">
        <f>IFERROR('Raw CF'!I11,0)</f>
        <v>-2441</v>
      </c>
      <c r="H95" s="10">
        <f>IFERROR('Raw CF'!J11,0)</f>
        <v>-1837</v>
      </c>
      <c r="I95" s="10">
        <f>IFERROR('Raw CF'!K11,0)</f>
        <v>-2142</v>
      </c>
      <c r="J95" s="10">
        <f>IFERROR('Raw CF'!L11,0)</f>
        <v>-2743</v>
      </c>
      <c r="K95" s="10">
        <f>IFERROR('Raw CF'!M11,0)</f>
        <v>-3563</v>
      </c>
      <c r="L95" s="10">
        <f>IFERROR('Raw CF'!N11,0)</f>
        <v>-2279</v>
      </c>
    </row>
    <row r="96" spans="1:12" x14ac:dyDescent="0.2">
      <c r="B96" t="s">
        <v>93</v>
      </c>
      <c r="C96" s="10">
        <f>IFERROR('Raw CF'!E12,0)</f>
        <v>8</v>
      </c>
      <c r="D96" s="10">
        <f>IFERROR('Raw CF'!F12,0)</f>
        <v>50</v>
      </c>
      <c r="E96" s="10">
        <f>IFERROR('Raw CF'!G12,0)</f>
        <v>80</v>
      </c>
      <c r="F96" s="10">
        <f>IFERROR('Raw CF'!H12,0)</f>
        <v>28</v>
      </c>
      <c r="G96" s="10">
        <f>IFERROR('Raw CF'!I12,0)</f>
        <v>27</v>
      </c>
      <c r="H96" s="10">
        <f>IFERROR('Raw CF'!J12,0)</f>
        <v>3</v>
      </c>
      <c r="I96" s="10">
        <f>IFERROR('Raw CF'!K12,0)</f>
        <v>133</v>
      </c>
      <c r="J96" s="10">
        <f>IFERROR('Raw CF'!L12,0)</f>
        <v>49</v>
      </c>
      <c r="K96" s="10">
        <f>IFERROR('Raw CF'!M12,0)</f>
        <v>107</v>
      </c>
      <c r="L96" s="10">
        <f>IFERROR('Raw CF'!N12,0)</f>
        <v>175</v>
      </c>
    </row>
    <row r="97" spans="2:12" x14ac:dyDescent="0.2">
      <c r="B97" t="s">
        <v>94</v>
      </c>
      <c r="C97" s="10">
        <f>IFERROR('Raw CF'!E13,0)</f>
        <v>-154081</v>
      </c>
      <c r="D97" s="10">
        <f>IFERROR('Raw CF'!F13,0)</f>
        <v>-85683</v>
      </c>
      <c r="E97" s="10">
        <f>IFERROR('Raw CF'!G13,0)</f>
        <v>-98330</v>
      </c>
      <c r="F97" s="10">
        <f>IFERROR('Raw CF'!H13,0)</f>
        <v>-94187</v>
      </c>
      <c r="G97" s="10">
        <f>IFERROR('Raw CF'!I13,0)</f>
        <v>-79835</v>
      </c>
      <c r="H97" s="10">
        <f>IFERROR('Raw CF'!J13,0)</f>
        <v>-57553</v>
      </c>
      <c r="I97" s="10">
        <f>IFERROR('Raw CF'!K13,0)</f>
        <v>-69776</v>
      </c>
      <c r="J97" s="10">
        <f>IFERROR('Raw CF'!L13,0)</f>
        <v>-80932</v>
      </c>
      <c r="K97" s="10">
        <f>IFERROR('Raw CF'!M13,0)</f>
        <v>-75107</v>
      </c>
      <c r="L97" s="10">
        <f>IFERROR('Raw CF'!N13,0)</f>
        <v>-66373</v>
      </c>
    </row>
    <row r="98" spans="2:12" x14ac:dyDescent="0.2">
      <c r="B98" t="s">
        <v>95</v>
      </c>
      <c r="C98" s="10">
        <f>IFERROR('Raw CF'!E14,0)</f>
        <v>150651</v>
      </c>
      <c r="D98" s="10">
        <f>IFERROR('Raw CF'!F14,0)</f>
        <v>81034</v>
      </c>
      <c r="E98" s="10">
        <f>IFERROR('Raw CF'!G14,0)</f>
        <v>95017</v>
      </c>
      <c r="F98" s="10">
        <f>IFERROR('Raw CF'!H14,0)</f>
        <v>92454</v>
      </c>
      <c r="G98" s="10">
        <f>IFERROR('Raw CF'!I14,0)</f>
        <v>75835</v>
      </c>
      <c r="H98" s="10">
        <f>IFERROR('Raw CF'!J14,0)</f>
        <v>62797</v>
      </c>
      <c r="I98" s="10">
        <f>IFERROR('Raw CF'!K14,0)</f>
        <v>70992</v>
      </c>
      <c r="J98" s="10">
        <f>IFERROR('Raw CF'!L14,0)</f>
        <v>77230</v>
      </c>
      <c r="K98" s="10">
        <f>IFERROR('Raw CF'!M14,0)</f>
        <v>77830</v>
      </c>
      <c r="L98" s="10">
        <f>IFERROR('Raw CF'!N14,0)</f>
        <v>67311</v>
      </c>
    </row>
    <row r="99" spans="2:12" x14ac:dyDescent="0.2">
      <c r="B99" t="s">
        <v>96</v>
      </c>
      <c r="C99" s="10">
        <f>IFERROR('Raw CF'!E15,0)</f>
        <v>741</v>
      </c>
      <c r="D99" s="10">
        <f>IFERROR('Raw CF'!F15,0)</f>
        <v>756</v>
      </c>
      <c r="E99" s="10">
        <f>IFERROR('Raw CF'!G15,0)</f>
        <v>736</v>
      </c>
      <c r="F99" s="10">
        <f>IFERROR('Raw CF'!H15,0)</f>
        <v>1184</v>
      </c>
      <c r="G99" s="10">
        <f>IFERROR('Raw CF'!I15,0)</f>
        <v>1513</v>
      </c>
      <c r="H99" s="10">
        <f>IFERROR('Raw CF'!J15,0)</f>
        <v>1275</v>
      </c>
      <c r="I99" s="10">
        <f>IFERROR('Raw CF'!K15,0)</f>
        <v>1035</v>
      </c>
      <c r="J99" s="10">
        <f>IFERROR('Raw CF'!L15,0)</f>
        <v>1324</v>
      </c>
      <c r="K99" s="10">
        <f>IFERROR('Raw CF'!M15,0)</f>
        <v>1138</v>
      </c>
      <c r="L99" s="10">
        <f>IFERROR('Raw CF'!N15,0)</f>
        <v>1072</v>
      </c>
    </row>
    <row r="100" spans="2:12" x14ac:dyDescent="0.2">
      <c r="B100" t="s">
        <v>97</v>
      </c>
      <c r="C100" s="10">
        <f>IFERROR('Raw CF'!E16,0)</f>
        <v>64</v>
      </c>
      <c r="D100" s="10">
        <f>IFERROR('Raw CF'!F16,0)</f>
        <v>4</v>
      </c>
      <c r="E100" s="10">
        <f>IFERROR('Raw CF'!G16,0)</f>
        <v>13</v>
      </c>
      <c r="F100" s="10">
        <f>IFERROR('Raw CF'!H16,0)</f>
        <v>13</v>
      </c>
      <c r="G100" s="10">
        <f>IFERROR('Raw CF'!I16,0)</f>
        <v>17</v>
      </c>
      <c r="H100" s="10">
        <f>IFERROR('Raw CF'!J16,0)</f>
        <v>7</v>
      </c>
      <c r="I100" s="10">
        <f>IFERROR('Raw CF'!K16,0)</f>
        <v>16</v>
      </c>
      <c r="J100" s="10">
        <f>IFERROR('Raw CF'!L16,0)</f>
        <v>19</v>
      </c>
      <c r="K100" s="10">
        <f>IFERROR('Raw CF'!M16,0)</f>
        <v>36</v>
      </c>
      <c r="L100" s="10">
        <f>IFERROR('Raw CF'!N16,0)</f>
        <v>38</v>
      </c>
    </row>
    <row r="101" spans="2:12" x14ac:dyDescent="0.2">
      <c r="B101" t="s">
        <v>300</v>
      </c>
      <c r="C101" s="10">
        <f>IFERROR('Raw CF'!E17,0)</f>
        <v>-8</v>
      </c>
      <c r="D101" s="10">
        <f>IFERROR('Raw CF'!F17,0)</f>
        <v>0</v>
      </c>
      <c r="E101" s="10">
        <f>IFERROR('Raw CF'!G17,0)</f>
        <v>0</v>
      </c>
      <c r="F101" s="10">
        <f>IFERROR('Raw CF'!H17,0)</f>
        <v>0</v>
      </c>
      <c r="G101" s="10">
        <f>IFERROR('Raw CF'!I17,0)</f>
        <v>0</v>
      </c>
      <c r="H101" s="10">
        <f>IFERROR('Raw CF'!J17,0)</f>
        <v>0</v>
      </c>
      <c r="I101" s="10">
        <f>IFERROR('Raw CF'!K17,0)</f>
        <v>0</v>
      </c>
      <c r="J101" s="10">
        <f>IFERROR('Raw CF'!L17,0)</f>
        <v>0</v>
      </c>
      <c r="K101" s="10">
        <f>IFERROR('Raw CF'!M17,0)</f>
        <v>0</v>
      </c>
      <c r="L101" s="10">
        <f>IFERROR('Raw CF'!N17,0)</f>
        <v>0</v>
      </c>
    </row>
    <row r="102" spans="2:12" x14ac:dyDescent="0.2">
      <c r="B102" t="s">
        <v>301</v>
      </c>
      <c r="C102" s="10">
        <f>IFERROR('Raw CF'!E18,0)</f>
        <v>0</v>
      </c>
      <c r="D102" s="10">
        <f>IFERROR('Raw CF'!F18,0)</f>
        <v>0</v>
      </c>
      <c r="E102" s="10">
        <f>IFERROR('Raw CF'!G18,0)</f>
        <v>0</v>
      </c>
      <c r="F102" s="10">
        <f>IFERROR('Raw CF'!H18,0)</f>
        <v>0</v>
      </c>
      <c r="G102" s="10">
        <f>IFERROR('Raw CF'!I18,0)</f>
        <v>0</v>
      </c>
      <c r="H102" s="10">
        <f>IFERROR('Raw CF'!J18,0)</f>
        <v>-2</v>
      </c>
      <c r="I102" s="10">
        <f>IFERROR('Raw CF'!K18,0)</f>
        <v>-2</v>
      </c>
      <c r="J102" s="10">
        <f>IFERROR('Raw CF'!L18,0)</f>
        <v>-2</v>
      </c>
      <c r="K102" s="10">
        <f>IFERROR('Raw CF'!M18,0)</f>
        <v>-65</v>
      </c>
      <c r="L102" s="10">
        <f>IFERROR('Raw CF'!N18,0)</f>
        <v>-30</v>
      </c>
    </row>
    <row r="103" spans="2:12" x14ac:dyDescent="0.2">
      <c r="B103" t="s">
        <v>98</v>
      </c>
      <c r="C103" s="10">
        <f>IFERROR('Raw CF'!E19,0)</f>
        <v>0</v>
      </c>
      <c r="D103" s="10">
        <f>IFERROR('Raw CF'!F19,0)</f>
        <v>129</v>
      </c>
      <c r="E103" s="10">
        <f>IFERROR('Raw CF'!G19,0)</f>
        <v>18</v>
      </c>
      <c r="F103" s="10">
        <f>IFERROR('Raw CF'!H19,0)</f>
        <v>18</v>
      </c>
      <c r="G103" s="10">
        <f>IFERROR('Raw CF'!I19,0)</f>
        <v>0</v>
      </c>
      <c r="H103" s="10">
        <f>IFERROR('Raw CF'!J19,0)</f>
        <v>0</v>
      </c>
      <c r="I103" s="10">
        <f>IFERROR('Raw CF'!K19,0)</f>
        <v>0</v>
      </c>
      <c r="J103" s="10">
        <f>IFERROR('Raw CF'!L19,0)</f>
        <v>56</v>
      </c>
      <c r="K103" s="10">
        <f>IFERROR('Raw CF'!M19,0)</f>
        <v>0</v>
      </c>
      <c r="L103" s="10">
        <f>IFERROR('Raw CF'!N19,0)</f>
        <v>0</v>
      </c>
    </row>
    <row r="104" spans="2:12" x14ac:dyDescent="0.2">
      <c r="B104" t="s">
        <v>99</v>
      </c>
      <c r="C104" s="10">
        <f>IFERROR('Raw CF'!E20,0)</f>
        <v>1052</v>
      </c>
      <c r="D104" s="10">
        <f>IFERROR('Raw CF'!F20,0)</f>
        <v>3579</v>
      </c>
      <c r="E104" s="10">
        <f>IFERROR('Raw CF'!G20,0)</f>
        <v>-1769</v>
      </c>
      <c r="F104" s="10">
        <f>IFERROR('Raw CF'!H20,0)</f>
        <v>-1887</v>
      </c>
      <c r="G104" s="10">
        <f>IFERROR('Raw CF'!I20,0)</f>
        <v>-1290</v>
      </c>
      <c r="H104" s="10">
        <f>IFERROR('Raw CF'!J20,0)</f>
        <v>1051</v>
      </c>
      <c r="I104" s="10">
        <f>IFERROR('Raw CF'!K20,0)</f>
        <v>-2494</v>
      </c>
      <c r="J104" s="10">
        <f>IFERROR('Raw CF'!L20,0)</f>
        <v>-733</v>
      </c>
      <c r="K104" s="10">
        <f>IFERROR('Raw CF'!M20,0)</f>
        <v>1187</v>
      </c>
      <c r="L104" s="10">
        <f>IFERROR('Raw CF'!N20,0)</f>
        <v>-478</v>
      </c>
    </row>
    <row r="105" spans="2:12" x14ac:dyDescent="0.2">
      <c r="B105" s="93" t="s">
        <v>112</v>
      </c>
      <c r="C105" s="94">
        <f t="shared" ref="C105:L105" si="27">SUM(C95:C104)</f>
        <v>-3921</v>
      </c>
      <c r="D105" s="94">
        <f t="shared" si="27"/>
        <v>-3253</v>
      </c>
      <c r="E105" s="94">
        <f t="shared" si="27"/>
        <v>-7113</v>
      </c>
      <c r="F105" s="94">
        <f t="shared" si="27"/>
        <v>-5546</v>
      </c>
      <c r="G105" s="94">
        <f t="shared" si="27"/>
        <v>-6174</v>
      </c>
      <c r="H105" s="94">
        <f t="shared" si="27"/>
        <v>5741</v>
      </c>
      <c r="I105" s="94">
        <f t="shared" si="27"/>
        <v>-2238</v>
      </c>
      <c r="J105" s="94">
        <f t="shared" si="27"/>
        <v>-5732</v>
      </c>
      <c r="K105" s="94">
        <f t="shared" si="27"/>
        <v>1563</v>
      </c>
      <c r="L105" s="94">
        <f t="shared" si="27"/>
        <v>-564</v>
      </c>
    </row>
    <row r="107" spans="2:12" x14ac:dyDescent="0.2">
      <c r="B107" s="2" t="s">
        <v>113</v>
      </c>
    </row>
    <row r="108" spans="2:12" x14ac:dyDescent="0.2">
      <c r="B108" t="s">
        <v>101</v>
      </c>
      <c r="C108" s="10">
        <f>IFERROR('Raw CF'!E22,0)</f>
        <v>532</v>
      </c>
      <c r="D108" s="10">
        <f>IFERROR('Raw CF'!F22,0)</f>
        <v>1067</v>
      </c>
      <c r="E108" s="10">
        <f>IFERROR('Raw CF'!G22,0)</f>
        <v>913</v>
      </c>
      <c r="F108" s="10">
        <f>IFERROR('Raw CF'!H22,0)</f>
        <v>969</v>
      </c>
      <c r="G108" s="10">
        <f>IFERROR('Raw CF'!I22,0)</f>
        <v>625</v>
      </c>
      <c r="H108" s="10">
        <f>IFERROR('Raw CF'!J22,0)</f>
        <v>291</v>
      </c>
      <c r="I108" s="10">
        <f>IFERROR('Raw CF'!K22,0)</f>
        <v>292</v>
      </c>
      <c r="J108" s="10">
        <f>IFERROR('Raw CF'!L22,0)</f>
        <v>2477</v>
      </c>
      <c r="K108" s="10">
        <f>IFERROR('Raw CF'!M22,0)</f>
        <v>1443</v>
      </c>
      <c r="L108" s="10">
        <f>IFERROR('Raw CF'!N22,0)</f>
        <v>797</v>
      </c>
    </row>
    <row r="109" spans="2:12" x14ac:dyDescent="0.2">
      <c r="B109" t="s">
        <v>102</v>
      </c>
      <c r="C109" s="10">
        <f>IFERROR('Raw CF'!E23,0)</f>
        <v>0</v>
      </c>
      <c r="D109" s="10">
        <f>IFERROR('Raw CF'!F23,0)</f>
        <v>0</v>
      </c>
      <c r="E109" s="10">
        <f>IFERROR('Raw CF'!G23,0)</f>
        <v>11</v>
      </c>
      <c r="F109" s="10">
        <f>IFERROR('Raw CF'!H23,0)</f>
        <v>0</v>
      </c>
      <c r="G109" s="10">
        <f>IFERROR('Raw CF'!I23,0)</f>
        <v>0</v>
      </c>
      <c r="H109" s="10">
        <f>IFERROR('Raw CF'!J23,0)</f>
        <v>0</v>
      </c>
      <c r="I109" s="10">
        <f>IFERROR('Raw CF'!K23,0)</f>
        <v>0</v>
      </c>
      <c r="J109" s="10">
        <f>IFERROR('Raw CF'!L23,0)</f>
        <v>0</v>
      </c>
      <c r="K109" s="10">
        <f>IFERROR('Raw CF'!M23,0)</f>
        <v>8</v>
      </c>
      <c r="L109" s="10">
        <f>IFERROR('Raw CF'!N23,0)</f>
        <v>90</v>
      </c>
    </row>
    <row r="110" spans="2:12" x14ac:dyDescent="0.2">
      <c r="B110" t="s">
        <v>103</v>
      </c>
      <c r="C110" s="10">
        <f>IFERROR('Raw CF'!E24,0)</f>
        <v>-13</v>
      </c>
      <c r="D110" s="10">
        <f>IFERROR('Raw CF'!F24,0)</f>
        <v>-13</v>
      </c>
      <c r="E110" s="10">
        <f>IFERROR('Raw CF'!G24,0)</f>
        <v>-8</v>
      </c>
      <c r="F110" s="10">
        <f>IFERROR('Raw CF'!H24,0)</f>
        <v>-18</v>
      </c>
      <c r="G110" s="10">
        <f>IFERROR('Raw CF'!I24,0)</f>
        <v>-3</v>
      </c>
      <c r="H110" s="10">
        <f>IFERROR('Raw CF'!J24,0)</f>
        <v>-2</v>
      </c>
      <c r="I110" s="10">
        <f>IFERROR('Raw CF'!K24,0)</f>
        <v>-1</v>
      </c>
      <c r="J110" s="10">
        <f>IFERROR('Raw CF'!L24,0)</f>
        <v>-1</v>
      </c>
      <c r="K110" s="10">
        <f>IFERROR('Raw CF'!M24,0)</f>
        <v>-2</v>
      </c>
      <c r="L110" s="10">
        <f>IFERROR('Raw CF'!N24,0)</f>
        <v>-54</v>
      </c>
    </row>
    <row r="111" spans="2:12" x14ac:dyDescent="0.2">
      <c r="B111" t="s">
        <v>104</v>
      </c>
      <c r="C111" s="10">
        <f>IFERROR('Raw CF'!E25,0)</f>
        <v>-28</v>
      </c>
      <c r="D111" s="10">
        <f>IFERROR('Raw CF'!F25,0)</f>
        <v>-25</v>
      </c>
      <c r="E111" s="10">
        <f>IFERROR('Raw CF'!G25,0)</f>
        <v>-49</v>
      </c>
      <c r="F111" s="10">
        <f>IFERROR('Raw CF'!H25,0)</f>
        <v>-98</v>
      </c>
      <c r="G111" s="10">
        <f>IFERROR('Raw CF'!I25,0)</f>
        <v>-44</v>
      </c>
      <c r="H111" s="10">
        <f>IFERROR('Raw CF'!J25,0)</f>
        <v>-41</v>
      </c>
      <c r="I111" s="10">
        <f>IFERROR('Raw CF'!K25,0)</f>
        <v>-40</v>
      </c>
      <c r="J111" s="10">
        <f>IFERROR('Raw CF'!L25,0)</f>
        <v>-41</v>
      </c>
      <c r="K111" s="10">
        <f>IFERROR('Raw CF'!M25,0)</f>
        <v>-46</v>
      </c>
      <c r="L111" s="10">
        <f>IFERROR('Raw CF'!N25,0)</f>
        <v>-50</v>
      </c>
    </row>
    <row r="112" spans="2:12" x14ac:dyDescent="0.2">
      <c r="B112" t="s">
        <v>105</v>
      </c>
      <c r="C112" s="10">
        <f>IFERROR('Raw CF'!E26,0)</f>
        <v>-5133</v>
      </c>
      <c r="D112" s="10">
        <f>IFERROR('Raw CF'!F26,0)</f>
        <v>-6994</v>
      </c>
      <c r="E112" s="10">
        <f>IFERROR('Raw CF'!G26,0)</f>
        <v>-5952</v>
      </c>
      <c r="F112" s="10">
        <f>IFERROR('Raw CF'!H26,0)</f>
        <v>-6519</v>
      </c>
      <c r="G112" s="10">
        <f>IFERROR('Raw CF'!I26,0)</f>
        <v>-7302</v>
      </c>
      <c r="H112" s="10">
        <f>IFERROR('Raw CF'!J26,0)</f>
        <v>-18881</v>
      </c>
      <c r="I112" s="10">
        <f>IFERROR('Raw CF'!K26,0)</f>
        <v>-13788</v>
      </c>
      <c r="J112" s="10">
        <f>IFERROR('Raw CF'!L26,0)</f>
        <v>-15418</v>
      </c>
      <c r="K112" s="10">
        <f>IFERROR('Raw CF'!M26,0)</f>
        <v>-19899</v>
      </c>
      <c r="L112" s="10">
        <f>IFERROR('Raw CF'!N26,0)</f>
        <v>-17782</v>
      </c>
    </row>
    <row r="113" spans="2:12" x14ac:dyDescent="0.2">
      <c r="B113" t="s">
        <v>106</v>
      </c>
      <c r="C113" s="10">
        <f>IFERROR('Raw CF'!E27,0)</f>
        <v>0</v>
      </c>
      <c r="D113" s="10">
        <f>IFERROR('Raw CF'!F27,0)</f>
        <v>0</v>
      </c>
      <c r="E113" s="10">
        <f>IFERROR('Raw CF'!G27,0)</f>
        <v>0</v>
      </c>
      <c r="F113" s="10">
        <f>IFERROR('Raw CF'!H27,0)</f>
        <v>0</v>
      </c>
      <c r="G113" s="10">
        <f>IFERROR('Raw CF'!I27,0)</f>
        <v>-49</v>
      </c>
      <c r="H113" s="10">
        <f>IFERROR('Raw CF'!J27,0)</f>
        <v>-55</v>
      </c>
      <c r="I113" s="10">
        <f>IFERROR('Raw CF'!K27,0)</f>
        <v>-59</v>
      </c>
      <c r="J113" s="10">
        <f>IFERROR('Raw CF'!L27,0)</f>
        <v>-59</v>
      </c>
      <c r="K113" s="10">
        <f>IFERROR('Raw CF'!M27,0)</f>
        <v>-67</v>
      </c>
      <c r="L113" s="10">
        <f>IFERROR('Raw CF'!N27,0)</f>
        <v>-66</v>
      </c>
    </row>
    <row r="114" spans="2:12" x14ac:dyDescent="0.2">
      <c r="B114" t="s">
        <v>107</v>
      </c>
      <c r="C114" s="10">
        <f>IFERROR('Raw CF'!E28,0)</f>
        <v>-971</v>
      </c>
      <c r="D114" s="10">
        <f>IFERROR('Raw CF'!F28,0)</f>
        <v>-1335</v>
      </c>
      <c r="E114" s="10">
        <f>IFERROR('Raw CF'!G28,0)</f>
        <v>-1136</v>
      </c>
      <c r="F114" s="10">
        <f>IFERROR('Raw CF'!H28,0)</f>
        <v>-1203</v>
      </c>
      <c r="G114" s="10">
        <f>IFERROR('Raw CF'!I28,0)</f>
        <v>-1409</v>
      </c>
      <c r="H114" s="10">
        <f>IFERROR('Raw CF'!J28,0)</f>
        <v>55</v>
      </c>
      <c r="I114" s="10">
        <f>IFERROR('Raw CF'!K28,0)</f>
        <v>15</v>
      </c>
      <c r="J114" s="10">
        <f>IFERROR('Raw CF'!L28,0)</f>
        <v>35</v>
      </c>
      <c r="K114" s="10">
        <f>IFERROR('Raw CF'!M28,0)</f>
        <v>12</v>
      </c>
      <c r="L114" s="10">
        <f>IFERROR('Raw CF'!N28,0)</f>
        <v>28</v>
      </c>
    </row>
    <row r="115" spans="2:12" x14ac:dyDescent="0.2">
      <c r="B115" s="93" t="s">
        <v>114</v>
      </c>
      <c r="C115" s="94">
        <f>SUM(C108:C114)</f>
        <v>-5613</v>
      </c>
      <c r="D115" s="94">
        <f t="shared" ref="D115:L115" si="28">SUM(D108:D114)</f>
        <v>-7300</v>
      </c>
      <c r="E115" s="94">
        <f t="shared" si="28"/>
        <v>-6221</v>
      </c>
      <c r="F115" s="94">
        <f t="shared" si="28"/>
        <v>-6869</v>
      </c>
      <c r="G115" s="94">
        <f t="shared" si="28"/>
        <v>-8182</v>
      </c>
      <c r="H115" s="94">
        <f t="shared" si="28"/>
        <v>-18633</v>
      </c>
      <c r="I115" s="94">
        <f t="shared" si="28"/>
        <v>-13581</v>
      </c>
      <c r="J115" s="94">
        <f t="shared" si="28"/>
        <v>-13007</v>
      </c>
      <c r="K115" s="94">
        <f t="shared" si="28"/>
        <v>-18551</v>
      </c>
      <c r="L115" s="94">
        <f t="shared" si="28"/>
        <v>-17037</v>
      </c>
    </row>
    <row r="117" spans="2:12" ht="15.75" thickBot="1" x14ac:dyDescent="0.25">
      <c r="B117" s="100" t="s">
        <v>115</v>
      </c>
      <c r="C117" s="101">
        <f t="shared" ref="C117:L117" si="29">IFERROR(SUM(C92,C105,C115),0)</f>
        <v>-13</v>
      </c>
      <c r="D117" s="101">
        <f t="shared" si="29"/>
        <v>118</v>
      </c>
      <c r="E117" s="101">
        <f t="shared" si="29"/>
        <v>1571</v>
      </c>
      <c r="F117" s="101">
        <f t="shared" si="29"/>
        <v>-307</v>
      </c>
      <c r="G117" s="101">
        <f t="shared" si="29"/>
        <v>629</v>
      </c>
      <c r="H117" s="101">
        <f t="shared" si="29"/>
        <v>-780</v>
      </c>
      <c r="I117" s="101">
        <f t="shared" si="29"/>
        <v>-143</v>
      </c>
      <c r="J117" s="101">
        <f t="shared" si="29"/>
        <v>-785</v>
      </c>
      <c r="K117" s="101">
        <f t="shared" si="29"/>
        <v>-3148</v>
      </c>
      <c r="L117" s="101">
        <f t="shared" si="29"/>
        <v>-2716</v>
      </c>
    </row>
  </sheetData>
  <mergeCells count="1">
    <mergeCell ref="B7:L7"/>
  </mergeCells>
  <printOptions horizontalCentered="1" verticalCentered="1"/>
  <pageMargins left="0.27559055118110237" right="0.35433070866141736" top="0.23622047244094491" bottom="0.23622047244094491" header="0.19685039370078741" footer="0.19685039370078741"/>
  <pageSetup scale="75" orientation="landscape" r:id="rId1"/>
  <rowBreaks count="2" manualBreakCount="2">
    <brk id="51" min="1" max="11" man="1"/>
    <brk id="74" min="1" max="11" man="1"/>
  </rowBreaks>
  <ignoredErrors>
    <ignoredError sqref="C19:L19"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14680-605A-4D42-AD06-E70031FD4607}">
  <dimension ref="A1:L48"/>
  <sheetViews>
    <sheetView showGridLines="0" zoomScaleNormal="100" workbookViewId="0">
      <selection activeCell="R14" sqref="R14"/>
    </sheetView>
  </sheetViews>
  <sheetFormatPr defaultRowHeight="15" x14ac:dyDescent="0.2"/>
  <cols>
    <col min="1" max="1" width="1.8828125" customWidth="1"/>
    <col min="2" max="2" width="26.5" customWidth="1"/>
  </cols>
  <sheetData>
    <row r="1" spans="1:12" x14ac:dyDescent="0.2">
      <c r="B1" s="113"/>
      <c r="C1" s="113"/>
      <c r="D1" s="113"/>
      <c r="E1" s="113"/>
      <c r="F1" s="113"/>
      <c r="G1" s="113"/>
      <c r="H1" s="113"/>
      <c r="I1" s="113"/>
      <c r="J1" s="113"/>
      <c r="K1" s="113"/>
      <c r="L1" s="113"/>
    </row>
    <row r="2" spans="1:12" ht="24" customHeight="1" x14ac:dyDescent="0.2">
      <c r="B2" s="215" t="str">
        <f>'Data Sheet'!B1</f>
        <v>ITC LTD</v>
      </c>
      <c r="C2" s="213"/>
      <c r="D2" s="216"/>
      <c r="E2" s="213"/>
      <c r="F2" s="213"/>
      <c r="G2" s="213"/>
      <c r="H2" s="213"/>
      <c r="I2" s="213"/>
      <c r="J2" s="213"/>
      <c r="K2" s="213"/>
      <c r="L2" s="213"/>
    </row>
    <row r="3" spans="1:12" x14ac:dyDescent="0.2">
      <c r="B3" s="213" t="s">
        <v>8676</v>
      </c>
      <c r="C3" s="213"/>
      <c r="D3" s="213"/>
      <c r="E3" s="213"/>
      <c r="F3" s="213"/>
      <c r="G3" s="213"/>
      <c r="H3" s="213"/>
      <c r="I3" s="213"/>
      <c r="J3" s="213"/>
      <c r="K3" s="213"/>
      <c r="L3" s="213"/>
    </row>
    <row r="4" spans="1:12" ht="18.75" x14ac:dyDescent="0.25">
      <c r="B4" s="217" t="str">
        <f>CONCATENATE("INR"," ", 'Data Sheet'!B8)</f>
        <v>INR 409.75</v>
      </c>
      <c r="C4" s="213"/>
      <c r="D4" s="213"/>
      <c r="E4" s="213"/>
      <c r="F4" s="213"/>
      <c r="G4" s="213"/>
      <c r="H4" s="213"/>
      <c r="I4" s="213"/>
      <c r="J4" s="213"/>
      <c r="K4" s="213"/>
      <c r="L4" s="213"/>
    </row>
    <row r="5" spans="1:12" x14ac:dyDescent="0.2">
      <c r="B5" s="214" t="s">
        <v>8557</v>
      </c>
      <c r="C5" s="214"/>
      <c r="D5" s="214"/>
      <c r="E5" s="214"/>
      <c r="F5" s="214"/>
      <c r="G5" s="214"/>
      <c r="H5" s="214"/>
      <c r="I5" s="214"/>
      <c r="J5" s="214"/>
      <c r="K5" s="214"/>
      <c r="L5" s="214"/>
    </row>
    <row r="6" spans="1:12" ht="9" customHeight="1" x14ac:dyDescent="0.2">
      <c r="B6" s="140"/>
      <c r="C6" s="140"/>
      <c r="D6" s="140"/>
      <c r="E6" s="140"/>
      <c r="F6" s="140"/>
      <c r="G6" s="140"/>
      <c r="H6" s="140"/>
      <c r="I6" s="140"/>
      <c r="J6" s="140"/>
    </row>
    <row r="7" spans="1:12" x14ac:dyDescent="0.2">
      <c r="A7" s="17" t="s">
        <v>57</v>
      </c>
      <c r="B7" s="224" t="str">
        <f>"Common Size Income Statement - "&amp;'Data Sheet'!$B$1</f>
        <v>Common Size Income Statement - ITC LTD</v>
      </c>
      <c r="C7" s="224"/>
      <c r="D7" s="224"/>
      <c r="E7" s="224"/>
      <c r="F7" s="224"/>
      <c r="G7" s="224"/>
      <c r="H7" s="224"/>
      <c r="I7" s="224"/>
      <c r="J7" s="224"/>
      <c r="K7" s="224"/>
      <c r="L7" s="224"/>
    </row>
    <row r="8" spans="1:12" x14ac:dyDescent="0.2">
      <c r="B8" s="91" t="s">
        <v>151</v>
      </c>
      <c r="C8" s="92">
        <f>'Data Sheet'!B$16</f>
        <v>42460</v>
      </c>
      <c r="D8" s="92">
        <f>'Data Sheet'!C$16</f>
        <v>42825</v>
      </c>
      <c r="E8" s="92">
        <f>'Data Sheet'!D$16</f>
        <v>43190</v>
      </c>
      <c r="F8" s="92">
        <f>'Data Sheet'!E$16</f>
        <v>43555</v>
      </c>
      <c r="G8" s="92">
        <f>'Data Sheet'!F$16</f>
        <v>43921</v>
      </c>
      <c r="H8" s="92">
        <f>'Data Sheet'!G$16</f>
        <v>44286</v>
      </c>
      <c r="I8" s="92">
        <f>'Data Sheet'!H$16</f>
        <v>44651</v>
      </c>
      <c r="J8" s="92">
        <f>'Data Sheet'!I$16</f>
        <v>45016</v>
      </c>
      <c r="K8" s="92">
        <f>'Data Sheet'!J$16</f>
        <v>45382</v>
      </c>
      <c r="L8" s="92">
        <f>'Data Sheet'!K$16</f>
        <v>45747</v>
      </c>
    </row>
    <row r="9" spans="1:12" ht="9" customHeight="1" x14ac:dyDescent="0.2"/>
    <row r="10" spans="1:12" x14ac:dyDescent="0.2">
      <c r="B10" s="23" t="str">
        <f>'Data Sheet'!A17</f>
        <v>Sales</v>
      </c>
      <c r="C10" s="15">
        <f>'Data Sheet'!B17/'Data Sheet'!B$17</f>
        <v>1</v>
      </c>
      <c r="D10" s="15">
        <f>'Data Sheet'!C17/'Data Sheet'!C$17</f>
        <v>1</v>
      </c>
      <c r="E10" s="15">
        <f>'Data Sheet'!D17/'Data Sheet'!D$17</f>
        <v>1</v>
      </c>
      <c r="F10" s="15">
        <f>'Data Sheet'!E17/'Data Sheet'!E$17</f>
        <v>1</v>
      </c>
      <c r="G10" s="15">
        <f>'Data Sheet'!F17/'Data Sheet'!F$17</f>
        <v>1</v>
      </c>
      <c r="H10" s="15">
        <f>'Data Sheet'!G17/'Data Sheet'!G$17</f>
        <v>1</v>
      </c>
      <c r="I10" s="15">
        <f>'Data Sheet'!H17/'Data Sheet'!H$17</f>
        <v>1</v>
      </c>
      <c r="J10" s="15">
        <f>'Data Sheet'!I17/'Data Sheet'!I$17</f>
        <v>1</v>
      </c>
      <c r="K10" s="15">
        <f>'Data Sheet'!J17/'Data Sheet'!J$17</f>
        <v>1</v>
      </c>
      <c r="L10" s="15">
        <f>'Data Sheet'!K17/'Data Sheet'!K$17</f>
        <v>1</v>
      </c>
    </row>
    <row r="11" spans="1:12" x14ac:dyDescent="0.2">
      <c r="B11" s="23" t="str">
        <f>'Data Sheet'!A18</f>
        <v>Raw Material Cost</v>
      </c>
      <c r="C11" s="15">
        <f>'Data Sheet'!B18/'Data Sheet'!B$17</f>
        <v>0.35119016332373104</v>
      </c>
      <c r="D11" s="15">
        <f>'Data Sheet'!C18/'Data Sheet'!C$17</f>
        <v>0.36140887026627638</v>
      </c>
      <c r="E11" s="15">
        <f>'Data Sheet'!D18/'Data Sheet'!D$17</f>
        <v>0.34126770411430057</v>
      </c>
      <c r="F11" s="15">
        <f>'Data Sheet'!E18/'Data Sheet'!E$17</f>
        <v>0.36457743323380137</v>
      </c>
      <c r="G11" s="15">
        <f>'Data Sheet'!F18/'Data Sheet'!F$17</f>
        <v>0.36544726723455434</v>
      </c>
      <c r="H11" s="15">
        <f>'Data Sheet'!G18/'Data Sheet'!G$17</f>
        <v>0.42179832695358777</v>
      </c>
      <c r="I11" s="15">
        <f>'Data Sheet'!H18/'Data Sheet'!H$17</f>
        <v>0.44638923800889574</v>
      </c>
      <c r="J11" s="15">
        <f>'Data Sheet'!I18/'Data Sheet'!I$17</f>
        <v>0.41405473255908887</v>
      </c>
      <c r="K11" s="15">
        <f>'Data Sheet'!J18/'Data Sheet'!J$17</f>
        <v>0.40258779596166394</v>
      </c>
      <c r="L11" s="15">
        <f>'Data Sheet'!K18/'Data Sheet'!K$17</f>
        <v>0.43418640224928956</v>
      </c>
    </row>
    <row r="12" spans="1:12" x14ac:dyDescent="0.2">
      <c r="B12" s="23" t="str">
        <f>'Data Sheet'!A19</f>
        <v>Change in Inventory</v>
      </c>
      <c r="C12" s="15">
        <f>'Data Sheet'!B19/'Data Sheet'!B$17</f>
        <v>4.9851883415280122E-3</v>
      </c>
      <c r="D12" s="15">
        <f>'Data Sheet'!C19/'Data Sheet'!C$17</f>
        <v>-1.3855582263208599E-2</v>
      </c>
      <c r="E12" s="15">
        <f>'Data Sheet'!D19/'Data Sheet'!D$17</f>
        <v>-2.3654432075903346E-2</v>
      </c>
      <c r="F12" s="15">
        <f>'Data Sheet'!E19/'Data Sheet'!E$17</f>
        <v>4.2033877828479265E-3</v>
      </c>
      <c r="G12" s="15">
        <f>'Data Sheet'!F19/'Data Sheet'!F$17</f>
        <v>1.4236945636261661E-2</v>
      </c>
      <c r="H12" s="15">
        <f>'Data Sheet'!G19/'Data Sheet'!G$17</f>
        <v>1.3099947317613884E-2</v>
      </c>
      <c r="I12" s="15">
        <f>'Data Sheet'!H19/'Data Sheet'!H$17</f>
        <v>1.1311818013624969E-2</v>
      </c>
      <c r="J12" s="15">
        <f>'Data Sheet'!I19/'Data Sheet'!I$17</f>
        <v>5.0563297326542671E-3</v>
      </c>
      <c r="K12" s="15">
        <f>'Data Sheet'!J19/'Data Sheet'!J$17</f>
        <v>5.4138009307551057E-3</v>
      </c>
      <c r="L12" s="15">
        <f>'Data Sheet'!K19/'Data Sheet'!K$17</f>
        <v>9.6338000943665004E-3</v>
      </c>
    </row>
    <row r="13" spans="1:12" x14ac:dyDescent="0.2">
      <c r="B13" s="23" t="str">
        <f>'Data Sheet'!A20</f>
        <v>Power and Fuel</v>
      </c>
      <c r="C13" s="15">
        <f>'Data Sheet'!B20/'Data Sheet'!B$17</f>
        <v>1.4591716187701094E-2</v>
      </c>
      <c r="D13" s="15">
        <f>'Data Sheet'!C20/'Data Sheet'!C$17</f>
        <v>1.366291304632479E-2</v>
      </c>
      <c r="E13" s="15">
        <f>'Data Sheet'!D20/'Data Sheet'!D$17</f>
        <v>1.5040643108899779E-2</v>
      </c>
      <c r="F13" s="15">
        <f>'Data Sheet'!E20/'Data Sheet'!E$17</f>
        <v>1.544758973909165E-2</v>
      </c>
      <c r="G13" s="15">
        <f>'Data Sheet'!F20/'Data Sheet'!F$17</f>
        <v>1.5810616813498098E-2</v>
      </c>
      <c r="H13" s="15">
        <f>'Data Sheet'!G20/'Data Sheet'!G$17</f>
        <v>1.4202115619058639E-2</v>
      </c>
      <c r="I13" s="15">
        <f>'Data Sheet'!H20/'Data Sheet'!H$17</f>
        <v>1.4671889670529284E-2</v>
      </c>
      <c r="J13" s="15">
        <f>'Data Sheet'!I20/'Data Sheet'!I$17</f>
        <v>1.7376718209484814E-2</v>
      </c>
      <c r="K13" s="15">
        <f>'Data Sheet'!J20/'Data Sheet'!J$17</f>
        <v>1.4027274946071023E-2</v>
      </c>
      <c r="L13" s="15">
        <f>'Data Sheet'!K20/'Data Sheet'!K$17</f>
        <v>1.2948841620671628E-2</v>
      </c>
    </row>
    <row r="14" spans="1:12" x14ac:dyDescent="0.2">
      <c r="B14" s="23" t="str">
        <f>'Data Sheet'!A21</f>
        <v>Other Mfr. Exp</v>
      </c>
      <c r="C14" s="15">
        <f>'Data Sheet'!B21/'Data Sheet'!B$17</f>
        <v>4.035481640432638E-2</v>
      </c>
      <c r="D14" s="15">
        <f>'Data Sheet'!C21/'Data Sheet'!C$17</f>
        <v>3.9373263872651262E-2</v>
      </c>
      <c r="E14" s="15">
        <f>'Data Sheet'!D21/'Data Sheet'!D$17</f>
        <v>3.9071609111752781E-2</v>
      </c>
      <c r="F14" s="15">
        <f>'Data Sheet'!E21/'Data Sheet'!E$17</f>
        <v>3.8705549365550963E-2</v>
      </c>
      <c r="G14" s="15">
        <f>'Data Sheet'!F21/'Data Sheet'!F$17</f>
        <v>3.8638972861663935E-2</v>
      </c>
      <c r="H14" s="15">
        <f>'Data Sheet'!G21/'Data Sheet'!G$17</f>
        <v>3.2222130865483298E-2</v>
      </c>
      <c r="I14" s="15">
        <f>'Data Sheet'!H21/'Data Sheet'!H$17</f>
        <v>3.1126792288308232E-2</v>
      </c>
      <c r="J14" s="15">
        <f>'Data Sheet'!I21/'Data Sheet'!I$17</f>
        <v>3.2823347978673707E-2</v>
      </c>
      <c r="K14" s="15">
        <f>'Data Sheet'!J21/'Data Sheet'!J$17</f>
        <v>3.2146292303738125E-2</v>
      </c>
      <c r="L14" s="15">
        <f>'Data Sheet'!K21/'Data Sheet'!K$17</f>
        <v>3.1137227849959922E-2</v>
      </c>
    </row>
    <row r="15" spans="1:12" x14ac:dyDescent="0.2">
      <c r="B15" s="23" t="str">
        <f>'Data Sheet'!A22</f>
        <v>Employee Cost</v>
      </c>
      <c r="C15" s="15">
        <f>'Data Sheet'!B22/'Data Sheet'!B$17</f>
        <v>8.779754083093276E-2</v>
      </c>
      <c r="D15" s="15">
        <f>'Data Sheet'!C22/'Data Sheet'!C$17</f>
        <v>8.4917788232213173E-2</v>
      </c>
      <c r="E15" s="15">
        <f>'Data Sheet'!D22/'Data Sheet'!D$17</f>
        <v>8.6559073708127279E-2</v>
      </c>
      <c r="F15" s="15">
        <f>'Data Sheet'!E22/'Data Sheet'!E$17</f>
        <v>8.6427726513138917E-2</v>
      </c>
      <c r="G15" s="15">
        <f>'Data Sheet'!F22/'Data Sheet'!F$17</f>
        <v>8.6980968945709156E-2</v>
      </c>
      <c r="H15" s="15">
        <f>'Data Sheet'!G22/'Data Sheet'!G$17</f>
        <v>9.0612283015056611E-2</v>
      </c>
      <c r="I15" s="15">
        <f>'Data Sheet'!H22/'Data Sheet'!H$17</f>
        <v>8.0642874032847811E-2</v>
      </c>
      <c r="J15" s="15">
        <f>'Data Sheet'!I22/'Data Sheet'!I$17</f>
        <v>8.0884073005510662E-2</v>
      </c>
      <c r="K15" s="15">
        <f>'Data Sheet'!J22/'Data Sheet'!J$17</f>
        <v>8.167777925965311E-2</v>
      </c>
      <c r="L15" s="15">
        <f>'Data Sheet'!K22/'Data Sheet'!K$17</f>
        <v>8.1910600353091084E-2</v>
      </c>
    </row>
    <row r="16" spans="1:12" x14ac:dyDescent="0.2">
      <c r="B16" s="23" t="str">
        <f>'Data Sheet'!A23</f>
        <v>Selling and admin</v>
      </c>
      <c r="C16" s="15">
        <f>'Data Sheet'!B23/'Data Sheet'!B$17</f>
        <v>0.10874079214943828</v>
      </c>
      <c r="D16" s="15">
        <f>'Data Sheet'!C23/'Data Sheet'!C$17</f>
        <v>9.7731460264312231E-2</v>
      </c>
      <c r="E16" s="15">
        <f>'Data Sheet'!D23/'Data Sheet'!D$17</f>
        <v>9.1023394356686257E-2</v>
      </c>
      <c r="F16" s="15">
        <f>'Data Sheet'!E23/'Data Sheet'!E$17</f>
        <v>9.4051086087218794E-2</v>
      </c>
      <c r="G16" s="15">
        <f>'Data Sheet'!F23/'Data Sheet'!F$17</f>
        <v>9.088558487234677E-2</v>
      </c>
      <c r="H16" s="15">
        <f>'Data Sheet'!G23/'Data Sheet'!G$17</f>
        <v>8.6012775732401917E-2</v>
      </c>
      <c r="I16" s="15">
        <f>'Data Sheet'!H23/'Data Sheet'!H$17</f>
        <v>8.0112405832412942E-2</v>
      </c>
      <c r="J16" s="15">
        <f>'Data Sheet'!I23/'Data Sheet'!I$17</f>
        <v>7.9020821350771431E-2</v>
      </c>
      <c r="K16" s="15">
        <f>'Data Sheet'!J23/'Data Sheet'!J$17</f>
        <v>7.8202536244364573E-2</v>
      </c>
      <c r="L16" s="15">
        <f>'Data Sheet'!K23/'Data Sheet'!K$17</f>
        <v>7.691228243463448E-2</v>
      </c>
    </row>
    <row r="17" spans="1:12" x14ac:dyDescent="0.2">
      <c r="B17" s="23" t="str">
        <f>'Data Sheet'!A24</f>
        <v>Other Expenses</v>
      </c>
      <c r="C17" s="15">
        <f>'Data Sheet'!B24/'Data Sheet'!B$17</f>
        <v>3.1534161221266538E-2</v>
      </c>
      <c r="D17" s="15">
        <f>'Data Sheet'!C24/'Data Sheet'!C$17</f>
        <v>2.7339153938963141E-2</v>
      </c>
      <c r="E17" s="15">
        <f>'Data Sheet'!D24/'Data Sheet'!D$17</f>
        <v>2.3153154024010712E-2</v>
      </c>
      <c r="F17" s="15">
        <f>'Data Sheet'!E24/'Data Sheet'!E$17</f>
        <v>2.1511357773484997E-2</v>
      </c>
      <c r="G17" s="15">
        <f>'Data Sheet'!F24/'Data Sheet'!F$17</f>
        <v>2.4806378916207884E-2</v>
      </c>
      <c r="H17" s="15">
        <f>'Data Sheet'!G24/'Data Sheet'!G$17</f>
        <v>2.1811725941964111E-2</v>
      </c>
      <c r="I17" s="15">
        <f>'Data Sheet'!H24/'Data Sheet'!H$17</f>
        <v>1.8302554525106464E-2</v>
      </c>
      <c r="J17" s="15">
        <f>'Data Sheet'!I24/'Data Sheet'!I$17</f>
        <v>1.8451465001706874E-2</v>
      </c>
      <c r="K17" s="15">
        <f>'Data Sheet'!J24/'Data Sheet'!J$17</f>
        <v>2.5996166162779982E-2</v>
      </c>
      <c r="L17" s="15">
        <f>'Data Sheet'!K24/'Data Sheet'!K$17</f>
        <v>2.9491390052538827E-2</v>
      </c>
    </row>
    <row r="18" spans="1:12" x14ac:dyDescent="0.2">
      <c r="B18" s="23" t="str">
        <f>'Data Sheet'!A25</f>
        <v>Other Income</v>
      </c>
      <c r="C18" s="15">
        <f>'Data Sheet'!B25/'Data Sheet'!B$17</f>
        <v>3.7842065110060448E-2</v>
      </c>
      <c r="D18" s="15">
        <f>'Data Sheet'!C25/'Data Sheet'!C$17</f>
        <v>4.1120614670919112E-2</v>
      </c>
      <c r="E18" s="15">
        <f>'Data Sheet'!D25/'Data Sheet'!D$17</f>
        <v>5.1550394555080051E-2</v>
      </c>
      <c r="F18" s="15">
        <f>'Data Sheet'!E25/'Data Sheet'!E$17</f>
        <v>4.3038023913323203E-2</v>
      </c>
      <c r="G18" s="15">
        <f>'Data Sheet'!F25/'Data Sheet'!F$17</f>
        <v>4.8945790146129507E-2</v>
      </c>
      <c r="H18" s="15">
        <f>'Data Sheet'!G25/'Data Sheet'!G$17</f>
        <v>5.2315944085615476E-2</v>
      </c>
      <c r="I18" s="15">
        <f>'Data Sheet'!H25/'Data Sheet'!H$17</f>
        <v>3.1490386438746173E-2</v>
      </c>
      <c r="J18" s="15">
        <f>'Data Sheet'!I25/'Data Sheet'!I$17</f>
        <v>2.957795672050224E-2</v>
      </c>
      <c r="K18" s="15">
        <f>'Data Sheet'!J25/'Data Sheet'!J$17</f>
        <v>4.9026275416247496E-2</v>
      </c>
      <c r="L18" s="15">
        <f>'Data Sheet'!K25/'Data Sheet'!K$17</f>
        <v>0.23624656049506038</v>
      </c>
    </row>
    <row r="19" spans="1:12" x14ac:dyDescent="0.2">
      <c r="B19" s="23" t="str">
        <f>'Data Sheet'!A26</f>
        <v>Depreciation</v>
      </c>
      <c r="C19" s="15">
        <f>'Data Sheet'!B26/'Data Sheet'!B$17</f>
        <v>2.7490234001240049E-2</v>
      </c>
      <c r="D19" s="15">
        <f>'Data Sheet'!C26/'Data Sheet'!C$17</f>
        <v>2.6954750792656124E-2</v>
      </c>
      <c r="E19" s="15">
        <f>'Data Sheet'!D26/'Data Sheet'!D$17</f>
        <v>2.845362855802696E-2</v>
      </c>
      <c r="F19" s="15">
        <f>'Data Sheet'!E26/'Data Sheet'!E$17</f>
        <v>2.8891645314253867E-2</v>
      </c>
      <c r="G19" s="15">
        <f>'Data Sheet'!F26/'Data Sheet'!F$17</f>
        <v>3.3306066085280348E-2</v>
      </c>
      <c r="H19" s="15">
        <f>'Data Sheet'!G26/'Data Sheet'!G$17</f>
        <v>3.3407941336792708E-2</v>
      </c>
      <c r="I19" s="15">
        <f>'Data Sheet'!H26/'Data Sheet'!H$17</f>
        <v>2.8566627762367396E-2</v>
      </c>
      <c r="J19" s="15">
        <f>'Data Sheet'!I26/'Data Sheet'!I$17</f>
        <v>2.550810410125463E-2</v>
      </c>
      <c r="K19" s="15">
        <f>'Data Sheet'!J26/'Data Sheet'!J$17</f>
        <v>2.2346631054552542E-2</v>
      </c>
      <c r="L19" s="15">
        <f>'Data Sheet'!K26/'Data Sheet'!K$17</f>
        <v>2.1856704707996222E-2</v>
      </c>
    </row>
    <row r="20" spans="1:12" x14ac:dyDescent="0.2">
      <c r="B20" s="23" t="str">
        <f>'Data Sheet'!A27</f>
        <v>Interest</v>
      </c>
      <c r="C20" s="15">
        <f>'Data Sheet'!B27/'Data Sheet'!B$17</f>
        <v>1.9935139989946953E-3</v>
      </c>
      <c r="D20" s="15">
        <f>'Data Sheet'!C27/'Data Sheet'!C$17</f>
        <v>1.146428604831695E-3</v>
      </c>
      <c r="E20" s="15">
        <f>'Data Sheet'!D27/'Data Sheet'!D$17</f>
        <v>2.647015094039118E-3</v>
      </c>
      <c r="F20" s="15">
        <f>'Data Sheet'!E27/'Data Sheet'!E$17</f>
        <v>1.4770504832685763E-3</v>
      </c>
      <c r="G20" s="15">
        <f>'Data Sheet'!F27/'Data Sheet'!F$17</f>
        <v>1.647778697934911E-3</v>
      </c>
      <c r="H20" s="15">
        <f>'Data Sheet'!G27/'Data Sheet'!G$17</f>
        <v>1.1768778123918311E-3</v>
      </c>
      <c r="I20" s="15">
        <f>'Data Sheet'!H27/'Data Sheet'!H$17</f>
        <v>9.8920694262006107E-4</v>
      </c>
      <c r="J20" s="15">
        <f>'Data Sheet'!I27/'Data Sheet'!I$17</f>
        <v>1.0966027031108574E-3</v>
      </c>
      <c r="K20" s="15">
        <f>'Data Sheet'!J27/'Data Sheet'!J$17</f>
        <v>5.7572329010477244E-4</v>
      </c>
      <c r="L20" s="15">
        <f>'Data Sheet'!K27/'Data Sheet'!K$17</f>
        <v>5.9822094984104534E-4</v>
      </c>
    </row>
    <row r="21" spans="1:12" x14ac:dyDescent="0.2">
      <c r="B21" s="23" t="str">
        <f>'Data Sheet'!A28</f>
        <v>Profit before tax</v>
      </c>
      <c r="C21" s="15">
        <f>'Data Sheet'!B28/'Data Sheet'!B$17</f>
        <v>0.37913431533395764</v>
      </c>
      <c r="D21" s="15">
        <f>'Data Sheet'!C28/'Data Sheet'!C$17</f>
        <v>0.37473040338948177</v>
      </c>
      <c r="E21" s="15">
        <f>'Data Sheet'!D28/'Data Sheet'!D$17</f>
        <v>0.40067974040333321</v>
      </c>
      <c r="F21" s="15">
        <f>'Data Sheet'!E28/'Data Sheet'!E$17</f>
        <v>0.39615197318636197</v>
      </c>
      <c r="G21" s="15">
        <f>'Data Sheet'!F28/'Data Sheet'!F$17</f>
        <v>0.40565910135519573</v>
      </c>
      <c r="H21" s="15">
        <f>'Data Sheet'!G28/'Data Sheet'!G$17</f>
        <v>0.36417171412649252</v>
      </c>
      <c r="I21" s="15">
        <f>'Data Sheet'!H28/'Data Sheet'!H$17</f>
        <v>0.34200061538928322</v>
      </c>
      <c r="J21" s="15">
        <f>'Data Sheet'!I28/'Data Sheet'!I$17</f>
        <v>0.36541842154355464</v>
      </c>
      <c r="K21" s="15">
        <f>'Data Sheet'!J28/'Data Sheet'!J$17</f>
        <v>0.39687987712407446</v>
      </c>
      <c r="L21" s="15">
        <f>'Data Sheet'!K28/'Data Sheet'!K$17</f>
        <v>0.5568386903714041</v>
      </c>
    </row>
    <row r="22" spans="1:12" x14ac:dyDescent="0.2">
      <c r="B22" s="23" t="str">
        <f>'Data Sheet'!A29</f>
        <v>Tax</v>
      </c>
      <c r="C22" s="15">
        <f>'Data Sheet'!B29/'Data Sheet'!B$17</f>
        <v>0.13671658318895902</v>
      </c>
      <c r="D22" s="15">
        <f>'Data Sheet'!C29/'Data Sheet'!C$17</f>
        <v>0.12974985736866226</v>
      </c>
      <c r="E22" s="15">
        <f>'Data Sheet'!D29/'Data Sheet'!D$17</f>
        <v>0.13616972013586523</v>
      </c>
      <c r="F22" s="15">
        <f>'Data Sheet'!E29/'Data Sheet'!E$17</f>
        <v>0.13061594660110823</v>
      </c>
      <c r="G22" s="15">
        <f>'Data Sheet'!F29/'Data Sheet'!F$17</f>
        <v>8.9937170591058102E-2</v>
      </c>
      <c r="H22" s="15">
        <f>'Data Sheet'!G29/'Data Sheet'!G$17</f>
        <v>9.2479208728831891E-2</v>
      </c>
      <c r="I22" s="15">
        <f>'Data Sheet'!H29/'Data Sheet'!H$17</f>
        <v>8.636127836075598E-2</v>
      </c>
      <c r="J22" s="15">
        <f>'Data Sheet'!I29/'Data Sheet'!I$17</f>
        <v>9.0785223655766301E-2</v>
      </c>
      <c r="K22" s="15">
        <f>'Data Sheet'!J29/'Data Sheet'!J$17</f>
        <v>9.1407075964560991E-2</v>
      </c>
      <c r="L22" s="15">
        <f>'Data Sheet'!K29/'Data Sheet'!K$17</f>
        <v>9.1478551004243847E-2</v>
      </c>
    </row>
    <row r="23" spans="1:12" x14ac:dyDescent="0.2">
      <c r="B23" s="23" t="str">
        <f>'Data Sheet'!A30</f>
        <v>Net profit</v>
      </c>
      <c r="C23" s="15">
        <f>'Data Sheet'!B30/'Data Sheet'!B$17</f>
        <v>0.23842687684507849</v>
      </c>
      <c r="D23" s="15">
        <f>'Data Sheet'!C30/'Data Sheet'!C$17</f>
        <v>0.2405896052151629</v>
      </c>
      <c r="E23" s="15">
        <f>'Data Sheet'!D30/'Data Sheet'!D$17</f>
        <v>0.25941254263049918</v>
      </c>
      <c r="F23" s="15">
        <f>'Data Sheet'!E30/'Data Sheet'!E$17</f>
        <v>0.26049729848707825</v>
      </c>
      <c r="G23" s="15">
        <f>'Data Sheet'!F30/'Data Sheet'!F$17</f>
        <v>0.30991987883622846</v>
      </c>
      <c r="H23" s="15">
        <f>'Data Sheet'!G30/'Data Sheet'!G$17</f>
        <v>0.26719186640802561</v>
      </c>
      <c r="I23" s="15">
        <f>'Data Sheet'!H30/'Data Sheet'!H$17</f>
        <v>0.25134430898478244</v>
      </c>
      <c r="J23" s="15">
        <f>'Data Sheet'!I30/'Data Sheet'!I$17</f>
        <v>0.27061368436652333</v>
      </c>
      <c r="K23" s="15">
        <f>'Data Sheet'!J30/'Data Sheet'!J$17</f>
        <v>0.30116584334261615</v>
      </c>
      <c r="L23" s="15">
        <f>'Data Sheet'!K30/'Data Sheet'!K$17</f>
        <v>0.46129964497060272</v>
      </c>
    </row>
    <row r="24" spans="1:12" x14ac:dyDescent="0.2">
      <c r="B24" s="23" t="str">
        <f>'Data Sheet'!A31</f>
        <v>Dividend Amount</v>
      </c>
      <c r="C24" s="15">
        <f>'Data Sheet'!B31/'Data Sheet'!B$17</f>
        <v>0.17452802988357347</v>
      </c>
      <c r="D24" s="15">
        <f>'Data Sheet'!C31/'Data Sheet'!C$17</f>
        <v>0.13491568383542682</v>
      </c>
      <c r="E24" s="15">
        <f>'Data Sheet'!D31/'Data Sheet'!D$17</f>
        <v>0.14465738404665338</v>
      </c>
      <c r="F24" s="15">
        <f>'Data Sheet'!E31/'Data Sheet'!E$17</f>
        <v>0.14581632691057719</v>
      </c>
      <c r="G24" s="15">
        <f>'Data Sheet'!F31/'Data Sheet'!F$17</f>
        <v>0.25262524879676518</v>
      </c>
      <c r="H24" s="15">
        <f>'Data Sheet'!G31/'Data Sheet'!G$17</f>
        <v>0.26862860338892897</v>
      </c>
      <c r="I24" s="15">
        <f>'Data Sheet'!H31/'Data Sheet'!H$17</f>
        <v>0.23368633021208504</v>
      </c>
      <c r="J24" s="15">
        <f>'Data Sheet'!I31/'Data Sheet'!I$17</f>
        <v>0.27162526052598296</v>
      </c>
      <c r="K24" s="15">
        <f>'Data Sheet'!J31/'Data Sheet'!J$17</f>
        <v>0.2527008650128349</v>
      </c>
      <c r="L24" s="15">
        <f>'Data Sheet'!K31/'Data Sheet'!K$17</f>
        <v>0.23840857296025375</v>
      </c>
    </row>
    <row r="25" spans="1:12" x14ac:dyDescent="0.2">
      <c r="B25" t="s">
        <v>66</v>
      </c>
      <c r="C25" s="15">
        <f>HistoricalFS!C16/'Data Sheet'!B17</f>
        <v>0.51105095159483671</v>
      </c>
      <c r="D25" s="15">
        <f>HistoricalFS!D16/'Data Sheet'!C17</f>
        <v>0.48678158231932583</v>
      </c>
      <c r="E25" s="15">
        <f>HistoricalFS!E16/'Data Sheet'!D17</f>
        <v>0.49440653788101624</v>
      </c>
      <c r="F25" s="15">
        <f>HistoricalFS!F16/'Data Sheet'!E17</f>
        <v>0.49904508893126504</v>
      </c>
      <c r="G25" s="15">
        <f>HistoricalFS!G16/'Data Sheet'!F17</f>
        <v>0.50735911978083614</v>
      </c>
      <c r="H25" s="15">
        <f>HistoricalFS!H16/'Data Sheet'!G17</f>
        <v>0.45426509086442762</v>
      </c>
      <c r="I25" s="15">
        <f>HistoricalFS!I16/'Data Sheet'!H17</f>
        <v>0.43848102401304379</v>
      </c>
      <c r="J25" s="15">
        <f>HistoricalFS!J16/'Data Sheet'!I17</f>
        <v>0.45991745797989614</v>
      </c>
      <c r="K25" s="15">
        <f>HistoricalFS!K16/'Data Sheet'!J17</f>
        <v>0.47497465845962877</v>
      </c>
      <c r="L25" s="15">
        <f>HistoricalFS!L16/'Data Sheet'!K17</f>
        <v>0.44945072802135433</v>
      </c>
    </row>
    <row r="26" spans="1:12" ht="9" customHeight="1" x14ac:dyDescent="0.2"/>
    <row r="27" spans="1:12" x14ac:dyDescent="0.2">
      <c r="A27" s="17" t="s">
        <v>57</v>
      </c>
      <c r="B27" s="224" t="str">
        <f>"Common Size Balance Sheet - "&amp;'Data Sheet'!$B$1</f>
        <v>Common Size Balance Sheet - ITC LTD</v>
      </c>
      <c r="C27" s="224"/>
      <c r="D27" s="224"/>
      <c r="E27" s="224"/>
      <c r="F27" s="224"/>
      <c r="G27" s="224"/>
      <c r="H27" s="224"/>
      <c r="I27" s="224"/>
      <c r="J27" s="224"/>
      <c r="K27" s="224"/>
      <c r="L27" s="224"/>
    </row>
    <row r="28" spans="1:12" x14ac:dyDescent="0.2">
      <c r="B28" s="91" t="s">
        <v>151</v>
      </c>
      <c r="C28" s="92">
        <f>'Data Sheet'!B$16</f>
        <v>42460</v>
      </c>
      <c r="D28" s="92">
        <f>'Data Sheet'!C$16</f>
        <v>42825</v>
      </c>
      <c r="E28" s="92">
        <f>'Data Sheet'!D$16</f>
        <v>43190</v>
      </c>
      <c r="F28" s="92">
        <f>'Data Sheet'!E$16</f>
        <v>43555</v>
      </c>
      <c r="G28" s="92">
        <f>'Data Sheet'!F$16</f>
        <v>43921</v>
      </c>
      <c r="H28" s="92">
        <f>'Data Sheet'!G$16</f>
        <v>44286</v>
      </c>
      <c r="I28" s="92">
        <f>'Data Sheet'!H$16</f>
        <v>44651</v>
      </c>
      <c r="J28" s="92">
        <f>'Data Sheet'!I$16</f>
        <v>45016</v>
      </c>
      <c r="K28" s="92">
        <f>'Data Sheet'!J$16</f>
        <v>45382</v>
      </c>
      <c r="L28" s="92">
        <f>'Data Sheet'!K$16</f>
        <v>45747</v>
      </c>
    </row>
    <row r="30" spans="1:12" x14ac:dyDescent="0.2">
      <c r="B30" s="24" t="s">
        <v>152</v>
      </c>
      <c r="C30" s="15">
        <f>'Data Sheet'!B61/'Data Sheet'!B$61</f>
        <v>1</v>
      </c>
      <c r="D30" s="15">
        <f>'Data Sheet'!C61/'Data Sheet'!C$61</f>
        <v>1</v>
      </c>
      <c r="E30" s="15">
        <f>'Data Sheet'!D61/'Data Sheet'!D$61</f>
        <v>1</v>
      </c>
      <c r="F30" s="15">
        <f>'Data Sheet'!E61/'Data Sheet'!E$61</f>
        <v>1</v>
      </c>
      <c r="G30" s="15">
        <f>'Data Sheet'!F61/'Data Sheet'!F$61</f>
        <v>1</v>
      </c>
      <c r="H30" s="15">
        <f>'Data Sheet'!G61/'Data Sheet'!G$61</f>
        <v>1</v>
      </c>
      <c r="I30" s="15">
        <f>'Data Sheet'!H61/'Data Sheet'!H$61</f>
        <v>1</v>
      </c>
      <c r="J30" s="15">
        <f>'Data Sheet'!I61/'Data Sheet'!I$61</f>
        <v>1</v>
      </c>
      <c r="K30" s="15">
        <f>'Data Sheet'!J61/'Data Sheet'!J$61</f>
        <v>1</v>
      </c>
      <c r="L30" s="15">
        <f>'Data Sheet'!K61/'Data Sheet'!K$61</f>
        <v>1</v>
      </c>
    </row>
    <row r="31" spans="1:12" x14ac:dyDescent="0.2">
      <c r="B31" s="23" t="str">
        <f>'Data Sheet'!A57</f>
        <v>Equity Share Capital</v>
      </c>
      <c r="C31" s="15">
        <f>'Data Sheet'!B57/'Data Sheet'!B$61</f>
        <v>1.5579847492824001E-2</v>
      </c>
      <c r="D31" s="15">
        <f>'Data Sheet'!C57/'Data Sheet'!C$61</f>
        <v>2.1731243443452324E-2</v>
      </c>
      <c r="E31" s="15">
        <f>'Data Sheet'!D57/'Data Sheet'!D$61</f>
        <v>1.8997716096043518E-2</v>
      </c>
      <c r="F31" s="15">
        <f>'Data Sheet'!E57/'Data Sheet'!E$61</f>
        <v>1.7087766995488092E-2</v>
      </c>
      <c r="G31" s="15">
        <f>'Data Sheet'!F57/'Data Sheet'!F$61</f>
        <v>1.5899729339063456E-2</v>
      </c>
      <c r="H31" s="15">
        <f>'Data Sheet'!G57/'Data Sheet'!G$61</f>
        <v>1.6687463632424616E-2</v>
      </c>
      <c r="I31" s="15">
        <f>'Data Sheet'!H57/'Data Sheet'!H$61</f>
        <v>1.5963646830497218E-2</v>
      </c>
      <c r="J31" s="15">
        <f>'Data Sheet'!I57/'Data Sheet'!I$61</f>
        <v>1.447962366959428E-2</v>
      </c>
      <c r="K31" s="15">
        <f>'Data Sheet'!J57/'Data Sheet'!J$61</f>
        <v>1.3606713693151371E-2</v>
      </c>
      <c r="L31" s="15">
        <f>'Data Sheet'!K57/'Data Sheet'!K$61</f>
        <v>1.4220131882317249E-2</v>
      </c>
    </row>
    <row r="32" spans="1:12" x14ac:dyDescent="0.2">
      <c r="B32" s="23" t="str">
        <f>'Data Sheet'!A58</f>
        <v>Reserves</v>
      </c>
      <c r="C32" s="15">
        <f>'Data Sheet'!B58/'Data Sheet'!B$61</f>
        <v>0.81072049631239007</v>
      </c>
      <c r="D32" s="15">
        <f>'Data Sheet'!C58/'Data Sheet'!C$61</f>
        <v>0.80857868358118823</v>
      </c>
      <c r="E32" s="15">
        <f>'Data Sheet'!D58/'Data Sheet'!D$61</f>
        <v>0.79839628597864787</v>
      </c>
      <c r="F32" s="15">
        <f>'Data Sheet'!E58/'Data Sheet'!E$61</f>
        <v>0.80730115708267081</v>
      </c>
      <c r="G32" s="15">
        <f>'Data Sheet'!F58/'Data Sheet'!F$61</f>
        <v>0.82839760317937672</v>
      </c>
      <c r="H32" s="15">
        <f>'Data Sheet'!G58/'Data Sheet'!G$61</f>
        <v>0.80146218666944324</v>
      </c>
      <c r="I32" s="15">
        <f>'Data Sheet'!H58/'Data Sheet'!H$61</f>
        <v>0.79308803744027212</v>
      </c>
      <c r="J32" s="15">
        <f>'Data Sheet'!I58/'Data Sheet'!I$61</f>
        <v>0.79123500424555426</v>
      </c>
      <c r="K32" s="15">
        <f>'Data Sheet'!J58/'Data Sheet'!J$61</f>
        <v>0.79842354505205604</v>
      </c>
      <c r="L32" s="15">
        <f>'Data Sheet'!K58/'Data Sheet'!K$61</f>
        <v>0.78155147512519507</v>
      </c>
    </row>
    <row r="33" spans="2:12" x14ac:dyDescent="0.2">
      <c r="B33" s="23" t="str">
        <f>'Data Sheet'!A59</f>
        <v>Borrowings</v>
      </c>
      <c r="C33" s="15">
        <f>'Data Sheet'!B59/'Data Sheet'!B$61</f>
        <v>1.6220295543155319E-3</v>
      </c>
      <c r="D33" s="15">
        <f>'Data Sheet'!C59/'Data Sheet'!C$61</f>
        <v>8.1791366896178633E-4</v>
      </c>
      <c r="E33" s="15">
        <f>'Data Sheet'!D59/'Data Sheet'!D$61</f>
        <v>5.5914551606391452E-4</v>
      </c>
      <c r="F33" s="15">
        <f>'Data Sheet'!E59/'Data Sheet'!E$61</f>
        <v>1.8734569071456771E-4</v>
      </c>
      <c r="G33" s="15">
        <f>'Data Sheet'!F59/'Data Sheet'!F$61</f>
        <v>3.5887635290046986E-3</v>
      </c>
      <c r="H33" s="15">
        <f>'Data Sheet'!G59/'Data Sheet'!G$61</f>
        <v>3.6717354864564847E-3</v>
      </c>
      <c r="I33" s="15">
        <f>'Data Sheet'!H59/'Data Sheet'!H$61</f>
        <v>3.2312546683106198E-3</v>
      </c>
      <c r="J33" s="15">
        <f>'Data Sheet'!I59/'Data Sheet'!I$61</f>
        <v>3.5656131540413856E-3</v>
      </c>
      <c r="K33" s="15">
        <f>'Data Sheet'!J59/'Data Sheet'!J$61</f>
        <v>3.3069958716772691E-3</v>
      </c>
      <c r="L33" s="15">
        <f>'Data Sheet'!K59/'Data Sheet'!K$61</f>
        <v>3.2333098870830101E-3</v>
      </c>
    </row>
    <row r="34" spans="2:12" x14ac:dyDescent="0.2">
      <c r="B34" s="23" t="str">
        <f>'Data Sheet'!A60</f>
        <v>Other Liabilities</v>
      </c>
      <c r="C34" s="15">
        <f>'Data Sheet'!B60/'Data Sheet'!B$61</f>
        <v>0.17207762664047055</v>
      </c>
      <c r="D34" s="15">
        <f>'Data Sheet'!C60/'Data Sheet'!C$61</f>
        <v>0.16887215930639776</v>
      </c>
      <c r="E34" s="15">
        <f>'Data Sheet'!D60/'Data Sheet'!D$61</f>
        <v>0.18204685240924473</v>
      </c>
      <c r="F34" s="15">
        <f>'Data Sheet'!E60/'Data Sheet'!E$61</f>
        <v>0.17542373023112662</v>
      </c>
      <c r="G34" s="15">
        <f>'Data Sheet'!F60/'Data Sheet'!F$61</f>
        <v>0.15211390395255511</v>
      </c>
      <c r="H34" s="15">
        <f>'Data Sheet'!G60/'Data Sheet'!G$61</f>
        <v>0.17817861421167572</v>
      </c>
      <c r="I34" s="15">
        <f>'Data Sheet'!H60/'Data Sheet'!H$61</f>
        <v>0.18771706106091998</v>
      </c>
      <c r="J34" s="15">
        <f>'Data Sheet'!I60/'Data Sheet'!I$61</f>
        <v>0.19071975893081003</v>
      </c>
      <c r="K34" s="15">
        <f>'Data Sheet'!J60/'Data Sheet'!J$61</f>
        <v>0.18466274538311531</v>
      </c>
      <c r="L34" s="15">
        <f>'Data Sheet'!K60/'Data Sheet'!K$61</f>
        <v>0.20099508310540473</v>
      </c>
    </row>
    <row r="36" spans="2:12" x14ac:dyDescent="0.2">
      <c r="B36" s="24" t="s">
        <v>153</v>
      </c>
      <c r="C36" s="15">
        <f>'Data Sheet'!B66/'Data Sheet'!B$66</f>
        <v>1</v>
      </c>
      <c r="D36" s="15">
        <f>'Data Sheet'!C66/'Data Sheet'!C$66</f>
        <v>1</v>
      </c>
      <c r="E36" s="15">
        <f>'Data Sheet'!D66/'Data Sheet'!D$66</f>
        <v>1</v>
      </c>
      <c r="F36" s="15">
        <f>'Data Sheet'!E66/'Data Sheet'!E$66</f>
        <v>1</v>
      </c>
      <c r="G36" s="15">
        <f>'Data Sheet'!F66/'Data Sheet'!F$66</f>
        <v>1</v>
      </c>
      <c r="H36" s="15">
        <f>'Data Sheet'!G66/'Data Sheet'!G$66</f>
        <v>1</v>
      </c>
      <c r="I36" s="15">
        <f>'Data Sheet'!H66/'Data Sheet'!H$66</f>
        <v>1</v>
      </c>
      <c r="J36" s="15">
        <f>'Data Sheet'!I66/'Data Sheet'!I$66</f>
        <v>1</v>
      </c>
      <c r="K36" s="15">
        <f>'Data Sheet'!J66/'Data Sheet'!J$66</f>
        <v>1</v>
      </c>
      <c r="L36" s="15">
        <f>'Data Sheet'!K66/'Data Sheet'!K$66</f>
        <v>1</v>
      </c>
    </row>
    <row r="37" spans="2:12" x14ac:dyDescent="0.2">
      <c r="B37" s="23" t="str">
        <f>'Data Sheet'!A62</f>
        <v>Net Block</v>
      </c>
      <c r="C37" s="15">
        <f>'Data Sheet'!B62/'Data Sheet'!B$66</f>
        <v>0.29247314784088857</v>
      </c>
      <c r="D37" s="15">
        <f>'Data Sheet'!C62/'Data Sheet'!C$66</f>
        <v>0.2843284019984858</v>
      </c>
      <c r="E37" s="15">
        <f>'Data Sheet'!D62/'Data Sheet'!D$66</f>
        <v>0.25721876786245768</v>
      </c>
      <c r="F37" s="15">
        <f>'Data Sheet'!E62/'Data Sheet'!E$66</f>
        <v>0.27006480711199926</v>
      </c>
      <c r="G37" s="15">
        <f>'Data Sheet'!F62/'Data Sheet'!F$66</f>
        <v>0.28085796606552127</v>
      </c>
      <c r="H37" s="15">
        <f>'Data Sheet'!G62/'Data Sheet'!G$66</f>
        <v>0.31586550897794441</v>
      </c>
      <c r="I37" s="15">
        <f>'Data Sheet'!H62/'Data Sheet'!H$66</f>
        <v>0.31389688224859258</v>
      </c>
      <c r="J37" s="15">
        <f>'Data Sheet'!I62/'Data Sheet'!I$66</f>
        <v>0.30118817265937603</v>
      </c>
      <c r="K37" s="15">
        <f>'Data Sheet'!J62/'Data Sheet'!J$66</f>
        <v>0.30320453708978479</v>
      </c>
      <c r="L37" s="15">
        <f>'Data Sheet'!K62/'Data Sheet'!K$66</f>
        <v>0.24947927734035433</v>
      </c>
    </row>
    <row r="38" spans="2:12" x14ac:dyDescent="0.2">
      <c r="B38" s="23" t="str">
        <f>'Data Sheet'!A63</f>
        <v>Capital Work in Progress</v>
      </c>
      <c r="C38" s="15">
        <f>'Data Sheet'!B63/'Data Sheet'!B$66</f>
        <v>4.9557668784585257E-2</v>
      </c>
      <c r="D38" s="15">
        <f>'Data Sheet'!C63/'Data Sheet'!C$66</f>
        <v>6.6726334530268522E-2</v>
      </c>
      <c r="E38" s="15">
        <f>'Data Sheet'!D63/'Data Sheet'!D$66</f>
        <v>8.5744933755577443E-2</v>
      </c>
      <c r="F38" s="15">
        <f>'Data Sheet'!E63/'Data Sheet'!E$66</f>
        <v>5.7659260564401203E-2</v>
      </c>
      <c r="G38" s="15">
        <f>'Data Sheet'!F63/'Data Sheet'!F$66</f>
        <v>4.2121697176653962E-2</v>
      </c>
      <c r="H38" s="15">
        <f>'Data Sheet'!G63/'Data Sheet'!G$66</f>
        <v>5.4382438575741363E-2</v>
      </c>
      <c r="I38" s="15">
        <f>'Data Sheet'!H63/'Data Sheet'!H$66</f>
        <v>4.1783760354484591E-2</v>
      </c>
      <c r="J38" s="15">
        <f>'Data Sheet'!I63/'Data Sheet'!I$66</f>
        <v>3.4990870427174532E-2</v>
      </c>
      <c r="K38" s="15">
        <f>'Data Sheet'!J63/'Data Sheet'!J$66</f>
        <v>3.1178814388085879E-2</v>
      </c>
      <c r="L38" s="15">
        <f>'Data Sheet'!K63/'Data Sheet'!K$66</f>
        <v>1.2396324203689206E-2</v>
      </c>
    </row>
    <row r="39" spans="2:12" x14ac:dyDescent="0.2">
      <c r="B39" s="23" t="str">
        <f>'Data Sheet'!A64</f>
        <v>Investments</v>
      </c>
      <c r="C39" s="15">
        <f>'Data Sheet'!B64/'Data Sheet'!B$66</f>
        <v>0.22744017870591549</v>
      </c>
      <c r="D39" s="15">
        <f>'Data Sheet'!C64/'Data Sheet'!C$66</f>
        <v>0.31452430055142983</v>
      </c>
      <c r="E39" s="15">
        <f>'Data Sheet'!D64/'Data Sheet'!D$66</f>
        <v>0.34328390271117087</v>
      </c>
      <c r="F39" s="15">
        <f>'Data Sheet'!E64/'Data Sheet'!E$66</f>
        <v>0.34909151279414952</v>
      </c>
      <c r="G39" s="15">
        <f>'Data Sheet'!F64/'Data Sheet'!F$66</f>
        <v>0.37075503730076348</v>
      </c>
      <c r="H39" s="15">
        <f>'Data Sheet'!G64/'Data Sheet'!G$66</f>
        <v>0.33718294117359965</v>
      </c>
      <c r="I39" s="15">
        <f>'Data Sheet'!H64/'Data Sheet'!H$66</f>
        <v>0.3217913306929554</v>
      </c>
      <c r="J39" s="15">
        <f>'Data Sheet'!I64/'Data Sheet'!I$66</f>
        <v>0.34270873819889697</v>
      </c>
      <c r="K39" s="15">
        <f>'Data Sheet'!J64/'Data Sheet'!J$66</f>
        <v>0.33910271130502584</v>
      </c>
      <c r="L39" s="15">
        <f>'Data Sheet'!K64/'Data Sheet'!K$66</f>
        <v>0.39453130415316806</v>
      </c>
    </row>
    <row r="40" spans="2:12" x14ac:dyDescent="0.2">
      <c r="B40" s="23" t="str">
        <f>'Data Sheet'!A65</f>
        <v>Other Assets</v>
      </c>
      <c r="C40" s="15">
        <f>HistoricalFS!C63/'Data Sheet'!B$66</f>
        <v>0.10057473823525198</v>
      </c>
      <c r="D40" s="15">
        <f>HistoricalFS!D63/'Data Sheet'!C$66</f>
        <v>9.1877179850843468E-2</v>
      </c>
      <c r="E40" s="15">
        <f>HistoricalFS!E63/'Data Sheet'!D$66</f>
        <v>0.11019073835850315</v>
      </c>
      <c r="F40" s="15">
        <f>HistoricalFS!F63/'Data Sheet'!E$66</f>
        <v>9.9500495127896896E-2</v>
      </c>
      <c r="G40" s="15">
        <f>HistoricalFS!G63/'Data Sheet'!F$66</f>
        <v>6.4136617482044828E-2</v>
      </c>
      <c r="H40" s="15">
        <f>HistoricalFS!H63/'Data Sheet'!G$66</f>
        <v>5.4530891492983506E-2</v>
      </c>
      <c r="I40" s="15">
        <f>HistoricalFS!I63/'Data Sheet'!H$66</f>
        <v>8.9608376183124464E-2</v>
      </c>
      <c r="J40" s="15">
        <f>HistoricalFS!J63/'Data Sheet'!I$66</f>
        <v>9.2668775928872266E-2</v>
      </c>
      <c r="K40" s="15">
        <f>HistoricalFS!K63/'Data Sheet'!J$66</f>
        <v>4.9726131741220564E-2</v>
      </c>
      <c r="L40" s="15">
        <f>HistoricalFS!L63/'Data Sheet'!K$66</f>
        <v>6.6674431579940144E-2</v>
      </c>
    </row>
    <row r="41" spans="2:12" x14ac:dyDescent="0.2">
      <c r="B41" s="23" t="str">
        <f>'Data Sheet'!A67</f>
        <v>Receivables</v>
      </c>
      <c r="C41" s="15">
        <f>'Data Sheet'!B67/'Data Sheet'!B$66</f>
        <v>3.7117720469594793E-2</v>
      </c>
      <c r="D41" s="15">
        <f>'Data Sheet'!C67/'Data Sheet'!C$66</f>
        <v>4.4264120996838546E-2</v>
      </c>
      <c r="E41" s="15">
        <f>'Data Sheet'!D67/'Data Sheet'!D$66</f>
        <v>4.1753631021243798E-2</v>
      </c>
      <c r="F41" s="15">
        <f>'Data Sheet'!E67/'Data Sheet'!E$66</f>
        <v>5.6249428484128033E-2</v>
      </c>
      <c r="G41" s="15">
        <f>'Data Sheet'!F67/'Data Sheet'!F$66</f>
        <v>3.3145196495959491E-2</v>
      </c>
      <c r="H41" s="15">
        <f>'Data Sheet'!G67/'Data Sheet'!G$66</f>
        <v>3.3916407585822053E-2</v>
      </c>
      <c r="I41" s="15">
        <f>'Data Sheet'!H67/'Data Sheet'!H$66</f>
        <v>3.1891540522425897E-2</v>
      </c>
      <c r="J41" s="15">
        <f>'Data Sheet'!I67/'Data Sheet'!I$66</f>
        <v>3.4441767865581369E-2</v>
      </c>
      <c r="K41" s="15">
        <f>'Data Sheet'!J67/'Data Sheet'!J$66</f>
        <v>4.3876248624446439E-2</v>
      </c>
      <c r="L41" s="15">
        <f>'Data Sheet'!K67/'Data Sheet'!K$66</f>
        <v>5.3630968140750232E-2</v>
      </c>
    </row>
    <row r="42" spans="2:12" x14ac:dyDescent="0.2">
      <c r="B42" s="23" t="str">
        <f>'Data Sheet'!A68</f>
        <v>Inventory</v>
      </c>
      <c r="C42" s="15">
        <f>'Data Sheet'!B68/'Data Sheet'!B$66</f>
        <v>0.17544752953166368</v>
      </c>
      <c r="D42" s="15">
        <f>'Data Sheet'!C68/'Data Sheet'!C$66</f>
        <v>0.14519398794096139</v>
      </c>
      <c r="E42" s="15">
        <f>'Data Sheet'!D68/'Data Sheet'!D$66</f>
        <v>0.11667165829608811</v>
      </c>
      <c r="F42" s="15">
        <f>'Data Sheet'!E68/'Data Sheet'!E$66</f>
        <v>0.10955764113932945</v>
      </c>
      <c r="G42" s="15">
        <f>'Data Sheet'!F68/'Data Sheet'!F$66</f>
        <v>0.11485246230310792</v>
      </c>
      <c r="H42" s="15">
        <f>'Data Sheet'!G68/'Data Sheet'!G$66</f>
        <v>0.14095787516289149</v>
      </c>
      <c r="I42" s="15">
        <f>'Data Sheet'!H68/'Data Sheet'!H$66</f>
        <v>0.14073458709399783</v>
      </c>
      <c r="J42" s="15">
        <f>'Data Sheet'!I68/'Data Sheet'!I$66</f>
        <v>0.13714352024024895</v>
      </c>
      <c r="K42" s="15">
        <f>'Data Sheet'!J68/'Data Sheet'!J$66</f>
        <v>0.1542481486087196</v>
      </c>
      <c r="L42" s="15">
        <f>'Data Sheet'!K68/'Data Sheet'!K$66</f>
        <v>0.17769409347667742</v>
      </c>
    </row>
    <row r="43" spans="2:12" x14ac:dyDescent="0.2">
      <c r="B43" s="23" t="str">
        <f>'Data Sheet'!A69</f>
        <v>Cash &amp; Bank</v>
      </c>
      <c r="C43" s="15">
        <f>'Data Sheet'!B69/'Data Sheet'!B$66</f>
        <v>0.11738901643210033</v>
      </c>
      <c r="D43" s="15">
        <f>'Data Sheet'!C69/'Data Sheet'!C$66</f>
        <v>5.3085674131172461E-2</v>
      </c>
      <c r="E43" s="15">
        <f>'Data Sheet'!D69/'Data Sheet'!D$66</f>
        <v>4.5136367994958973E-2</v>
      </c>
      <c r="F43" s="15">
        <f>'Data Sheet'!E69/'Data Sheet'!E$66</f>
        <v>5.7876854778095725E-2</v>
      </c>
      <c r="G43" s="15">
        <f>'Data Sheet'!F69/'Data Sheet'!F$66</f>
        <v>9.4131023175949013E-2</v>
      </c>
      <c r="H43" s="15">
        <f>'Data Sheet'!G69/'Data Sheet'!G$66</f>
        <v>6.3163937031017581E-2</v>
      </c>
      <c r="I43" s="15">
        <f>'Data Sheet'!H69/'Data Sheet'!H$66</f>
        <v>6.0293522904419167E-2</v>
      </c>
      <c r="J43" s="15">
        <f>'Data Sheet'!I69/'Data Sheet'!I$66</f>
        <v>5.6858154679849782E-2</v>
      </c>
      <c r="K43" s="15">
        <f>'Data Sheet'!J69/'Data Sheet'!J$66</f>
        <v>7.8663408242716906E-2</v>
      </c>
      <c r="L43" s="15">
        <f>'Data Sheet'!K69/'Data Sheet'!K$66</f>
        <v>4.5593601105420635E-2</v>
      </c>
    </row>
    <row r="46" spans="2:12" x14ac:dyDescent="0.2">
      <c r="B46" s="23"/>
    </row>
    <row r="47" spans="2:12" x14ac:dyDescent="0.2">
      <c r="B47" s="23"/>
    </row>
    <row r="48" spans="2:12" x14ac:dyDescent="0.2">
      <c r="B48" s="23"/>
    </row>
  </sheetData>
  <mergeCells count="2">
    <mergeCell ref="B7:L7"/>
    <mergeCell ref="B27:L27"/>
  </mergeCells>
  <printOptions horizontalCentered="1"/>
  <pageMargins left="0.70866141732283472" right="0.70866141732283472" top="0.35433070866141736" bottom="0.31496062992125984" header="0.31496062992125984" footer="0.27559055118110237"/>
  <pageSetup scale="9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D742-945E-42CA-90D0-F816C02A71F6}">
  <dimension ref="B1:O46"/>
  <sheetViews>
    <sheetView showGridLines="0" zoomScaleNormal="100" workbookViewId="0">
      <selection activeCell="B2" sqref="B2:O5"/>
    </sheetView>
  </sheetViews>
  <sheetFormatPr defaultRowHeight="15" x14ac:dyDescent="0.2"/>
  <cols>
    <col min="1" max="1" width="1.8828125" customWidth="1"/>
    <col min="2" max="2" width="35.78125" customWidth="1"/>
    <col min="3" max="12" width="9.81640625" customWidth="1"/>
    <col min="13" max="13" width="10.76171875" customWidth="1"/>
    <col min="14" max="15" width="9.81640625" customWidth="1"/>
  </cols>
  <sheetData>
    <row r="1" spans="2:15" x14ac:dyDescent="0.2">
      <c r="B1" s="113"/>
      <c r="C1" s="113"/>
      <c r="D1" s="113"/>
      <c r="E1" s="113"/>
      <c r="F1" s="113"/>
      <c r="G1" s="113"/>
      <c r="H1" s="113"/>
      <c r="I1" s="113"/>
      <c r="J1" s="113"/>
      <c r="K1" s="113"/>
      <c r="L1" s="113"/>
      <c r="M1" s="113"/>
      <c r="N1" s="113"/>
      <c r="O1" s="113"/>
    </row>
    <row r="2" spans="2:15" ht="24" customHeight="1" x14ac:dyDescent="0.2">
      <c r="B2" s="215" t="str">
        <f>'Data Sheet'!B1</f>
        <v>ITC LTD</v>
      </c>
      <c r="C2" s="213"/>
      <c r="D2" s="216"/>
      <c r="E2" s="213"/>
      <c r="F2" s="213"/>
      <c r="G2" s="213"/>
      <c r="H2" s="213"/>
      <c r="I2" s="213"/>
      <c r="J2" s="213"/>
      <c r="K2" s="213"/>
      <c r="L2" s="213"/>
      <c r="M2" s="213"/>
      <c r="N2" s="213"/>
      <c r="O2" s="213"/>
    </row>
    <row r="3" spans="2:15" x14ac:dyDescent="0.2">
      <c r="B3" s="213" t="s">
        <v>8676</v>
      </c>
      <c r="C3" s="213"/>
      <c r="D3" s="213"/>
      <c r="E3" s="213"/>
      <c r="F3" s="213"/>
      <c r="G3" s="213"/>
      <c r="H3" s="213"/>
      <c r="I3" s="213"/>
      <c r="J3" s="213"/>
      <c r="K3" s="213"/>
      <c r="L3" s="213"/>
      <c r="M3" s="213"/>
      <c r="N3" s="213"/>
      <c r="O3" s="213"/>
    </row>
    <row r="4" spans="2:15" ht="18.75" x14ac:dyDescent="0.25">
      <c r="B4" s="217" t="str">
        <f>CONCATENATE("INR"," ", 'Data Sheet'!B8)</f>
        <v>INR 409.75</v>
      </c>
      <c r="C4" s="213"/>
      <c r="D4" s="213"/>
      <c r="E4" s="213"/>
      <c r="F4" s="213"/>
      <c r="G4" s="213"/>
      <c r="H4" s="213"/>
      <c r="I4" s="213"/>
      <c r="J4" s="213"/>
      <c r="K4" s="213"/>
      <c r="L4" s="213"/>
      <c r="M4" s="213"/>
      <c r="N4" s="213"/>
      <c r="O4" s="213"/>
    </row>
    <row r="5" spans="2:15" x14ac:dyDescent="0.2">
      <c r="B5" s="214" t="s">
        <v>8557</v>
      </c>
      <c r="C5" s="214"/>
      <c r="D5" s="214"/>
      <c r="E5" s="214"/>
      <c r="F5" s="214"/>
      <c r="G5" s="214"/>
      <c r="H5" s="214"/>
      <c r="I5" s="214"/>
      <c r="J5" s="214"/>
      <c r="K5" s="214"/>
      <c r="L5" s="214"/>
      <c r="M5" s="214"/>
      <c r="N5" s="214"/>
      <c r="O5" s="214"/>
    </row>
    <row r="6" spans="2:15" ht="9" customHeight="1" x14ac:dyDescent="0.2">
      <c r="B6" s="140"/>
      <c r="C6" s="140"/>
      <c r="D6" s="140"/>
      <c r="E6" s="140"/>
      <c r="F6" s="140"/>
      <c r="G6" s="140"/>
      <c r="H6" s="140"/>
      <c r="I6" s="140"/>
      <c r="J6" s="140"/>
    </row>
    <row r="7" spans="2:15" x14ac:dyDescent="0.2">
      <c r="B7" s="224" t="str">
        <f>"Ratio Analysis - "&amp;'Data Sheet'!B1</f>
        <v>Ratio Analysis - ITC LTD</v>
      </c>
      <c r="C7" s="224"/>
      <c r="D7" s="224"/>
      <c r="E7" s="224"/>
      <c r="F7" s="224"/>
      <c r="G7" s="224"/>
      <c r="H7" s="224"/>
      <c r="I7" s="224"/>
      <c r="J7" s="224"/>
      <c r="K7" s="224"/>
      <c r="L7" s="224"/>
      <c r="M7" s="224"/>
      <c r="N7" s="224"/>
      <c r="O7" s="224"/>
    </row>
    <row r="8" spans="2:15" x14ac:dyDescent="0.2">
      <c r="B8" s="91" t="s">
        <v>55</v>
      </c>
      <c r="C8" s="92">
        <f>'Data Sheet'!B16</f>
        <v>42460</v>
      </c>
      <c r="D8" s="92">
        <f>'Data Sheet'!C16</f>
        <v>42825</v>
      </c>
      <c r="E8" s="92">
        <f>'Data Sheet'!D16</f>
        <v>43190</v>
      </c>
      <c r="F8" s="92">
        <f>'Data Sheet'!E16</f>
        <v>43555</v>
      </c>
      <c r="G8" s="92">
        <f>'Data Sheet'!F16</f>
        <v>43921</v>
      </c>
      <c r="H8" s="92">
        <f>'Data Sheet'!G16</f>
        <v>44286</v>
      </c>
      <c r="I8" s="92">
        <f>'Data Sheet'!H16</f>
        <v>44651</v>
      </c>
      <c r="J8" s="92">
        <f>'Data Sheet'!I16</f>
        <v>45016</v>
      </c>
      <c r="K8" s="92">
        <f>'Data Sheet'!J16</f>
        <v>45382</v>
      </c>
      <c r="L8" s="92">
        <f>'Data Sheet'!K16</f>
        <v>45747</v>
      </c>
      <c r="M8" s="104" t="s">
        <v>150</v>
      </c>
      <c r="N8" s="104" t="s">
        <v>148</v>
      </c>
      <c r="O8" s="104" t="s">
        <v>149</v>
      </c>
    </row>
    <row r="9" spans="2:15" ht="3.6" customHeight="1" x14ac:dyDescent="0.2">
      <c r="N9" s="15"/>
    </row>
    <row r="10" spans="2:15" x14ac:dyDescent="0.2">
      <c r="B10" s="146" t="s">
        <v>117</v>
      </c>
      <c r="C10" s="147"/>
      <c r="D10" s="147">
        <f>IFERROR(HistoricalFS!D11,0)</f>
        <v>9.1230120355888067E-2</v>
      </c>
      <c r="E10" s="147">
        <f>IFERROR(HistoricalFS!E11,0)</f>
        <v>1.5931218960147486E-2</v>
      </c>
      <c r="F10" s="147">
        <f>IFERROR(HistoricalFS!F11,0)</f>
        <v>0.11256062863673999</v>
      </c>
      <c r="G10" s="147">
        <f>IFERROR(HistoricalFS!G11,0)</f>
        <v>2.1682439110972673E-2</v>
      </c>
      <c r="H10" s="147">
        <f>IFERROR(HistoricalFS!H11,0)</f>
        <v>-2.6372963308678443E-3</v>
      </c>
      <c r="I10" s="147">
        <f>IFERROR(HistoricalFS!I11,0)</f>
        <v>0.23117497962237188</v>
      </c>
      <c r="J10" s="147">
        <f>IFERROR(HistoricalFS!J11,0)</f>
        <v>0.1694215175842706</v>
      </c>
      <c r="K10" s="147">
        <f>IFERROR(HistoricalFS!K11,0)</f>
        <v>-4.2119724423754779E-2</v>
      </c>
      <c r="L10" s="147">
        <f>IFERROR(HistoricalFS!L11,0)</f>
        <v>0.10880596078957838</v>
      </c>
      <c r="N10" s="15">
        <f>IFERROR(AVERAGE(D10:L10),0)</f>
        <v>7.8449982700594056E-2</v>
      </c>
      <c r="O10" s="15">
        <f>IFERROR(MEDIAN(D10:L10),0)</f>
        <v>9.1230120355888067E-2</v>
      </c>
    </row>
    <row r="11" spans="2:15" x14ac:dyDescent="0.2">
      <c r="B11" t="s">
        <v>119</v>
      </c>
      <c r="C11" s="20"/>
      <c r="D11" s="20">
        <f>IFERROR(HistoricalFS!D22/HistoricalFS!C22-1,0)</f>
        <v>6.4550847848362514E-2</v>
      </c>
      <c r="E11" s="20">
        <f>IFERROR(HistoricalFS!E22/HistoricalFS!D22-1,0)</f>
        <v>6.7945267820377131E-2</v>
      </c>
      <c r="F11" s="20">
        <f>IFERROR(HistoricalFS!F22/HistoricalFS!E22-1,0)</f>
        <v>0.12207796452790087</v>
      </c>
      <c r="G11" s="20">
        <f>IFERROR(HistoricalFS!G22/HistoricalFS!F22-1,0)</f>
        <v>4.34877833395102E-2</v>
      </c>
      <c r="H11" s="20">
        <f>IFERROR(HistoricalFS!H22/HistoricalFS!G22-1,0)</f>
        <v>-0.11780470379258412</v>
      </c>
      <c r="I11" s="20">
        <f>IFERROR(HistoricalFS!I22/HistoricalFS!H22-1,0)</f>
        <v>0.20852129356487437</v>
      </c>
      <c r="J11" s="20">
        <f>IFERROR(HistoricalFS!J22/HistoricalFS!I22-1,0)</f>
        <v>0.24637894792987503</v>
      </c>
      <c r="K11" s="20">
        <f>IFERROR(HistoricalFS!K22/HistoricalFS!J22-1,0)</f>
        <v>-2.0102893450346215E-2</v>
      </c>
      <c r="L11" s="20">
        <f>IFERROR(HistoricalFS!L22/HistoricalFS!K22-1,0)</f>
        <v>2.5882649072775266E-2</v>
      </c>
      <c r="N11" s="15">
        <f t="shared" ref="N11:N15" si="0">IFERROR(AVERAGE(D11:L11),0)</f>
        <v>7.121523965119389E-2</v>
      </c>
      <c r="O11" s="15">
        <f t="shared" ref="O11:O15" si="1">IFERROR(MEDIAN(D11:L11),0)</f>
        <v>6.4550847848362514E-2</v>
      </c>
    </row>
    <row r="12" spans="2:15" x14ac:dyDescent="0.2">
      <c r="B12" t="s">
        <v>120</v>
      </c>
      <c r="C12" s="20"/>
      <c r="D12" s="20">
        <f>IFERROR(HistoricalFS!D31/HistoricalFS!C31-1,0)</f>
        <v>6.4116562324170623E-2</v>
      </c>
      <c r="E12" s="20">
        <f>IFERROR(HistoricalFS!E31/HistoricalFS!D31-1,0)</f>
        <v>6.7584614353008332E-2</v>
      </c>
      <c r="F12" s="20">
        <f>IFERROR(HistoricalFS!F31/HistoricalFS!E31-1,0)</f>
        <v>0.12146246706589925</v>
      </c>
      <c r="G12" s="20">
        <f>IFERROR(HistoricalFS!G31/HistoricalFS!F31-1,0)</f>
        <v>3.2545193392599536E-2</v>
      </c>
      <c r="H12" s="20">
        <f>IFERROR(HistoricalFS!H31/HistoricalFS!G31-1,0)</f>
        <v>-0.12879188954173304</v>
      </c>
      <c r="I12" s="20">
        <f>IFERROR(HistoricalFS!I31/HistoricalFS!H31-1,0)</f>
        <v>0.22514477089911966</v>
      </c>
      <c r="J12" s="20">
        <f>IFERROR(HistoricalFS!J31/HistoricalFS!I31-1,0)</f>
        <v>0.264918685027691</v>
      </c>
      <c r="K12" s="20">
        <f>IFERROR(HistoricalFS!K31/HistoricalFS!J31-1,0)</f>
        <v>-9.448321319090458E-3</v>
      </c>
      <c r="L12" s="20">
        <f>IFERROR(HistoricalFS!L31/HistoricalFS!K31-1,0)</f>
        <v>2.2123426454657924E-2</v>
      </c>
      <c r="N12" s="15">
        <f t="shared" si="0"/>
        <v>7.32950565173692E-2</v>
      </c>
      <c r="O12" s="15">
        <f t="shared" si="1"/>
        <v>6.4116562324170623E-2</v>
      </c>
    </row>
    <row r="13" spans="2:15" x14ac:dyDescent="0.2">
      <c r="B13" t="s">
        <v>141</v>
      </c>
      <c r="C13" s="20"/>
      <c r="D13" s="20">
        <f>IFERROR(HistoricalFS!D34/HistoricalFS!C34-1,0)</f>
        <v>6.6666616826007274E-2</v>
      </c>
      <c r="E13" s="20">
        <f>IFERROR(HistoricalFS!E34/HistoricalFS!D34-1,0)</f>
        <v>6.3192429888790924E-2</v>
      </c>
      <c r="F13" s="20">
        <f>IFERROR(HistoricalFS!F34/HistoricalFS!E34-1,0)</f>
        <v>0.125258251863962</v>
      </c>
      <c r="G13" s="20">
        <f>IFERROR(HistoricalFS!G34/HistoricalFS!F34-1,0)</f>
        <v>3.2096654945873881E-2</v>
      </c>
      <c r="H13" s="20">
        <f>IFERROR(HistoricalFS!H34/HistoricalFS!G34-1,0)</f>
        <v>-0.12805801132412842</v>
      </c>
      <c r="I13" s="20">
        <f>IFERROR(HistoricalFS!I34/HistoricalFS!H34-1,0)</f>
        <v>0.22586291974205142</v>
      </c>
      <c r="J13" s="20">
        <f>IFERROR(HistoricalFS!J34/HistoricalFS!I34-1,0)</f>
        <v>0.26481844854825254</v>
      </c>
      <c r="K13" s="20">
        <f>IFERROR(HistoricalFS!K34/HistoricalFS!J34-1,0)</f>
        <v>-7.8559948407639357E-3</v>
      </c>
      <c r="L13" s="20">
        <f>IFERROR(HistoricalFS!L34/HistoricalFS!K34-1,0)</f>
        <v>2.1908247733742447E-2</v>
      </c>
      <c r="N13" s="15">
        <f t="shared" si="0"/>
        <v>7.3765507042643119E-2</v>
      </c>
      <c r="O13" s="15">
        <f t="shared" si="1"/>
        <v>6.3192429888790924E-2</v>
      </c>
    </row>
    <row r="14" spans="2:15" x14ac:dyDescent="0.2">
      <c r="B14" t="s">
        <v>140</v>
      </c>
      <c r="C14" s="20"/>
      <c r="D14" s="20">
        <f>IFERROR(HistoricalFS!D40/HistoricalFS!C40-1,0)</f>
        <v>8.7412303950609838E-2</v>
      </c>
      <c r="E14" s="20">
        <f>IFERROR(HistoricalFS!E40/HistoricalFS!D40-1,0)</f>
        <v>6.127933383800177E-2</v>
      </c>
      <c r="F14" s="20">
        <f>IFERROR(HistoricalFS!F40/HistoricalFS!E40-1,0)</f>
        <v>0.16239177682167782</v>
      </c>
      <c r="G14" s="20">
        <f>IFERROR(HistoricalFS!G40/HistoricalFS!F40-1,0)</f>
        <v>0.22500199898470163</v>
      </c>
      <c r="H14" s="20">
        <f>IFERROR(HistoricalFS!H40/HistoricalFS!G40-1,0)</f>
        <v>-0.17984419519318484</v>
      </c>
      <c r="I14" s="20">
        <f>IFERROR(HistoricalFS!I40/HistoricalFS!H40-1,0)</f>
        <v>0.25795836175137099</v>
      </c>
      <c r="J14" s="20">
        <f>IFERROR(HistoricalFS!J40/HistoricalFS!I40-1,0)</f>
        <v>0.27849303449244922</v>
      </c>
      <c r="K14" s="20">
        <f>IFERROR(HistoricalFS!K40/HistoricalFS!J40-1,0)</f>
        <v>2.4069168218343595E-3</v>
      </c>
      <c r="L14" s="20">
        <f>IFERROR(HistoricalFS!L40/HistoricalFS!K40-1,0)</f>
        <v>-9.3743667810697318E-3</v>
      </c>
      <c r="N14" s="15">
        <f t="shared" si="0"/>
        <v>9.841390718737679E-2</v>
      </c>
      <c r="O14" s="15">
        <f t="shared" si="1"/>
        <v>8.7412303950609838E-2</v>
      </c>
    </row>
    <row r="15" spans="2:15" x14ac:dyDescent="0.2">
      <c r="B15" s="148" t="s">
        <v>121</v>
      </c>
      <c r="C15" s="149"/>
      <c r="D15" s="149">
        <f>IFERROR(HistoricalFS!D48/HistoricalFS!C48-1,0)</f>
        <v>-0.16176397951050281</v>
      </c>
      <c r="E15" s="149">
        <f>IFERROR(HistoricalFS!E48/HistoricalFS!D48-1,0)</f>
        <v>8.4208810537972134E-2</v>
      </c>
      <c r="F15" s="149">
        <f>IFERROR(HistoricalFS!F48/HistoricalFS!E48-1,0)</f>
        <v>0.11650644574362401</v>
      </c>
      <c r="G15" s="149">
        <f>IFERROR(HistoricalFS!G48/HistoricalFS!F48-1,0)</f>
        <v>0.76521571469920979</v>
      </c>
      <c r="H15" s="149">
        <f>IFERROR(HistoricalFS!H48/HistoricalFS!G48-1,0)</f>
        <v>5.9113555156941944E-2</v>
      </c>
      <c r="I15" s="149">
        <f>IFERROR(HistoricalFS!I48/HistoricalFS!H48-1,0)</f>
        <v>6.9767819288815591E-2</v>
      </c>
      <c r="J15" s="149">
        <f>IFERROR(HistoricalFS!J48/HistoricalFS!I48-1,0)</f>
        <v>0.34782561142550716</v>
      </c>
      <c r="K15" s="149">
        <f>IFERROR(HistoricalFS!K48/HistoricalFS!J48-1,0)</f>
        <v>-0.1129033549968389</v>
      </c>
      <c r="L15" s="149">
        <f>IFERROR(HistoricalFS!L48/HistoricalFS!K48-1,0)</f>
        <v>4.3636312217121498E-2</v>
      </c>
      <c r="N15" s="15">
        <f t="shared" si="0"/>
        <v>0.1346229927290945</v>
      </c>
      <c r="O15" s="15">
        <f t="shared" si="1"/>
        <v>6.9767819288815591E-2</v>
      </c>
    </row>
    <row r="16" spans="2:15" ht="9" customHeight="1" x14ac:dyDescent="0.2">
      <c r="N16" s="15"/>
    </row>
    <row r="17" spans="2:15" x14ac:dyDescent="0.2">
      <c r="B17" s="146" t="s">
        <v>118</v>
      </c>
      <c r="C17" s="147">
        <f>IFERROR(HistoricalFS!C17,0)</f>
        <v>0.51105095159483671</v>
      </c>
      <c r="D17" s="147">
        <f>IFERROR(HistoricalFS!D17,0)</f>
        <v>0.48678158231932583</v>
      </c>
      <c r="E17" s="147">
        <f>IFERROR(HistoricalFS!E17,0)</f>
        <v>0.49440653788101624</v>
      </c>
      <c r="F17" s="147">
        <f>IFERROR(HistoricalFS!F17,0)</f>
        <v>0.49904508893126504</v>
      </c>
      <c r="G17" s="147">
        <f>IFERROR(HistoricalFS!G17,0)</f>
        <v>0.50735911978083614</v>
      </c>
      <c r="H17" s="147">
        <f>IFERROR(HistoricalFS!H17,0)</f>
        <v>0.45426509086442762</v>
      </c>
      <c r="I17" s="147">
        <f>IFERROR(HistoricalFS!I17,0)</f>
        <v>0.43848102401304379</v>
      </c>
      <c r="J17" s="147">
        <f>IFERROR(HistoricalFS!J17,0)</f>
        <v>0.45991745797989614</v>
      </c>
      <c r="K17" s="147">
        <f>IFERROR(HistoricalFS!K17,0)</f>
        <v>0.47497465845962877</v>
      </c>
      <c r="L17" s="147">
        <f>IFERROR(HistoricalFS!L17,0)</f>
        <v>0.44945072802135433</v>
      </c>
      <c r="N17" s="15">
        <f>IFERROR(AVERAGE(C17:L17),0)</f>
        <v>0.47757322398456303</v>
      </c>
      <c r="O17" s="15">
        <f>IFERROR(MEDIAN(C17:L17),0)</f>
        <v>0.4808781203894773</v>
      </c>
    </row>
    <row r="18" spans="2:15" x14ac:dyDescent="0.2">
      <c r="B18" t="s">
        <v>122</v>
      </c>
      <c r="C18" s="20">
        <f>IFERROR(HistoricalFS!C23,0)</f>
        <v>0.37077599822413193</v>
      </c>
      <c r="D18" s="20">
        <f>IFERROR(HistoricalFS!D23,0)</f>
        <v>0.36171096811605047</v>
      </c>
      <c r="E18" s="20">
        <f>IFERROR(HistoricalFS!E23,0)</f>
        <v>0.38022998950031928</v>
      </c>
      <c r="F18" s="20">
        <f>IFERROR(HistoricalFS!F23,0)</f>
        <v>0.38348264507056118</v>
      </c>
      <c r="G18" s="20">
        <f>IFERROR(HistoricalFS!G23,0)</f>
        <v>0.39166715599228152</v>
      </c>
      <c r="H18" s="20">
        <f>IFERROR(HistoricalFS!H23,0)</f>
        <v>0.3464405891900616</v>
      </c>
      <c r="I18" s="20">
        <f>IFERROR(HistoricalFS!I23,0)</f>
        <v>0.34006606365552439</v>
      </c>
      <c r="J18" s="20">
        <f>IFERROR(HistoricalFS!J23,0)</f>
        <v>0.36244517162741785</v>
      </c>
      <c r="K18" s="20">
        <f>IFERROR(HistoricalFS!K23,0)</f>
        <v>0.37077595605248426</v>
      </c>
      <c r="L18" s="20">
        <f>IFERROR(HistoricalFS!L23,0)</f>
        <v>0.34304705553418102</v>
      </c>
      <c r="N18" s="15">
        <f t="shared" ref="N18:N46" si="2">IFERROR(AVERAGE(C18:L18),0)</f>
        <v>0.36506415929630137</v>
      </c>
      <c r="O18" s="15">
        <f t="shared" ref="O18:O46" si="3">IFERROR(MEDIAN(C18:L18),0)</f>
        <v>0.36661056383995105</v>
      </c>
    </row>
    <row r="19" spans="2:15" x14ac:dyDescent="0.2">
      <c r="B19" t="s">
        <v>123</v>
      </c>
      <c r="C19" s="20">
        <f>IFERROR(HistoricalFS!C32,0)</f>
        <v>0.34328576422289186</v>
      </c>
      <c r="D19" s="20">
        <f>IFERROR(HistoricalFS!D32,0)</f>
        <v>0.33475621732339439</v>
      </c>
      <c r="E19" s="20">
        <f>IFERROR(HistoricalFS!E32,0)</f>
        <v>0.35177636094229231</v>
      </c>
      <c r="F19" s="20">
        <f>IFERROR(HistoricalFS!F32,0)</f>
        <v>0.35459099975630731</v>
      </c>
      <c r="G19" s="20">
        <f>IFERROR(HistoricalFS!G32,0)</f>
        <v>0.35836108990700116</v>
      </c>
      <c r="H19" s="20">
        <f>IFERROR(HistoricalFS!H32,0)</f>
        <v>0.3130326478532689</v>
      </c>
      <c r="I19" s="20">
        <f>IFERROR(HistoricalFS!I32,0)</f>
        <v>0.31149943589315698</v>
      </c>
      <c r="J19" s="20">
        <f>IFERROR(HistoricalFS!J32,0)</f>
        <v>0.33693706752616326</v>
      </c>
      <c r="K19" s="20">
        <f>IFERROR(HistoricalFS!K32,0)</f>
        <v>0.34842932499793172</v>
      </c>
      <c r="L19" s="20">
        <f>IFERROR(HistoricalFS!L32,0)</f>
        <v>0.3211903508261848</v>
      </c>
      <c r="N19" s="15">
        <f t="shared" si="2"/>
        <v>0.33738592592485922</v>
      </c>
      <c r="O19" s="15">
        <f t="shared" si="3"/>
        <v>0.34011141587452753</v>
      </c>
    </row>
    <row r="20" spans="2:15" x14ac:dyDescent="0.2">
      <c r="B20" t="s">
        <v>143</v>
      </c>
      <c r="C20" s="20">
        <f>IFERROR(HistoricalFS!C35,0)</f>
        <v>0.34129225022389714</v>
      </c>
      <c r="D20" s="20">
        <f>IFERROR(HistoricalFS!D35,0)</f>
        <v>0.33360978871856267</v>
      </c>
      <c r="E20" s="20">
        <f>IFERROR(HistoricalFS!E35,0)</f>
        <v>0.34912934584825317</v>
      </c>
      <c r="F20" s="20">
        <f>IFERROR(HistoricalFS!F35,0)</f>
        <v>0.3531139492730388</v>
      </c>
      <c r="G20" s="20">
        <f>IFERROR(HistoricalFS!G35,0)</f>
        <v>0.35671331120906624</v>
      </c>
      <c r="H20" s="20">
        <f>IFERROR(HistoricalFS!H35,0)</f>
        <v>0.31185577004087706</v>
      </c>
      <c r="I20" s="20">
        <f>IFERROR(HistoricalFS!I35,0)</f>
        <v>0.31051022895053687</v>
      </c>
      <c r="J20" s="20">
        <f>IFERROR(HistoricalFS!J35,0)</f>
        <v>0.33584046482305235</v>
      </c>
      <c r="K20" s="20">
        <f>IFERROR(HistoricalFS!K35,0)</f>
        <v>0.34785360170782698</v>
      </c>
      <c r="L20" s="20">
        <f>IFERROR(HistoricalFS!L35,0)</f>
        <v>0.32059212987634372</v>
      </c>
      <c r="N20" s="15">
        <f t="shared" si="2"/>
        <v>0.33605108406714546</v>
      </c>
      <c r="O20" s="15">
        <f t="shared" si="3"/>
        <v>0.33856635752347475</v>
      </c>
    </row>
    <row r="21" spans="2:15" x14ac:dyDescent="0.2">
      <c r="B21" s="148" t="s">
        <v>124</v>
      </c>
      <c r="C21" s="149">
        <f>IFERROR(HistoricalFS!C41,0)</f>
        <v>0.20457566703493815</v>
      </c>
      <c r="D21" s="149">
        <f>IFERROR(HistoricalFS!D41,0)</f>
        <v>0.20385993134990041</v>
      </c>
      <c r="E21" s="149">
        <f>IFERROR(HistoricalFS!E41,0)</f>
        <v>0.21295962571238797</v>
      </c>
      <c r="F21" s="149">
        <f>IFERROR(HistoricalFS!F41,0)</f>
        <v>0.22249800267193054</v>
      </c>
      <c r="G21" s="149">
        <f>IFERROR(HistoricalFS!G41,0)</f>
        <v>0.26677614061800814</v>
      </c>
      <c r="H21" s="149">
        <f>IFERROR(HistoricalFS!H41,0)</f>
        <v>0.21937656131204519</v>
      </c>
      <c r="I21" s="149">
        <f>IFERROR(HistoricalFS!I41,0)</f>
        <v>0.2241489505897809</v>
      </c>
      <c r="J21" s="149">
        <f>IFERROR(HistoricalFS!J41,0)</f>
        <v>0.24505524116728605</v>
      </c>
      <c r="K21" s="149">
        <f>IFERROR(HistoricalFS!K41,0)</f>
        <v>0.25644652574326599</v>
      </c>
      <c r="L21" s="149">
        <f>IFERROR(HistoricalFS!L41,0)</f>
        <v>0.22911357887209988</v>
      </c>
      <c r="N21" s="15">
        <f t="shared" si="2"/>
        <v>0.22848102250716437</v>
      </c>
      <c r="O21" s="15">
        <f t="shared" si="3"/>
        <v>0.22332347663085572</v>
      </c>
    </row>
    <row r="22" spans="2:15" ht="9" customHeight="1" x14ac:dyDescent="0.2">
      <c r="N22" s="15"/>
      <c r="O22" s="15"/>
    </row>
    <row r="23" spans="2:15" x14ac:dyDescent="0.2">
      <c r="B23" s="146" t="s">
        <v>125</v>
      </c>
      <c r="C23" s="150">
        <f>IFERROR(HistoricalFS!C20,0)</f>
        <v>0.14027495337070481</v>
      </c>
      <c r="D23" s="150">
        <f>IFERROR(HistoricalFS!D20,0)</f>
        <v>0.12507061420327537</v>
      </c>
      <c r="E23" s="150">
        <f>IFERROR(HistoricalFS!E20,0)</f>
        <v>0.11417654838069698</v>
      </c>
      <c r="F23" s="150">
        <f>IFERROR(HistoricalFS!F20,0)</f>
        <v>0.11556244386070379</v>
      </c>
      <c r="G23" s="150">
        <f>IFERROR(HistoricalFS!G20,0)</f>
        <v>0.11569196378855465</v>
      </c>
      <c r="H23" s="150">
        <f>IFERROR(HistoricalFS!H20,0)</f>
        <v>0.10782450167436604</v>
      </c>
      <c r="I23" s="150">
        <f>IFERROR(HistoricalFS!I20,0)</f>
        <v>9.8414960357519399E-2</v>
      </c>
      <c r="J23" s="150">
        <f>IFERROR(HistoricalFS!J20,0)</f>
        <v>9.7472286352478302E-2</v>
      </c>
      <c r="K23" s="150">
        <f>IFERROR(HistoricalFS!K20,0)</f>
        <v>0.10419870240714456</v>
      </c>
      <c r="L23" s="150">
        <f>IFERROR(HistoricalFS!L20,0)</f>
        <v>0.10640367248717331</v>
      </c>
      <c r="N23" s="15">
        <f t="shared" si="2"/>
        <v>0.11250906468826172</v>
      </c>
      <c r="O23" s="15">
        <f t="shared" si="3"/>
        <v>0.11100052502753151</v>
      </c>
    </row>
    <row r="24" spans="2:15" x14ac:dyDescent="0.2">
      <c r="B24" t="s">
        <v>126</v>
      </c>
      <c r="C24" s="21">
        <f>IFERROR(HistoricalFS!C29,0)</f>
        <v>2.7490234001240049E-2</v>
      </c>
      <c r="D24" s="21">
        <f>IFERROR(HistoricalFS!D29,0)</f>
        <v>2.6954750792656124E-2</v>
      </c>
      <c r="E24" s="21">
        <f>IFERROR(HistoricalFS!E29,0)</f>
        <v>2.845362855802696E-2</v>
      </c>
      <c r="F24" s="21">
        <f>IFERROR(HistoricalFS!F29,0)</f>
        <v>2.8891645314253867E-2</v>
      </c>
      <c r="G24" s="21">
        <f>IFERROR(HistoricalFS!G29,0)</f>
        <v>3.3306066085280348E-2</v>
      </c>
      <c r="H24" s="21">
        <f>IFERROR(HistoricalFS!H29,0)</f>
        <v>3.3407941336792708E-2</v>
      </c>
      <c r="I24" s="21">
        <f>IFERROR(HistoricalFS!I29,0)</f>
        <v>2.8566627762367396E-2</v>
      </c>
      <c r="J24" s="21">
        <f>IFERROR(HistoricalFS!J29,0)</f>
        <v>2.550810410125463E-2</v>
      </c>
      <c r="K24" s="21">
        <f>IFERROR(HistoricalFS!K29,0)</f>
        <v>2.2346631054552542E-2</v>
      </c>
      <c r="L24" s="21">
        <f>IFERROR(HistoricalFS!L29,0)</f>
        <v>2.1856704707996222E-2</v>
      </c>
      <c r="N24" s="15">
        <f t="shared" si="2"/>
        <v>2.7678233371442085E-2</v>
      </c>
      <c r="O24" s="15">
        <f t="shared" si="3"/>
        <v>2.7971931279633502E-2</v>
      </c>
    </row>
    <row r="25" spans="2:15" x14ac:dyDescent="0.2">
      <c r="B25" s="148" t="s">
        <v>127</v>
      </c>
      <c r="C25" s="151">
        <f>C19</f>
        <v>0.34328576422289186</v>
      </c>
      <c r="D25" s="151">
        <f t="shared" ref="D25:L25" si="4">D19</f>
        <v>0.33475621732339439</v>
      </c>
      <c r="E25" s="151">
        <f t="shared" si="4"/>
        <v>0.35177636094229231</v>
      </c>
      <c r="F25" s="151">
        <f t="shared" si="4"/>
        <v>0.35459099975630731</v>
      </c>
      <c r="G25" s="151">
        <f t="shared" si="4"/>
        <v>0.35836108990700116</v>
      </c>
      <c r="H25" s="151">
        <f t="shared" si="4"/>
        <v>0.3130326478532689</v>
      </c>
      <c r="I25" s="151">
        <f t="shared" si="4"/>
        <v>0.31149943589315698</v>
      </c>
      <c r="J25" s="151">
        <f t="shared" si="4"/>
        <v>0.33693706752616326</v>
      </c>
      <c r="K25" s="151">
        <f t="shared" si="4"/>
        <v>0.34842932499793172</v>
      </c>
      <c r="L25" s="151">
        <f t="shared" si="4"/>
        <v>0.3211903508261848</v>
      </c>
      <c r="N25" s="15">
        <f t="shared" si="2"/>
        <v>0.33738592592485922</v>
      </c>
      <c r="O25" s="15">
        <f t="shared" si="3"/>
        <v>0.34011141587452753</v>
      </c>
    </row>
    <row r="26" spans="2:15" ht="9" customHeight="1" x14ac:dyDescent="0.2">
      <c r="N26" s="15"/>
      <c r="O26" s="15"/>
    </row>
    <row r="27" spans="2:15" x14ac:dyDescent="0.2">
      <c r="B27" s="146" t="s">
        <v>8620</v>
      </c>
      <c r="C27" s="147">
        <f>IFERROR(HistoricalFS!C31/SUM(HistoricalFS!C54:C56),0)</f>
        <v>0.31461767450126626</v>
      </c>
      <c r="D27" s="147">
        <f>IFERROR(HistoricalFS!D31/SUM(HistoricalFS!D54:D56),0)</f>
        <v>0.30816048249357225</v>
      </c>
      <c r="E27" s="147">
        <f>IFERROR(HistoricalFS!E31/SUM(HistoricalFS!E54:E56),0)</f>
        <v>0.29087468644158282</v>
      </c>
      <c r="F27" s="147">
        <f>IFERROR(HistoricalFS!F31/SUM(HistoricalFS!F54:F56),0)</f>
        <v>0.28976383969316855</v>
      </c>
      <c r="G27" s="147">
        <f>IFERROR(HistoricalFS!G31/SUM(HistoricalFS!G54:G56),0)</f>
        <v>0.26999905874398611</v>
      </c>
      <c r="H27" s="147">
        <f>IFERROR(HistoricalFS!H31/SUM(HistoricalFS!H54:H56),0)</f>
        <v>0.25436581143904541</v>
      </c>
      <c r="I27" s="147">
        <f>IFERROR(HistoricalFS!I31/SUM(HistoricalFS!I54:I56),0)</f>
        <v>0.30126364703553982</v>
      </c>
      <c r="J27" s="147">
        <f>IFERROR(HistoricalFS!J31/SUM(HistoricalFS!J54:J56),0)</f>
        <v>0.34400810235339674</v>
      </c>
      <c r="K27" s="147">
        <f>IFERROR(HistoricalFS!K31/SUM(HistoricalFS!K54:K56),0)</f>
        <v>0.31639278106007412</v>
      </c>
      <c r="L27" s="147">
        <f>IFERROR(HistoricalFS!L31/SUM(HistoricalFS!L54:L56),0)</f>
        <v>0.3440698438261533</v>
      </c>
      <c r="N27" s="15">
        <f t="shared" si="2"/>
        <v>0.30335159275877849</v>
      </c>
      <c r="O27" s="15">
        <f t="shared" si="3"/>
        <v>0.30471206476455603</v>
      </c>
    </row>
    <row r="28" spans="2:15" x14ac:dyDescent="0.2">
      <c r="B28" t="s">
        <v>8621</v>
      </c>
      <c r="C28" s="20">
        <f>IFERROR(HistoricalFS!C51,0)</f>
        <v>0.14687786473761333</v>
      </c>
      <c r="D28" s="20">
        <f>IFERROR(HistoricalFS!D51,0)</f>
        <v>0.33819420549170731</v>
      </c>
      <c r="E28" s="20">
        <f>IFERROR(HistoricalFS!E51,0)</f>
        <v>0.32072859556008038</v>
      </c>
      <c r="F28" s="20">
        <f>IFERROR(HistoricalFS!F51,0)</f>
        <v>0.34463983874236903</v>
      </c>
      <c r="G28" s="20">
        <f>IFERROR(HistoricalFS!G51,0)</f>
        <v>5.3044068290594826E-2</v>
      </c>
      <c r="H28" s="20">
        <f>IFERROR(HistoricalFS!H51,0)</f>
        <v>0</v>
      </c>
      <c r="I28" s="20">
        <f>IFERROR(HistoricalFS!I51,0)</f>
        <v>0</v>
      </c>
      <c r="J28" s="20">
        <f>IFERROR(HistoricalFS!J51,0)</f>
        <v>0</v>
      </c>
      <c r="K28" s="20">
        <f>IFERROR(HistoricalFS!K51,0)</f>
        <v>1.460601082262647E-2</v>
      </c>
      <c r="L28" s="20">
        <f>IFERROR(HistoricalFS!L51,0)</f>
        <v>0</v>
      </c>
      <c r="N28" s="15">
        <f t="shared" si="2"/>
        <v>0.12180905836449914</v>
      </c>
      <c r="O28" s="15">
        <f t="shared" si="3"/>
        <v>3.3825039556610648E-2</v>
      </c>
    </row>
    <row r="29" spans="2:15" x14ac:dyDescent="0.2">
      <c r="B29" t="s">
        <v>8619</v>
      </c>
      <c r="C29" s="20">
        <f>IFERROR(HistoricalFS!C40/SUM(HistoricalFS!C54:C55),0)</f>
        <v>0.1878594229738291</v>
      </c>
      <c r="D29" s="20">
        <f>IFERROR(HistoricalFS!D40/SUM(HistoricalFS!D54:D55),0)</f>
        <v>0.18784851548911047</v>
      </c>
      <c r="E29" s="20">
        <f>IFERROR(HistoricalFS!E40/SUM(HistoricalFS!E54:E55),0)</f>
        <v>0.17621120961277748</v>
      </c>
      <c r="F29" s="20">
        <f>IFERROR(HistoricalFS!F40/SUM(HistoricalFS!F54:F55),0)</f>
        <v>0.18186171424262107</v>
      </c>
      <c r="G29" s="20">
        <f>IFERROR(HistoricalFS!G40/SUM(HistoricalFS!G54:G55),0)</f>
        <v>0.2018508038360578</v>
      </c>
      <c r="H29" s="20">
        <f>IFERROR(HistoricalFS!H40/SUM(HistoricalFS!H54:H55),0)</f>
        <v>0.17906224201431251</v>
      </c>
      <c r="I29" s="20">
        <f>IFERROR(HistoricalFS!I40/SUM(HistoricalFS!I54:I55),0)</f>
        <v>0.21764928252195909</v>
      </c>
      <c r="J29" s="20">
        <f>IFERROR(HistoricalFS!J40/SUM(HistoricalFS!J54:J55),0)</f>
        <v>0.25130525140097792</v>
      </c>
      <c r="K29" s="20">
        <f>IFERROR(HistoricalFS!K40/SUM(HistoricalFS!K54:K55),0)</f>
        <v>0.23381574885581222</v>
      </c>
      <c r="L29" s="20">
        <f>IFERROR(HistoricalFS!L40/SUM(HistoricalFS!L54:L55),0)</f>
        <v>0.2464313533975771</v>
      </c>
      <c r="N29" s="15">
        <f t="shared" si="2"/>
        <v>0.20638955443450349</v>
      </c>
      <c r="O29" s="15">
        <f t="shared" si="3"/>
        <v>0.19485511340494344</v>
      </c>
    </row>
    <row r="30" spans="2:15" x14ac:dyDescent="0.2">
      <c r="B30" t="s">
        <v>8622</v>
      </c>
      <c r="C30" s="20">
        <f>IFERROR(C28*C29,0)</f>
        <v>2.759239091723616E-2</v>
      </c>
      <c r="D30" s="20">
        <f t="shared" ref="D30:L30" si="5">IFERROR(D28*D29,0)</f>
        <v>6.3529279448636386E-2</v>
      </c>
      <c r="E30" s="20">
        <f t="shared" si="5"/>
        <v>5.6515973781049056E-2</v>
      </c>
      <c r="F30" s="20">
        <f t="shared" si="5"/>
        <v>6.2676791869987716E-2</v>
      </c>
      <c r="G30" s="20">
        <f t="shared" si="5"/>
        <v>1.070698782319131E-2</v>
      </c>
      <c r="H30" s="20">
        <f t="shared" si="5"/>
        <v>0</v>
      </c>
      <c r="I30" s="20">
        <f t="shared" si="5"/>
        <v>0</v>
      </c>
      <c r="J30" s="20">
        <f t="shared" si="5"/>
        <v>0</v>
      </c>
      <c r="K30" s="20">
        <f t="shared" si="5"/>
        <v>3.4151153582885059E-3</v>
      </c>
      <c r="L30" s="20">
        <f t="shared" si="5"/>
        <v>0</v>
      </c>
      <c r="N30" s="15">
        <f t="shared" si="2"/>
        <v>2.2443653919838914E-2</v>
      </c>
      <c r="O30" s="15">
        <f t="shared" si="3"/>
        <v>7.0610515907399071E-3</v>
      </c>
    </row>
    <row r="31" spans="2:15" x14ac:dyDescent="0.2">
      <c r="B31" s="148" t="s">
        <v>128</v>
      </c>
      <c r="C31" s="152">
        <f>IFERROR(HistoricalFS!C31/HistoricalFS!C25,0)</f>
        <v>172.20133111480865</v>
      </c>
      <c r="D31" s="152">
        <f>IFERROR(HistoricalFS!D31/HistoricalFS!D25,0)</f>
        <v>291.99918417295532</v>
      </c>
      <c r="E31" s="152">
        <f>IFERROR(HistoricalFS!E31/HistoricalFS!E25,0)</f>
        <v>132.8954873489262</v>
      </c>
      <c r="F31" s="152">
        <f>IFERROR(HistoricalFS!F31/HistoricalFS!F25,0)</f>
        <v>240.06694677871144</v>
      </c>
      <c r="G31" s="152">
        <f>IFERROR(HistoricalFS!G31/HistoricalFS!G25,0)</f>
        <v>217.48132219218485</v>
      </c>
      <c r="H31" s="152">
        <f>IFERROR(HistoricalFS!H31/HistoricalFS!H25,0)</f>
        <v>265.98568224943932</v>
      </c>
      <c r="I31" s="152">
        <f>IFERROR(HistoricalFS!I31/HistoricalFS!I25,0)</f>
        <v>314.89814969161517</v>
      </c>
      <c r="J31" s="152">
        <f>IFERROR(HistoricalFS!J31/HistoricalFS!J25,0)</f>
        <v>307.25536839398222</v>
      </c>
      <c r="K31" s="152">
        <f>IFERROR(HistoricalFS!K31/HistoricalFS!K25,0)</f>
        <v>605.2027614420864</v>
      </c>
      <c r="L31" s="152">
        <f>IFERROR(HistoricalFS!L31/HistoricalFS!L25,0)</f>
        <v>536.90923213493113</v>
      </c>
      <c r="N31" s="19">
        <f t="shared" si="2"/>
        <v>308.48954655196405</v>
      </c>
      <c r="O31" s="19">
        <f t="shared" si="3"/>
        <v>278.99243321119729</v>
      </c>
    </row>
    <row r="32" spans="2:15" ht="9" customHeight="1" x14ac:dyDescent="0.2">
      <c r="N32" s="15"/>
      <c r="O32" s="15"/>
    </row>
    <row r="33" spans="2:15" x14ac:dyDescent="0.2">
      <c r="B33" s="146" t="s">
        <v>129</v>
      </c>
      <c r="C33" s="153">
        <f>IFERROR(HistoricalFS!C10/HistoricalFS!C66,0)</f>
        <v>20.442577118476095</v>
      </c>
      <c r="D33" s="153">
        <f>IFERROR(HistoricalFS!D10/HistoricalFS!D66,0)</f>
        <v>17.28479685081377</v>
      </c>
      <c r="E33" s="153">
        <f>IFERROR(HistoricalFS!E10/HistoricalFS!E66,0)</f>
        <v>16.198449832046499</v>
      </c>
      <c r="F33" s="153">
        <f>IFERROR(HistoricalFS!F10/HistoricalFS!F66,0)</f>
        <v>11.97923811978351</v>
      </c>
      <c r="G33" s="153">
        <f>IFERROR(HistoricalFS!G10/HistoricalFS!G66,0)</f>
        <v>19.273399207018201</v>
      </c>
      <c r="H33" s="153">
        <f>IFERROR(HistoricalFS!H10/HistoricalFS!H66,0)</f>
        <v>19.689591078066915</v>
      </c>
      <c r="I33" s="153">
        <f>IFERROR(HistoricalFS!I10/HistoricalFS!I66,0)</f>
        <v>24.633226369876922</v>
      </c>
      <c r="J33" s="153">
        <f>IFERROR(HistoricalFS!J10/HistoricalFS!J66,0)</f>
        <v>23.990173095593285</v>
      </c>
      <c r="K33" s="153">
        <f>IFERROR(HistoricalFS!K10/HistoricalFS!K66,0)</f>
        <v>16.874062923826699</v>
      </c>
      <c r="L33" s="153">
        <f>IFERROR(HistoricalFS!L10/HistoricalFS!L66,0)</f>
        <v>15.959450554805738</v>
      </c>
      <c r="N33" s="19">
        <f t="shared" si="2"/>
        <v>18.632496515030763</v>
      </c>
      <c r="O33" s="19">
        <f t="shared" si="3"/>
        <v>18.279098028915985</v>
      </c>
    </row>
    <row r="34" spans="2:15" x14ac:dyDescent="0.2">
      <c r="B34" t="s">
        <v>130</v>
      </c>
      <c r="C34" s="19">
        <f>IFERROR(HistoricalFS!C10/HistoricalFS!C57,0)</f>
        <v>4.4095323603404122</v>
      </c>
      <c r="D34" s="19">
        <f>IFERROR(HistoricalFS!D10/HistoricalFS!D57,0)</f>
        <v>4.5306244815761563</v>
      </c>
      <c r="E34" s="19">
        <f>IFERROR(HistoricalFS!E10/HistoricalFS!E57,0)</f>
        <v>3.7152199472417347</v>
      </c>
      <c r="F34" s="19">
        <f>IFERROR(HistoricalFS!F10/HistoricalFS!F57,0)</f>
        <v>3.8411296865328062</v>
      </c>
      <c r="G34" s="19">
        <f>IFERROR(HistoricalFS!G10/HistoricalFS!G57,0)</f>
        <v>4.1996200693194918</v>
      </c>
      <c r="H34" s="19">
        <f>IFERROR(HistoricalFS!H10/HistoricalFS!H57,0)</f>
        <v>3.7479256371841467</v>
      </c>
      <c r="I34" s="19">
        <f>IFERROR(HistoricalFS!I10/HistoricalFS!I57,0)</f>
        <v>4.1849767545533405</v>
      </c>
      <c r="J34" s="19">
        <f>IFERROR(HistoricalFS!J10/HistoricalFS!J57,0)</f>
        <v>4.3323459375454343</v>
      </c>
      <c r="K34" s="19">
        <f>IFERROR(HistoricalFS!K10/HistoricalFS!K57,0)</f>
        <v>4.0093121036099895</v>
      </c>
      <c r="L34" s="19">
        <f>IFERROR(HistoricalFS!L10/HistoricalFS!L57,0)</f>
        <v>4.2584165295218082</v>
      </c>
      <c r="N34" s="19">
        <f t="shared" si="2"/>
        <v>4.122910350742532</v>
      </c>
      <c r="O34" s="19">
        <f t="shared" si="3"/>
        <v>4.1922984119364166</v>
      </c>
    </row>
    <row r="35" spans="2:15" x14ac:dyDescent="0.2">
      <c r="B35" t="s">
        <v>131</v>
      </c>
      <c r="C35" s="19">
        <f>IFERROR(HistoricalFS!C10/HistoricalFS!C67,0)</f>
        <v>4.3248364065724276</v>
      </c>
      <c r="D35" s="19">
        <f>IFERROR(HistoricalFS!D10/HistoricalFS!D67,0)</f>
        <v>5.2694767191138601</v>
      </c>
      <c r="E35" s="19">
        <f>IFERROR(HistoricalFS!E10/HistoricalFS!E67,0)</f>
        <v>5.7969870942176813</v>
      </c>
      <c r="F35" s="19">
        <f>IFERROR(HistoricalFS!F10/HistoricalFS!F67,0)</f>
        <v>6.1504180895622653</v>
      </c>
      <c r="G35" s="19">
        <f>IFERROR(HistoricalFS!G10/HistoricalFS!G67,0)</f>
        <v>5.5620975906965953</v>
      </c>
      <c r="H35" s="19">
        <f>IFERROR(HistoricalFS!H10/HistoricalFS!H67,0)</f>
        <v>4.7375869949101483</v>
      </c>
      <c r="I35" s="19">
        <f>IFERROR(HistoricalFS!I10/HistoricalFS!I67,0)</f>
        <v>5.5820786715941884</v>
      </c>
      <c r="J35" s="19">
        <f>IFERROR(HistoricalFS!J10/HistoricalFS!J67,0)</f>
        <v>6.0248123379514</v>
      </c>
      <c r="K35" s="19">
        <f>IFERROR(HistoricalFS!K10/HistoricalFS!K67,0)</f>
        <v>4.7998668822176125</v>
      </c>
      <c r="L35" s="19">
        <f>IFERROR(HistoricalFS!L10/HistoricalFS!L67,0)</f>
        <v>4.8168218059594974</v>
      </c>
      <c r="N35" s="19">
        <f t="shared" si="2"/>
        <v>5.306498259279568</v>
      </c>
      <c r="O35" s="19">
        <f t="shared" si="3"/>
        <v>5.4157871549052281</v>
      </c>
    </row>
    <row r="36" spans="2:15" x14ac:dyDescent="0.2">
      <c r="B36" t="s">
        <v>132</v>
      </c>
      <c r="C36" s="19">
        <f>IFERROR(HistoricalFS!C10/HistoricalFS!C60,0)</f>
        <v>2.594364196382648</v>
      </c>
      <c r="D36" s="19">
        <f>IFERROR(HistoricalFS!D10/HistoricalFS!D60,0)</f>
        <v>2.6908895974953251</v>
      </c>
      <c r="E36" s="19">
        <f>IFERROR(HistoricalFS!E10/HistoricalFS!E60,0)</f>
        <v>2.6294508096122238</v>
      </c>
      <c r="F36" s="19">
        <f>IFERROR(HistoricalFS!F10/HistoricalFS!F60,0)</f>
        <v>2.4950503737188501</v>
      </c>
      <c r="G36" s="19">
        <f>IFERROR(HistoricalFS!G10/HistoricalFS!G60,0)</f>
        <v>2.2745326145125531</v>
      </c>
      <c r="H36" s="19">
        <f>IFERROR(HistoricalFS!H10/HistoricalFS!H60,0)</f>
        <v>2.1141915695787881</v>
      </c>
      <c r="I36" s="19">
        <f>IFERROR(HistoricalFS!I10/HistoricalFS!I60,0)</f>
        <v>2.5027057654904197</v>
      </c>
      <c r="J36" s="19">
        <f>IFERROR(HistoricalFS!J10/HistoricalFS!J60,0)</f>
        <v>2.7433480057266046</v>
      </c>
      <c r="K36" s="19">
        <f>IFERROR(HistoricalFS!K10/HistoricalFS!K60,0)</f>
        <v>2.4418189360112894</v>
      </c>
      <c r="L36" s="19">
        <f>IFERROR(HistoricalFS!L10/HistoricalFS!L60,0)</f>
        <v>3.4308291789741219</v>
      </c>
      <c r="N36" s="19">
        <f t="shared" si="2"/>
        <v>2.5917181047502824</v>
      </c>
      <c r="O36" s="19">
        <f t="shared" si="3"/>
        <v>2.5485349809365339</v>
      </c>
    </row>
    <row r="37" spans="2:15" x14ac:dyDescent="0.2">
      <c r="B37" s="148" t="s">
        <v>133</v>
      </c>
      <c r="C37" s="152">
        <f>IFERROR(HistoricalFS!C10/SUM(HistoricalFS!C54:C55),0)</f>
        <v>0.91828820942691003</v>
      </c>
      <c r="D37" s="152">
        <f>IFERROR(HistoricalFS!D10/SUM(HistoricalFS!D54:D55),0)</f>
        <v>0.92145874005368755</v>
      </c>
      <c r="E37" s="152">
        <f>IFERROR(HistoricalFS!E10/SUM(HistoricalFS!E54:E55),0)</f>
        <v>0.82743951593321752</v>
      </c>
      <c r="F37" s="152">
        <f>IFERROR(HistoricalFS!F10/SUM(HistoricalFS!F54:F55),0)</f>
        <v>0.81736335633885671</v>
      </c>
      <c r="G37" s="152">
        <f>IFERROR(HistoricalFS!G10/SUM(HistoricalFS!G54:G55),0)</f>
        <v>0.75662989714317919</v>
      </c>
      <c r="H37" s="152">
        <f>IFERROR(HistoricalFS!H10/SUM(HistoricalFS!H54:H55),0)</f>
        <v>0.81623233103563475</v>
      </c>
      <c r="I37" s="152">
        <f>IFERROR(HistoricalFS!I10/SUM(HistoricalFS!I54:I55),0)</f>
        <v>0.97100290654620558</v>
      </c>
      <c r="J37" s="152">
        <f>IFERROR(HistoricalFS!J10/SUM(HistoricalFS!J54:J55),0)</f>
        <v>1.0255044952473606</v>
      </c>
      <c r="K37" s="152">
        <f>IFERROR(HistoricalFS!K10/SUM(HistoricalFS!K54:K55),0)</f>
        <v>0.91175245278967076</v>
      </c>
      <c r="L37" s="152">
        <f>IFERROR(HistoricalFS!L10/SUM(HistoricalFS!L54:L55),0)</f>
        <v>1.075585980589761</v>
      </c>
      <c r="N37" s="19">
        <f t="shared" si="2"/>
        <v>0.90412578851044834</v>
      </c>
      <c r="O37" s="19">
        <f t="shared" si="3"/>
        <v>0.9150203311082904</v>
      </c>
    </row>
    <row r="38" spans="2:15" ht="9" customHeight="1" x14ac:dyDescent="0.2">
      <c r="C38" s="19"/>
      <c r="D38" s="19"/>
      <c r="E38" s="19"/>
      <c r="F38" s="19"/>
      <c r="G38" s="19"/>
      <c r="H38" s="19"/>
      <c r="I38" s="19"/>
      <c r="J38" s="19"/>
      <c r="K38" s="19"/>
      <c r="L38" s="19"/>
      <c r="N38" s="15"/>
      <c r="O38" s="15"/>
    </row>
    <row r="39" spans="2:15" x14ac:dyDescent="0.2">
      <c r="B39" s="146" t="s">
        <v>134</v>
      </c>
      <c r="C39" s="154">
        <f>IFERROR(365/C33,0)</f>
        <v>17.854891674597688</v>
      </c>
      <c r="D39" s="154">
        <f t="shared" ref="D39:L39" si="6">IFERROR(365/D33,0)</f>
        <v>21.116823249375695</v>
      </c>
      <c r="E39" s="154">
        <f t="shared" si="6"/>
        <v>22.533020368275956</v>
      </c>
      <c r="F39" s="154">
        <f t="shared" si="6"/>
        <v>30.469383474163408</v>
      </c>
      <c r="G39" s="154">
        <f t="shared" si="6"/>
        <v>18.9380189804344</v>
      </c>
      <c r="H39" s="154">
        <f t="shared" si="6"/>
        <v>18.537713584442557</v>
      </c>
      <c r="I39" s="154">
        <f t="shared" si="6"/>
        <v>14.817385044061677</v>
      </c>
      <c r="J39" s="154">
        <f t="shared" si="6"/>
        <v>15.214563002342249</v>
      </c>
      <c r="K39" s="154">
        <f t="shared" si="6"/>
        <v>21.630830799179297</v>
      </c>
      <c r="L39" s="154">
        <f t="shared" si="6"/>
        <v>22.870461532906003</v>
      </c>
      <c r="N39" s="22">
        <f t="shared" si="2"/>
        <v>20.398309170977896</v>
      </c>
      <c r="O39" s="22">
        <f t="shared" si="3"/>
        <v>20.027421114905046</v>
      </c>
    </row>
    <row r="40" spans="2:15" x14ac:dyDescent="0.2">
      <c r="B40" t="s">
        <v>135</v>
      </c>
      <c r="C40" s="22">
        <f t="shared" ref="C40:L41" si="7">IFERROR(365/C34,0)</f>
        <v>82.775217454538037</v>
      </c>
      <c r="D40" s="22">
        <f t="shared" si="7"/>
        <v>80.562845471805772</v>
      </c>
      <c r="E40" s="22">
        <f t="shared" si="7"/>
        <v>98.244519889322959</v>
      </c>
      <c r="F40" s="22">
        <f t="shared" si="7"/>
        <v>95.024128260940614</v>
      </c>
      <c r="G40" s="22">
        <f t="shared" si="7"/>
        <v>86.912623993423466</v>
      </c>
      <c r="H40" s="22">
        <f t="shared" si="7"/>
        <v>97.387204372130526</v>
      </c>
      <c r="I40" s="22">
        <f t="shared" si="7"/>
        <v>87.216732949083294</v>
      </c>
      <c r="J40" s="22">
        <f t="shared" si="7"/>
        <v>84.249966475852816</v>
      </c>
      <c r="K40" s="22">
        <f t="shared" si="7"/>
        <v>91.038061035795536</v>
      </c>
      <c r="L40" s="22">
        <f t="shared" si="7"/>
        <v>85.712611124254465</v>
      </c>
      <c r="N40" s="22">
        <f t="shared" si="2"/>
        <v>88.912391102714764</v>
      </c>
      <c r="O40" s="22">
        <f t="shared" si="3"/>
        <v>87.064678471253387</v>
      </c>
    </row>
    <row r="41" spans="2:15" x14ac:dyDescent="0.2">
      <c r="B41" t="s">
        <v>136</v>
      </c>
      <c r="C41" s="22">
        <f t="shared" si="7"/>
        <v>84.39625587809789</v>
      </c>
      <c r="D41" s="22">
        <f t="shared" si="7"/>
        <v>69.266839850728118</v>
      </c>
      <c r="E41" s="22">
        <f t="shared" si="7"/>
        <v>62.963742038355825</v>
      </c>
      <c r="F41" s="22">
        <f t="shared" si="7"/>
        <v>59.345559063607922</v>
      </c>
      <c r="G41" s="22">
        <f t="shared" si="7"/>
        <v>65.622724888990575</v>
      </c>
      <c r="H41" s="22">
        <f t="shared" si="7"/>
        <v>77.043440129361144</v>
      </c>
      <c r="I41" s="22">
        <f t="shared" si="7"/>
        <v>65.387827989131424</v>
      </c>
      <c r="J41" s="22">
        <f t="shared" si="7"/>
        <v>60.582799849349321</v>
      </c>
      <c r="K41" s="22">
        <f t="shared" si="7"/>
        <v>76.043775578910299</v>
      </c>
      <c r="L41" s="22">
        <f t="shared" si="7"/>
        <v>75.776106051590389</v>
      </c>
      <c r="N41" s="22">
        <f t="shared" si="2"/>
        <v>69.642907131812294</v>
      </c>
      <c r="O41" s="22">
        <f t="shared" si="3"/>
        <v>67.444782369859354</v>
      </c>
    </row>
    <row r="42" spans="2:15" x14ac:dyDescent="0.2">
      <c r="B42" s="148" t="s">
        <v>147</v>
      </c>
      <c r="C42" s="155">
        <f>IFERROR(SUM(C39,C41)-C40,0)</f>
        <v>19.475930098157548</v>
      </c>
      <c r="D42" s="155">
        <f t="shared" ref="D42:L42" si="8">IFERROR(SUM(D39,D41)-D40,0)</f>
        <v>9.8208176282980446</v>
      </c>
      <c r="E42" s="155">
        <f t="shared" si="8"/>
        <v>-12.747757482691185</v>
      </c>
      <c r="F42" s="155">
        <f t="shared" si="8"/>
        <v>-5.2091857231692842</v>
      </c>
      <c r="G42" s="155">
        <f t="shared" si="8"/>
        <v>-2.3518801239984839</v>
      </c>
      <c r="H42" s="155">
        <f t="shared" si="8"/>
        <v>-1.806050658326825</v>
      </c>
      <c r="I42" s="155">
        <f t="shared" si="8"/>
        <v>-7.0115199158901902</v>
      </c>
      <c r="J42" s="155">
        <f t="shared" si="8"/>
        <v>-8.4526036241612417</v>
      </c>
      <c r="K42" s="155">
        <f t="shared" si="8"/>
        <v>6.6365453422940561</v>
      </c>
      <c r="L42" s="155">
        <f t="shared" si="8"/>
        <v>12.93395646024193</v>
      </c>
      <c r="N42" s="22">
        <f t="shared" si="2"/>
        <v>1.1288252000754369</v>
      </c>
      <c r="O42" s="22">
        <f t="shared" si="3"/>
        <v>-2.0789653911626544</v>
      </c>
    </row>
    <row r="43" spans="2:15" ht="9" customHeight="1" x14ac:dyDescent="0.2">
      <c r="N43" s="15"/>
      <c r="O43" s="15"/>
    </row>
    <row r="44" spans="2:15" x14ac:dyDescent="0.2">
      <c r="B44" s="146" t="s">
        <v>137</v>
      </c>
      <c r="C44" s="147">
        <f>IFERROR(HistoricalFS!C77/HistoricalFS!C10,0)</f>
        <v>0.25002589807639808</v>
      </c>
      <c r="D44" s="147">
        <f>IFERROR(HistoricalFS!D77/HistoricalFS!D10,0)</f>
        <v>0.2484897445729945</v>
      </c>
      <c r="E44" s="147">
        <f>IFERROR(HistoricalFS!E77/HistoricalFS!E10,0)</f>
        <v>0.30310060498599045</v>
      </c>
      <c r="F44" s="147">
        <f>IFERROR(HistoricalFS!F77/HistoricalFS!F10,0)</f>
        <v>0.26031277061157748</v>
      </c>
      <c r="G44" s="147">
        <f>IFERROR(HistoricalFS!G77/HistoricalFS!G10,0)</f>
        <v>0.29743559631244221</v>
      </c>
      <c r="H44" s="147">
        <f>IFERROR(HistoricalFS!H77/HistoricalFS!H10,0)</f>
        <v>0.25431625063822832</v>
      </c>
      <c r="I44" s="147">
        <f>IFERROR(HistoricalFS!I77/HistoricalFS!I10,0)</f>
        <v>0.26013075538210034</v>
      </c>
      <c r="J44" s="147">
        <f>IFERROR(HistoricalFS!J77/HistoricalFS!J10,0)</f>
        <v>0.26618454877343922</v>
      </c>
      <c r="K44" s="147">
        <f>IFERROR(HistoricalFS!K77/HistoricalFS!K10,0)</f>
        <v>0.25288340065071013</v>
      </c>
      <c r="L44" s="147">
        <f>IFERROR(HistoricalFS!L77/HistoricalFS!L10,0)</f>
        <v>0.23401830030373058</v>
      </c>
      <c r="N44" s="15">
        <f t="shared" si="2"/>
        <v>0.26268978703076112</v>
      </c>
      <c r="O44" s="15">
        <f t="shared" si="3"/>
        <v>0.25722350301016433</v>
      </c>
    </row>
    <row r="45" spans="2:15" x14ac:dyDescent="0.2">
      <c r="B45" t="s">
        <v>138</v>
      </c>
      <c r="C45" s="20">
        <f>IFERROR(HistoricalFS!C77/HistoricalFS!C71,0)</f>
        <v>0.18971511678109418</v>
      </c>
      <c r="D45" s="20">
        <f>IFERROR(HistoricalFS!D77/HistoricalFS!D71,0)</f>
        <v>0.1901185939040744</v>
      </c>
      <c r="E45" s="20">
        <f>IFERROR(HistoricalFS!E77/HistoricalFS!E71,0)</f>
        <v>0.20500030510167355</v>
      </c>
      <c r="F45" s="20">
        <f>IFERROR(HistoricalFS!F77/HistoricalFS!F71,0)</f>
        <v>0.17540533020793139</v>
      </c>
      <c r="G45" s="20">
        <f>IFERROR(HistoricalFS!G77/HistoricalFS!G71,0)</f>
        <v>0.19000798724627557</v>
      </c>
      <c r="H45" s="20">
        <f>IFERROR(HistoricalFS!H77/HistoricalFS!H71,0)</f>
        <v>0.16983244207353612</v>
      </c>
      <c r="I45" s="20">
        <f>IFERROR(HistoricalFS!I77/HistoricalFS!I71,0)</f>
        <v>0.20435651993457693</v>
      </c>
      <c r="J45" s="20">
        <f>IFERROR(HistoricalFS!J77/HistoricalFS!J71,0)</f>
        <v>0.21993870277112126</v>
      </c>
      <c r="K45" s="20">
        <f>IFERROR(HistoricalFS!K77/HistoricalFS!K71,0)</f>
        <v>0.18722743005016568</v>
      </c>
      <c r="L45" s="20">
        <f>IFERROR(HistoricalFS!L77/HistoricalFS!L71,0)</f>
        <v>0.2003011271245087</v>
      </c>
      <c r="N45" s="15">
        <f t="shared" si="2"/>
        <v>0.19319035551949579</v>
      </c>
      <c r="O45" s="15">
        <f t="shared" si="3"/>
        <v>0.19006329057517499</v>
      </c>
    </row>
    <row r="46" spans="2:15" x14ac:dyDescent="0.2">
      <c r="B46" s="148" t="s">
        <v>139</v>
      </c>
      <c r="C46" s="149">
        <f>IFERROR(HistoricalFS!C77/HistoricalFS!C56,0)</f>
        <v>116.96156600620674</v>
      </c>
      <c r="D46" s="149">
        <f>IFERROR(HistoricalFS!D77/HistoricalFS!D56,0)</f>
        <v>232.44335083114609</v>
      </c>
      <c r="E46" s="149">
        <f>IFERROR(HistoricalFS!E77/HistoricalFS!E56,0)</f>
        <v>366.63140311804005</v>
      </c>
      <c r="F46" s="149">
        <f>IFERROR(HistoricalFS!F77/HistoricalFS!F56,0)</f>
        <v>936.265625</v>
      </c>
      <c r="G46" s="149">
        <f>IFERROR(HistoricalFS!G77/HistoricalFS!G56,0)</f>
        <v>52.945251396648047</v>
      </c>
      <c r="H46" s="149">
        <f>IFERROR(HistoricalFS!H77/HistoricalFS!H56,0)</f>
        <v>46.253996972270429</v>
      </c>
      <c r="I46" s="149">
        <f>IFERROR(HistoricalFS!I77/HistoricalFS!I56,0)</f>
        <v>63.243705901218732</v>
      </c>
      <c r="J46" s="149">
        <f>IFERROR(HistoricalFS!J77/HistoricalFS!J56,0)</f>
        <v>61.683276695856748</v>
      </c>
      <c r="K46" s="149">
        <f>IFERROR(HistoricalFS!K77/HistoricalFS!K56,0)</f>
        <v>56.615562073624886</v>
      </c>
      <c r="L46" s="149">
        <f>IFERROR(HistoricalFS!L77/HistoricalFS!L56,0)</f>
        <v>61.94925142334997</v>
      </c>
      <c r="N46" s="15">
        <f t="shared" si="2"/>
        <v>199.49929894183614</v>
      </c>
      <c r="O46" s="15">
        <f t="shared" si="3"/>
        <v>62.596478662284355</v>
      </c>
    </row>
  </sheetData>
  <mergeCells count="1">
    <mergeCell ref="B7:O7"/>
  </mergeCells>
  <printOptions horizontalCentered="1" verticalCentered="1"/>
  <pageMargins left="0.31496062992125984" right="0.19685039370078741" top="0.39370078740157483" bottom="0.39370078740157483" header="0.31496062992125984" footer="0.31496062992125984"/>
  <pageSetup scale="80" orientation="landscape" r:id="rId1"/>
  <drawing r:id="rId2"/>
  <extLst>
    <ext xmlns:x14="http://schemas.microsoft.com/office/spreadsheetml/2009/9/main" uri="{05C60535-1F16-4fd2-B633-F4F36F0B64E0}">
      <x14:sparklineGroups xmlns:xm="http://schemas.microsoft.com/office/excel/2006/main">
        <x14:sparklineGroup displayEmptyCellsAs="gap" markers="1" xr2:uid="{2C036C4F-F471-4558-A8C5-DD09034D10D9}">
          <x14:colorSeries theme="2" tint="-0.249977111117893"/>
          <x14:colorNegative rgb="FFD00000"/>
          <x14:colorAxis rgb="FF000000"/>
          <x14:colorMarkers rgb="FF082C64"/>
          <x14:colorFirst rgb="FFD00000"/>
          <x14:colorLast rgb="FFD00000"/>
          <x14:colorHigh rgb="FFD00000"/>
          <x14:colorLow rgb="FFD00000"/>
          <x14:sparklines>
            <x14:sparkline>
              <xm:f>'Ratio Analysis'!D10:L10</xm:f>
              <xm:sqref>M10</xm:sqref>
            </x14:sparkline>
            <x14:sparkline>
              <xm:f>'Ratio Analysis'!D11:L11</xm:f>
              <xm:sqref>M11</xm:sqref>
            </x14:sparkline>
            <x14:sparkline>
              <xm:f>'Ratio Analysis'!D12:L12</xm:f>
              <xm:sqref>M12</xm:sqref>
            </x14:sparkline>
            <x14:sparkline>
              <xm:f>'Ratio Analysis'!D13:L13</xm:f>
              <xm:sqref>M13</xm:sqref>
            </x14:sparkline>
            <x14:sparkline>
              <xm:f>'Ratio Analysis'!D14:L14</xm:f>
              <xm:sqref>M14</xm:sqref>
            </x14:sparkline>
            <x14:sparkline>
              <xm:f>'Ratio Analysis'!D15:L15</xm:f>
              <xm:sqref>M15</xm:sqref>
            </x14:sparkline>
          </x14:sparklines>
        </x14:sparklineGroup>
        <x14:sparklineGroup displayEmptyCellsAs="gap" markers="1" xr2:uid="{D9F201BC-2967-4925-8BD0-98C1F647A686}">
          <x14:colorSeries theme="2" tint="-0.249977111117893"/>
          <x14:colorNegative rgb="FFD00000"/>
          <x14:colorAxis rgb="FF000000"/>
          <x14:colorMarkers rgb="FF082C64"/>
          <x14:colorFirst rgb="FFD00000"/>
          <x14:colorLast rgb="FFD00000"/>
          <x14:colorHigh rgb="FFD00000"/>
          <x14:colorLow rgb="FFD00000"/>
          <x14:sparklines>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
              <xm:f>'Ratio Analysis'!C42:L42</xm:f>
              <xm:sqref>M42</xm:sqref>
            </x14:sparkline>
            <x14:sparkline>
              <xm:f>'Ratio Analysis'!C43:L43</xm:f>
              <xm:sqref>M43</xm:sqref>
            </x14:sparkline>
            <x14:sparkline>
              <xm:f>'Ratio Analysis'!C44:L44</xm:f>
              <xm:sqref>M44</xm:sqref>
            </x14:sparkline>
            <x14:sparkline>
              <xm:f>'Ratio Analysis'!C45:L45</xm:f>
              <xm:sqref>M45</xm:sqref>
            </x14:sparkline>
            <x14:sparkline>
              <xm:f>'Ratio Analysis'!C46:L46</xm:f>
              <xm:sqref>M46</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9528-3766-4F77-A1F7-E6B4C63AEF02}">
  <dimension ref="B1:L41"/>
  <sheetViews>
    <sheetView showGridLines="0" zoomScaleNormal="100" workbookViewId="0">
      <selection activeCell="B2" sqref="B2:L5"/>
    </sheetView>
  </sheetViews>
  <sheetFormatPr defaultRowHeight="15" x14ac:dyDescent="0.2"/>
  <cols>
    <col min="1" max="1" width="1.8828125" customWidth="1"/>
    <col min="2" max="2" width="31.609375" customWidth="1"/>
    <col min="3" max="3" width="14.52734375" customWidth="1"/>
    <col min="4" max="4" width="10.89453125" bestFit="1" customWidth="1"/>
    <col min="5" max="5" width="7.93359375" bestFit="1" customWidth="1"/>
    <col min="6" max="7" width="11.8359375" bestFit="1" customWidth="1"/>
    <col min="8" max="8" width="10.76171875" customWidth="1"/>
    <col min="9" max="9" width="7.93359375" bestFit="1" customWidth="1"/>
    <col min="10" max="10" width="6.9921875" bestFit="1" customWidth="1"/>
    <col min="11" max="11" width="9.28125" bestFit="1" customWidth="1"/>
    <col min="12" max="12" width="11.703125" bestFit="1" customWidth="1"/>
  </cols>
  <sheetData>
    <row r="1" spans="2:12" x14ac:dyDescent="0.2">
      <c r="B1" s="113"/>
      <c r="C1" s="113"/>
      <c r="D1" s="113"/>
      <c r="E1" s="113"/>
      <c r="F1" s="113"/>
      <c r="G1" s="113"/>
      <c r="H1" s="113"/>
      <c r="I1" s="113"/>
      <c r="J1" s="113"/>
      <c r="K1" s="113"/>
      <c r="L1" s="113"/>
    </row>
    <row r="2" spans="2:12" ht="24" customHeight="1" x14ac:dyDescent="0.2">
      <c r="B2" s="215" t="str">
        <f>'Data Sheet'!B1</f>
        <v>ITC LTD</v>
      </c>
      <c r="C2" s="213"/>
      <c r="D2" s="216"/>
      <c r="E2" s="213"/>
      <c r="F2" s="213"/>
      <c r="G2" s="213"/>
      <c r="H2" s="213"/>
      <c r="I2" s="213"/>
      <c r="J2" s="213"/>
      <c r="K2" s="213"/>
      <c r="L2" s="213"/>
    </row>
    <row r="3" spans="2:12" x14ac:dyDescent="0.2">
      <c r="B3" s="213" t="s">
        <v>8676</v>
      </c>
      <c r="C3" s="213"/>
      <c r="D3" s="213"/>
      <c r="E3" s="213"/>
      <c r="F3" s="213"/>
      <c r="G3" s="213"/>
      <c r="H3" s="213"/>
      <c r="I3" s="213"/>
      <c r="J3" s="213"/>
      <c r="K3" s="213"/>
      <c r="L3" s="213"/>
    </row>
    <row r="4" spans="2:12" ht="18.75" x14ac:dyDescent="0.25">
      <c r="B4" s="217" t="str">
        <f>CONCATENATE("INR"," ", 'Data Sheet'!B8)</f>
        <v>INR 409.75</v>
      </c>
      <c r="C4" s="213"/>
      <c r="D4" s="213"/>
      <c r="E4" s="213"/>
      <c r="F4" s="213"/>
      <c r="G4" s="213"/>
      <c r="H4" s="213"/>
      <c r="I4" s="213"/>
      <c r="J4" s="213"/>
      <c r="K4" s="213"/>
      <c r="L4" s="213"/>
    </row>
    <row r="5" spans="2:12" x14ac:dyDescent="0.2">
      <c r="B5" s="214" t="s">
        <v>8557</v>
      </c>
      <c r="C5" s="214"/>
      <c r="D5" s="214"/>
      <c r="E5" s="214"/>
      <c r="F5" s="214"/>
      <c r="G5" s="214"/>
      <c r="H5" s="214"/>
      <c r="I5" s="214"/>
      <c r="J5" s="214"/>
      <c r="K5" s="214"/>
      <c r="L5" s="214"/>
    </row>
    <row r="6" spans="2:12" x14ac:dyDescent="0.2">
      <c r="B6" s="232" t="s">
        <v>171</v>
      </c>
      <c r="C6" s="232"/>
      <c r="D6" s="232"/>
      <c r="E6" s="232"/>
      <c r="F6" s="232"/>
      <c r="G6" s="232"/>
      <c r="H6" s="232"/>
      <c r="I6" s="232"/>
      <c r="J6" s="232"/>
      <c r="K6" s="233"/>
      <c r="L6" s="233"/>
    </row>
    <row r="7" spans="2:12" x14ac:dyDescent="0.2">
      <c r="B7" s="2" t="s">
        <v>202</v>
      </c>
      <c r="C7" s="34"/>
      <c r="L7" s="35"/>
    </row>
    <row r="8" spans="2:12" ht="17.25" x14ac:dyDescent="0.2">
      <c r="B8" s="39"/>
      <c r="C8" s="39"/>
      <c r="D8" s="39"/>
      <c r="E8" s="63"/>
      <c r="F8" s="63"/>
      <c r="G8" s="63"/>
      <c r="H8" s="63"/>
      <c r="I8" s="63" t="s">
        <v>201</v>
      </c>
      <c r="J8" s="63" t="s">
        <v>201</v>
      </c>
      <c r="K8" s="63" t="s">
        <v>200</v>
      </c>
      <c r="L8" s="63" t="s">
        <v>199</v>
      </c>
    </row>
    <row r="9" spans="2:12" ht="17.25" x14ac:dyDescent="0.2">
      <c r="B9" s="35" t="s">
        <v>198</v>
      </c>
      <c r="C9" s="35" t="s">
        <v>158</v>
      </c>
      <c r="D9" s="35"/>
      <c r="E9" s="62" t="s">
        <v>197</v>
      </c>
      <c r="F9" s="62" t="s">
        <v>196</v>
      </c>
      <c r="G9" s="62" t="s">
        <v>195</v>
      </c>
      <c r="H9" s="62" t="s">
        <v>194</v>
      </c>
      <c r="I9" s="61" t="s">
        <v>163</v>
      </c>
      <c r="J9" s="61" t="s">
        <v>193</v>
      </c>
      <c r="K9" s="61" t="s">
        <v>192</v>
      </c>
      <c r="L9" s="61" t="s">
        <v>191</v>
      </c>
    </row>
    <row r="10" spans="2:12" ht="6" customHeight="1" x14ac:dyDescent="0.2"/>
    <row r="11" spans="2:12" x14ac:dyDescent="0.2">
      <c r="B11" t="str">
        <f>'Comps Data'!C4</f>
        <v>Hind. Unilever</v>
      </c>
      <c r="C11" t="str">
        <f>'Comps Data'!D4</f>
        <v>HINDUNILVR</v>
      </c>
      <c r="D11" s="60"/>
      <c r="E11" s="59" t="s">
        <v>190</v>
      </c>
      <c r="F11" s="44">
        <f>'Comps Data'!H4</f>
        <v>1648</v>
      </c>
      <c r="G11" s="44">
        <f>'Comps Data'!G4</f>
        <v>624946.60800000001</v>
      </c>
      <c r="H11" s="58">
        <v>0.3</v>
      </c>
      <c r="I11" s="57">
        <f>F11/G11</f>
        <v>2.63702527368546E-3</v>
      </c>
      <c r="J11" s="57">
        <f>F11/SUM(G11,F11)</f>
        <v>2.6300896607779297E-3</v>
      </c>
      <c r="K11" s="56">
        <v>0.44800000000000001</v>
      </c>
      <c r="L11" s="55">
        <f>K11/(1+(1-H11)*I11)</f>
        <v>0.44717455258216438</v>
      </c>
    </row>
    <row r="12" spans="2:12" x14ac:dyDescent="0.2">
      <c r="B12" t="str">
        <f>'Comps Data'!C3</f>
        <v>ITC</v>
      </c>
      <c r="C12" t="str">
        <f>'Comps Data'!D3</f>
        <v>ITC</v>
      </c>
      <c r="D12" s="60"/>
      <c r="E12" s="59" t="s">
        <v>190</v>
      </c>
      <c r="F12" s="44">
        <f>'Comps Data'!H3</f>
        <v>284.54000000000002</v>
      </c>
      <c r="G12" s="44">
        <f>'Comps Data'!G3</f>
        <v>513281.53250000003</v>
      </c>
      <c r="H12" s="58">
        <v>0.3</v>
      </c>
      <c r="I12" s="57">
        <f>F12/G12</f>
        <v>5.5435464162155489E-4</v>
      </c>
      <c r="J12" s="57">
        <f>F12/SUM(G12,F12)</f>
        <v>5.5404750281668966E-4</v>
      </c>
      <c r="K12" s="56">
        <v>0.56599999999999995</v>
      </c>
      <c r="L12" s="55">
        <f>K12/(1+(1-H12)*I12)</f>
        <v>0.56578044988702636</v>
      </c>
    </row>
    <row r="13" spans="2:12" x14ac:dyDescent="0.2">
      <c r="B13" t="str">
        <f>'Comps Data'!C5</f>
        <v>Nestle India</v>
      </c>
      <c r="C13" t="str">
        <f>'Comps Data'!D5</f>
        <v>NESTLEIND</v>
      </c>
      <c r="D13" s="60"/>
      <c r="E13" s="59" t="s">
        <v>190</v>
      </c>
      <c r="F13" s="44">
        <f>'Comps Data'!H5</f>
        <v>1166.8499999999999</v>
      </c>
      <c r="G13" s="44">
        <f>'Comps Data'!G5</f>
        <v>222950.04600000003</v>
      </c>
      <c r="H13" s="58">
        <v>0.3</v>
      </c>
      <c r="I13" s="57">
        <f>F13/G13</f>
        <v>5.2336836028282303E-3</v>
      </c>
      <c r="J13" s="57">
        <f>F13/SUM(G13,F13)</f>
        <v>5.2064347705404581E-3</v>
      </c>
      <c r="K13" s="56">
        <v>0.70199999999999996</v>
      </c>
      <c r="L13" s="55">
        <f>K13/(1+(1-H13)*I13)</f>
        <v>0.69943755559386023</v>
      </c>
    </row>
    <row r="14" spans="2:12" x14ac:dyDescent="0.2">
      <c r="B14" t="str">
        <f>'Comps Data'!C6</f>
        <v>Varun Beverages</v>
      </c>
      <c r="C14" t="str">
        <f>'Comps Data'!D6</f>
        <v>VBL</v>
      </c>
      <c r="D14" s="60"/>
      <c r="E14" s="59" t="s">
        <v>190</v>
      </c>
      <c r="F14" s="44">
        <f>'Comps Data'!H6</f>
        <v>2138.25</v>
      </c>
      <c r="G14" s="44">
        <f>'Comps Data'!G6</f>
        <v>164754.12999999998</v>
      </c>
      <c r="H14" s="58">
        <v>0.3</v>
      </c>
      <c r="I14" s="57">
        <f>F14/G14</f>
        <v>1.2978430343445717E-2</v>
      </c>
      <c r="J14" s="57">
        <f>F14/SUM(G14,F14)</f>
        <v>1.2812148763173012E-2</v>
      </c>
      <c r="K14" s="56">
        <v>0.91100000000000003</v>
      </c>
      <c r="L14" s="55">
        <f>K14/(1+(1-H14)*I14)</f>
        <v>0.90279816780546251</v>
      </c>
    </row>
    <row r="15" spans="2:12" x14ac:dyDescent="0.2">
      <c r="B15" t="str">
        <f>'Comps Data'!C7</f>
        <v>Britannia Inds.</v>
      </c>
      <c r="C15" t="str">
        <f>'Comps Data'!D7</f>
        <v>BRITANNIA</v>
      </c>
      <c r="D15" s="60"/>
      <c r="E15" s="59" t="s">
        <v>190</v>
      </c>
      <c r="F15" s="44">
        <f>'Comps Data'!H7</f>
        <v>1246.51</v>
      </c>
      <c r="G15" s="44">
        <f>'Comps Data'!G7</f>
        <v>140300.16</v>
      </c>
      <c r="H15" s="58">
        <v>0.3</v>
      </c>
      <c r="I15" s="57">
        <f>F15/G15</f>
        <v>8.8845942869915477E-3</v>
      </c>
      <c r="J15" s="57">
        <f>F15/SUM(G15,F15)</f>
        <v>8.8063534097976293E-3</v>
      </c>
      <c r="K15" s="56">
        <v>0.52800000000000002</v>
      </c>
      <c r="L15" s="55">
        <f>K15/(1+(1-H15)*I15)</f>
        <v>0.52473655005166475</v>
      </c>
    </row>
    <row r="17" spans="2:12" x14ac:dyDescent="0.2">
      <c r="G17" s="54" t="s">
        <v>189</v>
      </c>
      <c r="H17" s="53">
        <f>AVERAGE(H11:H15)</f>
        <v>0.3</v>
      </c>
      <c r="I17" s="52">
        <f>AVERAGE(I11:I15)</f>
        <v>6.0576176297145023E-3</v>
      </c>
      <c r="J17" s="52">
        <f>AVERAGE(J11:J15)</f>
        <v>6.0018148214211432E-3</v>
      </c>
      <c r="K17" s="51">
        <f>AVERAGE(K11:K15)</f>
        <v>0.63100000000000001</v>
      </c>
      <c r="L17" s="51">
        <f>AVERAGE(L11:L15)</f>
        <v>0.6279854551840357</v>
      </c>
    </row>
    <row r="18" spans="2:12" x14ac:dyDescent="0.2">
      <c r="G18" s="36" t="s">
        <v>149</v>
      </c>
      <c r="H18" s="50">
        <f>MEDIAN(H11:H15)</f>
        <v>0.3</v>
      </c>
      <c r="I18" s="49">
        <f>MEDIAN(I11:I15)</f>
        <v>5.2336836028282303E-3</v>
      </c>
      <c r="J18" s="49">
        <f>MEDIAN(J11:J15)</f>
        <v>5.2064347705404581E-3</v>
      </c>
      <c r="K18" s="35">
        <f>MEDIAN(K11:K15)</f>
        <v>0.56599999999999995</v>
      </c>
      <c r="L18" s="48">
        <f>MEDIAN(L11:L15)</f>
        <v>0.56578044988702636</v>
      </c>
    </row>
    <row r="20" spans="2:12" x14ac:dyDescent="0.2">
      <c r="B20" s="36" t="s">
        <v>188</v>
      </c>
      <c r="C20" s="36"/>
      <c r="D20" s="36"/>
      <c r="E20" s="35"/>
      <c r="F20" s="35"/>
      <c r="H20" s="36" t="s">
        <v>182</v>
      </c>
      <c r="I20" s="35"/>
      <c r="J20" s="35"/>
      <c r="K20" s="35"/>
      <c r="L20" s="35"/>
    </row>
    <row r="21" spans="2:12" x14ac:dyDescent="0.2">
      <c r="B21" s="2"/>
      <c r="C21" s="2"/>
      <c r="D21" s="2"/>
    </row>
    <row r="22" spans="2:12" x14ac:dyDescent="0.2">
      <c r="B22" t="s">
        <v>6</v>
      </c>
      <c r="F22" s="47">
        <v>216</v>
      </c>
      <c r="H22" t="s">
        <v>187</v>
      </c>
      <c r="L22" s="46">
        <v>6.4019999999999994E-2</v>
      </c>
    </row>
    <row r="23" spans="2:12" x14ac:dyDescent="0.2">
      <c r="B23" t="s">
        <v>186</v>
      </c>
      <c r="F23" s="21">
        <f>F22/F11</f>
        <v>0.13106796116504854</v>
      </c>
      <c r="H23" t="s">
        <v>185</v>
      </c>
      <c r="L23" s="46">
        <v>0.06</v>
      </c>
    </row>
    <row r="24" spans="2:12" ht="17.25" x14ac:dyDescent="0.2">
      <c r="B24" t="s">
        <v>175</v>
      </c>
      <c r="F24" s="21">
        <f>H14</f>
        <v>0.3</v>
      </c>
      <c r="H24" t="s">
        <v>184</v>
      </c>
      <c r="L24" s="28">
        <f>L32</f>
        <v>0.56786413634704769</v>
      </c>
    </row>
    <row r="25" spans="2:12" x14ac:dyDescent="0.2">
      <c r="B25" s="32" t="s">
        <v>183</v>
      </c>
      <c r="C25" s="32"/>
      <c r="D25" s="32"/>
      <c r="E25" s="32"/>
      <c r="F25" s="45">
        <f>F23*(1-F24)</f>
        <v>9.1747572815533973E-2</v>
      </c>
      <c r="H25" s="32" t="s">
        <v>182</v>
      </c>
      <c r="I25" s="32"/>
      <c r="J25" s="32"/>
      <c r="K25" s="32"/>
      <c r="L25" s="45">
        <f>L22+L23*L24</f>
        <v>9.8091848180822852E-2</v>
      </c>
    </row>
    <row r="27" spans="2:12" x14ac:dyDescent="0.2">
      <c r="B27" s="36" t="s">
        <v>181</v>
      </c>
      <c r="C27" s="36"/>
      <c r="D27" s="36"/>
      <c r="E27" s="35"/>
      <c r="F27" s="35"/>
      <c r="H27" s="36" t="s">
        <v>173</v>
      </c>
      <c r="I27" s="36"/>
      <c r="J27" s="35"/>
      <c r="K27" s="35"/>
      <c r="L27" s="35"/>
    </row>
    <row r="29" spans="2:12" x14ac:dyDescent="0.2">
      <c r="E29" s="36" t="s">
        <v>180</v>
      </c>
      <c r="F29" s="36" t="s">
        <v>179</v>
      </c>
      <c r="H29" t="s">
        <v>178</v>
      </c>
      <c r="L29" s="28">
        <f>L18</f>
        <v>0.56578044988702636</v>
      </c>
    </row>
    <row r="30" spans="2:12" x14ac:dyDescent="0.2">
      <c r="B30" t="s">
        <v>177</v>
      </c>
      <c r="D30" s="44">
        <f>F11</f>
        <v>1648</v>
      </c>
      <c r="E30" s="15">
        <f>D30/$D$32</f>
        <v>2.6300896607779297E-3</v>
      </c>
      <c r="F30" s="21">
        <f>I18</f>
        <v>5.2336836028282303E-3</v>
      </c>
      <c r="H30" t="s">
        <v>176</v>
      </c>
      <c r="L30" s="21">
        <f>F34</f>
        <v>5.2612191592730038E-3</v>
      </c>
    </row>
    <row r="31" spans="2:12" x14ac:dyDescent="0.2">
      <c r="B31" t="s">
        <v>44</v>
      </c>
      <c r="D31" s="44">
        <f>G11</f>
        <v>624946.60800000001</v>
      </c>
      <c r="E31" s="15">
        <f>D31/$D$32</f>
        <v>0.99736991033922207</v>
      </c>
      <c r="F31" s="21">
        <f>F32-F30</f>
        <v>0.99476631639717172</v>
      </c>
      <c r="H31" t="s">
        <v>175</v>
      </c>
      <c r="L31" s="43">
        <f>F24</f>
        <v>0.3</v>
      </c>
    </row>
    <row r="32" spans="2:12" x14ac:dyDescent="0.2">
      <c r="B32" s="32" t="s">
        <v>174</v>
      </c>
      <c r="C32" s="32"/>
      <c r="D32" s="42">
        <f>SUM(D30:D31)</f>
        <v>626594.60800000001</v>
      </c>
      <c r="E32" s="41">
        <f>D32/$D$32</f>
        <v>1</v>
      </c>
      <c r="F32" s="40">
        <f>E32</f>
        <v>1</v>
      </c>
      <c r="H32" s="39" t="s">
        <v>173</v>
      </c>
      <c r="I32" s="39"/>
      <c r="J32" s="39"/>
      <c r="K32" s="39"/>
      <c r="L32" s="38">
        <f>L29*(1+(1-L31)*L30)</f>
        <v>0.56786413634704769</v>
      </c>
    </row>
    <row r="34" spans="2:12" x14ac:dyDescent="0.2">
      <c r="B34" t="s">
        <v>172</v>
      </c>
      <c r="E34" s="37">
        <f>E30/E31</f>
        <v>2.63702527368546E-3</v>
      </c>
      <c r="F34" s="37">
        <f>F30/F31</f>
        <v>5.2612191592730038E-3</v>
      </c>
    </row>
    <row r="35" spans="2:12" x14ac:dyDescent="0.2">
      <c r="H35" s="36" t="s">
        <v>171</v>
      </c>
      <c r="I35" s="36"/>
      <c r="J35" s="35"/>
      <c r="K35" s="35"/>
      <c r="L35" s="35"/>
    </row>
    <row r="36" spans="2:12" x14ac:dyDescent="0.2">
      <c r="B36" s="34" t="s">
        <v>170</v>
      </c>
    </row>
    <row r="37" spans="2:12" x14ac:dyDescent="0.2">
      <c r="B37" s="30" t="s">
        <v>169</v>
      </c>
      <c r="C37" s="34"/>
      <c r="K37" s="33" t="s">
        <v>168</v>
      </c>
      <c r="L37" s="33" t="s">
        <v>167</v>
      </c>
    </row>
    <row r="38" spans="2:12" x14ac:dyDescent="0.2">
      <c r="B38" s="30" t="s">
        <v>166</v>
      </c>
      <c r="C38" s="30"/>
      <c r="H38" t="s">
        <v>165</v>
      </c>
      <c r="K38" s="21">
        <f>F25</f>
        <v>9.1747572815533973E-2</v>
      </c>
      <c r="L38" s="21">
        <f>F30</f>
        <v>5.2336836028282303E-3</v>
      </c>
    </row>
    <row r="39" spans="2:12" x14ac:dyDescent="0.2">
      <c r="B39" s="30" t="s">
        <v>164</v>
      </c>
      <c r="C39" s="30"/>
      <c r="H39" t="s">
        <v>163</v>
      </c>
      <c r="K39" s="21">
        <f>L25</f>
        <v>9.8091848180822852E-2</v>
      </c>
      <c r="L39" s="21">
        <f>F31</f>
        <v>0.99476631639717172</v>
      </c>
    </row>
    <row r="40" spans="2:12" x14ac:dyDescent="0.2">
      <c r="B40" s="30" t="s">
        <v>162</v>
      </c>
      <c r="C40" s="30"/>
      <c r="H40" s="32" t="s">
        <v>161</v>
      </c>
      <c r="I40" s="32"/>
      <c r="J40" s="32"/>
      <c r="K40" s="32"/>
      <c r="L40" s="31">
        <f>SUMPRODUCT(K38:K39,L38:L39)</f>
        <v>9.8058644250871713E-2</v>
      </c>
    </row>
    <row r="41" spans="2:12" x14ac:dyDescent="0.2">
      <c r="C41" s="30"/>
    </row>
  </sheetData>
  <mergeCells count="1">
    <mergeCell ref="B6:L6"/>
  </mergeCells>
  <printOptions horizontalCentered="1" verticalCentered="1"/>
  <pageMargins left="0.39370078740157483" right="0.47244094488188981" top="0.35433070866141736" bottom="0.35433070866141736" header="0.31496062992125984" footer="0.31496062992125984"/>
  <pageSetup scale="93"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3B300-B97E-449B-A918-D0A5A5628EFD}">
  <dimension ref="B1:K69"/>
  <sheetViews>
    <sheetView showGridLines="0" zoomScaleNormal="100" workbookViewId="0">
      <selection activeCell="B2" sqref="B2:I5"/>
    </sheetView>
  </sheetViews>
  <sheetFormatPr defaultRowHeight="15" x14ac:dyDescent="0.2"/>
  <cols>
    <col min="1" max="1" width="1.8828125" customWidth="1"/>
    <col min="2" max="2" width="22.46484375" customWidth="1"/>
    <col min="3" max="3" width="11.296875" customWidth="1"/>
    <col min="4" max="7" width="10.4921875" bestFit="1" customWidth="1"/>
    <col min="8" max="8" width="13.5859375" bestFit="1" customWidth="1"/>
    <col min="9" max="9" width="10.4921875" bestFit="1" customWidth="1"/>
  </cols>
  <sheetData>
    <row r="1" spans="2:10" x14ac:dyDescent="0.2">
      <c r="B1" s="113"/>
      <c r="C1" s="113"/>
      <c r="D1" s="113"/>
      <c r="E1" s="113"/>
      <c r="F1" s="113"/>
      <c r="G1" s="113"/>
      <c r="H1" s="113"/>
      <c r="I1" s="113"/>
    </row>
    <row r="2" spans="2:10" ht="24" customHeight="1" x14ac:dyDescent="0.2">
      <c r="B2" s="215" t="str">
        <f>'Data Sheet'!B1</f>
        <v>ITC LTD</v>
      </c>
      <c r="C2" s="213"/>
      <c r="D2" s="216"/>
      <c r="E2" s="213"/>
      <c r="F2" s="213"/>
      <c r="G2" s="213"/>
      <c r="H2" s="213"/>
      <c r="I2" s="213"/>
    </row>
    <row r="3" spans="2:10" x14ac:dyDescent="0.2">
      <c r="B3" s="213" t="s">
        <v>8676</v>
      </c>
      <c r="C3" s="213"/>
      <c r="D3" s="213"/>
      <c r="E3" s="213"/>
      <c r="F3" s="213"/>
      <c r="G3" s="213"/>
      <c r="H3" s="213"/>
      <c r="I3" s="213"/>
    </row>
    <row r="4" spans="2:10" ht="18.75" x14ac:dyDescent="0.25">
      <c r="B4" s="217" t="str">
        <f>CONCATENATE("INR"," ", 'Data Sheet'!B8)</f>
        <v>INR 409.75</v>
      </c>
      <c r="C4" s="213"/>
      <c r="D4" s="213"/>
      <c r="E4" s="213"/>
      <c r="F4" s="213"/>
      <c r="G4" s="213"/>
      <c r="H4" s="213"/>
      <c r="I4" s="213"/>
    </row>
    <row r="5" spans="2:10" x14ac:dyDescent="0.2">
      <c r="B5" s="214" t="s">
        <v>8557</v>
      </c>
      <c r="C5" s="214"/>
      <c r="D5" s="214"/>
      <c r="E5" s="214"/>
      <c r="F5" s="214"/>
      <c r="G5" s="214"/>
      <c r="H5" s="214"/>
      <c r="I5" s="214"/>
    </row>
    <row r="6" spans="2:10" ht="9" customHeight="1" x14ac:dyDescent="0.2">
      <c r="B6" s="140"/>
      <c r="C6" s="140"/>
      <c r="D6" s="140"/>
      <c r="E6" s="140"/>
      <c r="F6" s="140"/>
      <c r="G6" s="140"/>
      <c r="H6" s="140"/>
      <c r="I6" s="140"/>
      <c r="J6" s="140"/>
    </row>
    <row r="7" spans="2:10" x14ac:dyDescent="0.2">
      <c r="B7" s="234" t="s">
        <v>260</v>
      </c>
      <c r="C7" s="234"/>
      <c r="D7" s="92">
        <f>'Raw Bs'!G2</f>
        <v>43891</v>
      </c>
      <c r="E7" s="92">
        <f>'Raw Bs'!H2</f>
        <v>44256</v>
      </c>
      <c r="F7" s="92">
        <f>'Raw Bs'!I2</f>
        <v>44621</v>
      </c>
      <c r="G7" s="92">
        <f>'Raw Bs'!J2</f>
        <v>44986</v>
      </c>
      <c r="H7" s="92">
        <f>'Raw Bs'!K2</f>
        <v>45352</v>
      </c>
      <c r="I7" s="92">
        <f>'Raw Bs'!L2</f>
        <v>45717</v>
      </c>
    </row>
    <row r="8" spans="2:10" ht="3.6" customHeight="1" x14ac:dyDescent="0.2"/>
    <row r="9" spans="2:10" x14ac:dyDescent="0.2">
      <c r="B9" s="2" t="s">
        <v>261</v>
      </c>
    </row>
    <row r="10" spans="2:10" x14ac:dyDescent="0.2">
      <c r="B10" t="str">
        <f>'Raw Bs'!B36</f>
        <v>Inventories</v>
      </c>
      <c r="D10" s="10">
        <f>'Raw Bs'!G36</f>
        <v>8879</v>
      </c>
      <c r="E10" s="10">
        <f>'Raw Bs'!H36</f>
        <v>10397</v>
      </c>
      <c r="F10" s="10">
        <f>'Raw Bs'!I36</f>
        <v>10864</v>
      </c>
      <c r="G10" s="10">
        <f>'Raw Bs'!J36</f>
        <v>11771</v>
      </c>
      <c r="H10" s="10">
        <f>'Raw Bs'!K36</f>
        <v>14153</v>
      </c>
      <c r="I10" s="10">
        <f>'Raw Bs'!L36</f>
        <v>15638</v>
      </c>
    </row>
    <row r="11" spans="2:10" x14ac:dyDescent="0.2">
      <c r="B11" t="str">
        <f>'Raw Bs'!B37</f>
        <v>Trade receivables</v>
      </c>
      <c r="D11" s="10">
        <f>'Raw Bs'!G37</f>
        <v>2562</v>
      </c>
      <c r="E11" s="10">
        <f>'Raw Bs'!H37</f>
        <v>2502</v>
      </c>
      <c r="F11" s="10">
        <f>'Raw Bs'!I37</f>
        <v>2462</v>
      </c>
      <c r="G11" s="10">
        <f>'Raw Bs'!J37</f>
        <v>2956</v>
      </c>
      <c r="H11" s="10">
        <f>'Raw Bs'!K37</f>
        <v>4026</v>
      </c>
      <c r="I11" s="10">
        <f>'Raw Bs'!L37</f>
        <v>4720</v>
      </c>
    </row>
    <row r="12" spans="2:10" x14ac:dyDescent="0.2">
      <c r="B12" t="str">
        <f>'Raw Bs'!B39</f>
        <v>Loans n Advances</v>
      </c>
      <c r="D12" s="10">
        <f>'Raw Bs'!G39</f>
        <v>6</v>
      </c>
      <c r="E12" s="10">
        <f>'Raw Bs'!H39</f>
        <v>7</v>
      </c>
      <c r="F12" s="10">
        <f>'Raw Bs'!I39</f>
        <v>11</v>
      </c>
      <c r="G12" s="10">
        <f>'Raw Bs'!J39</f>
        <v>13</v>
      </c>
      <c r="H12" s="10">
        <f>'Raw Bs'!K39</f>
        <v>31</v>
      </c>
      <c r="I12" s="10">
        <f>'Raw Bs'!L39</f>
        <v>10</v>
      </c>
    </row>
    <row r="13" spans="2:10" x14ac:dyDescent="0.2">
      <c r="B13" t="str">
        <f>'Raw Bs'!B40</f>
        <v>Other asset items</v>
      </c>
      <c r="D13" s="10">
        <f>'Raw Bs'!G40</f>
        <v>4952</v>
      </c>
      <c r="E13" s="10">
        <f>'Raw Bs'!H40</f>
        <v>4015</v>
      </c>
      <c r="F13" s="10">
        <f>'Raw Bs'!I40</f>
        <v>6906</v>
      </c>
      <c r="G13" s="10">
        <f>'Raw Bs'!J40</f>
        <v>7941</v>
      </c>
      <c r="H13" s="10">
        <f>'Raw Bs'!K40</f>
        <v>4531</v>
      </c>
      <c r="I13" s="10">
        <f>'Raw Bs'!L40</f>
        <v>5858</v>
      </c>
    </row>
    <row r="14" spans="2:10" x14ac:dyDescent="0.2">
      <c r="B14" s="98" t="s">
        <v>83</v>
      </c>
      <c r="C14" s="108"/>
      <c r="D14" s="99">
        <f>SUM(D10:D13)</f>
        <v>16399</v>
      </c>
      <c r="E14" s="99">
        <f t="shared" ref="E14:I14" si="0">SUM(E10:E13)</f>
        <v>16921</v>
      </c>
      <c r="F14" s="99">
        <f t="shared" si="0"/>
        <v>20243</v>
      </c>
      <c r="G14" s="99">
        <f t="shared" si="0"/>
        <v>22681</v>
      </c>
      <c r="H14" s="99">
        <f t="shared" si="0"/>
        <v>22741</v>
      </c>
      <c r="I14" s="99">
        <f t="shared" si="0"/>
        <v>26226</v>
      </c>
    </row>
    <row r="15" spans="2:10" ht="9" customHeight="1" x14ac:dyDescent="0.2">
      <c r="D15" s="10"/>
      <c r="E15" s="10"/>
      <c r="F15" s="10"/>
      <c r="G15" s="10"/>
      <c r="H15" s="10"/>
      <c r="I15" s="10"/>
    </row>
    <row r="16" spans="2:10" x14ac:dyDescent="0.2">
      <c r="B16" s="2" t="s">
        <v>262</v>
      </c>
      <c r="D16" s="10"/>
      <c r="E16" s="10"/>
      <c r="F16" s="10"/>
      <c r="G16" s="10"/>
      <c r="H16" s="10"/>
      <c r="I16" s="10"/>
    </row>
    <row r="17" spans="2:9" x14ac:dyDescent="0.2">
      <c r="B17" t="str">
        <f>'Raw Bs'!B13</f>
        <v>Trade Payables</v>
      </c>
      <c r="D17" s="10">
        <f>'Raw Bs'!G13</f>
        <v>3630</v>
      </c>
      <c r="E17" s="10">
        <f>'Raw Bs'!H13</f>
        <v>4319</v>
      </c>
      <c r="F17" s="10">
        <f>'Raw Bs'!I13</f>
        <v>4417</v>
      </c>
      <c r="G17" s="10">
        <f>'Raw Bs'!J13</f>
        <v>4659</v>
      </c>
      <c r="H17" s="10">
        <f>'Raw Bs'!K13</f>
        <v>4798</v>
      </c>
      <c r="I17" s="10">
        <f>'Raw Bs'!L13</f>
        <v>4807</v>
      </c>
    </row>
    <row r="18" spans="2:9" x14ac:dyDescent="0.2">
      <c r="B18" t="str">
        <f>'Raw Bs'!B14</f>
        <v>Advance from Customers</v>
      </c>
      <c r="D18" s="10">
        <f>'Raw Bs'!G14</f>
        <v>703</v>
      </c>
      <c r="E18" s="10">
        <f>'Raw Bs'!H14</f>
        <v>811</v>
      </c>
      <c r="F18" s="10">
        <f>'Raw Bs'!I14</f>
        <v>1278</v>
      </c>
      <c r="G18" s="10">
        <f>'Raw Bs'!J14</f>
        <v>1295</v>
      </c>
      <c r="H18" s="10">
        <f>'Raw Bs'!K14</f>
        <v>886</v>
      </c>
      <c r="I18" s="10">
        <f>'Raw Bs'!L14</f>
        <v>1264</v>
      </c>
    </row>
    <row r="19" spans="2:9" x14ac:dyDescent="0.2">
      <c r="B19" t="str">
        <f>'Raw Bs'!B15</f>
        <v>Other liability items</v>
      </c>
      <c r="D19" s="10">
        <f>'Raw Bs'!G15</f>
        <v>7050</v>
      </c>
      <c r="E19" s="10">
        <f>'Raw Bs'!H15</f>
        <v>7666</v>
      </c>
      <c r="F19" s="10">
        <f>'Raw Bs'!I15</f>
        <v>8429</v>
      </c>
      <c r="G19" s="10">
        <f>'Raw Bs'!J15</f>
        <v>10032</v>
      </c>
      <c r="H19" s="10">
        <f>'Raw Bs'!K15</f>
        <v>10877</v>
      </c>
      <c r="I19" s="10">
        <f>'Raw Bs'!L15</f>
        <v>11249</v>
      </c>
    </row>
    <row r="20" spans="2:9" x14ac:dyDescent="0.2">
      <c r="B20" s="98" t="s">
        <v>299</v>
      </c>
      <c r="C20" s="108"/>
      <c r="D20" s="99">
        <f t="shared" ref="D20:I20" si="1">SUM(D17:D19)</f>
        <v>11383</v>
      </c>
      <c r="E20" s="99">
        <f t="shared" si="1"/>
        <v>12796</v>
      </c>
      <c r="F20" s="99">
        <f t="shared" si="1"/>
        <v>14124</v>
      </c>
      <c r="G20" s="99">
        <f t="shared" si="1"/>
        <v>15986</v>
      </c>
      <c r="H20" s="99">
        <f t="shared" si="1"/>
        <v>16561</v>
      </c>
      <c r="I20" s="99">
        <f t="shared" si="1"/>
        <v>17320</v>
      </c>
    </row>
    <row r="21" spans="2:9" ht="3.6" customHeight="1" x14ac:dyDescent="0.2">
      <c r="D21" s="10"/>
      <c r="E21" s="10"/>
      <c r="F21" s="10"/>
      <c r="G21" s="10"/>
      <c r="H21" s="10"/>
      <c r="I21" s="10"/>
    </row>
    <row r="22" spans="2:9" ht="15.75" thickBot="1" x14ac:dyDescent="0.25">
      <c r="B22" s="100" t="s">
        <v>263</v>
      </c>
      <c r="C22" s="100"/>
      <c r="D22" s="101">
        <f t="shared" ref="D22:I22" si="2">D14-D20</f>
        <v>5016</v>
      </c>
      <c r="E22" s="101">
        <f t="shared" si="2"/>
        <v>4125</v>
      </c>
      <c r="F22" s="101">
        <f t="shared" si="2"/>
        <v>6119</v>
      </c>
      <c r="G22" s="101">
        <f t="shared" si="2"/>
        <v>6695</v>
      </c>
      <c r="H22" s="101">
        <f t="shared" si="2"/>
        <v>6180</v>
      </c>
      <c r="I22" s="101">
        <f t="shared" si="2"/>
        <v>8906</v>
      </c>
    </row>
    <row r="23" spans="2:9" ht="9" customHeight="1" x14ac:dyDescent="0.2"/>
    <row r="24" spans="2:9" x14ac:dyDescent="0.2">
      <c r="B24" s="2" t="s">
        <v>264</v>
      </c>
    </row>
    <row r="25" spans="2:9" x14ac:dyDescent="0.2">
      <c r="B25" t="str">
        <f>'Raw Bs'!B19</f>
        <v>Land</v>
      </c>
      <c r="D25" s="10">
        <f>'Raw Bs'!G19</f>
        <v>2797</v>
      </c>
      <c r="E25" s="10">
        <f>'Raw Bs'!H19</f>
        <v>2889</v>
      </c>
      <c r="F25" s="10">
        <f>'Raw Bs'!I19</f>
        <v>2829</v>
      </c>
      <c r="G25" s="10">
        <f>'Raw Bs'!J19</f>
        <v>2830</v>
      </c>
      <c r="H25" s="10">
        <f>'Raw Bs'!K19</f>
        <v>2865</v>
      </c>
      <c r="I25" s="10">
        <f>'Raw Bs'!L19</f>
        <v>1588</v>
      </c>
    </row>
    <row r="26" spans="2:9" x14ac:dyDescent="0.2">
      <c r="B26" t="str">
        <f>'Raw Bs'!B20</f>
        <v>Building</v>
      </c>
      <c r="D26" s="10">
        <f>'Raw Bs'!G20</f>
        <v>8161</v>
      </c>
      <c r="E26" s="10">
        <f>'Raw Bs'!H20</f>
        <v>8387</v>
      </c>
      <c r="F26" s="10">
        <f>'Raw Bs'!I20</f>
        <v>9100</v>
      </c>
      <c r="G26" s="10">
        <f>'Raw Bs'!J20</f>
        <v>9789</v>
      </c>
      <c r="H26" s="10">
        <f>'Raw Bs'!K20</f>
        <v>10944</v>
      </c>
      <c r="I26" s="10">
        <f>'Raw Bs'!L20</f>
        <v>7550</v>
      </c>
    </row>
    <row r="27" spans="2:9" x14ac:dyDescent="0.2">
      <c r="B27" t="str">
        <f>'Raw Bs'!B21</f>
        <v>Plant Machinery</v>
      </c>
      <c r="D27" s="10">
        <f>'Raw Bs'!G21</f>
        <v>14625</v>
      </c>
      <c r="E27" s="10">
        <f>'Raw Bs'!H21</f>
        <v>15307</v>
      </c>
      <c r="F27" s="10">
        <f>'Raw Bs'!I21</f>
        <v>16912</v>
      </c>
      <c r="G27" s="10">
        <f>'Raw Bs'!J21</f>
        <v>18480</v>
      </c>
      <c r="H27" s="10">
        <f>'Raw Bs'!K21</f>
        <v>20718</v>
      </c>
      <c r="I27" s="10">
        <f>'Raw Bs'!L21</f>
        <v>19423</v>
      </c>
    </row>
    <row r="28" spans="2:9" x14ac:dyDescent="0.2">
      <c r="B28" t="str">
        <f>'Raw Bs'!B22</f>
        <v>Equipments</v>
      </c>
      <c r="D28" s="10">
        <f>'Raw Bs'!G22</f>
        <v>40</v>
      </c>
      <c r="E28" s="10">
        <f>'Raw Bs'!H22</f>
        <v>41</v>
      </c>
      <c r="F28" s="10">
        <f>'Raw Bs'!I22</f>
        <v>44</v>
      </c>
      <c r="G28" s="10">
        <f>'Raw Bs'!J22</f>
        <v>44</v>
      </c>
      <c r="H28" s="10">
        <f>'Raw Bs'!K22</f>
        <v>53</v>
      </c>
      <c r="I28" s="10">
        <f>'Raw Bs'!L22</f>
        <v>63</v>
      </c>
    </row>
    <row r="29" spans="2:9" x14ac:dyDescent="0.2">
      <c r="B29" t="str">
        <f>'Raw Bs'!B23</f>
        <v>Furniture n fittings</v>
      </c>
      <c r="D29" s="10">
        <f>'Raw Bs'!G23</f>
        <v>810</v>
      </c>
      <c r="E29" s="10">
        <f>'Raw Bs'!H23</f>
        <v>833</v>
      </c>
      <c r="F29" s="10">
        <f>'Raw Bs'!I23</f>
        <v>907</v>
      </c>
      <c r="G29" s="10">
        <f>'Raw Bs'!J23</f>
        <v>1000</v>
      </c>
      <c r="H29" s="10">
        <f>'Raw Bs'!K23</f>
        <v>1068</v>
      </c>
      <c r="I29" s="10">
        <f>'Raw Bs'!L23</f>
        <v>282</v>
      </c>
    </row>
    <row r="30" spans="2:9" x14ac:dyDescent="0.2">
      <c r="B30" t="str">
        <f>'Raw Bs'!B24</f>
        <v>Railway sidings</v>
      </c>
      <c r="D30" s="10">
        <f>'Raw Bs'!G24</f>
        <v>2</v>
      </c>
      <c r="E30" s="10">
        <f>'Raw Bs'!H24</f>
        <v>2</v>
      </c>
      <c r="F30" s="10">
        <f>'Raw Bs'!I24</f>
        <v>2</v>
      </c>
      <c r="G30" s="10">
        <f>'Raw Bs'!J24</f>
        <v>2</v>
      </c>
      <c r="H30" s="10">
        <f>'Raw Bs'!K24</f>
        <v>2</v>
      </c>
      <c r="I30" s="10">
        <f>'Raw Bs'!L24</f>
        <v>2</v>
      </c>
    </row>
    <row r="31" spans="2:9" x14ac:dyDescent="0.2">
      <c r="B31" t="str">
        <f>'Raw Bs'!B25</f>
        <v>Vehicles</v>
      </c>
      <c r="D31" s="10">
        <f>'Raw Bs'!G25</f>
        <v>184</v>
      </c>
      <c r="E31" s="10">
        <f>'Raw Bs'!H25</f>
        <v>180</v>
      </c>
      <c r="F31" s="10">
        <f>'Raw Bs'!I25</f>
        <v>179</v>
      </c>
      <c r="G31" s="10">
        <f>'Raw Bs'!J25</f>
        <v>189</v>
      </c>
      <c r="H31" s="10">
        <f>'Raw Bs'!K25</f>
        <v>192</v>
      </c>
      <c r="I31" s="10">
        <f>'Raw Bs'!L25</f>
        <v>141</v>
      </c>
    </row>
    <row r="32" spans="2:9" x14ac:dyDescent="0.2">
      <c r="B32" t="str">
        <f>'Raw Bs'!B26</f>
        <v>Intangible Assets</v>
      </c>
      <c r="D32" s="10">
        <f>'Raw Bs'!G26</f>
        <v>684</v>
      </c>
      <c r="E32" s="10">
        <f>'Raw Bs'!H26</f>
        <v>2734</v>
      </c>
      <c r="F32" s="10">
        <f>'Raw Bs'!I26</f>
        <v>2744</v>
      </c>
      <c r="G32" s="10">
        <f>'Raw Bs'!J26</f>
        <v>3490</v>
      </c>
      <c r="H32" s="10">
        <f>'Raw Bs'!K26</f>
        <v>3505</v>
      </c>
      <c r="I32" s="10">
        <f>'Raw Bs'!L26</f>
        <v>3622</v>
      </c>
    </row>
    <row r="33" spans="2:11" x14ac:dyDescent="0.2">
      <c r="B33" t="str">
        <f>'Raw Bs'!B27</f>
        <v>Other fixed assets</v>
      </c>
      <c r="D33" s="10">
        <f>'Raw Bs'!G27</f>
        <v>663</v>
      </c>
      <c r="E33" s="10">
        <f>'Raw Bs'!H27</f>
        <v>716</v>
      </c>
      <c r="F33" s="10">
        <f>'Raw Bs'!I27</f>
        <v>719</v>
      </c>
      <c r="G33" s="10">
        <f>'Raw Bs'!J27</f>
        <v>786</v>
      </c>
      <c r="H33" s="10">
        <f>'Raw Bs'!K27</f>
        <v>841</v>
      </c>
      <c r="I33" s="10">
        <f>'Raw Bs'!L27</f>
        <v>967</v>
      </c>
    </row>
    <row r="34" spans="2:11" ht="4.1500000000000004" customHeight="1" x14ac:dyDescent="0.2">
      <c r="D34" s="10"/>
      <c r="E34" s="10"/>
      <c r="F34" s="10"/>
      <c r="G34" s="10"/>
      <c r="H34" s="10"/>
      <c r="I34" s="10"/>
    </row>
    <row r="35" spans="2:11" x14ac:dyDescent="0.2">
      <c r="B35" s="98" t="s">
        <v>252</v>
      </c>
      <c r="C35" s="108"/>
      <c r="D35" s="99">
        <f t="shared" ref="D35:I35" si="3">SUM(D25:D32)</f>
        <v>27303</v>
      </c>
      <c r="E35" s="99">
        <f t="shared" si="3"/>
        <v>30373</v>
      </c>
      <c r="F35" s="99">
        <f t="shared" si="3"/>
        <v>32717</v>
      </c>
      <c r="G35" s="99">
        <f t="shared" si="3"/>
        <v>35824</v>
      </c>
      <c r="H35" s="99">
        <f t="shared" si="3"/>
        <v>39347</v>
      </c>
      <c r="I35" s="99">
        <f t="shared" si="3"/>
        <v>32671</v>
      </c>
    </row>
    <row r="36" spans="2:11" x14ac:dyDescent="0.2">
      <c r="B36" t="s">
        <v>253</v>
      </c>
      <c r="D36" s="10">
        <f>-'Raw Bs'!G29</f>
        <v>-6252</v>
      </c>
      <c r="E36" s="10">
        <f>-'Raw Bs'!H29</f>
        <v>-7790</v>
      </c>
      <c r="F36" s="10">
        <f>-'Raw Bs'!I29</f>
        <v>-9204</v>
      </c>
      <c r="G36" s="10">
        <f>-'Raw Bs'!J29</f>
        <v>-10757</v>
      </c>
      <c r="H36" s="10">
        <f>-'Raw Bs'!K29</f>
        <v>-12368</v>
      </c>
      <c r="I36" s="10">
        <f>-'Raw Bs'!L29</f>
        <v>-11683</v>
      </c>
    </row>
    <row r="37" spans="2:11" ht="3.6" customHeight="1" x14ac:dyDescent="0.2">
      <c r="D37" s="10"/>
      <c r="E37" s="10"/>
      <c r="F37" s="10"/>
      <c r="G37" s="10"/>
      <c r="H37" s="10"/>
      <c r="I37" s="10"/>
    </row>
    <row r="38" spans="2:11" ht="15.75" thickBot="1" x14ac:dyDescent="0.25">
      <c r="B38" s="100" t="s">
        <v>265</v>
      </c>
      <c r="C38" s="106"/>
      <c r="D38" s="101">
        <f>SUM(D35:D36)</f>
        <v>21051</v>
      </c>
      <c r="E38" s="101">
        <f t="shared" ref="E38:I38" si="4">SUM(E35:E36)</f>
        <v>22583</v>
      </c>
      <c r="F38" s="101">
        <f t="shared" si="4"/>
        <v>23513</v>
      </c>
      <c r="G38" s="101">
        <f t="shared" si="4"/>
        <v>25067</v>
      </c>
      <c r="H38" s="101">
        <f t="shared" si="4"/>
        <v>26979</v>
      </c>
      <c r="I38" s="101">
        <f t="shared" si="4"/>
        <v>20988</v>
      </c>
    </row>
    <row r="39" spans="2:11" ht="9" customHeight="1" x14ac:dyDescent="0.2">
      <c r="D39" s="10"/>
      <c r="E39" s="10"/>
      <c r="F39" s="10"/>
      <c r="G39" s="10"/>
      <c r="H39" s="10"/>
      <c r="I39" s="10"/>
    </row>
    <row r="40" spans="2:11" x14ac:dyDescent="0.2">
      <c r="B40" s="2" t="s">
        <v>266</v>
      </c>
      <c r="D40" s="16">
        <f t="shared" ref="D40:I40" si="5">D22+D38</f>
        <v>26067</v>
      </c>
      <c r="E40" s="16">
        <f t="shared" si="5"/>
        <v>26708</v>
      </c>
      <c r="F40" s="16">
        <f t="shared" si="5"/>
        <v>29632</v>
      </c>
      <c r="G40" s="16">
        <f t="shared" si="5"/>
        <v>31762</v>
      </c>
      <c r="H40" s="16">
        <f t="shared" si="5"/>
        <v>33159</v>
      </c>
      <c r="I40" s="16">
        <f t="shared" si="5"/>
        <v>29894</v>
      </c>
    </row>
    <row r="41" spans="2:11" x14ac:dyDescent="0.2">
      <c r="B41" t="s">
        <v>144</v>
      </c>
      <c r="D41" s="10">
        <f>HistoricalFS!G31</f>
        <v>17698.63</v>
      </c>
      <c r="E41" s="10">
        <f>HistoricalFS!H31</f>
        <v>15419.189999999999</v>
      </c>
      <c r="F41" s="10">
        <f>HistoricalFS!I31</f>
        <v>18890.739999999994</v>
      </c>
      <c r="G41" s="10">
        <f>HistoricalFS!J31</f>
        <v>23895.249999999996</v>
      </c>
      <c r="H41" s="10">
        <f>HistoricalFS!K31</f>
        <v>23669.48</v>
      </c>
      <c r="I41" s="10">
        <f>HistoricalFS!L31</f>
        <v>24193.129999999997</v>
      </c>
    </row>
    <row r="42" spans="2:11" x14ac:dyDescent="0.2">
      <c r="B42" t="s">
        <v>270</v>
      </c>
      <c r="D42" s="46">
        <v>0.3</v>
      </c>
      <c r="E42" s="46">
        <v>0.3</v>
      </c>
      <c r="F42" s="46">
        <v>0.3</v>
      </c>
      <c r="G42" s="46">
        <v>0.3</v>
      </c>
      <c r="H42" s="46">
        <v>0.3</v>
      </c>
      <c r="I42" s="46">
        <v>0.3</v>
      </c>
    </row>
    <row r="43" spans="2:11" x14ac:dyDescent="0.2">
      <c r="B43" s="2" t="s">
        <v>278</v>
      </c>
      <c r="C43" s="2"/>
      <c r="D43" s="78">
        <f>D41*(1-D42)</f>
        <v>12389.040999999999</v>
      </c>
      <c r="E43" s="78">
        <f t="shared" ref="E43:I43" si="6">E41*(1-E42)</f>
        <v>10793.432999999999</v>
      </c>
      <c r="F43" s="78">
        <f t="shared" si="6"/>
        <v>13223.517999999995</v>
      </c>
      <c r="G43" s="78">
        <f t="shared" si="6"/>
        <v>16726.674999999996</v>
      </c>
      <c r="H43" s="78">
        <f t="shared" si="6"/>
        <v>16568.635999999999</v>
      </c>
      <c r="I43" s="78">
        <f t="shared" si="6"/>
        <v>16935.190999999999</v>
      </c>
    </row>
    <row r="44" spans="2:11" ht="9" customHeight="1" x14ac:dyDescent="0.2"/>
    <row r="45" spans="2:11" ht="15.75" thickBot="1" x14ac:dyDescent="0.25">
      <c r="B45" s="100" t="s">
        <v>267</v>
      </c>
      <c r="C45" s="106"/>
      <c r="D45" s="105">
        <f>D43/D40</f>
        <v>0.47527682510453828</v>
      </c>
      <c r="E45" s="105">
        <f t="shared" ref="E45:I45" si="7">E43/E40</f>
        <v>0.4041273401228096</v>
      </c>
      <c r="F45" s="105">
        <f t="shared" si="7"/>
        <v>0.44625803185745122</v>
      </c>
      <c r="G45" s="105">
        <f t="shared" si="7"/>
        <v>0.52662536993892062</v>
      </c>
      <c r="H45" s="105">
        <f t="shared" si="7"/>
        <v>0.49967236647667296</v>
      </c>
      <c r="I45" s="105">
        <f t="shared" si="7"/>
        <v>0.56650802836689629</v>
      </c>
      <c r="K45" s="21"/>
    </row>
    <row r="46" spans="2:11" ht="9" customHeight="1" x14ac:dyDescent="0.2"/>
    <row r="47" spans="2:11" x14ac:dyDescent="0.2">
      <c r="B47" s="91" t="str">
        <f>B7</f>
        <v>Calculation of Intrinsic Growth Rate</v>
      </c>
      <c r="C47" s="91"/>
      <c r="D47" s="92">
        <f t="shared" ref="D47:I47" si="8">D7</f>
        <v>43891</v>
      </c>
      <c r="E47" s="92">
        <f t="shared" si="8"/>
        <v>44256</v>
      </c>
      <c r="F47" s="92">
        <f t="shared" si="8"/>
        <v>44621</v>
      </c>
      <c r="G47" s="92">
        <f t="shared" si="8"/>
        <v>44986</v>
      </c>
      <c r="H47" s="92">
        <f t="shared" si="8"/>
        <v>45352</v>
      </c>
      <c r="I47" s="92">
        <f t="shared" si="8"/>
        <v>45717</v>
      </c>
    </row>
    <row r="48" spans="2:11" ht="3.6" customHeight="1" x14ac:dyDescent="0.2"/>
    <row r="49" spans="2:9" x14ac:dyDescent="0.2">
      <c r="B49" t="s">
        <v>268</v>
      </c>
      <c r="D49" s="10">
        <f>-'Raw CF'!I11+'Raw CF'!I12</f>
        <v>2468</v>
      </c>
      <c r="E49" s="10">
        <f>-'Raw CF'!J11+'Raw CF'!J12</f>
        <v>1840</v>
      </c>
      <c r="F49" s="10">
        <f>-'Raw CF'!K11+'Raw CF'!K12</f>
        <v>2275</v>
      </c>
      <c r="G49" s="10">
        <f>-'Raw CF'!L11+'Raw CF'!L12</f>
        <v>2792</v>
      </c>
      <c r="H49" s="10">
        <f>-'Raw CF'!M11+'Raw CF'!M12</f>
        <v>3670</v>
      </c>
      <c r="I49" s="10">
        <f>-'Raw CF'!N11+'Raw CF'!N12</f>
        <v>2454</v>
      </c>
    </row>
    <row r="50" spans="2:9" x14ac:dyDescent="0.2">
      <c r="B50" s="74" t="s">
        <v>269</v>
      </c>
      <c r="D50" s="10">
        <v>0</v>
      </c>
      <c r="E50" s="10">
        <f>E22-D22</f>
        <v>-891</v>
      </c>
      <c r="F50" s="10">
        <f>F22-E22</f>
        <v>1994</v>
      </c>
      <c r="G50" s="10">
        <f>G22-F22</f>
        <v>576</v>
      </c>
      <c r="H50" s="10">
        <f>H22-G22</f>
        <v>-515</v>
      </c>
      <c r="I50" s="10">
        <f>I22-H22</f>
        <v>2726</v>
      </c>
    </row>
    <row r="51" spans="2:9" x14ac:dyDescent="0.2">
      <c r="B51" t="s">
        <v>144</v>
      </c>
      <c r="D51" s="10">
        <f t="shared" ref="D51:I51" si="9">D41</f>
        <v>17698.63</v>
      </c>
      <c r="E51" s="10">
        <f t="shared" si="9"/>
        <v>15419.189999999999</v>
      </c>
      <c r="F51" s="10">
        <f t="shared" si="9"/>
        <v>18890.739999999994</v>
      </c>
      <c r="G51" s="10">
        <f t="shared" si="9"/>
        <v>23895.249999999996</v>
      </c>
      <c r="H51" s="10">
        <f t="shared" si="9"/>
        <v>23669.48</v>
      </c>
      <c r="I51" s="10">
        <f t="shared" si="9"/>
        <v>24193.129999999997</v>
      </c>
    </row>
    <row r="52" spans="2:9" x14ac:dyDescent="0.2">
      <c r="B52" t="s">
        <v>270</v>
      </c>
      <c r="D52" s="46">
        <v>0.3</v>
      </c>
      <c r="E52" s="46">
        <v>0.3</v>
      </c>
      <c r="F52" s="46">
        <v>0.3</v>
      </c>
      <c r="G52" s="46">
        <v>0.3</v>
      </c>
      <c r="H52" s="46">
        <v>0.3</v>
      </c>
      <c r="I52" s="46">
        <v>0.3</v>
      </c>
    </row>
    <row r="53" spans="2:9" x14ac:dyDescent="0.2">
      <c r="B53" t="s">
        <v>278</v>
      </c>
      <c r="D53" s="10">
        <f>D51*(1-D52)</f>
        <v>12389.040999999999</v>
      </c>
      <c r="E53" s="10">
        <f t="shared" ref="E53:I53" si="10">E51*(1-E52)</f>
        <v>10793.432999999999</v>
      </c>
      <c r="F53" s="10">
        <f t="shared" si="10"/>
        <v>13223.517999999995</v>
      </c>
      <c r="G53" s="10">
        <f t="shared" si="10"/>
        <v>16726.674999999996</v>
      </c>
      <c r="H53" s="10">
        <f t="shared" si="10"/>
        <v>16568.635999999999</v>
      </c>
      <c r="I53" s="10">
        <f t="shared" si="10"/>
        <v>16935.190999999999</v>
      </c>
    </row>
    <row r="54" spans="2:9" x14ac:dyDescent="0.2">
      <c r="B54" t="s">
        <v>271</v>
      </c>
      <c r="D54" s="10">
        <f t="shared" ref="D54:I54" si="11">D49+D50</f>
        <v>2468</v>
      </c>
      <c r="E54" s="10">
        <f t="shared" si="11"/>
        <v>949</v>
      </c>
      <c r="F54" s="10">
        <f t="shared" si="11"/>
        <v>4269</v>
      </c>
      <c r="G54" s="10">
        <f t="shared" si="11"/>
        <v>3368</v>
      </c>
      <c r="H54" s="10">
        <f t="shared" si="11"/>
        <v>3155</v>
      </c>
      <c r="I54" s="10">
        <f t="shared" si="11"/>
        <v>5180</v>
      </c>
    </row>
    <row r="55" spans="2:9" ht="3.6" customHeight="1" x14ac:dyDescent="0.2">
      <c r="D55" s="75"/>
      <c r="E55" s="75"/>
      <c r="F55" s="75"/>
      <c r="G55" s="75"/>
      <c r="H55" s="75"/>
      <c r="I55" s="75"/>
    </row>
    <row r="56" spans="2:9" ht="15.75" thickBot="1" x14ac:dyDescent="0.25">
      <c r="B56" s="100" t="s">
        <v>272</v>
      </c>
      <c r="C56" s="100"/>
      <c r="D56" s="100"/>
      <c r="E56" s="105">
        <f>E54/E53</f>
        <v>8.7923832945458608E-2</v>
      </c>
      <c r="F56" s="105">
        <f>F54/F53</f>
        <v>0.32283390849545496</v>
      </c>
      <c r="G56" s="105">
        <f>G54/G53</f>
        <v>0.20135502124600382</v>
      </c>
      <c r="H56" s="105">
        <f>H54/H53</f>
        <v>0.19042002009097189</v>
      </c>
      <c r="I56" s="105">
        <f>I54/I53</f>
        <v>0.30587195621236279</v>
      </c>
    </row>
    <row r="57" spans="2:9" ht="9" customHeight="1" x14ac:dyDescent="0.2"/>
    <row r="58" spans="2:9" x14ac:dyDescent="0.2">
      <c r="H58" s="76" t="s">
        <v>273</v>
      </c>
      <c r="I58" s="77">
        <f>AVERAGE(E56:I56)</f>
        <v>0.22168094779805042</v>
      </c>
    </row>
    <row r="59" spans="2:9" x14ac:dyDescent="0.2">
      <c r="H59" s="76" t="s">
        <v>274</v>
      </c>
      <c r="I59" s="77">
        <f>MEDIAN(E56:I56)</f>
        <v>0.20135502124600382</v>
      </c>
    </row>
    <row r="60" spans="2:9" ht="9" customHeight="1" x14ac:dyDescent="0.2"/>
    <row r="61" spans="2:9" x14ac:dyDescent="0.2">
      <c r="B61" s="91" t="s">
        <v>260</v>
      </c>
      <c r="C61" s="91"/>
      <c r="D61" s="92">
        <f>D47</f>
        <v>43891</v>
      </c>
      <c r="E61" s="92">
        <f t="shared" ref="E61:I61" si="12">E47</f>
        <v>44256</v>
      </c>
      <c r="F61" s="92">
        <f t="shared" si="12"/>
        <v>44621</v>
      </c>
      <c r="G61" s="92">
        <f t="shared" si="12"/>
        <v>44986</v>
      </c>
      <c r="H61" s="92">
        <f t="shared" si="12"/>
        <v>45352</v>
      </c>
      <c r="I61" s="92">
        <f t="shared" si="12"/>
        <v>45717</v>
      </c>
    </row>
    <row r="62" spans="2:9" ht="4.9000000000000004" customHeight="1" x14ac:dyDescent="0.2"/>
    <row r="63" spans="2:9" x14ac:dyDescent="0.2">
      <c r="B63" t="s">
        <v>275</v>
      </c>
      <c r="E63" s="21">
        <f>E56</f>
        <v>8.7923832945458608E-2</v>
      </c>
      <c r="F63" s="21">
        <f>F56</f>
        <v>0.32283390849545496</v>
      </c>
      <c r="G63" s="21">
        <f>G56</f>
        <v>0.20135502124600382</v>
      </c>
      <c r="H63" s="21">
        <f>H56</f>
        <v>0.19042002009097189</v>
      </c>
      <c r="I63" s="21">
        <f>I56</f>
        <v>0.30587195621236279</v>
      </c>
    </row>
    <row r="64" spans="2:9" x14ac:dyDescent="0.2">
      <c r="B64" t="s">
        <v>267</v>
      </c>
      <c r="E64" s="21">
        <f>E45</f>
        <v>0.4041273401228096</v>
      </c>
      <c r="F64" s="21">
        <f>F45</f>
        <v>0.44625803185745122</v>
      </c>
      <c r="G64" s="21">
        <f>G45</f>
        <v>0.52662536993892062</v>
      </c>
      <c r="H64" s="21">
        <f>H45</f>
        <v>0.49967236647667296</v>
      </c>
      <c r="I64" s="21">
        <f>I45</f>
        <v>0.56650802836689629</v>
      </c>
    </row>
    <row r="65" spans="2:9" ht="3.6" customHeight="1" x14ac:dyDescent="0.2"/>
    <row r="66" spans="2:9" ht="15.75" thickBot="1" x14ac:dyDescent="0.25">
      <c r="B66" s="100" t="s">
        <v>276</v>
      </c>
      <c r="C66" s="106"/>
      <c r="D66" s="106"/>
      <c r="E66" s="107">
        <f>E63*E64</f>
        <v>3.5532424741650442E-2</v>
      </c>
      <c r="F66" s="107">
        <f t="shared" ref="F66:H66" si="13">F63*F64</f>
        <v>0.14406722462203023</v>
      </c>
      <c r="G66" s="107">
        <f t="shared" si="13"/>
        <v>0.10603866255273599</v>
      </c>
      <c r="H66" s="107">
        <f t="shared" si="13"/>
        <v>9.5147622063391529E-2</v>
      </c>
      <c r="I66" s="107">
        <f>I63*I64</f>
        <v>0.17327891884659127</v>
      </c>
    </row>
    <row r="67" spans="2:9" ht="9" customHeight="1" x14ac:dyDescent="0.2"/>
    <row r="68" spans="2:9" x14ac:dyDescent="0.2">
      <c r="H68" s="76" t="s">
        <v>273</v>
      </c>
      <c r="I68" s="77">
        <f>AVERAGE(E66:I66)</f>
        <v>0.1108129705652799</v>
      </c>
    </row>
    <row r="69" spans="2:9" x14ac:dyDescent="0.2">
      <c r="H69" s="76" t="s">
        <v>274</v>
      </c>
      <c r="I69" s="77">
        <f>MEDIAN(E66:I66)</f>
        <v>0.10603866255273599</v>
      </c>
    </row>
  </sheetData>
  <mergeCells count="1">
    <mergeCell ref="B7:C7"/>
  </mergeCells>
  <printOptions horizontalCentered="1" verticalCentered="1"/>
  <pageMargins left="0.35433070866141736" right="0.70866141732283472" top="0.35433070866141736" bottom="0.35433070866141736" header="0.31496062992125984" footer="0.31496062992125984"/>
  <pageSetup scale="8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86512-3AB6-447F-AD37-03E65E32EC10}">
  <dimension ref="B1:J44"/>
  <sheetViews>
    <sheetView showGridLines="0" zoomScaleNormal="100" workbookViewId="0">
      <selection activeCell="K6" sqref="K6"/>
    </sheetView>
  </sheetViews>
  <sheetFormatPr defaultRowHeight="15" x14ac:dyDescent="0.2"/>
  <cols>
    <col min="1" max="1" width="1.8828125" customWidth="1"/>
    <col min="2" max="2" width="14.66015625" customWidth="1"/>
    <col min="4" max="4" width="13.71875" bestFit="1" customWidth="1"/>
    <col min="5" max="5" width="11.02734375" bestFit="1" customWidth="1"/>
    <col min="6" max="6" width="11.1640625" bestFit="1" customWidth="1"/>
    <col min="7" max="7" width="11.97265625" bestFit="1" customWidth="1"/>
    <col min="8" max="8" width="12.64453125" bestFit="1" customWidth="1"/>
    <col min="9" max="9" width="13.71875" bestFit="1" customWidth="1"/>
    <col min="10" max="10" width="11.97265625" bestFit="1" customWidth="1"/>
  </cols>
  <sheetData>
    <row r="1" spans="2:10" x14ac:dyDescent="0.2">
      <c r="B1" s="113"/>
      <c r="C1" s="113"/>
      <c r="D1" s="113"/>
      <c r="E1" s="113"/>
      <c r="F1" s="113"/>
      <c r="G1" s="113"/>
      <c r="H1" s="113"/>
      <c r="I1" s="113"/>
      <c r="J1" s="113"/>
    </row>
    <row r="2" spans="2:10" ht="24" customHeight="1" x14ac:dyDescent="0.2">
      <c r="B2" s="215" t="str">
        <f>'Data Sheet'!B1</f>
        <v>ITC LTD</v>
      </c>
      <c r="C2" s="213"/>
      <c r="D2" s="216"/>
      <c r="E2" s="213"/>
      <c r="F2" s="213"/>
      <c r="G2" s="213"/>
      <c r="H2" s="213"/>
      <c r="I2" s="213"/>
      <c r="J2" s="213"/>
    </row>
    <row r="3" spans="2:10" x14ac:dyDescent="0.2">
      <c r="B3" s="213" t="s">
        <v>8676</v>
      </c>
      <c r="C3" s="213"/>
      <c r="D3" s="213"/>
      <c r="E3" s="213"/>
      <c r="F3" s="213"/>
      <c r="G3" s="213"/>
      <c r="H3" s="213"/>
      <c r="I3" s="213"/>
      <c r="J3" s="213"/>
    </row>
    <row r="4" spans="2:10" ht="18.75" x14ac:dyDescent="0.25">
      <c r="B4" s="217" t="str">
        <f>CONCATENATE("INR"," ", 'Data Sheet'!B8)</f>
        <v>INR 409.75</v>
      </c>
      <c r="C4" s="213"/>
      <c r="D4" s="213"/>
      <c r="E4" s="213"/>
      <c r="F4" s="213"/>
      <c r="G4" s="213"/>
      <c r="H4" s="213"/>
      <c r="I4" s="213"/>
      <c r="J4" s="213"/>
    </row>
    <row r="5" spans="2:10" x14ac:dyDescent="0.2">
      <c r="B5" s="214" t="s">
        <v>8557</v>
      </c>
      <c r="C5" s="214"/>
      <c r="D5" s="214"/>
      <c r="E5" s="214"/>
      <c r="F5" s="214"/>
      <c r="G5" s="214"/>
      <c r="H5" s="214"/>
      <c r="I5" s="214"/>
      <c r="J5" s="214"/>
    </row>
    <row r="6" spans="2:10" x14ac:dyDescent="0.2">
      <c r="B6" s="140"/>
      <c r="C6" s="140"/>
      <c r="D6" s="140"/>
      <c r="E6" s="140"/>
      <c r="F6" s="140"/>
      <c r="G6" s="140"/>
      <c r="H6" s="140"/>
      <c r="I6" s="140"/>
      <c r="J6" s="140"/>
    </row>
    <row r="7" spans="2:10" x14ac:dyDescent="0.2">
      <c r="B7" s="91" t="s">
        <v>279</v>
      </c>
      <c r="C7" s="91"/>
      <c r="D7" s="91"/>
      <c r="E7" s="110">
        <f>'Intrinsic Growth'!I47</f>
        <v>45717</v>
      </c>
      <c r="F7" s="111">
        <f>E7+366</f>
        <v>46083</v>
      </c>
      <c r="G7" s="111">
        <f t="shared" ref="G7:J7" si="0">F7+366</f>
        <v>46449</v>
      </c>
      <c r="H7" s="111">
        <f t="shared" si="0"/>
        <v>46815</v>
      </c>
      <c r="I7" s="111">
        <f t="shared" si="0"/>
        <v>47181</v>
      </c>
      <c r="J7" s="111">
        <f t="shared" si="0"/>
        <v>47547</v>
      </c>
    </row>
    <row r="8" spans="2:10" ht="3.6" customHeight="1" x14ac:dyDescent="0.2"/>
    <row r="9" spans="2:10" x14ac:dyDescent="0.2">
      <c r="B9" t="s">
        <v>280</v>
      </c>
      <c r="E9" s="202">
        <f>'Intrinsic Growth'!D51</f>
        <v>17698.63</v>
      </c>
      <c r="F9" s="10">
        <f>'Intrinsic Growth'!E51</f>
        <v>15419.189999999999</v>
      </c>
      <c r="G9" s="10">
        <f>'Intrinsic Growth'!F51</f>
        <v>18890.739999999994</v>
      </c>
      <c r="H9" s="10">
        <f>'Intrinsic Growth'!G51</f>
        <v>23895.249999999996</v>
      </c>
      <c r="I9" s="10">
        <f>'Intrinsic Growth'!H51</f>
        <v>23669.48</v>
      </c>
      <c r="J9" s="10">
        <f>'Intrinsic Growth'!I51</f>
        <v>24193.129999999997</v>
      </c>
    </row>
    <row r="10" spans="2:10" x14ac:dyDescent="0.2">
      <c r="B10" t="s">
        <v>175</v>
      </c>
      <c r="E10" s="201">
        <f>'Intrinsic Growth'!D52</f>
        <v>0.3</v>
      </c>
      <c r="F10" s="21">
        <f>'Intrinsic Growth'!E52</f>
        <v>0.3</v>
      </c>
      <c r="G10" s="21">
        <f>'Intrinsic Growth'!F52</f>
        <v>0.3</v>
      </c>
      <c r="H10" s="21">
        <f>'Intrinsic Growth'!G52</f>
        <v>0.3</v>
      </c>
      <c r="I10" s="21">
        <f>'Intrinsic Growth'!H52</f>
        <v>0.3</v>
      </c>
      <c r="J10" s="21">
        <f>'Intrinsic Growth'!I52</f>
        <v>0.3</v>
      </c>
    </row>
    <row r="11" spans="2:10" x14ac:dyDescent="0.2">
      <c r="B11" t="s">
        <v>278</v>
      </c>
      <c r="E11" s="202">
        <f t="shared" ref="E11:J11" si="1">E9*(1-E10)</f>
        <v>12389.040999999999</v>
      </c>
      <c r="F11" s="10">
        <f t="shared" si="1"/>
        <v>10793.432999999999</v>
      </c>
      <c r="G11" s="10">
        <f t="shared" si="1"/>
        <v>13223.517999999995</v>
      </c>
      <c r="H11" s="10">
        <f t="shared" si="1"/>
        <v>16726.674999999996</v>
      </c>
      <c r="I11" s="10">
        <f t="shared" si="1"/>
        <v>16568.635999999999</v>
      </c>
      <c r="J11" s="10">
        <f t="shared" si="1"/>
        <v>16935.190999999999</v>
      </c>
    </row>
    <row r="12" spans="2:10" x14ac:dyDescent="0.2">
      <c r="B12" t="s">
        <v>281</v>
      </c>
      <c r="E12" s="201">
        <f>'Intrinsic Growth'!$I$59</f>
        <v>0.20135502124600382</v>
      </c>
      <c r="F12" s="21">
        <f>'Intrinsic Growth'!$I$59</f>
        <v>0.20135502124600382</v>
      </c>
      <c r="G12" s="21">
        <f>'Intrinsic Growth'!$I$59</f>
        <v>0.20135502124600382</v>
      </c>
      <c r="H12" s="21">
        <f>'Intrinsic Growth'!$I$59</f>
        <v>0.20135502124600382</v>
      </c>
      <c r="I12" s="21">
        <f>'Intrinsic Growth'!$I$59</f>
        <v>0.20135502124600382</v>
      </c>
      <c r="J12" s="21">
        <f>'Intrinsic Growth'!$I$59</f>
        <v>0.20135502124600382</v>
      </c>
    </row>
    <row r="13" spans="2:10" x14ac:dyDescent="0.2">
      <c r="B13" t="s">
        <v>282</v>
      </c>
      <c r="E13" s="202">
        <f t="shared" ref="E13:J13" si="2">E11*(1-E12)</f>
        <v>9894.4453862273876</v>
      </c>
      <c r="F13" s="10">
        <f t="shared" si="2"/>
        <v>8620.1210689676809</v>
      </c>
      <c r="G13" s="10">
        <f t="shared" si="2"/>
        <v>10560.896252163082</v>
      </c>
      <c r="H13" s="10">
        <f t="shared" si="2"/>
        <v>13358.674999999996</v>
      </c>
      <c r="I13" s="10">
        <f t="shared" si="2"/>
        <v>13232.457946202696</v>
      </c>
      <c r="J13" s="10">
        <f t="shared" si="2"/>
        <v>13525.205256389867</v>
      </c>
    </row>
    <row r="14" spans="2:10" x14ac:dyDescent="0.2">
      <c r="E14" s="199"/>
    </row>
    <row r="15" spans="2:10" x14ac:dyDescent="0.2">
      <c r="B15" t="s">
        <v>283</v>
      </c>
      <c r="E15" s="199"/>
      <c r="F15" s="60">
        <f>IF(B15="Mid Year Convention",0.5,1)</f>
        <v>0.5</v>
      </c>
      <c r="G15">
        <f>1+F15</f>
        <v>1.5</v>
      </c>
      <c r="H15">
        <f t="shared" ref="H15:J15" si="3">1+G15</f>
        <v>2.5</v>
      </c>
      <c r="I15">
        <f t="shared" si="3"/>
        <v>3.5</v>
      </c>
      <c r="J15">
        <f t="shared" si="3"/>
        <v>4.5</v>
      </c>
    </row>
    <row r="16" spans="2:10" x14ac:dyDescent="0.2">
      <c r="B16" t="s">
        <v>284</v>
      </c>
      <c r="E16" s="199"/>
      <c r="F16" s="196">
        <f>1/(1+$D$21)^F15</f>
        <v>0.95430507278228982</v>
      </c>
      <c r="G16" s="196">
        <f>1/(1+$D$21)^G15</f>
        <v>0.86908388525400215</v>
      </c>
      <c r="H16" s="196">
        <f>1/(1+$D$21)^H15</f>
        <v>0.79147310556160411</v>
      </c>
      <c r="I16" s="196">
        <f>1/(1+$D$21)^I15</f>
        <v>0.72079311037305349</v>
      </c>
      <c r="J16" s="196">
        <f>1/(1+$D$21)^J15</f>
        <v>0.65642496796225303</v>
      </c>
    </row>
    <row r="17" spans="2:10" x14ac:dyDescent="0.2">
      <c r="E17" s="199"/>
    </row>
    <row r="18" spans="2:10" ht="15.75" thickBot="1" x14ac:dyDescent="0.25">
      <c r="B18" s="106" t="s">
        <v>285</v>
      </c>
      <c r="C18" s="106"/>
      <c r="D18" s="106"/>
      <c r="E18" s="203"/>
      <c r="F18" s="109">
        <f>F13*F16</f>
        <v>8226.2252641133528</v>
      </c>
      <c r="G18" s="109">
        <f t="shared" ref="G18:J18" si="4">G13*G16</f>
        <v>9178.3047465943218</v>
      </c>
      <c r="H18" s="109">
        <f t="shared" si="4"/>
        <v>10573.031988438159</v>
      </c>
      <c r="I18" s="109">
        <f t="shared" si="4"/>
        <v>9537.8645209240676</v>
      </c>
      <c r="J18" s="109">
        <f t="shared" si="4"/>
        <v>8878.2824271086138</v>
      </c>
    </row>
    <row r="19" spans="2:10" ht="9" customHeight="1" x14ac:dyDescent="0.2"/>
    <row r="20" spans="2:10" x14ac:dyDescent="0.2">
      <c r="B20" s="199" t="s">
        <v>286</v>
      </c>
      <c r="C20" s="199"/>
      <c r="D20" s="200">
        <v>0.05</v>
      </c>
    </row>
    <row r="21" spans="2:10" x14ac:dyDescent="0.2">
      <c r="B21" s="199" t="s">
        <v>287</v>
      </c>
      <c r="C21" s="199"/>
      <c r="D21" s="201">
        <f>WACC!L40</f>
        <v>9.8058644250871713E-2</v>
      </c>
    </row>
    <row r="22" spans="2:10" ht="9" customHeight="1" x14ac:dyDescent="0.2"/>
    <row r="23" spans="2:10" x14ac:dyDescent="0.2">
      <c r="B23" s="224" t="s">
        <v>288</v>
      </c>
      <c r="C23" s="224"/>
      <c r="D23" s="224"/>
      <c r="F23" s="224" t="s">
        <v>8677</v>
      </c>
      <c r="G23" s="224"/>
      <c r="H23" s="224"/>
      <c r="I23" s="224"/>
      <c r="J23" s="224"/>
    </row>
    <row r="24" spans="2:10" ht="5.45" customHeight="1" x14ac:dyDescent="0.2">
      <c r="B24" s="198"/>
      <c r="C24" s="198"/>
      <c r="D24" s="198"/>
      <c r="F24" s="198"/>
      <c r="G24" s="198"/>
      <c r="H24" s="198"/>
      <c r="I24" s="198"/>
      <c r="J24" s="198"/>
    </row>
    <row r="25" spans="2:10" ht="18.75" thickBot="1" x14ac:dyDescent="0.35">
      <c r="B25" t="s">
        <v>321</v>
      </c>
      <c r="D25" s="10">
        <f>J13*(1+D20)</f>
        <v>14201.465519209361</v>
      </c>
      <c r="F25" s="235" t="s">
        <v>8679</v>
      </c>
      <c r="G25" s="235"/>
      <c r="H25" s="235"/>
      <c r="I25" s="235"/>
      <c r="J25" s="235"/>
    </row>
    <row r="26" spans="2:10" x14ac:dyDescent="0.2">
      <c r="B26" t="s">
        <v>287</v>
      </c>
      <c r="D26" s="21">
        <f>WACC!L40</f>
        <v>9.8058644250871713E-2</v>
      </c>
    </row>
    <row r="27" spans="2:10" x14ac:dyDescent="0.2">
      <c r="B27" t="s">
        <v>286</v>
      </c>
      <c r="D27" s="21">
        <f>D20</f>
        <v>0.05</v>
      </c>
      <c r="F27" s="172"/>
      <c r="G27" s="224" t="s">
        <v>8678</v>
      </c>
      <c r="H27" s="224"/>
      <c r="I27" s="224"/>
      <c r="J27" s="224"/>
    </row>
    <row r="28" spans="2:10" x14ac:dyDescent="0.2">
      <c r="D28" s="21"/>
      <c r="F28" s="197">
        <f>D36</f>
        <v>178286.66260667489</v>
      </c>
      <c r="G28" s="205">
        <v>0.03</v>
      </c>
      <c r="H28" s="205">
        <v>0.04</v>
      </c>
      <c r="I28" s="205">
        <v>0.05</v>
      </c>
      <c r="J28" s="205">
        <v>7.0000000000000007E-2</v>
      </c>
    </row>
    <row r="29" spans="2:10" ht="15.75" thickBot="1" x14ac:dyDescent="0.25">
      <c r="B29" s="100" t="s">
        <v>289</v>
      </c>
      <c r="C29" s="100"/>
      <c r="D29" s="101">
        <f>D25/D26-D27</f>
        <v>144826.19788158964</v>
      </c>
      <c r="F29" s="204">
        <v>7.0000000000000007E-2</v>
      </c>
      <c r="G29" s="44">
        <f t="dataTable" ref="G29:J33" dt2D="1" dtr="1" r1="D20" r2="D21" ca="1"/>
        <v>182345.83471710258</v>
      </c>
      <c r="H29" s="44">
        <v>183634.88854782435</v>
      </c>
      <c r="I29" s="44">
        <v>184923.94237854611</v>
      </c>
      <c r="J29" s="44">
        <v>187502.05003998964</v>
      </c>
    </row>
    <row r="30" spans="2:10" x14ac:dyDescent="0.2">
      <c r="F30" s="204">
        <v>0.08</v>
      </c>
      <c r="G30" s="44">
        <v>179942.81075968902</v>
      </c>
      <c r="H30" s="207">
        <v>181219.92890679301</v>
      </c>
      <c r="I30" s="207">
        <v>182497.047053897</v>
      </c>
      <c r="J30" s="207">
        <v>185051.28334810492</v>
      </c>
    </row>
    <row r="31" spans="2:10" x14ac:dyDescent="0.2">
      <c r="B31" s="224" t="s">
        <v>290</v>
      </c>
      <c r="C31" s="224"/>
      <c r="D31" s="224"/>
      <c r="F31" s="204">
        <v>9.8058644250871713E-2</v>
      </c>
      <c r="G31" s="44">
        <v>175774.43321693537</v>
      </c>
      <c r="H31" s="207">
        <v>177030.54791180513</v>
      </c>
      <c r="I31" s="206">
        <v>178286.66260667489</v>
      </c>
      <c r="J31" s="207">
        <v>180798.8919964144</v>
      </c>
    </row>
    <row r="32" spans="2:10" x14ac:dyDescent="0.2">
      <c r="F32" s="204">
        <v>0.11</v>
      </c>
      <c r="G32" s="44">
        <v>173132.29672297538</v>
      </c>
      <c r="H32" s="207">
        <v>174374.89816340088</v>
      </c>
      <c r="I32" s="207">
        <v>175617.49960382638</v>
      </c>
      <c r="J32" s="207">
        <v>178102.70248467731</v>
      </c>
    </row>
    <row r="33" spans="2:10" x14ac:dyDescent="0.2">
      <c r="B33" t="s">
        <v>298</v>
      </c>
      <c r="D33" s="10">
        <f>SUM(F18:J18)</f>
        <v>46393.708947178515</v>
      </c>
      <c r="F33" s="204">
        <v>0.13</v>
      </c>
      <c r="G33" s="44">
        <v>168896.87905128434</v>
      </c>
      <c r="H33" s="44">
        <v>170117.48754586163</v>
      </c>
      <c r="I33" s="44">
        <v>171338.09604043886</v>
      </c>
      <c r="J33" s="44">
        <v>173779.31302959332</v>
      </c>
    </row>
    <row r="34" spans="2:10" x14ac:dyDescent="0.2">
      <c r="B34" t="s">
        <v>291</v>
      </c>
      <c r="D34" s="10">
        <f>NPV(D21,D29)</f>
        <v>131892.95365949639</v>
      </c>
    </row>
    <row r="35" spans="2:10" ht="3.6" customHeight="1" x14ac:dyDescent="0.2">
      <c r="D35" s="79"/>
    </row>
    <row r="36" spans="2:10" ht="15.75" thickBot="1" x14ac:dyDescent="0.25">
      <c r="B36" s="2" t="s">
        <v>292</v>
      </c>
      <c r="C36" s="2"/>
      <c r="D36" s="16">
        <f>SUM(D33:D34)</f>
        <v>178286.66260667489</v>
      </c>
      <c r="F36" s="235" t="s">
        <v>8680</v>
      </c>
      <c r="G36" s="235"/>
      <c r="H36" s="235"/>
      <c r="I36" s="235"/>
      <c r="J36" s="235"/>
    </row>
    <row r="37" spans="2:10" x14ac:dyDescent="0.2">
      <c r="B37" s="211" t="s">
        <v>293</v>
      </c>
      <c r="D37" s="10">
        <f>'Data Sheet'!K69</f>
        <v>4012.36</v>
      </c>
    </row>
    <row r="38" spans="2:10" x14ac:dyDescent="0.2">
      <c r="B38" s="211" t="s">
        <v>294</v>
      </c>
      <c r="D38" s="79">
        <f>'Data Sheet'!K59</f>
        <v>284.54000000000002</v>
      </c>
      <c r="F38" s="172"/>
      <c r="G38" s="224" t="s">
        <v>8678</v>
      </c>
      <c r="H38" s="224"/>
      <c r="I38" s="224"/>
      <c r="J38" s="224"/>
    </row>
    <row r="39" spans="2:10" x14ac:dyDescent="0.2">
      <c r="B39" s="2" t="s">
        <v>295</v>
      </c>
      <c r="C39" s="2"/>
      <c r="D39" s="16">
        <f>D36+D37-D38</f>
        <v>182014.48260667486</v>
      </c>
      <c r="F39" s="197">
        <f>D42</f>
        <v>145.30165366869642</v>
      </c>
      <c r="G39" s="205">
        <v>0.03</v>
      </c>
      <c r="H39" s="205">
        <v>0.04</v>
      </c>
      <c r="I39" s="205">
        <v>0.05</v>
      </c>
      <c r="J39" s="205">
        <v>7.0000000000000007E-2</v>
      </c>
    </row>
    <row r="40" spans="2:10" x14ac:dyDescent="0.2">
      <c r="B40" t="s">
        <v>296</v>
      </c>
      <c r="D40" s="80">
        <f>'Data Sheet'!B6</f>
        <v>1252.6662843197071</v>
      </c>
      <c r="F40" s="204">
        <v>7.0000000000000007E-2</v>
      </c>
      <c r="G40" s="44">
        <f t="dataTable" ref="G40:J44" dt2D="1" dtr="1" r1="D20" r2="D21"/>
        <v>148.54207943990022</v>
      </c>
      <c r="H40" s="44">
        <v>149.57112751667657</v>
      </c>
      <c r="I40" s="44">
        <v>150.60017559345292</v>
      </c>
      <c r="J40" s="44">
        <v>152.65827174700559</v>
      </c>
    </row>
    <row r="41" spans="2:10" x14ac:dyDescent="0.2">
      <c r="D41" s="21"/>
      <c r="F41" s="204">
        <v>0.08</v>
      </c>
      <c r="G41" s="44">
        <v>146.62375211881439</v>
      </c>
      <c r="H41" s="207">
        <v>147.64327197265763</v>
      </c>
      <c r="I41" s="207">
        <v>148.66279182650086</v>
      </c>
      <c r="J41" s="207">
        <v>150.70183153418733</v>
      </c>
    </row>
    <row r="42" spans="2:10" ht="15.75" thickBot="1" x14ac:dyDescent="0.25">
      <c r="B42" s="100" t="s">
        <v>297</v>
      </c>
      <c r="C42" s="100"/>
      <c r="D42" s="101">
        <f>D39/D40</f>
        <v>145.30165366869642</v>
      </c>
      <c r="F42" s="204">
        <v>9.8058644250871713E-2</v>
      </c>
      <c r="G42" s="44">
        <v>143.29614795565342</v>
      </c>
      <c r="H42" s="207">
        <v>144.29890081217491</v>
      </c>
      <c r="I42" s="206">
        <v>145.30165366869642</v>
      </c>
      <c r="J42" s="207">
        <v>147.30715938173941</v>
      </c>
    </row>
    <row r="43" spans="2:10" x14ac:dyDescent="0.2">
      <c r="B43" t="s">
        <v>224</v>
      </c>
      <c r="D43">
        <f>'Data Sheet'!B8</f>
        <v>409.75</v>
      </c>
      <c r="F43" s="204">
        <v>0.11</v>
      </c>
      <c r="G43" s="44">
        <v>141.18693776373476</v>
      </c>
      <c r="H43" s="207">
        <v>142.1789030269336</v>
      </c>
      <c r="I43" s="207">
        <v>143.17086829013243</v>
      </c>
      <c r="J43" s="207">
        <v>145.15479881653005</v>
      </c>
    </row>
    <row r="44" spans="2:10" x14ac:dyDescent="0.2">
      <c r="B44" t="str">
        <f>IF(D42&gt;D43,"Discount","Premium")</f>
        <v>Premium</v>
      </c>
      <c r="D44" s="81">
        <f>D43/D42</f>
        <v>2.8199954346994192</v>
      </c>
      <c r="F44" s="204">
        <v>0.13</v>
      </c>
      <c r="G44" s="44">
        <v>137.8058156526761</v>
      </c>
      <c r="H44" s="44">
        <v>138.7802240085617</v>
      </c>
      <c r="I44" s="44">
        <v>139.75463236444727</v>
      </c>
      <c r="J44" s="44">
        <v>141.70344907621836</v>
      </c>
    </row>
  </sheetData>
  <mergeCells count="7">
    <mergeCell ref="F36:J36"/>
    <mergeCell ref="G38:J38"/>
    <mergeCell ref="B23:D23"/>
    <mergeCell ref="B31:D31"/>
    <mergeCell ref="F23:J23"/>
    <mergeCell ref="G27:J27"/>
    <mergeCell ref="F25:J25"/>
  </mergeCells>
  <dataValidations disablePrompts="1" count="1">
    <dataValidation type="list" allowBlank="1" showInputMessage="1" showErrorMessage="1" sqref="B15" xr:uid="{CCB2FC32-57E4-457B-8954-852B901096B0}">
      <formula1>"Mid Year Convention, Year End Convention"</formula1>
    </dataValidation>
  </dataValidations>
  <printOptions horizontalCentered="1"/>
  <pageMargins left="0.19685039370078741" right="0.19685039370078741" top="0.35433070866141736" bottom="0.35433070866141736" header="0.31496062992125984" footer="0.31496062992125984"/>
  <pageSetup scale="90" orientation="landscape" r:id="rId1"/>
  <ignoredErrors>
    <ignoredError sqref="E12:J12"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037C-ABD2-4C84-B7BC-DD5814AACE0E}">
  <dimension ref="B1:P39"/>
  <sheetViews>
    <sheetView showGridLines="0" topLeftCell="A8" zoomScale="90" zoomScaleNormal="90" workbookViewId="0">
      <selection activeCell="B12" sqref="B12:P12"/>
    </sheetView>
  </sheetViews>
  <sheetFormatPr defaultRowHeight="15" x14ac:dyDescent="0.2"/>
  <cols>
    <col min="1" max="1" width="1.8828125" customWidth="1"/>
    <col min="2" max="2" width="32.6875" customWidth="1"/>
    <col min="3" max="3" width="12.64453125" bestFit="1" customWidth="1"/>
    <col min="4" max="4" width="9.953125" customWidth="1"/>
    <col min="5" max="5" width="11.703125" customWidth="1"/>
    <col min="6" max="6" width="9.4140625" bestFit="1" customWidth="1"/>
    <col min="7" max="7" width="9.68359375" bestFit="1" customWidth="1"/>
    <col min="8" max="8" width="11.1640625" customWidth="1"/>
    <col min="9" max="9" width="4.4375" customWidth="1"/>
    <col min="10" max="10" width="9.68359375" bestFit="1" customWidth="1"/>
    <col min="11" max="11" width="8.609375" bestFit="1" customWidth="1"/>
    <col min="12" max="12" width="11.296875" bestFit="1" customWidth="1"/>
    <col min="13" max="13" width="4.4375" customWidth="1"/>
    <col min="14" max="14" width="13.046875" bestFit="1" customWidth="1"/>
    <col min="15" max="16" width="12.10546875" bestFit="1" customWidth="1"/>
  </cols>
  <sheetData>
    <row r="1" spans="2:16" x14ac:dyDescent="0.2">
      <c r="B1" s="113"/>
      <c r="C1" s="113"/>
      <c r="D1" s="113"/>
      <c r="E1" s="113"/>
      <c r="F1" s="113"/>
      <c r="G1" s="113"/>
      <c r="H1" s="113"/>
      <c r="I1" s="113"/>
      <c r="J1" s="113"/>
      <c r="K1" s="113"/>
      <c r="L1" s="113"/>
      <c r="M1" s="113"/>
      <c r="N1" s="113"/>
      <c r="O1" s="113"/>
      <c r="P1" s="113"/>
    </row>
    <row r="2" spans="2:16" ht="29.45" customHeight="1" x14ac:dyDescent="0.2">
      <c r="B2" s="215" t="str">
        <f>'Data Sheet'!B1</f>
        <v>ITC LTD</v>
      </c>
      <c r="C2" s="213"/>
      <c r="D2" s="216"/>
      <c r="E2" s="213"/>
      <c r="F2" s="213"/>
      <c r="G2" s="213"/>
      <c r="H2" s="213"/>
      <c r="I2" s="213"/>
      <c r="J2" s="213"/>
      <c r="K2" s="213"/>
      <c r="L2" s="213"/>
      <c r="M2" s="213"/>
      <c r="N2" s="213"/>
      <c r="O2" s="213"/>
      <c r="P2" s="213"/>
    </row>
    <row r="3" spans="2:16" x14ac:dyDescent="0.2">
      <c r="B3" s="213" t="s">
        <v>8676</v>
      </c>
      <c r="C3" s="213"/>
      <c r="D3" s="213"/>
      <c r="E3" s="213"/>
      <c r="F3" s="213"/>
      <c r="G3" s="213"/>
      <c r="H3" s="213"/>
      <c r="I3" s="213"/>
      <c r="J3" s="213"/>
      <c r="K3" s="213"/>
      <c r="L3" s="213"/>
      <c r="M3" s="213"/>
      <c r="N3" s="213"/>
      <c r="O3" s="213"/>
      <c r="P3" s="213"/>
    </row>
    <row r="4" spans="2:16" ht="18.75" x14ac:dyDescent="0.25">
      <c r="B4" s="217" t="str">
        <f>CONCATENATE("INR"," ", 'Data Sheet'!B8)</f>
        <v>INR 409.75</v>
      </c>
      <c r="C4" s="213"/>
      <c r="D4" s="213"/>
      <c r="E4" s="213"/>
      <c r="F4" s="213"/>
      <c r="G4" s="213"/>
      <c r="H4" s="213"/>
      <c r="I4" s="213"/>
      <c r="J4" s="213"/>
      <c r="K4" s="213"/>
      <c r="L4" s="213"/>
      <c r="M4" s="213"/>
      <c r="N4" s="213"/>
      <c r="O4" s="213"/>
      <c r="P4" s="213"/>
    </row>
    <row r="5" spans="2:16" x14ac:dyDescent="0.2">
      <c r="B5" s="214" t="s">
        <v>8557</v>
      </c>
      <c r="C5" s="214"/>
      <c r="D5" s="214"/>
      <c r="E5" s="214"/>
      <c r="F5" s="214"/>
      <c r="G5" s="214"/>
      <c r="H5" s="214"/>
      <c r="I5" s="214"/>
      <c r="J5" s="214"/>
      <c r="K5" s="214"/>
      <c r="L5" s="214"/>
      <c r="M5" s="214"/>
      <c r="N5" s="214"/>
      <c r="O5" s="214"/>
      <c r="P5" s="214"/>
    </row>
    <row r="6" spans="2:16" x14ac:dyDescent="0.2">
      <c r="B6" s="140"/>
      <c r="C6" s="140"/>
      <c r="D6" s="140"/>
      <c r="E6" s="140"/>
      <c r="F6" s="140"/>
      <c r="G6" s="140"/>
      <c r="H6" s="140"/>
      <c r="I6" s="140"/>
      <c r="J6" s="140"/>
    </row>
    <row r="7" spans="2:16" ht="18.75" x14ac:dyDescent="0.25">
      <c r="B7" s="68" t="s">
        <v>230</v>
      </c>
      <c r="C7" s="68"/>
      <c r="D7" s="68"/>
      <c r="E7" s="82" t="s">
        <v>229</v>
      </c>
      <c r="F7" s="35"/>
      <c r="G7" s="35"/>
      <c r="H7" s="67"/>
      <c r="I7" s="67"/>
      <c r="J7" s="67"/>
      <c r="K7" s="67"/>
      <c r="L7" s="67"/>
      <c r="M7" s="67"/>
      <c r="N7" s="67"/>
      <c r="O7" s="67"/>
      <c r="P7" s="67"/>
    </row>
    <row r="8" spans="2:16" ht="3.6" customHeight="1" x14ac:dyDescent="0.2"/>
    <row r="9" spans="2:16" x14ac:dyDescent="0.2">
      <c r="B9" s="91"/>
      <c r="C9" s="91"/>
      <c r="D9" s="236" t="s">
        <v>228</v>
      </c>
      <c r="E9" s="236"/>
      <c r="F9" s="236"/>
      <c r="G9" s="236"/>
      <c r="H9" s="236"/>
      <c r="I9" s="91"/>
      <c r="J9" s="236" t="s">
        <v>227</v>
      </c>
      <c r="K9" s="236"/>
      <c r="L9" s="236"/>
      <c r="M9" s="127"/>
      <c r="N9" s="236" t="s">
        <v>226</v>
      </c>
      <c r="O9" s="236"/>
      <c r="P9" s="236"/>
    </row>
    <row r="10" spans="2:16" ht="32.450000000000003" customHeight="1" x14ac:dyDescent="0.2">
      <c r="B10" s="91" t="s">
        <v>225</v>
      </c>
      <c r="C10" s="91" t="s">
        <v>158</v>
      </c>
      <c r="D10" s="112" t="s">
        <v>224</v>
      </c>
      <c r="E10" s="112" t="s">
        <v>223</v>
      </c>
      <c r="F10" s="112" t="s">
        <v>222</v>
      </c>
      <c r="G10" s="112" t="s">
        <v>221</v>
      </c>
      <c r="H10" s="112" t="s">
        <v>220</v>
      </c>
      <c r="I10" s="113" t="s">
        <v>219</v>
      </c>
      <c r="J10" s="91" t="s">
        <v>218</v>
      </c>
      <c r="K10" s="91" t="s">
        <v>66</v>
      </c>
      <c r="L10" s="91" t="s">
        <v>217</v>
      </c>
      <c r="M10" s="91"/>
      <c r="N10" s="114" t="s">
        <v>216</v>
      </c>
      <c r="O10" s="114" t="s">
        <v>215</v>
      </c>
      <c r="P10" s="114" t="s">
        <v>214</v>
      </c>
    </row>
    <row r="11" spans="2:16" ht="3.6" customHeight="1" x14ac:dyDescent="0.2">
      <c r="B11" s="65"/>
      <c r="C11" s="65"/>
      <c r="D11" s="66"/>
      <c r="E11" s="66"/>
      <c r="F11" s="66"/>
      <c r="G11" s="66"/>
      <c r="H11" s="66"/>
      <c r="J11" s="65"/>
      <c r="K11" s="65"/>
      <c r="L11" s="65"/>
      <c r="M11" s="65"/>
      <c r="N11" s="65"/>
      <c r="O11" s="65"/>
      <c r="P11" s="65"/>
    </row>
    <row r="12" spans="2:16" x14ac:dyDescent="0.2">
      <c r="B12" s="118" t="str">
        <f>'Comps Data'!C3</f>
        <v>ITC</v>
      </c>
      <c r="C12" s="118" t="str">
        <f>'Comps Data'!D3</f>
        <v>ITC</v>
      </c>
      <c r="D12" s="118">
        <f>'Comps Data'!E3</f>
        <v>409.75</v>
      </c>
      <c r="E12" s="118">
        <f>'Comps Data'!F3</f>
        <v>1252.67</v>
      </c>
      <c r="F12" s="121">
        <f t="shared" ref="F12:F21" si="0">E12*D12</f>
        <v>513281.53250000003</v>
      </c>
      <c r="G12" s="121">
        <f>'Comps Data'!H3</f>
        <v>284.54000000000002</v>
      </c>
      <c r="H12" s="121">
        <f>'Comps Data'!J3</f>
        <v>509553.71250000002</v>
      </c>
      <c r="I12" s="121"/>
      <c r="J12" s="121">
        <f>'Comps Data'!K3</f>
        <v>79040.320000000007</v>
      </c>
      <c r="K12" s="121">
        <f>'Comps Data'!L3</f>
        <v>43885.8</v>
      </c>
      <c r="L12" s="121">
        <f>'Comps Data'!M3</f>
        <v>35218.9</v>
      </c>
      <c r="M12" s="121"/>
      <c r="N12" s="119">
        <f>$H12/J12</f>
        <v>6.446756699618625</v>
      </c>
      <c r="O12" s="119">
        <f>$H12/K12</f>
        <v>11.610901760934061</v>
      </c>
      <c r="P12" s="119">
        <f t="shared" ref="P12:P21" si="1">F12/L12</f>
        <v>14.574036454858046</v>
      </c>
    </row>
    <row r="13" spans="2:16" x14ac:dyDescent="0.2">
      <c r="B13" s="122" t="str">
        <f>'Comps Data'!C4</f>
        <v>Hind. Unilever</v>
      </c>
      <c r="C13" s="122" t="str">
        <f>'Comps Data'!D4</f>
        <v>HINDUNILVR</v>
      </c>
      <c r="D13" s="122">
        <f>'Comps Data'!E4</f>
        <v>2659.8</v>
      </c>
      <c r="E13" s="122">
        <f>'Comps Data'!F4</f>
        <v>234.96</v>
      </c>
      <c r="F13" s="123">
        <f t="shared" si="0"/>
        <v>624946.60800000001</v>
      </c>
      <c r="G13" s="123">
        <f>'Comps Data'!H4</f>
        <v>1648</v>
      </c>
      <c r="H13" s="123">
        <f>'Comps Data'!J4</f>
        <v>619040.60800000001</v>
      </c>
      <c r="I13" s="123"/>
      <c r="J13" s="123">
        <f>'Comps Data'!K4</f>
        <v>63928</v>
      </c>
      <c r="K13" s="123">
        <f>'Comps Data'!L4</f>
        <v>16005</v>
      </c>
      <c r="L13" s="123">
        <f>'Comps Data'!M4</f>
        <v>10827</v>
      </c>
      <c r="M13" s="123"/>
      <c r="N13" s="124">
        <f t="shared" ref="N13:N21" si="2">H13/J13</f>
        <v>9.6834033287448378</v>
      </c>
      <c r="O13" s="124">
        <f t="shared" ref="O13:O21" si="3">$H13/K13</f>
        <v>38.677951140268668</v>
      </c>
      <c r="P13" s="124">
        <f t="shared" si="1"/>
        <v>57.721123857024104</v>
      </c>
    </row>
    <row r="14" spans="2:16" x14ac:dyDescent="0.2">
      <c r="B14" s="122" t="str">
        <f>'Comps Data'!C5</f>
        <v>Nestle India</v>
      </c>
      <c r="C14" s="122" t="str">
        <f>'Comps Data'!D5</f>
        <v>NESTLEIND</v>
      </c>
      <c r="D14" s="123">
        <f>'Comps Data'!E5</f>
        <v>1156.2</v>
      </c>
      <c r="E14" s="125">
        <f>'Comps Data'!F5</f>
        <v>192.83</v>
      </c>
      <c r="F14" s="123">
        <f t="shared" si="0"/>
        <v>222950.04600000003</v>
      </c>
      <c r="G14" s="123">
        <f>'Comps Data'!H5</f>
        <v>1166.8499999999999</v>
      </c>
      <c r="H14" s="123">
        <f>'Comps Data'!J5</f>
        <v>224021.24600000004</v>
      </c>
      <c r="I14" s="123"/>
      <c r="J14" s="123">
        <f>'Comps Data'!K5</f>
        <v>20483.77</v>
      </c>
      <c r="K14" s="123">
        <f>'Comps Data'!L5</f>
        <v>5074.24</v>
      </c>
      <c r="L14" s="123">
        <f>'Comps Data'!M5</f>
        <v>3227.13</v>
      </c>
      <c r="M14" s="123"/>
      <c r="N14" s="124">
        <f t="shared" si="2"/>
        <v>10.936524184757006</v>
      </c>
      <c r="O14" s="124">
        <f t="shared" si="3"/>
        <v>44.148728873683559</v>
      </c>
      <c r="P14" s="124">
        <f t="shared" si="1"/>
        <v>69.086168205185416</v>
      </c>
    </row>
    <row r="15" spans="2:16" x14ac:dyDescent="0.2">
      <c r="B15" s="122" t="str">
        <f>'Comps Data'!C6</f>
        <v>Varun Beverages</v>
      </c>
      <c r="C15" s="122" t="str">
        <f>'Comps Data'!D6</f>
        <v>VBL</v>
      </c>
      <c r="D15" s="123">
        <f>'Comps Data'!E6</f>
        <v>487.15</v>
      </c>
      <c r="E15" s="125">
        <f>'Comps Data'!F6</f>
        <v>338.2</v>
      </c>
      <c r="F15" s="123">
        <f t="shared" si="0"/>
        <v>164754.12999999998</v>
      </c>
      <c r="G15" s="123">
        <f>'Comps Data'!H6</f>
        <v>2138.25</v>
      </c>
      <c r="H15" s="123">
        <f>'Comps Data'!J6</f>
        <v>164442.32999999999</v>
      </c>
      <c r="I15" s="123"/>
      <c r="J15" s="123">
        <f>'Comps Data'!K6</f>
        <v>21077.78</v>
      </c>
      <c r="K15" s="123">
        <f>'Comps Data'!L6</f>
        <v>5165.3999999999996</v>
      </c>
      <c r="L15" s="123">
        <f>'Comps Data'!M6</f>
        <v>2881.31</v>
      </c>
      <c r="M15" s="123"/>
      <c r="N15" s="124">
        <f t="shared" si="2"/>
        <v>7.801691164819065</v>
      </c>
      <c r="O15" s="124">
        <f t="shared" si="3"/>
        <v>31.835352538041583</v>
      </c>
      <c r="P15" s="124">
        <f t="shared" si="1"/>
        <v>57.180286050442326</v>
      </c>
    </row>
    <row r="16" spans="2:16" x14ac:dyDescent="0.2">
      <c r="B16" s="122" t="str">
        <f>'Comps Data'!C7</f>
        <v>Britannia Inds.</v>
      </c>
      <c r="C16" s="122" t="str">
        <f>'Comps Data'!D7</f>
        <v>BRITANNIA</v>
      </c>
      <c r="D16" s="123">
        <f>'Comps Data'!E7</f>
        <v>5824</v>
      </c>
      <c r="E16" s="125">
        <f>'Comps Data'!F7</f>
        <v>24.09</v>
      </c>
      <c r="F16" s="123">
        <f t="shared" si="0"/>
        <v>140300.16</v>
      </c>
      <c r="G16" s="123">
        <f>'Comps Data'!H7</f>
        <v>1246.51</v>
      </c>
      <c r="H16" s="123">
        <f>'Comps Data'!J7</f>
        <v>141234.19</v>
      </c>
      <c r="I16" s="123"/>
      <c r="J16" s="123">
        <f>'Comps Data'!K7</f>
        <v>18314.59</v>
      </c>
      <c r="K16" s="123">
        <f>'Comps Data'!L7</f>
        <v>3403.93</v>
      </c>
      <c r="L16" s="123">
        <f>'Comps Data'!M7</f>
        <v>2193.11</v>
      </c>
      <c r="M16" s="123"/>
      <c r="N16" s="124">
        <f t="shared" si="2"/>
        <v>7.7115671167085917</v>
      </c>
      <c r="O16" s="124">
        <f t="shared" si="3"/>
        <v>41.491508344766203</v>
      </c>
      <c r="P16" s="124">
        <f t="shared" si="1"/>
        <v>63.973152281463307</v>
      </c>
    </row>
    <row r="17" spans="2:16" x14ac:dyDescent="0.2">
      <c r="B17" s="122" t="str">
        <f>'Comps Data'!C8</f>
        <v>Godrej Consumer</v>
      </c>
      <c r="C17" s="122" t="str">
        <f>'Comps Data'!D8</f>
        <v>GODREJCP</v>
      </c>
      <c r="D17" s="123">
        <f>'Comps Data'!E8</f>
        <v>1242.5999999999999</v>
      </c>
      <c r="E17" s="125">
        <f>'Comps Data'!F8</f>
        <v>102.31</v>
      </c>
      <c r="F17" s="123">
        <f t="shared" si="0"/>
        <v>127130.40599999999</v>
      </c>
      <c r="G17" s="123">
        <f>'Comps Data'!H8</f>
        <v>4009.19</v>
      </c>
      <c r="H17" s="123">
        <f>'Comps Data'!J8</f>
        <v>130656.53599999999</v>
      </c>
      <c r="I17" s="123"/>
      <c r="J17" s="123">
        <f>'Comps Data'!K8</f>
        <v>14694.57</v>
      </c>
      <c r="K17" s="123">
        <f>'Comps Data'!L8</f>
        <v>3234.21</v>
      </c>
      <c r="L17" s="123">
        <f>'Comps Data'!M8</f>
        <v>1853.97</v>
      </c>
      <c r="M17" s="123"/>
      <c r="N17" s="124">
        <f t="shared" si="2"/>
        <v>8.8914841332546644</v>
      </c>
      <c r="O17" s="124">
        <f t="shared" si="3"/>
        <v>40.398284588817667</v>
      </c>
      <c r="P17" s="124">
        <f t="shared" si="1"/>
        <v>68.571986601724944</v>
      </c>
    </row>
    <row r="18" spans="2:16" x14ac:dyDescent="0.2">
      <c r="B18" s="122" t="str">
        <f>'Comps Data'!C9</f>
        <v>Tata Consumer</v>
      </c>
      <c r="C18" s="122" t="str">
        <f>'Comps Data'!D9</f>
        <v>TATACONSUM</v>
      </c>
      <c r="D18" s="123">
        <f>'Comps Data'!E9</f>
        <v>1065.4000000000001</v>
      </c>
      <c r="E18" s="125">
        <f>'Comps Data'!F9</f>
        <v>98.95</v>
      </c>
      <c r="F18" s="123">
        <f t="shared" si="0"/>
        <v>105421.33000000002</v>
      </c>
      <c r="G18" s="123">
        <f>'Comps Data'!H9</f>
        <v>2392.6799999999998</v>
      </c>
      <c r="H18" s="123">
        <f>'Comps Data'!J9</f>
        <v>104996.15000000001</v>
      </c>
      <c r="I18" s="123"/>
      <c r="J18" s="123">
        <f>'Comps Data'!K9</f>
        <v>18045.14</v>
      </c>
      <c r="K18" s="123">
        <f>'Comps Data'!L9</f>
        <v>2626.15</v>
      </c>
      <c r="L18" s="123">
        <f>'Comps Data'!M9</f>
        <v>1329.6</v>
      </c>
      <c r="M18" s="123"/>
      <c r="N18" s="124">
        <f t="shared" si="2"/>
        <v>5.8185278695537974</v>
      </c>
      <c r="O18" s="124">
        <f t="shared" si="3"/>
        <v>39.981017839803513</v>
      </c>
      <c r="P18" s="124">
        <f t="shared" si="1"/>
        <v>79.288003910950678</v>
      </c>
    </row>
    <row r="19" spans="2:16" x14ac:dyDescent="0.2">
      <c r="B19" s="122" t="str">
        <f>'Comps Data'!C10</f>
        <v>United Spirits</v>
      </c>
      <c r="C19" s="122" t="str">
        <f>'Comps Data'!D10</f>
        <v>MCDOWELL-N</v>
      </c>
      <c r="D19" s="123">
        <f>'Comps Data'!E10</f>
        <v>1311</v>
      </c>
      <c r="E19" s="125">
        <f>'Comps Data'!F10</f>
        <v>72.739999999999995</v>
      </c>
      <c r="F19" s="123">
        <f t="shared" si="0"/>
        <v>95362.14</v>
      </c>
      <c r="G19" s="123">
        <f>'Comps Data'!H10</f>
        <v>480</v>
      </c>
      <c r="H19" s="123">
        <f>'Comps Data'!J10</f>
        <v>93812.14</v>
      </c>
      <c r="I19" s="123"/>
      <c r="J19" s="123">
        <f>'Comps Data'!K10</f>
        <v>12329</v>
      </c>
      <c r="K19" s="123">
        <f>'Comps Data'!L10</f>
        <v>2456</v>
      </c>
      <c r="L19" s="123">
        <f>'Comps Data'!M10</f>
        <v>1514</v>
      </c>
      <c r="M19" s="123"/>
      <c r="N19" s="124">
        <f t="shared" si="2"/>
        <v>7.6090631843620731</v>
      </c>
      <c r="O19" s="124">
        <f t="shared" si="3"/>
        <v>38.197125407166126</v>
      </c>
      <c r="P19" s="124">
        <f t="shared" si="1"/>
        <v>62.986882430647292</v>
      </c>
    </row>
    <row r="20" spans="2:16" x14ac:dyDescent="0.2">
      <c r="B20" s="122" t="str">
        <f>'Comps Data'!C11</f>
        <v>Marico</v>
      </c>
      <c r="C20" s="122" t="str">
        <f>'Comps Data'!D11</f>
        <v>MARICO</v>
      </c>
      <c r="D20" s="123">
        <f>'Comps Data'!E11</f>
        <v>725.85</v>
      </c>
      <c r="E20" s="125">
        <f>'Comps Data'!F11</f>
        <v>129.79</v>
      </c>
      <c r="F20" s="123">
        <f t="shared" si="0"/>
        <v>94208.071499999991</v>
      </c>
      <c r="G20" s="123">
        <f>'Comps Data'!H11</f>
        <v>554</v>
      </c>
      <c r="H20" s="123">
        <f>'Comps Data'!J11</f>
        <v>93985.071499999991</v>
      </c>
      <c r="I20" s="123"/>
      <c r="J20" s="123">
        <f>'Comps Data'!K11</f>
        <v>11447</v>
      </c>
      <c r="K20" s="123">
        <f>'Comps Data'!L11</f>
        <v>2395</v>
      </c>
      <c r="L20" s="123">
        <f>'Comps Data'!M11</f>
        <v>1697</v>
      </c>
      <c r="M20" s="123"/>
      <c r="N20" s="124">
        <f t="shared" si="2"/>
        <v>8.2104543985323666</v>
      </c>
      <c r="O20" s="124">
        <f t="shared" si="3"/>
        <v>39.242201043841334</v>
      </c>
      <c r="P20" s="124">
        <f t="shared" si="1"/>
        <v>55.514479375368289</v>
      </c>
    </row>
    <row r="21" spans="2:16" x14ac:dyDescent="0.2">
      <c r="B21" s="122" t="str">
        <f>'Comps Data'!C12</f>
        <v>Dabur India</v>
      </c>
      <c r="C21" s="122" t="str">
        <f>'Comps Data'!D12</f>
        <v>DABUR</v>
      </c>
      <c r="D21" s="123">
        <f>'Comps Data'!E12</f>
        <v>521.1</v>
      </c>
      <c r="E21" s="125">
        <f>'Comps Data'!F12</f>
        <v>177.37</v>
      </c>
      <c r="F21" s="123">
        <f t="shared" si="0"/>
        <v>92427.507000000012</v>
      </c>
      <c r="G21" s="123">
        <f>'Comps Data'!H12</f>
        <v>950.37</v>
      </c>
      <c r="H21" s="123">
        <f>'Comps Data'!J12</f>
        <v>92799.867000000013</v>
      </c>
      <c r="I21" s="123"/>
      <c r="J21" s="123">
        <f>'Comps Data'!K12</f>
        <v>12618.56</v>
      </c>
      <c r="K21" s="123">
        <f>'Comps Data'!L12</f>
        <v>2894.15</v>
      </c>
      <c r="L21" s="123">
        <f>'Comps Data'!M12</f>
        <v>1754.36</v>
      </c>
      <c r="M21" s="123"/>
      <c r="N21" s="124">
        <f t="shared" si="2"/>
        <v>7.3542359033043407</v>
      </c>
      <c r="O21" s="124">
        <f t="shared" si="3"/>
        <v>32.064636248985025</v>
      </c>
      <c r="P21" s="124">
        <f t="shared" si="1"/>
        <v>52.684458719989067</v>
      </c>
    </row>
    <row r="23" spans="2:16" x14ac:dyDescent="0.2">
      <c r="B23" s="118" t="s">
        <v>213</v>
      </c>
      <c r="C23" s="118"/>
      <c r="D23" s="118"/>
      <c r="E23" s="118"/>
      <c r="F23" s="118"/>
      <c r="G23" s="118"/>
      <c r="H23" s="118"/>
      <c r="I23" s="118"/>
      <c r="J23" s="118"/>
      <c r="K23" s="118"/>
      <c r="L23" s="118"/>
      <c r="M23" s="118"/>
      <c r="N23" s="119">
        <f>MAX(N12:N21)</f>
        <v>10.936524184757006</v>
      </c>
      <c r="O23" s="119">
        <f>MAX(O12:O21)</f>
        <v>44.148728873683559</v>
      </c>
      <c r="P23" s="119">
        <f>MAX(P12:P21)</f>
        <v>79.288003910950678</v>
      </c>
    </row>
    <row r="24" spans="2:16" ht="17.25" x14ac:dyDescent="0.2">
      <c r="B24" s="118" t="s">
        <v>212</v>
      </c>
      <c r="C24" s="118"/>
      <c r="D24" s="118"/>
      <c r="E24" s="118"/>
      <c r="F24" s="118"/>
      <c r="G24" s="118"/>
      <c r="H24" s="118"/>
      <c r="I24" s="118"/>
      <c r="J24" s="118"/>
      <c r="K24" s="118"/>
      <c r="L24" s="118"/>
      <c r="M24" s="118"/>
      <c r="N24" s="119">
        <f>QUARTILE(N12:N21,3)</f>
        <v>8.721226699574089</v>
      </c>
      <c r="O24" s="119">
        <f>QUARTILE(O12:O21,3)</f>
        <v>40.29396790156413</v>
      </c>
      <c r="P24" s="119">
        <f>QUARTILE(P12:P21,3)</f>
        <v>67.422278021659537</v>
      </c>
    </row>
    <row r="25" spans="2:16" x14ac:dyDescent="0.2">
      <c r="B25" s="118" t="s">
        <v>189</v>
      </c>
      <c r="C25" s="118"/>
      <c r="D25" s="118"/>
      <c r="E25" s="118"/>
      <c r="F25" s="118"/>
      <c r="G25" s="118"/>
      <c r="H25" s="118"/>
      <c r="I25" s="118"/>
      <c r="J25" s="118"/>
      <c r="K25" s="118"/>
      <c r="L25" s="118"/>
      <c r="M25" s="118"/>
      <c r="N25" s="120">
        <f>AVERAGE(N12:N21)</f>
        <v>8.0463707983655368</v>
      </c>
      <c r="O25" s="120">
        <f>AVERAGE(O12:O21)</f>
        <v>35.764770778630769</v>
      </c>
      <c r="P25" s="120">
        <f>AVERAGE(P12:P21)</f>
        <v>58.158057788765348</v>
      </c>
    </row>
    <row r="26" spans="2:16" x14ac:dyDescent="0.2">
      <c r="B26" s="118" t="s">
        <v>149</v>
      </c>
      <c r="C26" s="118"/>
      <c r="D26" s="118"/>
      <c r="E26" s="118"/>
      <c r="F26" s="118"/>
      <c r="G26" s="118"/>
      <c r="H26" s="118"/>
      <c r="I26" s="118"/>
      <c r="J26" s="118"/>
      <c r="K26" s="118"/>
      <c r="L26" s="118"/>
      <c r="M26" s="118"/>
      <c r="N26" s="120">
        <f>MEDIAN(N12:N21)</f>
        <v>7.7566291407638284</v>
      </c>
      <c r="O26" s="120">
        <f>MEDIAN(O12:O21)</f>
        <v>38.960076092055004</v>
      </c>
      <c r="P26" s="120">
        <f>MEDIAN(P12:P21)</f>
        <v>60.354003143835698</v>
      </c>
    </row>
    <row r="27" spans="2:16" ht="17.25" x14ac:dyDescent="0.2">
      <c r="B27" s="118" t="s">
        <v>211</v>
      </c>
      <c r="C27" s="118"/>
      <c r="D27" s="118"/>
      <c r="E27" s="118"/>
      <c r="F27" s="118"/>
      <c r="G27" s="118"/>
      <c r="H27" s="118"/>
      <c r="I27" s="118"/>
      <c r="J27" s="118"/>
      <c r="K27" s="118"/>
      <c r="L27" s="118"/>
      <c r="M27" s="118"/>
      <c r="N27" s="119">
        <f>QUARTILE(N12:N21,)</f>
        <v>5.8185278695537974</v>
      </c>
      <c r="O27" s="119">
        <f>QUARTILE(O12:O21,)</f>
        <v>11.610901760934061</v>
      </c>
      <c r="P27" s="119">
        <f>QUARTILE(P12:P21,)</f>
        <v>14.574036454858046</v>
      </c>
    </row>
    <row r="28" spans="2:16" x14ac:dyDescent="0.2">
      <c r="B28" s="118" t="s">
        <v>210</v>
      </c>
      <c r="C28" s="118"/>
      <c r="D28" s="118"/>
      <c r="E28" s="118"/>
      <c r="F28" s="118"/>
      <c r="G28" s="118"/>
      <c r="H28" s="118"/>
      <c r="I28" s="118"/>
      <c r="J28" s="118"/>
      <c r="K28" s="118"/>
      <c r="L28" s="118"/>
      <c r="M28" s="118"/>
      <c r="N28" s="119">
        <f>MIN(N12:N21)</f>
        <v>5.8185278695537974</v>
      </c>
      <c r="O28" s="119">
        <f>MIN(O12:O21)</f>
        <v>11.610901760934061</v>
      </c>
      <c r="P28" s="119">
        <f>MIN(P12:P21)</f>
        <v>14.574036454858046</v>
      </c>
    </row>
    <row r="30" spans="2:16" x14ac:dyDescent="0.2">
      <c r="B30" s="115" t="s">
        <v>209</v>
      </c>
      <c r="C30" s="116"/>
      <c r="D30" s="91"/>
      <c r="E30" s="91"/>
      <c r="F30" s="91"/>
      <c r="G30" s="91"/>
      <c r="H30" s="91"/>
      <c r="I30" s="91"/>
      <c r="J30" s="91"/>
      <c r="K30" s="91"/>
      <c r="L30" s="91"/>
      <c r="M30" s="91"/>
      <c r="N30" s="112" t="str">
        <f>N10</f>
        <v>EV / Revenue</v>
      </c>
      <c r="O30" s="112" t="str">
        <f>O10</f>
        <v>EV / EBITDA</v>
      </c>
      <c r="P30" s="112" t="str">
        <f>P10</f>
        <v>P/E</v>
      </c>
    </row>
    <row r="31" spans="2:16" ht="3.6" customHeight="1" x14ac:dyDescent="0.2"/>
    <row r="32" spans="2:16" x14ac:dyDescent="0.2">
      <c r="B32" s="122" t="s">
        <v>208</v>
      </c>
      <c r="C32" s="122"/>
      <c r="D32" s="122"/>
      <c r="E32" s="122"/>
      <c r="F32" s="122"/>
      <c r="G32" s="122"/>
      <c r="H32" s="122"/>
      <c r="I32" s="122"/>
      <c r="J32" s="122"/>
      <c r="K32" s="122"/>
      <c r="L32" s="122"/>
      <c r="M32" s="122"/>
      <c r="N32" s="123">
        <f>N26*J12</f>
        <v>613086.44940729812</v>
      </c>
      <c r="O32" s="123">
        <f>O26*K12</f>
        <v>1709794.1073607076</v>
      </c>
      <c r="P32" s="123">
        <f>P34+P33</f>
        <v>2125886.1413224353</v>
      </c>
    </row>
    <row r="33" spans="2:16" x14ac:dyDescent="0.2">
      <c r="B33" s="122" t="s">
        <v>207</v>
      </c>
      <c r="C33" s="122"/>
      <c r="D33" s="122"/>
      <c r="E33" s="122"/>
      <c r="F33" s="122"/>
      <c r="G33" s="122"/>
      <c r="H33" s="122"/>
      <c r="I33" s="122"/>
      <c r="J33" s="122"/>
      <c r="K33" s="122"/>
      <c r="L33" s="122"/>
      <c r="M33" s="122"/>
      <c r="N33" s="123">
        <f>$G$12</f>
        <v>284.54000000000002</v>
      </c>
      <c r="O33" s="123">
        <f>$G$12</f>
        <v>284.54000000000002</v>
      </c>
      <c r="P33" s="123">
        <f>$G$12</f>
        <v>284.54000000000002</v>
      </c>
    </row>
    <row r="34" spans="2:16" x14ac:dyDescent="0.2">
      <c r="B34" s="122" t="s">
        <v>206</v>
      </c>
      <c r="C34" s="122"/>
      <c r="D34" s="122"/>
      <c r="E34" s="122"/>
      <c r="F34" s="122"/>
      <c r="G34" s="122"/>
      <c r="H34" s="122"/>
      <c r="I34" s="122"/>
      <c r="J34" s="122"/>
      <c r="K34" s="122"/>
      <c r="L34" s="122"/>
      <c r="M34" s="122"/>
      <c r="N34" s="123">
        <f>N32-N33</f>
        <v>612801.90940729808</v>
      </c>
      <c r="O34" s="123">
        <f>O32-O33</f>
        <v>1709509.5673607076</v>
      </c>
      <c r="P34" s="123">
        <f>P26*L12</f>
        <v>2125601.6013224353</v>
      </c>
    </row>
    <row r="35" spans="2:16" x14ac:dyDescent="0.2">
      <c r="B35" s="122" t="s">
        <v>205</v>
      </c>
      <c r="C35" s="122"/>
      <c r="D35" s="122"/>
      <c r="E35" s="122"/>
      <c r="F35" s="122"/>
      <c r="G35" s="122"/>
      <c r="H35" s="122"/>
      <c r="I35" s="122"/>
      <c r="J35" s="122"/>
      <c r="K35" s="122"/>
      <c r="L35" s="122"/>
      <c r="M35" s="122"/>
      <c r="N35" s="126">
        <f>$E$12</f>
        <v>1252.67</v>
      </c>
      <c r="O35" s="126">
        <f>$E$12</f>
        <v>1252.67</v>
      </c>
      <c r="P35" s="126">
        <f>$E$12</f>
        <v>1252.67</v>
      </c>
    </row>
    <row r="36" spans="2:16" ht="3.6" customHeight="1" x14ac:dyDescent="0.2"/>
    <row r="37" spans="2:16" ht="15.75" thickBot="1" x14ac:dyDescent="0.25">
      <c r="B37" s="100" t="s">
        <v>204</v>
      </c>
      <c r="C37" s="100"/>
      <c r="D37" s="100"/>
      <c r="E37" s="100"/>
      <c r="F37" s="100"/>
      <c r="G37" s="100"/>
      <c r="H37" s="100"/>
      <c r="I37" s="100"/>
      <c r="J37" s="100"/>
      <c r="K37" s="100"/>
      <c r="L37" s="100"/>
      <c r="M37" s="100"/>
      <c r="N37" s="117">
        <f>N34/N35</f>
        <v>489.19660358059031</v>
      </c>
      <c r="O37" s="117">
        <f>O34/O35</f>
        <v>1364.6926703447098</v>
      </c>
      <c r="P37" s="117">
        <f>P34/P35</f>
        <v>1696.8567949439478</v>
      </c>
    </row>
    <row r="38" spans="2:16" ht="3" customHeight="1" x14ac:dyDescent="0.2"/>
    <row r="39" spans="2:16" x14ac:dyDescent="0.2">
      <c r="B39" s="34" t="s">
        <v>203</v>
      </c>
      <c r="C39" s="34"/>
      <c r="D39" s="34"/>
      <c r="E39" s="34"/>
      <c r="F39" s="34"/>
      <c r="G39" s="34"/>
      <c r="H39" s="34"/>
      <c r="I39" s="34"/>
      <c r="J39" s="34"/>
      <c r="K39" s="34"/>
      <c r="L39" s="34"/>
      <c r="M39" s="34"/>
      <c r="N39" s="64" t="str">
        <f>IF(N37&gt;$D$12,"Undervalued","Overvalued")</f>
        <v>Undervalued</v>
      </c>
      <c r="O39" s="64" t="str">
        <f>IF(O37&gt;$D$12,"Undervalued","Overvalued")</f>
        <v>Undervalued</v>
      </c>
      <c r="P39" s="64" t="str">
        <f>IF(P37&gt;$D$12,"Undervalued","Overvalued")</f>
        <v>Undervalued</v>
      </c>
    </row>
  </sheetData>
  <mergeCells count="3">
    <mergeCell ref="D9:H9"/>
    <mergeCell ref="J9:L9"/>
    <mergeCell ref="N9:P9"/>
  </mergeCells>
  <printOptions horizontalCentered="1" verticalCentered="1"/>
  <pageMargins left="0.11811023622047245" right="0.11811023622047245" top="0.74803149606299213" bottom="0.74803149606299213" header="0.31496062992125984" footer="0.31496062992125984"/>
  <pageSetup scale="78"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47076-62B3-4F73-B9AE-80E7EF63E71B}">
  <dimension ref="B1:P5006"/>
  <sheetViews>
    <sheetView showGridLines="0" zoomScaleNormal="100" workbookViewId="0">
      <selection activeCell="B2" sqref="B2:M5"/>
    </sheetView>
  </sheetViews>
  <sheetFormatPr defaultRowHeight="15" x14ac:dyDescent="0.2"/>
  <cols>
    <col min="1" max="1" width="1.8828125" customWidth="1"/>
    <col min="2" max="2" width="10.35546875" bestFit="1" customWidth="1"/>
    <col min="3" max="3" width="9.01171875" bestFit="1" customWidth="1"/>
    <col min="5" max="5" width="13.5859375" bestFit="1" customWidth="1"/>
    <col min="6" max="6" width="10.35546875" bestFit="1" customWidth="1"/>
    <col min="7" max="7" width="16.41015625" bestFit="1" customWidth="1"/>
    <col min="8" max="8" width="5.78125" customWidth="1"/>
    <col min="10" max="10" width="11.02734375" bestFit="1" customWidth="1"/>
    <col min="12" max="12" width="9.81640625" bestFit="1" customWidth="1"/>
    <col min="13" max="13" width="10.76171875" customWidth="1"/>
  </cols>
  <sheetData>
    <row r="1" spans="2:13" x14ac:dyDescent="0.2">
      <c r="B1" s="113"/>
      <c r="C1" s="113"/>
      <c r="D1" s="113"/>
      <c r="E1" s="113"/>
      <c r="F1" s="113"/>
      <c r="G1" s="113"/>
      <c r="H1" s="113"/>
      <c r="I1" s="113"/>
      <c r="J1" s="113"/>
      <c r="K1" s="113"/>
      <c r="L1" s="113"/>
      <c r="M1" s="113"/>
    </row>
    <row r="2" spans="2:13" ht="24" customHeight="1" x14ac:dyDescent="0.2">
      <c r="B2" s="215" t="str">
        <f>'Data Sheet'!B1</f>
        <v>ITC LTD</v>
      </c>
      <c r="C2" s="213"/>
      <c r="D2" s="216"/>
      <c r="E2" s="213"/>
      <c r="F2" s="213"/>
      <c r="G2" s="213"/>
      <c r="H2" s="213"/>
      <c r="I2" s="213"/>
      <c r="J2" s="213"/>
      <c r="K2" s="213"/>
      <c r="L2" s="213"/>
      <c r="M2" s="213"/>
    </row>
    <row r="3" spans="2:13" x14ac:dyDescent="0.2">
      <c r="B3" s="213" t="s">
        <v>8676</v>
      </c>
      <c r="C3" s="213"/>
      <c r="D3" s="213"/>
      <c r="E3" s="213"/>
      <c r="F3" s="213"/>
      <c r="G3" s="213"/>
      <c r="H3" s="213"/>
      <c r="I3" s="213"/>
      <c r="J3" s="213"/>
      <c r="K3" s="213"/>
      <c r="L3" s="213"/>
      <c r="M3" s="213"/>
    </row>
    <row r="4" spans="2:13" ht="18.75" x14ac:dyDescent="0.25">
      <c r="B4" s="217" t="str">
        <f>CONCATENATE("INR"," ", 'Data Sheet'!B8)</f>
        <v>INR 409.75</v>
      </c>
      <c r="C4" s="213"/>
      <c r="D4" s="213"/>
      <c r="E4" s="213"/>
      <c r="F4" s="213"/>
      <c r="G4" s="213"/>
      <c r="H4" s="213"/>
      <c r="I4" s="213"/>
      <c r="J4" s="213"/>
      <c r="K4" s="213"/>
      <c r="L4" s="213"/>
      <c r="M4" s="213"/>
    </row>
    <row r="5" spans="2:13" x14ac:dyDescent="0.2">
      <c r="B5" s="214" t="s">
        <v>8557</v>
      </c>
      <c r="C5" s="214"/>
      <c r="D5" s="214"/>
      <c r="E5" s="214"/>
      <c r="F5" s="214"/>
      <c r="G5" s="214"/>
      <c r="H5" s="214"/>
      <c r="I5" s="214"/>
      <c r="J5" s="214"/>
      <c r="K5" s="214"/>
      <c r="L5" s="214"/>
      <c r="M5" s="214"/>
    </row>
    <row r="6" spans="2:13" ht="9" customHeight="1" x14ac:dyDescent="0.2">
      <c r="B6" s="140"/>
      <c r="C6" s="140"/>
      <c r="D6" s="175"/>
      <c r="E6" s="140"/>
      <c r="F6" s="140"/>
      <c r="G6" s="140"/>
      <c r="H6" s="140"/>
      <c r="I6" s="140"/>
      <c r="J6" s="140"/>
    </row>
    <row r="7" spans="2:13" x14ac:dyDescent="0.2">
      <c r="B7" s="128" t="s">
        <v>322</v>
      </c>
      <c r="C7" s="128" t="s">
        <v>325</v>
      </c>
      <c r="D7" s="129" t="s">
        <v>323</v>
      </c>
      <c r="E7" s="129" t="s">
        <v>324</v>
      </c>
      <c r="F7" s="129" t="s">
        <v>336</v>
      </c>
      <c r="G7" s="129" t="s">
        <v>337</v>
      </c>
      <c r="H7" s="130"/>
      <c r="I7" s="224" t="str">
        <f xml:space="preserve"> "Calculation of Value at Risk - " &amp; 'Data Sheet'!B1&amp;" (Simulation)"</f>
        <v>Calculation of Value at Risk - ITC LTD (Simulation)</v>
      </c>
      <c r="J7" s="224"/>
      <c r="K7" s="224"/>
      <c r="L7" s="224"/>
      <c r="M7" s="224"/>
    </row>
    <row r="8" spans="2:13" ht="3.6" customHeight="1" x14ac:dyDescent="0.2">
      <c r="B8" s="84"/>
      <c r="C8" s="84"/>
      <c r="D8" s="85"/>
      <c r="E8" s="85"/>
      <c r="F8" s="85"/>
      <c r="G8" s="85"/>
      <c r="H8" s="86"/>
    </row>
    <row r="9" spans="2:13" x14ac:dyDescent="0.2">
      <c r="B9" s="167">
        <v>39951</v>
      </c>
      <c r="C9" s="28">
        <v>68.53</v>
      </c>
      <c r="D9" s="83">
        <f t="shared" ref="D9:D72" si="0">(C9-C10)/C10</f>
        <v>-0.68227548796884419</v>
      </c>
      <c r="E9" s="83">
        <v>0.11123723041997728</v>
      </c>
      <c r="F9" s="83">
        <v>1</v>
      </c>
      <c r="G9" s="83">
        <f t="shared" ref="G9:G72" ca="1" si="1">_xlfn.NORM.INV(RAND(),$M$10,$M$11)</f>
        <v>4.1594296046487973E-3</v>
      </c>
      <c r="I9" s="131" t="s">
        <v>335</v>
      </c>
      <c r="J9" s="132"/>
      <c r="K9" s="132"/>
      <c r="L9" s="132"/>
      <c r="M9" s="132"/>
    </row>
    <row r="10" spans="2:13" x14ac:dyDescent="0.2">
      <c r="B10" s="167">
        <v>42430</v>
      </c>
      <c r="C10" s="28">
        <v>215.69</v>
      </c>
      <c r="D10" s="83">
        <f t="shared" si="0"/>
        <v>2.9223495180941987</v>
      </c>
      <c r="E10" s="83">
        <v>0.10045918367346937</v>
      </c>
      <c r="F10" s="83">
        <v>2</v>
      </c>
      <c r="G10" s="83">
        <f t="shared" ca="1" si="1"/>
        <v>2.2500525043009072E-2</v>
      </c>
      <c r="I10" t="s">
        <v>148</v>
      </c>
      <c r="M10" s="15">
        <f>AVERAGE(E9:E4966)</f>
        <v>6.8033166836368932E-4</v>
      </c>
    </row>
    <row r="11" spans="2:13" x14ac:dyDescent="0.2">
      <c r="B11" s="167">
        <v>39288</v>
      </c>
      <c r="C11" s="28">
        <v>54.99</v>
      </c>
      <c r="D11" s="83">
        <f t="shared" si="0"/>
        <v>0.18334409296320214</v>
      </c>
      <c r="E11" s="83">
        <v>8.9990089197224954E-2</v>
      </c>
      <c r="F11" s="83">
        <v>3</v>
      </c>
      <c r="G11" s="83">
        <f t="shared" ca="1" si="1"/>
        <v>1.9060381545727097E-2</v>
      </c>
      <c r="I11" s="122" t="s">
        <v>326</v>
      </c>
      <c r="J11" s="122"/>
      <c r="K11" s="122"/>
      <c r="L11" s="122"/>
      <c r="M11" s="133">
        <f>_xlfn.STDEV.S(E9:E4966)</f>
        <v>1.7427485018755868E-2</v>
      </c>
    </row>
    <row r="12" spans="2:13" x14ac:dyDescent="0.2">
      <c r="B12" s="167">
        <v>38616</v>
      </c>
      <c r="C12" s="28">
        <v>46.47</v>
      </c>
      <c r="D12" s="83">
        <f t="shared" si="0"/>
        <v>-0.31832184245269185</v>
      </c>
      <c r="E12" s="83">
        <v>8.9821763602251373E-2</v>
      </c>
      <c r="F12" s="83">
        <v>4</v>
      </c>
      <c r="G12" s="83">
        <f t="shared" ca="1" si="1"/>
        <v>-9.1361536606523585E-3</v>
      </c>
      <c r="I12" s="122" t="s">
        <v>327</v>
      </c>
      <c r="J12" s="122"/>
      <c r="K12" s="122"/>
      <c r="L12" s="122"/>
      <c r="M12" s="133">
        <f>MIN(E9:E4966)</f>
        <v>-0.12486544671689979</v>
      </c>
    </row>
    <row r="13" spans="2:13" x14ac:dyDescent="0.2">
      <c r="B13" s="167">
        <v>39937</v>
      </c>
      <c r="C13" s="28">
        <v>68.17</v>
      </c>
      <c r="D13" s="83">
        <f t="shared" si="0"/>
        <v>0.28139097744360897</v>
      </c>
      <c r="E13" s="83">
        <v>8.862983072500806E-2</v>
      </c>
      <c r="F13" s="83">
        <v>5</v>
      </c>
      <c r="G13" s="83">
        <f t="shared" ca="1" si="1"/>
        <v>1.08391577525647E-2</v>
      </c>
      <c r="I13" s="122" t="s">
        <v>328</v>
      </c>
      <c r="J13" s="122"/>
      <c r="K13" s="122"/>
      <c r="L13" s="122"/>
      <c r="M13" s="133">
        <f>MAX(E9:E4966)</f>
        <v>0.11123723041997728</v>
      </c>
    </row>
    <row r="14" spans="2:13" x14ac:dyDescent="0.2">
      <c r="B14" s="167">
        <v>38877</v>
      </c>
      <c r="C14" s="28">
        <v>53.2</v>
      </c>
      <c r="D14" s="83">
        <f t="shared" si="0"/>
        <v>-0.6968660968660968</v>
      </c>
      <c r="E14" s="83">
        <v>8.7045361667347887E-2</v>
      </c>
      <c r="F14" s="83">
        <v>6</v>
      </c>
      <c r="G14" s="83">
        <f t="shared" ca="1" si="1"/>
        <v>1.3117868757605917E-2</v>
      </c>
      <c r="I14" s="122" t="s">
        <v>333</v>
      </c>
      <c r="J14" s="122"/>
      <c r="K14" s="122"/>
      <c r="L14" s="122"/>
      <c r="M14" s="134">
        <f>'Data Sheet'!B8</f>
        <v>409.75</v>
      </c>
    </row>
    <row r="15" spans="2:13" ht="15.75" thickBot="1" x14ac:dyDescent="0.25">
      <c r="B15" s="167">
        <v>43910</v>
      </c>
      <c r="C15" s="28">
        <v>175.5</v>
      </c>
      <c r="D15" s="83">
        <f t="shared" si="0"/>
        <v>1.581261950286807</v>
      </c>
      <c r="E15" s="83">
        <v>8.4337349397590397E-2</v>
      </c>
      <c r="F15" s="83">
        <v>7</v>
      </c>
      <c r="G15" s="83">
        <f t="shared" ca="1" si="1"/>
        <v>-2.6304285700340019E-2</v>
      </c>
    </row>
    <row r="16" spans="2:13" ht="15.75" thickBot="1" x14ac:dyDescent="0.25">
      <c r="B16" s="167">
        <v>39402</v>
      </c>
      <c r="C16" s="28">
        <v>67.989999999999995</v>
      </c>
      <c r="D16" s="83">
        <f t="shared" si="0"/>
        <v>-0.39316315601570878</v>
      </c>
      <c r="E16" s="83">
        <v>8.2643312101910796E-2</v>
      </c>
      <c r="F16" s="83">
        <v>8</v>
      </c>
      <c r="G16" s="83">
        <f t="shared" ca="1" si="1"/>
        <v>3.4144122552629205E-2</v>
      </c>
      <c r="I16" s="237" t="s">
        <v>338</v>
      </c>
      <c r="J16" s="237"/>
      <c r="K16" s="237"/>
      <c r="L16" s="237"/>
      <c r="M16" s="237"/>
    </row>
    <row r="17" spans="2:16" x14ac:dyDescent="0.2">
      <c r="B17" s="167">
        <v>40602</v>
      </c>
      <c r="C17" s="28">
        <v>112.04</v>
      </c>
      <c r="D17" s="83">
        <f t="shared" si="0"/>
        <v>-0.34746651135701795</v>
      </c>
      <c r="E17" s="83">
        <v>8.1258444315769174E-2</v>
      </c>
      <c r="F17" s="83">
        <v>9</v>
      </c>
      <c r="G17" s="83">
        <f t="shared" ca="1" si="1"/>
        <v>-2.6788585061402338E-2</v>
      </c>
      <c r="I17" t="s">
        <v>148</v>
      </c>
      <c r="M17" s="15">
        <f ca="1">AVERAGE(G9:G4966)</f>
        <v>8.5604596487697925E-4</v>
      </c>
    </row>
    <row r="18" spans="2:16" x14ac:dyDescent="0.2">
      <c r="B18" s="167">
        <v>43921</v>
      </c>
      <c r="C18" s="28">
        <v>171.7</v>
      </c>
      <c r="D18" s="83">
        <f t="shared" si="0"/>
        <v>-9.129399311987299E-2</v>
      </c>
      <c r="E18" s="83">
        <v>7.8517587939698499E-2</v>
      </c>
      <c r="F18" s="83">
        <v>10</v>
      </c>
      <c r="G18" s="83">
        <f t="shared" ca="1" si="1"/>
        <v>-3.2766103726215495E-2</v>
      </c>
      <c r="I18" s="122" t="s">
        <v>326</v>
      </c>
      <c r="J18" s="122"/>
      <c r="K18" s="122"/>
      <c r="L18" s="122"/>
      <c r="M18" s="133">
        <f ca="1">_xlfn.STDEV.S(G9:G4966)</f>
        <v>1.7516451399055256E-2</v>
      </c>
    </row>
    <row r="19" spans="2:16" x14ac:dyDescent="0.2">
      <c r="B19" s="167">
        <v>43972</v>
      </c>
      <c r="C19" s="28">
        <v>188.95</v>
      </c>
      <c r="D19" s="83">
        <f t="shared" si="0"/>
        <v>0.16743898671609511</v>
      </c>
      <c r="E19" s="83">
        <v>7.5106685633001352E-2</v>
      </c>
      <c r="F19" s="83">
        <v>11</v>
      </c>
      <c r="G19" s="83">
        <f t="shared" ca="1" si="1"/>
        <v>-9.2165208273439683E-3</v>
      </c>
      <c r="I19" s="122" t="s">
        <v>327</v>
      </c>
      <c r="J19" s="122"/>
      <c r="K19" s="122"/>
      <c r="L19" s="122"/>
      <c r="M19" s="133">
        <f ca="1">MIN(G9:G4966)</f>
        <v>-7.5600570988087867E-2</v>
      </c>
    </row>
    <row r="20" spans="2:16" x14ac:dyDescent="0.2">
      <c r="B20" s="167">
        <v>43909</v>
      </c>
      <c r="C20" s="28">
        <v>161.85</v>
      </c>
      <c r="D20" s="83">
        <f t="shared" si="0"/>
        <v>-0.36492054149499709</v>
      </c>
      <c r="E20" s="83">
        <v>7.3988055739880598E-2</v>
      </c>
      <c r="F20" s="83">
        <v>12</v>
      </c>
      <c r="G20" s="83">
        <f t="shared" ca="1" si="1"/>
        <v>1.0706994360975105E-2</v>
      </c>
      <c r="I20" s="122" t="s">
        <v>328</v>
      </c>
      <c r="J20" s="122"/>
      <c r="K20" s="122"/>
      <c r="L20" s="122"/>
      <c r="M20" s="133">
        <f ca="1">MAX(G9:G4966)</f>
        <v>6.6022196339503264E-2</v>
      </c>
    </row>
    <row r="21" spans="2:16" x14ac:dyDescent="0.2">
      <c r="B21" s="167">
        <v>43731</v>
      </c>
      <c r="C21" s="28">
        <v>254.85</v>
      </c>
      <c r="D21" s="83">
        <f t="shared" si="0"/>
        <v>3.1819822776501479</v>
      </c>
      <c r="E21" s="83">
        <v>7.0573408947699992E-2</v>
      </c>
      <c r="F21" s="83">
        <v>13</v>
      </c>
      <c r="G21" s="83">
        <f t="shared" ca="1" si="1"/>
        <v>1.4917386445822793E-2</v>
      </c>
      <c r="I21" s="122" t="s">
        <v>333</v>
      </c>
      <c r="J21" s="122"/>
      <c r="K21" s="122"/>
      <c r="L21" s="122"/>
      <c r="M21" s="134">
        <f>M14</f>
        <v>409.75</v>
      </c>
    </row>
    <row r="22" spans="2:16" x14ac:dyDescent="0.2">
      <c r="B22" s="167">
        <v>39638</v>
      </c>
      <c r="C22" s="28">
        <v>60.94</v>
      </c>
      <c r="D22" s="83">
        <f t="shared" si="0"/>
        <v>-0.65744800449690843</v>
      </c>
      <c r="E22" s="83">
        <v>7.0061457418788317E-2</v>
      </c>
      <c r="F22" s="83">
        <v>14</v>
      </c>
      <c r="G22" s="83">
        <f t="shared" ca="1" si="1"/>
        <v>-3.2251043244699858E-2</v>
      </c>
    </row>
    <row r="23" spans="2:16" x14ac:dyDescent="0.2">
      <c r="B23" s="167">
        <v>43924</v>
      </c>
      <c r="C23" s="28">
        <v>177.9</v>
      </c>
      <c r="D23" s="83">
        <f t="shared" si="0"/>
        <v>2.1431095406360425</v>
      </c>
      <c r="E23" s="83">
        <v>6.9110576923076927E-2</v>
      </c>
      <c r="F23" s="83">
        <v>15</v>
      </c>
      <c r="G23" s="83">
        <f t="shared" ca="1" si="1"/>
        <v>-1.3822244382660749E-3</v>
      </c>
      <c r="I23" s="156" t="s">
        <v>329</v>
      </c>
      <c r="J23" s="157" t="s">
        <v>332</v>
      </c>
      <c r="K23" s="157" t="s">
        <v>330</v>
      </c>
      <c r="L23" s="157" t="s">
        <v>331</v>
      </c>
      <c r="M23" s="157" t="s">
        <v>334</v>
      </c>
    </row>
    <row r="24" spans="2:16" x14ac:dyDescent="0.2">
      <c r="B24" s="167">
        <v>39756</v>
      </c>
      <c r="C24" s="28">
        <v>56.6</v>
      </c>
      <c r="D24" s="83">
        <f t="shared" si="0"/>
        <v>-0.19154406513355238</v>
      </c>
      <c r="E24" s="83">
        <v>6.8529356239380834E-2</v>
      </c>
      <c r="F24" s="83">
        <v>16</v>
      </c>
      <c r="G24" s="83">
        <f t="shared" ca="1" si="1"/>
        <v>-1.1462545265130925E-2</v>
      </c>
      <c r="I24" s="87">
        <v>0.05</v>
      </c>
      <c r="J24" s="88">
        <f>1-I24</f>
        <v>0.95</v>
      </c>
      <c r="K24" s="89">
        <f>_xlfn.PERCENTILE.INC(E9:E4966,I24)</f>
        <v>-2.625215292181083E-2</v>
      </c>
      <c r="L24" s="27">
        <f>$M$14*(1-K24)</f>
        <v>420.50681965971205</v>
      </c>
      <c r="M24" s="90">
        <f>$M$14-L24</f>
        <v>-10.75681965971205</v>
      </c>
    </row>
    <row r="25" spans="2:16" x14ac:dyDescent="0.2">
      <c r="B25" s="167">
        <v>40001</v>
      </c>
      <c r="C25" s="28">
        <v>70.010000000000005</v>
      </c>
      <c r="D25" s="83">
        <f t="shared" si="0"/>
        <v>-0.69659804983748652</v>
      </c>
      <c r="E25" s="83">
        <v>6.8365634060735606E-2</v>
      </c>
      <c r="F25" s="83">
        <v>17</v>
      </c>
      <c r="G25" s="83">
        <f t="shared" ca="1" si="1"/>
        <v>-1.9203165147768434E-2</v>
      </c>
      <c r="I25" s="135">
        <v>0.01</v>
      </c>
      <c r="J25" s="136">
        <f t="shared" ref="J25:J27" si="2">1-I25</f>
        <v>0.99</v>
      </c>
      <c r="K25" s="137">
        <f>_xlfn.PERCENTILE.INC(E9:E4967,I25)</f>
        <v>-4.6484484038627802E-2</v>
      </c>
      <c r="L25" s="138">
        <f t="shared" ref="L25:L26" si="3">$M$14*(1-K25)</f>
        <v>428.79701733482773</v>
      </c>
      <c r="M25" s="139">
        <f t="shared" ref="M25:M27" si="4">$M$14-L25</f>
        <v>-19.047017334827729</v>
      </c>
      <c r="P25" t="s">
        <v>219</v>
      </c>
    </row>
    <row r="26" spans="2:16" x14ac:dyDescent="0.2">
      <c r="B26" s="167">
        <v>44455</v>
      </c>
      <c r="C26" s="28">
        <v>230.75</v>
      </c>
      <c r="D26" s="83">
        <f t="shared" si="0"/>
        <v>2.5725344480569747</v>
      </c>
      <c r="E26" s="83">
        <v>6.8287037037037035E-2</v>
      </c>
      <c r="F26" s="83">
        <v>18</v>
      </c>
      <c r="G26" s="83">
        <f t="shared" ca="1" si="1"/>
        <v>-9.1642695733917621E-3</v>
      </c>
      <c r="I26" s="135">
        <v>5.0000000000000001E-3</v>
      </c>
      <c r="J26" s="136">
        <f t="shared" si="2"/>
        <v>0.995</v>
      </c>
      <c r="K26" s="137">
        <f>_xlfn.PERCENTILE.INC(E9:E4968,I26)</f>
        <v>-5.7279058488828256E-2</v>
      </c>
      <c r="L26" s="138">
        <f t="shared" si="3"/>
        <v>433.22009421579742</v>
      </c>
      <c r="M26" s="139">
        <f t="shared" si="4"/>
        <v>-23.470094215797417</v>
      </c>
    </row>
    <row r="27" spans="2:16" x14ac:dyDescent="0.2">
      <c r="B27" s="167">
        <v>39470</v>
      </c>
      <c r="C27" s="28">
        <v>64.59</v>
      </c>
      <c r="D27" s="83">
        <f t="shared" si="0"/>
        <v>-0.84324717874044419</v>
      </c>
      <c r="E27" s="83">
        <v>6.5314200890648211E-2</v>
      </c>
      <c r="F27" s="83">
        <v>19</v>
      </c>
      <c r="G27" s="83">
        <f t="shared" ca="1" si="1"/>
        <v>1.6087780397070501E-2</v>
      </c>
      <c r="I27" s="135">
        <v>0.1</v>
      </c>
      <c r="J27" s="136">
        <f t="shared" si="2"/>
        <v>0.9</v>
      </c>
      <c r="K27" s="137">
        <f>_xlfn.PERCENTILE.INC(E10:E4969,I27)</f>
        <v>-1.8144218820181655E-2</v>
      </c>
      <c r="L27" s="138">
        <f t="shared" ref="L27" si="5">$M$14*(1-K27)</f>
        <v>417.18459366156947</v>
      </c>
      <c r="M27" s="139">
        <f t="shared" si="4"/>
        <v>-7.4345936615694654</v>
      </c>
    </row>
    <row r="28" spans="2:16" x14ac:dyDescent="0.2">
      <c r="B28" s="167">
        <v>45353</v>
      </c>
      <c r="C28" s="28">
        <v>412.05</v>
      </c>
      <c r="D28" s="83">
        <f t="shared" si="0"/>
        <v>0.90808057420699251</v>
      </c>
      <c r="E28" s="83">
        <v>6.365677998915828E-2</v>
      </c>
      <c r="F28" s="83">
        <v>20</v>
      </c>
      <c r="G28" s="83">
        <f t="shared" ca="1" si="1"/>
        <v>-4.321514187669073E-4</v>
      </c>
    </row>
    <row r="29" spans="2:16" x14ac:dyDescent="0.2">
      <c r="B29" s="167">
        <v>44228</v>
      </c>
      <c r="C29" s="28">
        <v>215.95</v>
      </c>
      <c r="D29" s="83">
        <f t="shared" si="0"/>
        <v>-0.50746949481126702</v>
      </c>
      <c r="E29" s="83">
        <v>6.2484624846248407E-2</v>
      </c>
      <c r="F29" s="83">
        <v>21</v>
      </c>
      <c r="G29" s="83">
        <f t="shared" ca="1" si="1"/>
        <v>7.1827682736542086E-3</v>
      </c>
    </row>
    <row r="30" spans="2:16" x14ac:dyDescent="0.2">
      <c r="B30" s="167">
        <v>45242</v>
      </c>
      <c r="C30" s="28">
        <v>438.45</v>
      </c>
      <c r="D30" s="83">
        <f t="shared" si="0"/>
        <v>0.96888050653374647</v>
      </c>
      <c r="E30" s="83">
        <v>6.167368879848896E-2</v>
      </c>
      <c r="F30" s="83">
        <v>22</v>
      </c>
      <c r="G30" s="83">
        <f t="shared" ca="1" si="1"/>
        <v>1.1060545040966742E-2</v>
      </c>
    </row>
    <row r="31" spans="2:16" x14ac:dyDescent="0.2">
      <c r="B31" s="167">
        <v>41527</v>
      </c>
      <c r="C31" s="28">
        <v>222.69</v>
      </c>
      <c r="D31" s="83">
        <f t="shared" si="0"/>
        <v>2.0269131439445429</v>
      </c>
      <c r="E31" s="83">
        <v>6.1641876430205987E-2</v>
      </c>
      <c r="F31" s="83">
        <v>23</v>
      </c>
      <c r="G31" s="83">
        <f t="shared" ca="1" si="1"/>
        <v>2.9885389901246655E-2</v>
      </c>
    </row>
    <row r="32" spans="2:16" x14ac:dyDescent="0.2">
      <c r="B32" s="167">
        <v>39596</v>
      </c>
      <c r="C32" s="28">
        <v>73.569999999999993</v>
      </c>
      <c r="D32" s="83">
        <f t="shared" si="0"/>
        <v>-0.52960358056265988</v>
      </c>
      <c r="E32" s="83">
        <v>6.1462992353195654E-2</v>
      </c>
      <c r="F32" s="83">
        <v>24</v>
      </c>
      <c r="G32" s="83">
        <f t="shared" ca="1" si="1"/>
        <v>-7.2590849297220232E-3</v>
      </c>
    </row>
    <row r="33" spans="2:9" x14ac:dyDescent="0.2">
      <c r="B33" s="167">
        <v>43916</v>
      </c>
      <c r="C33" s="28">
        <v>156.4</v>
      </c>
      <c r="D33" s="83">
        <f t="shared" si="0"/>
        <v>-0.31985214176994992</v>
      </c>
      <c r="E33" s="83">
        <v>6.1418391584662446E-2</v>
      </c>
      <c r="F33" s="83">
        <v>25</v>
      </c>
      <c r="G33" s="83">
        <f t="shared" ca="1" si="1"/>
        <v>1.8851328234723203E-2</v>
      </c>
    </row>
    <row r="34" spans="2:9" x14ac:dyDescent="0.2">
      <c r="B34" s="167">
        <v>44231</v>
      </c>
      <c r="C34" s="28">
        <v>229.95</v>
      </c>
      <c r="D34" s="83">
        <f t="shared" si="0"/>
        <v>-0.24258893280632421</v>
      </c>
      <c r="E34" s="83">
        <v>6.0899653979238702E-2</v>
      </c>
      <c r="F34" s="83">
        <v>26</v>
      </c>
      <c r="G34" s="83">
        <f t="shared" ca="1" si="1"/>
        <v>1.4173578440490353E-3</v>
      </c>
    </row>
    <row r="35" spans="2:9" x14ac:dyDescent="0.2">
      <c r="B35" s="167">
        <v>42877</v>
      </c>
      <c r="C35" s="28">
        <v>303.60000000000002</v>
      </c>
      <c r="D35" s="83">
        <f t="shared" si="0"/>
        <v>3.8244080724614653</v>
      </c>
      <c r="E35" s="83">
        <v>6.0796645702306203E-2</v>
      </c>
      <c r="F35" s="83">
        <v>27</v>
      </c>
      <c r="G35" s="83">
        <f t="shared" ca="1" si="1"/>
        <v>1.8288947531712376E-4</v>
      </c>
    </row>
    <row r="36" spans="2:9" x14ac:dyDescent="0.2">
      <c r="B36" s="167">
        <v>39651</v>
      </c>
      <c r="C36" s="28">
        <v>62.93</v>
      </c>
      <c r="D36" s="83">
        <f t="shared" si="0"/>
        <v>6.1751307575501881E-2</v>
      </c>
      <c r="E36" s="83">
        <v>5.9427609427609447E-2</v>
      </c>
      <c r="F36" s="83">
        <v>28</v>
      </c>
      <c r="G36" s="83">
        <f t="shared" ca="1" si="1"/>
        <v>3.2484457808896978E-2</v>
      </c>
    </row>
    <row r="37" spans="2:9" x14ac:dyDescent="0.2">
      <c r="B37" s="167">
        <v>39398</v>
      </c>
      <c r="C37" s="28">
        <v>59.27</v>
      </c>
      <c r="D37" s="83">
        <f t="shared" si="0"/>
        <v>-9.8966251140164149E-2</v>
      </c>
      <c r="E37" s="83">
        <v>5.9338695263628241E-2</v>
      </c>
      <c r="F37" s="83">
        <v>29</v>
      </c>
      <c r="G37" s="83">
        <f t="shared" ca="1" si="1"/>
        <v>-1.8138330817584564E-2</v>
      </c>
    </row>
    <row r="38" spans="2:9" x14ac:dyDescent="0.2">
      <c r="B38" s="167">
        <v>39472</v>
      </c>
      <c r="C38" s="28">
        <v>65.78</v>
      </c>
      <c r="D38" s="83">
        <f t="shared" si="0"/>
        <v>-0.8079416058394161</v>
      </c>
      <c r="E38" s="83">
        <v>5.840707964601774E-2</v>
      </c>
      <c r="F38" s="83">
        <v>30</v>
      </c>
      <c r="G38" s="83">
        <f t="shared" ca="1" si="1"/>
        <v>2.5144759267424578E-2</v>
      </c>
    </row>
    <row r="39" spans="2:9" x14ac:dyDescent="0.2">
      <c r="B39" s="167">
        <v>42919</v>
      </c>
      <c r="C39" s="28">
        <v>342.5</v>
      </c>
      <c r="D39" s="83">
        <f t="shared" si="0"/>
        <v>4.8727709190672153</v>
      </c>
      <c r="E39" s="83">
        <v>5.8241928008651397E-2</v>
      </c>
      <c r="F39" s="83">
        <v>31</v>
      </c>
      <c r="G39" s="83">
        <f t="shared" ca="1" si="1"/>
        <v>7.8097552489890323E-3</v>
      </c>
    </row>
    <row r="40" spans="2:9" x14ac:dyDescent="0.2">
      <c r="B40" s="167">
        <v>38895</v>
      </c>
      <c r="C40" s="28">
        <v>58.32</v>
      </c>
      <c r="D40" s="83">
        <f t="shared" si="0"/>
        <v>-0.86643765029199593</v>
      </c>
      <c r="E40" s="83">
        <v>5.8055152394775093E-2</v>
      </c>
      <c r="F40" s="83">
        <v>32</v>
      </c>
      <c r="G40" s="83">
        <f t="shared" ca="1" si="1"/>
        <v>9.9839396418369836E-3</v>
      </c>
    </row>
    <row r="41" spans="2:9" x14ac:dyDescent="0.2">
      <c r="B41" s="167">
        <v>45430</v>
      </c>
      <c r="C41" s="28">
        <v>436.65</v>
      </c>
      <c r="D41" s="83">
        <f t="shared" si="0"/>
        <v>5.7125288239815522</v>
      </c>
      <c r="E41" s="83">
        <v>5.7929931676115633E-2</v>
      </c>
      <c r="F41" s="83">
        <v>33</v>
      </c>
      <c r="G41" s="83">
        <f t="shared" ca="1" si="1"/>
        <v>-1.8206634449077972E-2</v>
      </c>
    </row>
    <row r="42" spans="2:9" x14ac:dyDescent="0.2">
      <c r="B42" s="167">
        <v>39491</v>
      </c>
      <c r="C42" s="28">
        <v>65.05</v>
      </c>
      <c r="D42" s="83">
        <f t="shared" si="0"/>
        <v>-0.59098340040241448</v>
      </c>
      <c r="E42" s="83">
        <v>5.7551617623150697E-2</v>
      </c>
      <c r="F42" s="83">
        <v>34</v>
      </c>
      <c r="G42" s="83">
        <f t="shared" ca="1" si="1"/>
        <v>-9.9892711049482004E-3</v>
      </c>
    </row>
    <row r="43" spans="2:9" x14ac:dyDescent="0.2">
      <c r="B43" s="167">
        <v>41038</v>
      </c>
      <c r="C43" s="28">
        <v>159.04</v>
      </c>
      <c r="D43" s="83">
        <f t="shared" si="0"/>
        <v>1.3627989897489228</v>
      </c>
      <c r="E43" s="83">
        <v>5.7306209280680795E-2</v>
      </c>
      <c r="F43" s="83">
        <v>35</v>
      </c>
      <c r="G43" s="83">
        <f t="shared" ca="1" si="1"/>
        <v>3.1478869792642535E-2</v>
      </c>
    </row>
    <row r="44" spans="2:9" x14ac:dyDescent="0.2">
      <c r="B44" s="167">
        <v>39967</v>
      </c>
      <c r="C44" s="28">
        <v>67.31</v>
      </c>
      <c r="D44" s="83">
        <f t="shared" si="0"/>
        <v>0.30496316401706097</v>
      </c>
      <c r="E44" s="83">
        <v>5.6506043007377202E-2</v>
      </c>
      <c r="F44" s="83">
        <v>36</v>
      </c>
      <c r="G44" s="83">
        <f t="shared" ca="1" si="1"/>
        <v>-3.9358766203819333E-2</v>
      </c>
      <c r="I44" t="s">
        <v>339</v>
      </c>
    </row>
    <row r="45" spans="2:9" x14ac:dyDescent="0.2">
      <c r="B45" s="167">
        <v>38883</v>
      </c>
      <c r="C45" s="28">
        <v>51.58</v>
      </c>
      <c r="D45" s="83">
        <f t="shared" si="0"/>
        <v>-0.18035912919116481</v>
      </c>
      <c r="E45" s="83">
        <v>5.610155610155599E-2</v>
      </c>
      <c r="F45" s="83">
        <v>37</v>
      </c>
      <c r="G45" s="83">
        <f t="shared" ca="1" si="1"/>
        <v>7.3582587642187103E-3</v>
      </c>
    </row>
    <row r="46" spans="2:9" x14ac:dyDescent="0.2">
      <c r="B46" s="167">
        <v>39911</v>
      </c>
      <c r="C46" s="28">
        <v>62.93</v>
      </c>
      <c r="D46" s="83">
        <f t="shared" si="0"/>
        <v>-0.86484977342525182</v>
      </c>
      <c r="E46" s="83">
        <v>5.5872483221476484E-2</v>
      </c>
      <c r="F46" s="83">
        <v>38</v>
      </c>
      <c r="G46" s="83">
        <f t="shared" ca="1" si="1"/>
        <v>1.2210833794712344E-2</v>
      </c>
    </row>
    <row r="47" spans="2:9" x14ac:dyDescent="0.2">
      <c r="B47" s="167">
        <v>45496</v>
      </c>
      <c r="C47" s="28">
        <v>465.63</v>
      </c>
      <c r="D47" s="83">
        <f t="shared" si="0"/>
        <v>0.8331168064249439</v>
      </c>
      <c r="E47" s="83">
        <v>5.4989124524197894E-2</v>
      </c>
      <c r="F47" s="83">
        <v>39</v>
      </c>
      <c r="G47" s="83">
        <f t="shared" ca="1" si="1"/>
        <v>1.4544031999122402E-2</v>
      </c>
    </row>
    <row r="48" spans="2:9" x14ac:dyDescent="0.2">
      <c r="B48" s="167">
        <v>41977</v>
      </c>
      <c r="C48" s="28">
        <v>254.01</v>
      </c>
      <c r="D48" s="83">
        <f t="shared" si="0"/>
        <v>2.3426766679826292</v>
      </c>
      <c r="E48" s="83">
        <v>5.4771198405448043E-2</v>
      </c>
      <c r="F48" s="83">
        <v>40</v>
      </c>
      <c r="G48" s="83">
        <f t="shared" ca="1" si="1"/>
        <v>8.7171919714268634E-3</v>
      </c>
    </row>
    <row r="49" spans="2:7" x14ac:dyDescent="0.2">
      <c r="B49" s="167">
        <v>40011</v>
      </c>
      <c r="C49" s="28">
        <v>75.989999999999995</v>
      </c>
      <c r="D49" s="83">
        <f t="shared" si="0"/>
        <v>-8.8691796008870064E-3</v>
      </c>
      <c r="E49" s="83">
        <v>5.4684247050659232E-2</v>
      </c>
      <c r="F49" s="83">
        <v>41</v>
      </c>
      <c r="G49" s="83">
        <f t="shared" ca="1" si="1"/>
        <v>-3.6559591392712676E-3</v>
      </c>
    </row>
    <row r="50" spans="2:7" x14ac:dyDescent="0.2">
      <c r="B50" s="167">
        <v>39454</v>
      </c>
      <c r="C50" s="28">
        <v>76.67</v>
      </c>
      <c r="D50" s="83">
        <f t="shared" si="0"/>
        <v>6.6964285714286387E-3</v>
      </c>
      <c r="E50" s="83">
        <v>5.446293494705004E-2</v>
      </c>
      <c r="F50" s="83">
        <v>42</v>
      </c>
      <c r="G50" s="83">
        <f t="shared" ca="1" si="1"/>
        <v>1.7808800867690409E-2</v>
      </c>
    </row>
    <row r="51" spans="2:7" x14ac:dyDescent="0.2">
      <c r="B51" s="167">
        <v>40017</v>
      </c>
      <c r="C51" s="28">
        <v>76.16</v>
      </c>
      <c r="D51" s="83">
        <f t="shared" si="0"/>
        <v>0.30366312906538845</v>
      </c>
      <c r="E51" s="83">
        <v>5.397176861334059E-2</v>
      </c>
      <c r="F51" s="83">
        <v>43</v>
      </c>
      <c r="G51" s="83">
        <f t="shared" ca="1" si="1"/>
        <v>-2.9440604215205698E-3</v>
      </c>
    </row>
    <row r="52" spans="2:7" x14ac:dyDescent="0.2">
      <c r="B52" s="167">
        <v>39647</v>
      </c>
      <c r="C52" s="28">
        <v>58.42</v>
      </c>
      <c r="D52" s="83">
        <f t="shared" si="0"/>
        <v>-0.8069079490993224</v>
      </c>
      <c r="E52" s="83">
        <v>5.3751803751803828E-2</v>
      </c>
      <c r="F52" s="83">
        <v>44</v>
      </c>
      <c r="G52" s="83">
        <f t="shared" ca="1" si="1"/>
        <v>-1.9425664747279654E-2</v>
      </c>
    </row>
    <row r="53" spans="2:7" x14ac:dyDescent="0.2">
      <c r="B53" s="167">
        <v>43308</v>
      </c>
      <c r="C53" s="28">
        <v>302.55</v>
      </c>
      <c r="D53" s="83">
        <f t="shared" si="0"/>
        <v>0.49703117268678881</v>
      </c>
      <c r="E53" s="83">
        <v>5.344707520891373E-2</v>
      </c>
      <c r="F53" s="83">
        <v>45</v>
      </c>
      <c r="G53" s="83">
        <f t="shared" ca="1" si="1"/>
        <v>1.5420977301943774E-2</v>
      </c>
    </row>
    <row r="54" spans="2:7" x14ac:dyDescent="0.2">
      <c r="B54" s="167">
        <v>44007</v>
      </c>
      <c r="C54" s="28">
        <v>202.1</v>
      </c>
      <c r="D54" s="83">
        <f t="shared" si="0"/>
        <v>2.1338191967746942</v>
      </c>
      <c r="E54" s="83">
        <v>5.3427156632786035E-2</v>
      </c>
      <c r="F54" s="83">
        <v>46</v>
      </c>
      <c r="G54" s="83">
        <f t="shared" ca="1" si="1"/>
        <v>-9.8879137503350943E-3</v>
      </c>
    </row>
    <row r="55" spans="2:7" x14ac:dyDescent="0.2">
      <c r="B55" s="167">
        <v>39512</v>
      </c>
      <c r="C55" s="28">
        <v>64.489999999999995</v>
      </c>
      <c r="D55" s="83">
        <f t="shared" si="0"/>
        <v>-0.1871691454499623</v>
      </c>
      <c r="E55" s="83">
        <v>5.2210801109479454E-2</v>
      </c>
      <c r="F55" s="83">
        <v>47</v>
      </c>
      <c r="G55" s="83">
        <f t="shared" ca="1" si="1"/>
        <v>-9.8136606252335629E-4</v>
      </c>
    </row>
    <row r="56" spans="2:7" x14ac:dyDescent="0.2">
      <c r="B56" s="167">
        <v>40038</v>
      </c>
      <c r="C56" s="28">
        <v>79.34</v>
      </c>
      <c r="D56" s="83">
        <f t="shared" si="0"/>
        <v>-0.83061485909479071</v>
      </c>
      <c r="E56" s="83">
        <v>5.0443532371243244E-2</v>
      </c>
      <c r="F56" s="83">
        <v>48</v>
      </c>
      <c r="G56" s="83">
        <f t="shared" ca="1" si="1"/>
        <v>-1.345982930449972E-2</v>
      </c>
    </row>
    <row r="57" spans="2:7" x14ac:dyDescent="0.2">
      <c r="B57" s="167">
        <v>45311</v>
      </c>
      <c r="C57" s="28">
        <v>468.4</v>
      </c>
      <c r="D57" s="83">
        <f t="shared" si="0"/>
        <v>1.0369645575125028</v>
      </c>
      <c r="E57" s="83">
        <v>5.0106490303777527E-2</v>
      </c>
      <c r="F57" s="83">
        <v>49</v>
      </c>
      <c r="G57" s="83">
        <f t="shared" ca="1" si="1"/>
        <v>-1.0114360944149189E-2</v>
      </c>
    </row>
    <row r="58" spans="2:7" x14ac:dyDescent="0.2">
      <c r="B58" s="167">
        <v>42513</v>
      </c>
      <c r="C58" s="28">
        <v>229.95</v>
      </c>
      <c r="D58" s="83">
        <f t="shared" si="0"/>
        <v>1.6660869565217391</v>
      </c>
      <c r="E58" s="83">
        <v>4.9952056983699367E-2</v>
      </c>
      <c r="F58" s="83">
        <v>50</v>
      </c>
      <c r="G58" s="83">
        <f t="shared" ca="1" si="1"/>
        <v>-1.0235297669220373E-2</v>
      </c>
    </row>
    <row r="59" spans="2:7" x14ac:dyDescent="0.2">
      <c r="B59" s="167">
        <v>40109</v>
      </c>
      <c r="C59" s="28">
        <v>86.25</v>
      </c>
      <c r="D59" s="83">
        <f t="shared" si="0"/>
        <v>-0.26351293655537528</v>
      </c>
      <c r="E59" s="83">
        <v>4.9780915287244445E-2</v>
      </c>
      <c r="F59" s="83">
        <v>51</v>
      </c>
      <c r="G59" s="83">
        <f t="shared" ca="1" si="1"/>
        <v>2.3994539225099198E-2</v>
      </c>
    </row>
    <row r="60" spans="2:7" x14ac:dyDescent="0.2">
      <c r="B60" s="167">
        <v>40441</v>
      </c>
      <c r="C60" s="28">
        <v>117.11</v>
      </c>
      <c r="D60" s="83">
        <f t="shared" si="0"/>
        <v>0.72220588235294114</v>
      </c>
      <c r="E60" s="83">
        <v>4.9278738464295313E-2</v>
      </c>
      <c r="F60" s="83">
        <v>52</v>
      </c>
      <c r="G60" s="83">
        <f t="shared" ca="1" si="1"/>
        <v>-1.1305554250139765E-2</v>
      </c>
    </row>
    <row r="61" spans="2:7" x14ac:dyDescent="0.2">
      <c r="B61" s="167">
        <v>39479</v>
      </c>
      <c r="C61" s="28">
        <v>68</v>
      </c>
      <c r="D61" s="83">
        <f t="shared" si="0"/>
        <v>0.25693160813308685</v>
      </c>
      <c r="E61" s="83">
        <v>4.9058932428262994E-2</v>
      </c>
      <c r="F61" s="83">
        <v>53</v>
      </c>
      <c r="G61" s="83">
        <f t="shared" ca="1" si="1"/>
        <v>-5.3148249502872908E-3</v>
      </c>
    </row>
    <row r="62" spans="2:7" x14ac:dyDescent="0.2">
      <c r="B62" s="167">
        <v>38884</v>
      </c>
      <c r="C62" s="28">
        <v>54.1</v>
      </c>
      <c r="D62" s="83">
        <f t="shared" si="0"/>
        <v>-0.20112226816302417</v>
      </c>
      <c r="E62" s="83">
        <v>4.8856145792943062E-2</v>
      </c>
      <c r="F62" s="83">
        <v>54</v>
      </c>
      <c r="G62" s="83">
        <f t="shared" ca="1" si="1"/>
        <v>1.8923580282334585E-2</v>
      </c>
    </row>
    <row r="63" spans="2:7" x14ac:dyDescent="0.2">
      <c r="B63" s="167">
        <v>38854</v>
      </c>
      <c r="C63" s="28">
        <v>67.72</v>
      </c>
      <c r="D63" s="83">
        <f t="shared" si="0"/>
        <v>-2.8825469668722285E-2</v>
      </c>
      <c r="E63" s="83">
        <v>4.8784265138609353E-2</v>
      </c>
      <c r="F63" s="83">
        <v>55</v>
      </c>
      <c r="G63" s="83">
        <f t="shared" ca="1" si="1"/>
        <v>-1.63361662730022E-2</v>
      </c>
    </row>
    <row r="64" spans="2:7" x14ac:dyDescent="0.2">
      <c r="B64" s="167">
        <v>39545</v>
      </c>
      <c r="C64" s="28">
        <v>69.73</v>
      </c>
      <c r="D64" s="83">
        <f t="shared" si="0"/>
        <v>-0.12333417148604478</v>
      </c>
      <c r="E64" s="83">
        <v>4.8729132200331017E-2</v>
      </c>
      <c r="F64" s="83">
        <v>56</v>
      </c>
      <c r="G64" s="83">
        <f t="shared" ca="1" si="1"/>
        <v>3.0713613589364842E-3</v>
      </c>
    </row>
    <row r="65" spans="2:7" x14ac:dyDescent="0.2">
      <c r="B65" s="167">
        <v>40049</v>
      </c>
      <c r="C65" s="28">
        <v>79.540000000000006</v>
      </c>
      <c r="D65" s="83">
        <f t="shared" si="0"/>
        <v>0.54506604506604528</v>
      </c>
      <c r="E65" s="83">
        <v>4.8095928317301431E-2</v>
      </c>
      <c r="F65" s="83">
        <v>57</v>
      </c>
      <c r="G65" s="83">
        <f t="shared" ca="1" si="1"/>
        <v>4.5826445446150568E-2</v>
      </c>
    </row>
    <row r="66" spans="2:7" x14ac:dyDescent="0.2">
      <c r="B66" s="167">
        <v>39181</v>
      </c>
      <c r="C66" s="28">
        <v>51.48</v>
      </c>
      <c r="D66" s="83">
        <f t="shared" si="0"/>
        <v>-0.81696000000000002</v>
      </c>
      <c r="E66" s="83">
        <v>4.7832281701607859E-2</v>
      </c>
      <c r="F66" s="83">
        <v>58</v>
      </c>
      <c r="G66" s="83">
        <f t="shared" ca="1" si="1"/>
        <v>-9.1987177783710902E-3</v>
      </c>
    </row>
    <row r="67" spans="2:7" x14ac:dyDescent="0.2">
      <c r="B67" s="167">
        <v>42811</v>
      </c>
      <c r="C67" s="28">
        <v>281.25</v>
      </c>
      <c r="D67" s="83">
        <f t="shared" si="0"/>
        <v>3.4096895578551267</v>
      </c>
      <c r="E67" s="83">
        <v>4.768113242689518E-2</v>
      </c>
      <c r="F67" s="83">
        <v>59</v>
      </c>
      <c r="G67" s="83">
        <f t="shared" ca="1" si="1"/>
        <v>-2.3093253529571988E-2</v>
      </c>
    </row>
    <row r="68" spans="2:7" x14ac:dyDescent="0.2">
      <c r="B68" s="167">
        <v>39965</v>
      </c>
      <c r="C68" s="28">
        <v>63.78</v>
      </c>
      <c r="D68" s="83">
        <f t="shared" si="0"/>
        <v>-0.82082759783127801</v>
      </c>
      <c r="E68" s="83">
        <v>4.7634691195794984E-2</v>
      </c>
      <c r="F68" s="83">
        <v>60</v>
      </c>
      <c r="G68" s="83">
        <f t="shared" ca="1" si="1"/>
        <v>3.4120046010118921E-2</v>
      </c>
    </row>
    <row r="69" spans="2:7" x14ac:dyDescent="0.2">
      <c r="B69" s="167">
        <v>44959</v>
      </c>
      <c r="C69" s="28">
        <v>355.97</v>
      </c>
      <c r="D69" s="83">
        <f t="shared" si="0"/>
        <v>0.51219201359388278</v>
      </c>
      <c r="E69" s="83">
        <v>4.7586815773984742E-2</v>
      </c>
      <c r="F69" s="83">
        <v>61</v>
      </c>
      <c r="G69" s="83">
        <f t="shared" ca="1" si="1"/>
        <v>-1.4535600779487685E-2</v>
      </c>
    </row>
    <row r="70" spans="2:7" x14ac:dyDescent="0.2">
      <c r="B70" s="167">
        <v>44539</v>
      </c>
      <c r="C70" s="28">
        <v>235.4</v>
      </c>
      <c r="D70" s="83">
        <f t="shared" si="0"/>
        <v>3.0565224883680857</v>
      </c>
      <c r="E70" s="83">
        <v>4.6454767726161444E-2</v>
      </c>
      <c r="F70" s="83">
        <v>62</v>
      </c>
      <c r="G70" s="83">
        <f t="shared" ca="1" si="1"/>
        <v>-9.7603846658174068E-3</v>
      </c>
    </row>
    <row r="71" spans="2:7" x14ac:dyDescent="0.2">
      <c r="B71" s="167">
        <v>38918</v>
      </c>
      <c r="C71" s="28">
        <v>58.03</v>
      </c>
      <c r="D71" s="83">
        <f t="shared" si="0"/>
        <v>-0.76450775099423751</v>
      </c>
      <c r="E71" s="83">
        <v>4.5208933717579211E-2</v>
      </c>
      <c r="F71" s="83">
        <v>63</v>
      </c>
      <c r="G71" s="83">
        <f t="shared" ca="1" si="1"/>
        <v>-9.8758690058477249E-4</v>
      </c>
    </row>
    <row r="72" spans="2:7" x14ac:dyDescent="0.2">
      <c r="B72" s="167">
        <v>41953</v>
      </c>
      <c r="C72" s="28">
        <v>246.42</v>
      </c>
      <c r="D72" s="83">
        <f t="shared" si="0"/>
        <v>-8.6318131256952174E-2</v>
      </c>
      <c r="E72" s="83">
        <v>4.5126813130884666E-2</v>
      </c>
      <c r="F72" s="83">
        <v>64</v>
      </c>
      <c r="G72" s="83">
        <f t="shared" ca="1" si="1"/>
        <v>3.6815141099159655E-2</v>
      </c>
    </row>
    <row r="73" spans="2:7" x14ac:dyDescent="0.2">
      <c r="B73" s="167">
        <v>42767</v>
      </c>
      <c r="C73" s="28">
        <v>269.7</v>
      </c>
      <c r="D73" s="83">
        <f t="shared" ref="D73:D136" si="6">(C73-C74)/C74</f>
        <v>3.391077824812764</v>
      </c>
      <c r="E73" s="83">
        <v>4.4943820224718968E-2</v>
      </c>
      <c r="F73" s="83">
        <v>65</v>
      </c>
      <c r="G73" s="83">
        <f t="shared" ref="G73:G136" ca="1" si="7">_xlfn.NORM.INV(RAND(),$M$10,$M$11)</f>
        <v>-1.1044136040387526E-2</v>
      </c>
    </row>
    <row r="74" spans="2:7" x14ac:dyDescent="0.2">
      <c r="B74" s="167">
        <v>39378</v>
      </c>
      <c r="C74" s="28">
        <v>61.42</v>
      </c>
      <c r="D74" s="83">
        <f t="shared" si="6"/>
        <v>8.4584142680557986E-2</v>
      </c>
      <c r="E74" s="83">
        <v>4.4735499234563748E-2</v>
      </c>
      <c r="F74" s="83">
        <v>66</v>
      </c>
      <c r="G74" s="83">
        <f t="shared" ca="1" si="7"/>
        <v>2.3337534224790367E-2</v>
      </c>
    </row>
    <row r="75" spans="2:7" x14ac:dyDescent="0.2">
      <c r="B75" s="167">
        <v>38763</v>
      </c>
      <c r="C75" s="28">
        <v>56.63</v>
      </c>
      <c r="D75" s="83">
        <f t="shared" si="6"/>
        <v>-5.1105898123324348E-2</v>
      </c>
      <c r="E75" s="83">
        <v>4.4641210108836038E-2</v>
      </c>
      <c r="F75" s="83">
        <v>67</v>
      </c>
      <c r="G75" s="83">
        <f t="shared" ca="1" si="7"/>
        <v>1.3546188269794909E-2</v>
      </c>
    </row>
    <row r="76" spans="2:7" x14ac:dyDescent="0.2">
      <c r="B76" s="167">
        <v>39800</v>
      </c>
      <c r="C76" s="28">
        <v>59.68</v>
      </c>
      <c r="D76" s="83">
        <f t="shared" si="6"/>
        <v>-0.85066559903913519</v>
      </c>
      <c r="E76" s="83">
        <v>4.4635042884648993E-2</v>
      </c>
      <c r="F76" s="83">
        <v>68</v>
      </c>
      <c r="G76" s="83">
        <f t="shared" ca="1" si="7"/>
        <v>1.9481376353451462E-3</v>
      </c>
    </row>
    <row r="77" spans="2:7" x14ac:dyDescent="0.2">
      <c r="B77" s="167">
        <v>45364</v>
      </c>
      <c r="C77" s="28">
        <v>399.64</v>
      </c>
      <c r="D77" s="83">
        <f t="shared" si="6"/>
        <v>0.88287396937573615</v>
      </c>
      <c r="E77" s="83">
        <v>4.4510075533833335E-2</v>
      </c>
      <c r="F77" s="83">
        <v>69</v>
      </c>
      <c r="G77" s="83">
        <f t="shared" ca="1" si="7"/>
        <v>3.0572883824230141E-2</v>
      </c>
    </row>
    <row r="78" spans="2:7" x14ac:dyDescent="0.2">
      <c r="B78" s="167">
        <v>44330</v>
      </c>
      <c r="C78" s="28">
        <v>212.25</v>
      </c>
      <c r="D78" s="83">
        <f t="shared" si="6"/>
        <v>2.7942438326778691</v>
      </c>
      <c r="E78" s="83">
        <v>4.4280442804428041E-2</v>
      </c>
      <c r="F78" s="83">
        <v>70</v>
      </c>
      <c r="G78" s="83">
        <f t="shared" ca="1" si="7"/>
        <v>5.5468707252763639E-3</v>
      </c>
    </row>
    <row r="79" spans="2:7" x14ac:dyDescent="0.2">
      <c r="B79" s="167">
        <v>38889</v>
      </c>
      <c r="C79" s="28">
        <v>55.94</v>
      </c>
      <c r="D79" s="83">
        <f t="shared" si="6"/>
        <v>-0.65723039215686274</v>
      </c>
      <c r="E79" s="83">
        <v>4.4046285927584909E-2</v>
      </c>
      <c r="F79" s="83">
        <v>71</v>
      </c>
      <c r="G79" s="83">
        <f t="shared" ca="1" si="7"/>
        <v>-7.7772851542787095E-4</v>
      </c>
    </row>
    <row r="80" spans="2:7" x14ac:dyDescent="0.2">
      <c r="B80" s="167">
        <v>43917</v>
      </c>
      <c r="C80" s="28">
        <v>163.19999999999999</v>
      </c>
      <c r="D80" s="83">
        <f t="shared" si="6"/>
        <v>2.6485580147551979</v>
      </c>
      <c r="E80" s="83">
        <v>4.3478260869565105E-2</v>
      </c>
      <c r="F80" s="83">
        <v>72</v>
      </c>
      <c r="G80" s="83">
        <f t="shared" ca="1" si="7"/>
        <v>-3.934163723081701E-2</v>
      </c>
    </row>
    <row r="81" spans="2:7" x14ac:dyDescent="0.2">
      <c r="B81" s="167">
        <v>38680</v>
      </c>
      <c r="C81" s="28">
        <v>44.73</v>
      </c>
      <c r="D81" s="83">
        <f t="shared" si="6"/>
        <v>-0.76377079482439936</v>
      </c>
      <c r="E81" s="83">
        <v>4.290044299370474E-2</v>
      </c>
      <c r="F81" s="83">
        <v>73</v>
      </c>
      <c r="G81" s="83">
        <f t="shared" ca="1" si="7"/>
        <v>-4.4966176113190948E-3</v>
      </c>
    </row>
    <row r="82" spans="2:7" x14ac:dyDescent="0.2">
      <c r="B82" s="167">
        <v>43936</v>
      </c>
      <c r="C82" s="28">
        <v>189.35</v>
      </c>
      <c r="D82" s="83">
        <f t="shared" si="6"/>
        <v>-6.6781665845244018E-2</v>
      </c>
      <c r="E82" s="83">
        <v>4.2676211453744492E-2</v>
      </c>
      <c r="F82" s="83">
        <v>74</v>
      </c>
      <c r="G82" s="83">
        <f t="shared" ca="1" si="7"/>
        <v>-2.4920247233152153E-2</v>
      </c>
    </row>
    <row r="83" spans="2:7" x14ac:dyDescent="0.2">
      <c r="B83" s="167">
        <v>44013</v>
      </c>
      <c r="C83" s="28">
        <v>202.9</v>
      </c>
      <c r="D83" s="83">
        <f t="shared" si="6"/>
        <v>2.9413364413364418</v>
      </c>
      <c r="E83" s="83">
        <v>4.2383765733367579E-2</v>
      </c>
      <c r="F83" s="83">
        <v>75</v>
      </c>
      <c r="G83" s="83">
        <f t="shared" ca="1" si="7"/>
        <v>-1.6268533641932641E-2</v>
      </c>
    </row>
    <row r="84" spans="2:7" x14ac:dyDescent="0.2">
      <c r="B84" s="167">
        <v>39749</v>
      </c>
      <c r="C84" s="28">
        <v>51.48</v>
      </c>
      <c r="D84" s="83">
        <f t="shared" si="6"/>
        <v>-0.28678304239401509</v>
      </c>
      <c r="E84" s="83">
        <v>4.2316258351893017E-2</v>
      </c>
      <c r="F84" s="83">
        <v>76</v>
      </c>
      <c r="G84" s="83">
        <f t="shared" ca="1" si="7"/>
        <v>-5.5480437323458236E-3</v>
      </c>
    </row>
    <row r="85" spans="2:7" x14ac:dyDescent="0.2">
      <c r="B85" s="167">
        <v>39464</v>
      </c>
      <c r="C85" s="28">
        <v>72.180000000000007</v>
      </c>
      <c r="D85" s="83">
        <f t="shared" si="6"/>
        <v>0.20039913520705144</v>
      </c>
      <c r="E85" s="83">
        <v>4.2159976898642815E-2</v>
      </c>
      <c r="F85" s="83">
        <v>77</v>
      </c>
      <c r="G85" s="83">
        <f t="shared" ca="1" si="7"/>
        <v>2.3242025882518214E-2</v>
      </c>
    </row>
    <row r="86" spans="2:7" x14ac:dyDescent="0.2">
      <c r="B86" s="167">
        <v>38862</v>
      </c>
      <c r="C86" s="28">
        <v>60.13</v>
      </c>
      <c r="D86" s="83">
        <f t="shared" si="6"/>
        <v>-0.77737874861162537</v>
      </c>
      <c r="E86" s="83">
        <v>4.193380696586383E-2</v>
      </c>
      <c r="F86" s="83">
        <v>78</v>
      </c>
      <c r="G86" s="83">
        <f t="shared" ca="1" si="7"/>
        <v>-8.8055463636478384E-3</v>
      </c>
    </row>
    <row r="87" spans="2:7" x14ac:dyDescent="0.2">
      <c r="B87" s="167">
        <v>43171</v>
      </c>
      <c r="C87" s="28">
        <v>270.10000000000002</v>
      </c>
      <c r="D87" s="83">
        <f t="shared" si="6"/>
        <v>2.040045334340776E-2</v>
      </c>
      <c r="E87" s="83">
        <v>4.1851494696239236E-2</v>
      </c>
      <c r="F87" s="83">
        <v>79</v>
      </c>
      <c r="G87" s="83">
        <f t="shared" ca="1" si="7"/>
        <v>-1.2988466179920995E-2</v>
      </c>
    </row>
    <row r="88" spans="2:7" x14ac:dyDescent="0.2">
      <c r="B88" s="167">
        <v>44698</v>
      </c>
      <c r="C88" s="28">
        <v>264.7</v>
      </c>
      <c r="D88" s="83">
        <f t="shared" si="6"/>
        <v>2.300498753117207</v>
      </c>
      <c r="E88" s="83">
        <v>4.1715859897678058E-2</v>
      </c>
      <c r="F88" s="83">
        <v>80</v>
      </c>
      <c r="G88" s="83">
        <f t="shared" ca="1" si="7"/>
        <v>-8.2663317296112013E-3</v>
      </c>
    </row>
    <row r="89" spans="2:7" x14ac:dyDescent="0.2">
      <c r="B89" s="167">
        <v>40239</v>
      </c>
      <c r="C89" s="28">
        <v>80.2</v>
      </c>
      <c r="D89" s="83">
        <f t="shared" si="6"/>
        <v>-0.51408664041199637</v>
      </c>
      <c r="E89" s="83">
        <v>4.169372645798166E-2</v>
      </c>
      <c r="F89" s="83">
        <v>81</v>
      </c>
      <c r="G89" s="83">
        <f t="shared" ca="1" si="7"/>
        <v>6.4308170139605568E-3</v>
      </c>
    </row>
    <row r="90" spans="2:7" x14ac:dyDescent="0.2">
      <c r="B90" s="167">
        <v>43963</v>
      </c>
      <c r="C90" s="28">
        <v>165.05</v>
      </c>
      <c r="D90" s="83">
        <f t="shared" si="6"/>
        <v>1.6898631029986964</v>
      </c>
      <c r="E90" s="83">
        <v>4.1653518460082188E-2</v>
      </c>
      <c r="F90" s="83">
        <v>82</v>
      </c>
      <c r="G90" s="83">
        <f t="shared" ca="1" si="7"/>
        <v>2.2214084251495594E-2</v>
      </c>
    </row>
    <row r="91" spans="2:7" x14ac:dyDescent="0.2">
      <c r="B91" s="167">
        <v>39898</v>
      </c>
      <c r="C91" s="28">
        <v>61.36</v>
      </c>
      <c r="D91" s="83">
        <f t="shared" si="6"/>
        <v>-0.62181818181818183</v>
      </c>
      <c r="E91" s="83">
        <v>4.1412084181941575E-2</v>
      </c>
      <c r="F91" s="83">
        <v>83</v>
      </c>
      <c r="G91" s="83">
        <f t="shared" ca="1" si="7"/>
        <v>-7.8160518887957966E-3</v>
      </c>
    </row>
    <row r="92" spans="2:7" x14ac:dyDescent="0.2">
      <c r="B92" s="167">
        <v>43903</v>
      </c>
      <c r="C92" s="28">
        <v>162.25</v>
      </c>
      <c r="D92" s="83">
        <f t="shared" si="6"/>
        <v>3.0350659040039787</v>
      </c>
      <c r="E92" s="83">
        <v>4.1399229781771428E-2</v>
      </c>
      <c r="F92" s="83">
        <v>84</v>
      </c>
      <c r="G92" s="83">
        <f t="shared" ca="1" si="7"/>
        <v>1.7258905606161185E-2</v>
      </c>
    </row>
    <row r="93" spans="2:7" x14ac:dyDescent="0.2">
      <c r="B93" s="167">
        <v>38646</v>
      </c>
      <c r="C93" s="28">
        <v>40.21</v>
      </c>
      <c r="D93" s="83">
        <f t="shared" si="6"/>
        <v>9.2871485943774451E-3</v>
      </c>
      <c r="E93" s="83">
        <v>4.1170378042465136E-2</v>
      </c>
      <c r="F93" s="83">
        <v>85</v>
      </c>
      <c r="G93" s="83">
        <f t="shared" ca="1" si="7"/>
        <v>1.8770218009664937E-2</v>
      </c>
    </row>
    <row r="94" spans="2:7" x14ac:dyDescent="0.2">
      <c r="B94" s="167">
        <v>38656</v>
      </c>
      <c r="C94" s="28">
        <v>39.840000000000003</v>
      </c>
      <c r="D94" s="83">
        <f t="shared" si="6"/>
        <v>-0.80748042910988693</v>
      </c>
      <c r="E94" s="83">
        <v>4.1024301019074998E-2</v>
      </c>
      <c r="F94" s="83">
        <v>86</v>
      </c>
      <c r="G94" s="83">
        <f t="shared" ca="1" si="7"/>
        <v>-2.4157137077237142E-2</v>
      </c>
    </row>
    <row r="95" spans="2:7" x14ac:dyDescent="0.2">
      <c r="B95" s="167">
        <v>41522</v>
      </c>
      <c r="C95" s="28">
        <v>206.94</v>
      </c>
      <c r="D95" s="83">
        <f t="shared" si="6"/>
        <v>2.6711016498137305</v>
      </c>
      <c r="E95" s="83">
        <v>4.0998038130690709E-2</v>
      </c>
      <c r="F95" s="83">
        <v>87</v>
      </c>
      <c r="G95" s="83">
        <f t="shared" ca="1" si="7"/>
        <v>-3.340434553226504E-2</v>
      </c>
    </row>
    <row r="96" spans="2:7" x14ac:dyDescent="0.2">
      <c r="B96" s="167">
        <v>39734</v>
      </c>
      <c r="C96" s="28">
        <v>56.37</v>
      </c>
      <c r="D96" s="83">
        <f t="shared" si="6"/>
        <v>-0.34354256434144642</v>
      </c>
      <c r="E96" s="83">
        <v>4.0997229916897485E-2</v>
      </c>
      <c r="F96" s="83">
        <v>88</v>
      </c>
      <c r="G96" s="83">
        <f t="shared" ca="1" si="7"/>
        <v>-2.2035162207581054E-2</v>
      </c>
    </row>
    <row r="97" spans="2:7" x14ac:dyDescent="0.2">
      <c r="B97" s="167">
        <v>40126</v>
      </c>
      <c r="C97" s="28">
        <v>85.87</v>
      </c>
      <c r="D97" s="83">
        <f t="shared" si="6"/>
        <v>0.8096944151738672</v>
      </c>
      <c r="E97" s="83">
        <v>4.0974663595587463E-2</v>
      </c>
      <c r="F97" s="83">
        <v>89</v>
      </c>
      <c r="G97" s="83">
        <f t="shared" ca="1" si="7"/>
        <v>-2.0684490505886746E-2</v>
      </c>
    </row>
    <row r="98" spans="2:7" x14ac:dyDescent="0.2">
      <c r="B98" s="167">
        <v>38621</v>
      </c>
      <c r="C98" s="28">
        <v>47.45</v>
      </c>
      <c r="D98" s="83">
        <f t="shared" si="6"/>
        <v>-0.81805981595092025</v>
      </c>
      <c r="E98" s="83">
        <v>4.0798420706295226E-2</v>
      </c>
      <c r="F98" s="83">
        <v>90</v>
      </c>
      <c r="G98" s="83">
        <f t="shared" ca="1" si="7"/>
        <v>7.8042744308776313E-3</v>
      </c>
    </row>
    <row r="99" spans="2:7" x14ac:dyDescent="0.2">
      <c r="B99" s="167">
        <v>42584</v>
      </c>
      <c r="C99" s="28">
        <v>260.8</v>
      </c>
      <c r="D99" s="83">
        <f t="shared" si="6"/>
        <v>0.1474327951075719</v>
      </c>
      <c r="E99" s="83">
        <v>4.0702314445331275E-2</v>
      </c>
      <c r="F99" s="83">
        <v>91</v>
      </c>
      <c r="G99" s="83">
        <f t="shared" ca="1" si="7"/>
        <v>5.0034067755449045E-3</v>
      </c>
    </row>
    <row r="100" spans="2:7" x14ac:dyDescent="0.2">
      <c r="B100" s="167">
        <v>42283</v>
      </c>
      <c r="C100" s="28">
        <v>227.29</v>
      </c>
      <c r="D100" s="83">
        <f t="shared" si="6"/>
        <v>-2.8882717368083823E-2</v>
      </c>
      <c r="E100" s="83">
        <v>4.0514557773301568E-2</v>
      </c>
      <c r="F100" s="83">
        <v>92</v>
      </c>
      <c r="G100" s="83">
        <f t="shared" ca="1" si="7"/>
        <v>-8.7238666906298661E-3</v>
      </c>
    </row>
    <row r="101" spans="2:7" x14ac:dyDescent="0.2">
      <c r="B101" s="167">
        <v>42731</v>
      </c>
      <c r="C101" s="28">
        <v>234.05</v>
      </c>
      <c r="D101" s="83">
        <f t="shared" si="6"/>
        <v>3.4614944719786505</v>
      </c>
      <c r="E101" s="83">
        <v>4.022222222222227E-2</v>
      </c>
      <c r="F101" s="83">
        <v>93</v>
      </c>
      <c r="G101" s="83">
        <f t="shared" ca="1" si="7"/>
        <v>8.0627830248545859E-3</v>
      </c>
    </row>
    <row r="102" spans="2:7" x14ac:dyDescent="0.2">
      <c r="B102" s="167">
        <v>39316</v>
      </c>
      <c r="C102" s="28">
        <v>52.46</v>
      </c>
      <c r="D102" s="83">
        <f t="shared" si="6"/>
        <v>-0.17979987492182614</v>
      </c>
      <c r="E102" s="83">
        <v>3.984142715559956E-2</v>
      </c>
      <c r="F102" s="83">
        <v>94</v>
      </c>
      <c r="G102" s="83">
        <f t="shared" ca="1" si="7"/>
        <v>-1.016898704131749E-2</v>
      </c>
    </row>
    <row r="103" spans="2:7" x14ac:dyDescent="0.2">
      <c r="B103" s="167">
        <v>38803</v>
      </c>
      <c r="C103" s="28">
        <v>63.96</v>
      </c>
      <c r="D103" s="83">
        <f t="shared" si="6"/>
        <v>0.16800584368151941</v>
      </c>
      <c r="E103" s="83">
        <v>3.9830921801333165E-2</v>
      </c>
      <c r="F103" s="83">
        <v>95</v>
      </c>
      <c r="G103" s="83">
        <f t="shared" ca="1" si="7"/>
        <v>-1.456489260214631E-2</v>
      </c>
    </row>
    <row r="104" spans="2:7" x14ac:dyDescent="0.2">
      <c r="B104" s="167">
        <v>39741</v>
      </c>
      <c r="C104" s="28">
        <v>54.76</v>
      </c>
      <c r="D104" s="83">
        <f t="shared" si="6"/>
        <v>-0.80623474045504406</v>
      </c>
      <c r="E104" s="83">
        <v>3.9681032846022334E-2</v>
      </c>
      <c r="F104" s="83">
        <v>96</v>
      </c>
      <c r="G104" s="83">
        <f t="shared" ca="1" si="7"/>
        <v>-2.0452450140141683E-2</v>
      </c>
    </row>
    <row r="105" spans="2:7" x14ac:dyDescent="0.2">
      <c r="B105" s="167">
        <v>44743</v>
      </c>
      <c r="C105" s="28">
        <v>282.61</v>
      </c>
      <c r="D105" s="83">
        <f t="shared" si="6"/>
        <v>0.18693826123477539</v>
      </c>
      <c r="E105" s="83">
        <v>3.96571386528346E-2</v>
      </c>
      <c r="F105" s="83">
        <v>97</v>
      </c>
      <c r="G105" s="83">
        <f t="shared" ca="1" si="7"/>
        <v>-6.6060498345821813E-3</v>
      </c>
    </row>
    <row r="106" spans="2:7" x14ac:dyDescent="0.2">
      <c r="B106" s="167">
        <v>41771</v>
      </c>
      <c r="C106" s="28">
        <v>238.1</v>
      </c>
      <c r="D106" s="83">
        <f t="shared" si="6"/>
        <v>2.8341384863123995</v>
      </c>
      <c r="E106" s="83">
        <v>3.9374890867819021E-2</v>
      </c>
      <c r="F106" s="83">
        <v>98</v>
      </c>
      <c r="G106" s="83">
        <f t="shared" ca="1" si="7"/>
        <v>1.5615573310330977E-3</v>
      </c>
    </row>
    <row r="107" spans="2:7" x14ac:dyDescent="0.2">
      <c r="B107" s="167">
        <v>39344</v>
      </c>
      <c r="C107" s="28">
        <v>62.1</v>
      </c>
      <c r="D107" s="83">
        <f t="shared" si="6"/>
        <v>-0.70352334574620456</v>
      </c>
      <c r="E107" s="83">
        <v>3.9330543933054414E-2</v>
      </c>
      <c r="F107" s="83">
        <v>99</v>
      </c>
      <c r="G107" s="83">
        <f t="shared" ca="1" si="7"/>
        <v>2.4303275803981162E-3</v>
      </c>
    </row>
    <row r="108" spans="2:7" x14ac:dyDescent="0.2">
      <c r="B108" s="167">
        <v>42215</v>
      </c>
      <c r="C108" s="28">
        <v>209.46</v>
      </c>
      <c r="D108" s="83">
        <f t="shared" si="6"/>
        <v>2.3116205533596839</v>
      </c>
      <c r="E108" s="83">
        <v>3.9297409943435627E-2</v>
      </c>
      <c r="F108" s="83">
        <v>100</v>
      </c>
      <c r="G108" s="83">
        <f t="shared" ca="1" si="7"/>
        <v>1.7568693989229646E-2</v>
      </c>
    </row>
    <row r="109" spans="2:7" x14ac:dyDescent="0.2">
      <c r="B109" s="167">
        <v>39973</v>
      </c>
      <c r="C109" s="28">
        <v>63.25</v>
      </c>
      <c r="D109" s="83">
        <f t="shared" si="6"/>
        <v>-0.71031418887972886</v>
      </c>
      <c r="E109" s="83">
        <v>3.9270456786066395E-2</v>
      </c>
      <c r="F109" s="83">
        <v>101</v>
      </c>
      <c r="G109" s="83">
        <f t="shared" ca="1" si="7"/>
        <v>4.0039214502565236E-4</v>
      </c>
    </row>
    <row r="110" spans="2:7" x14ac:dyDescent="0.2">
      <c r="B110" s="167">
        <v>42236</v>
      </c>
      <c r="C110" s="28">
        <v>218.34</v>
      </c>
      <c r="D110" s="83">
        <f t="shared" si="6"/>
        <v>2.8365840801265159</v>
      </c>
      <c r="E110" s="83">
        <v>3.9268884763672712E-2</v>
      </c>
      <c r="F110" s="83">
        <v>102</v>
      </c>
      <c r="G110" s="83">
        <f t="shared" ca="1" si="7"/>
        <v>2.6674487188701862E-3</v>
      </c>
    </row>
    <row r="111" spans="2:7" x14ac:dyDescent="0.2">
      <c r="B111" s="167">
        <v>39141</v>
      </c>
      <c r="C111" s="28">
        <v>56.91</v>
      </c>
      <c r="D111" s="83">
        <f t="shared" si="6"/>
        <v>-0.69287641662169464</v>
      </c>
      <c r="E111" s="83">
        <v>3.9262235208181132E-2</v>
      </c>
      <c r="F111" s="83">
        <v>103</v>
      </c>
      <c r="G111" s="83">
        <f t="shared" ca="1" si="7"/>
        <v>9.5756373327679622E-3</v>
      </c>
    </row>
    <row r="112" spans="2:7" x14ac:dyDescent="0.2">
      <c r="B112" s="167">
        <v>44146</v>
      </c>
      <c r="C112" s="28">
        <v>185.3</v>
      </c>
      <c r="D112" s="83">
        <f t="shared" si="6"/>
        <v>1.568972688201858</v>
      </c>
      <c r="E112" s="83">
        <v>3.8968320717690033E-2</v>
      </c>
      <c r="F112" s="83">
        <v>104</v>
      </c>
      <c r="G112" s="83">
        <f t="shared" ca="1" si="7"/>
        <v>1.9290861986132644E-2</v>
      </c>
    </row>
    <row r="113" spans="2:7" x14ac:dyDescent="0.2">
      <c r="B113" s="167">
        <v>39448</v>
      </c>
      <c r="C113" s="28">
        <v>72.13</v>
      </c>
      <c r="D113" s="83">
        <f t="shared" si="6"/>
        <v>-0.66552283793183398</v>
      </c>
      <c r="E113" s="83">
        <v>3.8888088722454105E-2</v>
      </c>
      <c r="F113" s="83">
        <v>105</v>
      </c>
      <c r="G113" s="83">
        <f t="shared" ca="1" si="7"/>
        <v>1.2721220577766998E-2</v>
      </c>
    </row>
    <row r="114" spans="2:7" x14ac:dyDescent="0.2">
      <c r="B114" s="167">
        <v>43865</v>
      </c>
      <c r="C114" s="28">
        <v>215.65</v>
      </c>
      <c r="D114" s="83">
        <f t="shared" si="6"/>
        <v>2.6581849024597113</v>
      </c>
      <c r="E114" s="83">
        <v>3.8776493256262097E-2</v>
      </c>
      <c r="F114" s="83">
        <v>106</v>
      </c>
      <c r="G114" s="83">
        <f t="shared" ca="1" si="7"/>
        <v>1.3668562015804566E-2</v>
      </c>
    </row>
    <row r="115" spans="2:7" x14ac:dyDescent="0.2">
      <c r="B115" s="167">
        <v>39636</v>
      </c>
      <c r="C115" s="28">
        <v>58.95</v>
      </c>
      <c r="D115" s="83">
        <f t="shared" si="6"/>
        <v>-3.7079385821626856E-2</v>
      </c>
      <c r="E115" s="83">
        <v>3.8766519823788599E-2</v>
      </c>
      <c r="F115" s="83">
        <v>107</v>
      </c>
      <c r="G115" s="83">
        <f t="shared" ca="1" si="7"/>
        <v>2.1066353362925484E-3</v>
      </c>
    </row>
    <row r="116" spans="2:7" x14ac:dyDescent="0.2">
      <c r="B116" s="167">
        <v>39335</v>
      </c>
      <c r="C116" s="28">
        <v>61.22</v>
      </c>
      <c r="D116" s="83">
        <f t="shared" si="6"/>
        <v>-0.81084504866367979</v>
      </c>
      <c r="E116" s="83">
        <v>3.8683406854428254E-2</v>
      </c>
      <c r="F116" s="83">
        <v>108</v>
      </c>
      <c r="G116" s="83">
        <f t="shared" ca="1" si="7"/>
        <v>1.5962108729583879E-2</v>
      </c>
    </row>
    <row r="117" spans="2:7" x14ac:dyDescent="0.2">
      <c r="B117" s="167">
        <v>42916</v>
      </c>
      <c r="C117" s="28">
        <v>323.64999999999998</v>
      </c>
      <c r="D117" s="83">
        <f t="shared" si="6"/>
        <v>1.0813504823151123</v>
      </c>
      <c r="E117" s="83">
        <v>3.8671373555840674E-2</v>
      </c>
      <c r="F117" s="83">
        <v>109</v>
      </c>
      <c r="G117" s="83">
        <f t="shared" ca="1" si="7"/>
        <v>7.1176173149791917E-3</v>
      </c>
    </row>
    <row r="118" spans="2:7" x14ac:dyDescent="0.2">
      <c r="B118" s="167">
        <v>41066</v>
      </c>
      <c r="C118" s="28">
        <v>155.5</v>
      </c>
      <c r="D118" s="83">
        <f t="shared" si="6"/>
        <v>-0.30778133903133897</v>
      </c>
      <c r="E118" s="83">
        <v>3.8327991452991518E-2</v>
      </c>
      <c r="F118" s="83">
        <v>110</v>
      </c>
      <c r="G118" s="83">
        <f t="shared" ca="1" si="7"/>
        <v>2.6202447205459407E-2</v>
      </c>
    </row>
    <row r="119" spans="2:7" x14ac:dyDescent="0.2">
      <c r="B119" s="167">
        <v>41459</v>
      </c>
      <c r="C119" s="28">
        <v>224.64</v>
      </c>
      <c r="D119" s="83">
        <f t="shared" si="6"/>
        <v>-0.49971048060220036</v>
      </c>
      <c r="E119" s="83">
        <v>3.8269550748751949E-2</v>
      </c>
      <c r="F119" s="83">
        <v>111</v>
      </c>
      <c r="G119" s="83">
        <f t="shared" ca="1" si="7"/>
        <v>2.2382664509824103E-2</v>
      </c>
    </row>
    <row r="120" spans="2:7" x14ac:dyDescent="0.2">
      <c r="B120" s="167">
        <v>45618</v>
      </c>
      <c r="C120" s="28">
        <v>449.02</v>
      </c>
      <c r="D120" s="83">
        <f t="shared" si="6"/>
        <v>5.7531959693186945</v>
      </c>
      <c r="E120" s="83">
        <v>3.8268550419682183E-2</v>
      </c>
      <c r="F120" s="83">
        <v>112</v>
      </c>
      <c r="G120" s="83">
        <f t="shared" ca="1" si="7"/>
        <v>5.4598001959420871E-3</v>
      </c>
    </row>
    <row r="121" spans="2:7" x14ac:dyDescent="0.2">
      <c r="B121" s="167">
        <v>38806</v>
      </c>
      <c r="C121" s="28">
        <v>66.489999999999995</v>
      </c>
      <c r="D121" s="83">
        <f t="shared" si="6"/>
        <v>0.16322603219034287</v>
      </c>
      <c r="E121" s="83">
        <v>3.825733916302293E-2</v>
      </c>
      <c r="F121" s="83">
        <v>113</v>
      </c>
      <c r="G121" s="83">
        <f t="shared" ca="1" si="7"/>
        <v>-7.0284880369867386E-3</v>
      </c>
    </row>
    <row r="122" spans="2:7" x14ac:dyDescent="0.2">
      <c r="B122" s="167">
        <v>38776</v>
      </c>
      <c r="C122" s="28">
        <v>57.16</v>
      </c>
      <c r="D122" s="83">
        <f t="shared" si="6"/>
        <v>-3.5599797536696585E-2</v>
      </c>
      <c r="E122" s="83">
        <v>3.8140210679258886E-2</v>
      </c>
      <c r="F122" s="83">
        <v>114</v>
      </c>
      <c r="G122" s="83">
        <f t="shared" ca="1" si="7"/>
        <v>9.9790313192124145E-3</v>
      </c>
    </row>
    <row r="123" spans="2:7" x14ac:dyDescent="0.2">
      <c r="B123" s="167">
        <v>38938</v>
      </c>
      <c r="C123" s="28">
        <v>59.27</v>
      </c>
      <c r="D123" s="83">
        <f t="shared" si="6"/>
        <v>-3.2958068200358882E-2</v>
      </c>
      <c r="E123" s="83">
        <v>3.8003502626970255E-2</v>
      </c>
      <c r="F123" s="83">
        <v>115</v>
      </c>
      <c r="G123" s="83">
        <f t="shared" ca="1" si="7"/>
        <v>1.0383450383739733E-2</v>
      </c>
    </row>
    <row r="124" spans="2:7" x14ac:dyDescent="0.2">
      <c r="B124" s="167">
        <v>39364</v>
      </c>
      <c r="C124" s="28">
        <v>61.29</v>
      </c>
      <c r="D124" s="83">
        <f t="shared" si="6"/>
        <v>-0.7114542629819689</v>
      </c>
      <c r="E124" s="83">
        <v>3.7933954276037289E-2</v>
      </c>
      <c r="F124" s="83">
        <v>116</v>
      </c>
      <c r="G124" s="83">
        <f t="shared" ca="1" si="7"/>
        <v>2.5345635697858915E-2</v>
      </c>
    </row>
    <row r="125" spans="2:7" x14ac:dyDescent="0.2">
      <c r="B125" s="167">
        <v>41519</v>
      </c>
      <c r="C125" s="28">
        <v>212.41</v>
      </c>
      <c r="D125" s="83">
        <f t="shared" si="6"/>
        <v>1.5884718498659516</v>
      </c>
      <c r="E125" s="83">
        <v>3.7918397263620771E-2</v>
      </c>
      <c r="F125" s="83">
        <v>117</v>
      </c>
      <c r="G125" s="83">
        <f t="shared" ca="1" si="7"/>
        <v>1.4130581396345413E-2</v>
      </c>
    </row>
    <row r="126" spans="2:7" x14ac:dyDescent="0.2">
      <c r="B126" s="167">
        <v>40092</v>
      </c>
      <c r="C126" s="28">
        <v>82.06</v>
      </c>
      <c r="D126" s="83">
        <f t="shared" si="6"/>
        <v>-0.29007699627995503</v>
      </c>
      <c r="E126" s="83">
        <v>3.7814594662956995E-2</v>
      </c>
      <c r="F126" s="83">
        <v>118</v>
      </c>
      <c r="G126" s="83">
        <f t="shared" ca="1" si="7"/>
        <v>9.3926212915972813E-3</v>
      </c>
    </row>
    <row r="127" spans="2:7" x14ac:dyDescent="0.2">
      <c r="B127" s="167">
        <v>40472</v>
      </c>
      <c r="C127" s="28">
        <v>115.59</v>
      </c>
      <c r="D127" s="83">
        <f t="shared" si="6"/>
        <v>-0.57997819767441861</v>
      </c>
      <c r="E127" s="83">
        <v>3.7798527563296894E-2</v>
      </c>
      <c r="F127" s="83">
        <v>119</v>
      </c>
      <c r="G127" s="83">
        <f t="shared" ca="1" si="7"/>
        <v>-2.2107993828479739E-2</v>
      </c>
    </row>
    <row r="128" spans="2:7" x14ac:dyDescent="0.2">
      <c r="B128" s="167">
        <v>43385</v>
      </c>
      <c r="C128" s="28">
        <v>275.2</v>
      </c>
      <c r="D128" s="83">
        <f t="shared" si="6"/>
        <v>3.5517697651339724</v>
      </c>
      <c r="E128" s="83">
        <v>3.7707390648567124E-2</v>
      </c>
      <c r="F128" s="83">
        <v>120</v>
      </c>
      <c r="G128" s="83">
        <f t="shared" ca="1" si="7"/>
        <v>-1.2225176676093586E-2</v>
      </c>
    </row>
    <row r="129" spans="2:7" x14ac:dyDescent="0.2">
      <c r="B129" s="167">
        <v>38898</v>
      </c>
      <c r="C129" s="28">
        <v>60.46</v>
      </c>
      <c r="D129" s="83">
        <f t="shared" si="6"/>
        <v>-0.41652190696776686</v>
      </c>
      <c r="E129" s="83">
        <v>3.7583662261884289E-2</v>
      </c>
      <c r="F129" s="83">
        <v>121</v>
      </c>
      <c r="G129" s="83">
        <f t="shared" ca="1" si="7"/>
        <v>-2.4418598323776082E-2</v>
      </c>
    </row>
    <row r="130" spans="2:7" x14ac:dyDescent="0.2">
      <c r="B130" s="167">
        <v>40599</v>
      </c>
      <c r="C130" s="28">
        <v>103.62</v>
      </c>
      <c r="D130" s="83">
        <f t="shared" si="6"/>
        <v>0.75627118644067803</v>
      </c>
      <c r="E130" s="83">
        <v>3.7548813457494744E-2</v>
      </c>
      <c r="F130" s="83">
        <v>122</v>
      </c>
      <c r="G130" s="83">
        <f t="shared" ca="1" si="7"/>
        <v>-7.5861092363510565E-3</v>
      </c>
    </row>
    <row r="131" spans="2:7" x14ac:dyDescent="0.2">
      <c r="B131" s="167">
        <v>38860</v>
      </c>
      <c r="C131" s="28">
        <v>59</v>
      </c>
      <c r="D131" s="83">
        <f t="shared" si="6"/>
        <v>-0.11264851857422162</v>
      </c>
      <c r="E131" s="83">
        <v>3.7453842096008487E-2</v>
      </c>
      <c r="F131" s="83">
        <v>123</v>
      </c>
      <c r="G131" s="83">
        <f t="shared" ca="1" si="7"/>
        <v>-5.5942449908771572E-3</v>
      </c>
    </row>
    <row r="132" spans="2:7" x14ac:dyDescent="0.2">
      <c r="B132" s="167">
        <v>39983</v>
      </c>
      <c r="C132" s="28">
        <v>66.489999999999995</v>
      </c>
      <c r="D132" s="83">
        <f t="shared" si="6"/>
        <v>8.0962445130872987E-2</v>
      </c>
      <c r="E132" s="83">
        <v>3.7447339678576864E-2</v>
      </c>
      <c r="F132" s="83">
        <v>124</v>
      </c>
      <c r="G132" s="83">
        <f t="shared" ca="1" si="7"/>
        <v>-1.3196859144303744E-2</v>
      </c>
    </row>
    <row r="133" spans="2:7" x14ac:dyDescent="0.2">
      <c r="B133" s="167">
        <v>38800</v>
      </c>
      <c r="C133" s="28">
        <v>61.51</v>
      </c>
      <c r="D133" s="83">
        <f t="shared" si="6"/>
        <v>9.6630415403815201E-2</v>
      </c>
      <c r="E133" s="83">
        <v>3.7268128161888715E-2</v>
      </c>
      <c r="F133" s="83">
        <v>125</v>
      </c>
      <c r="G133" s="83">
        <f t="shared" ca="1" si="7"/>
        <v>1.5413999503579743E-2</v>
      </c>
    </row>
    <row r="134" spans="2:7" x14ac:dyDescent="0.2">
      <c r="B134" s="167">
        <v>39093</v>
      </c>
      <c r="C134" s="28">
        <v>56.09</v>
      </c>
      <c r="D134" s="83">
        <f t="shared" si="6"/>
        <v>-0.78926209798617375</v>
      </c>
      <c r="E134" s="83">
        <v>3.7167159763313702E-2</v>
      </c>
      <c r="F134" s="83">
        <v>126</v>
      </c>
      <c r="G134" s="83">
        <f t="shared" ca="1" si="7"/>
        <v>3.8880015105841612E-3</v>
      </c>
    </row>
    <row r="135" spans="2:7" x14ac:dyDescent="0.2">
      <c r="B135" s="167">
        <v>44659</v>
      </c>
      <c r="C135" s="28">
        <v>266.16000000000003</v>
      </c>
      <c r="D135" s="83">
        <f t="shared" si="6"/>
        <v>-6.3311631180714242E-2</v>
      </c>
      <c r="E135" s="83">
        <v>3.7054354178842973E-2</v>
      </c>
      <c r="F135" s="83">
        <v>127</v>
      </c>
      <c r="G135" s="83">
        <f t="shared" ca="1" si="7"/>
        <v>1.5263616472788705E-2</v>
      </c>
    </row>
    <row r="136" spans="2:7" x14ac:dyDescent="0.2">
      <c r="B136" s="167">
        <v>43304</v>
      </c>
      <c r="C136" s="28">
        <v>284.14999999999998</v>
      </c>
      <c r="D136" s="83">
        <f t="shared" si="6"/>
        <v>0.31435311531523186</v>
      </c>
      <c r="E136" s="83">
        <v>3.7043795620437872E-2</v>
      </c>
      <c r="F136" s="83">
        <v>128</v>
      </c>
      <c r="G136" s="83">
        <f t="shared" ca="1" si="7"/>
        <v>7.0912944569827118E-3</v>
      </c>
    </row>
    <row r="137" spans="2:7" x14ac:dyDescent="0.2">
      <c r="B137" s="167">
        <v>41596</v>
      </c>
      <c r="C137" s="28">
        <v>216.19</v>
      </c>
      <c r="D137" s="83">
        <f t="shared" ref="D137:D200" si="8">(C137-C138)/C138</f>
        <v>2.4425159235668787</v>
      </c>
      <c r="E137" s="83">
        <v>3.7031707200076744E-2</v>
      </c>
      <c r="F137" s="83">
        <v>129</v>
      </c>
      <c r="G137" s="83">
        <f t="shared" ref="G137:G200" ca="1" si="9">_xlfn.NORM.INV(RAND(),$M$10,$M$11)</f>
        <v>5.7141834633228474E-3</v>
      </c>
    </row>
    <row r="138" spans="2:7" x14ac:dyDescent="0.2">
      <c r="B138" s="167">
        <v>39401</v>
      </c>
      <c r="C138" s="28">
        <v>62.8</v>
      </c>
      <c r="D138" s="83">
        <f t="shared" si="8"/>
        <v>-0.66099865047233475</v>
      </c>
      <c r="E138" s="83">
        <v>3.6988110964332806E-2</v>
      </c>
      <c r="F138" s="83">
        <v>130</v>
      </c>
      <c r="G138" s="83">
        <f t="shared" ca="1" si="9"/>
        <v>1.8870018656205294E-2</v>
      </c>
    </row>
    <row r="139" spans="2:7" x14ac:dyDescent="0.2">
      <c r="B139" s="167">
        <v>43930</v>
      </c>
      <c r="C139" s="28">
        <v>185.25</v>
      </c>
      <c r="D139" s="83">
        <f t="shared" si="8"/>
        <v>8.4919472913616401E-2</v>
      </c>
      <c r="E139" s="83">
        <v>3.6943744752308952E-2</v>
      </c>
      <c r="F139" s="83">
        <v>131</v>
      </c>
      <c r="G139" s="83">
        <f t="shared" ca="1" si="9"/>
        <v>3.1247604903724666E-2</v>
      </c>
    </row>
    <row r="140" spans="2:7" x14ac:dyDescent="0.2">
      <c r="B140" s="167">
        <v>43970</v>
      </c>
      <c r="C140" s="28">
        <v>170.75</v>
      </c>
      <c r="D140" s="83">
        <f t="shared" si="8"/>
        <v>-0.314394699859466</v>
      </c>
      <c r="E140" s="83">
        <v>3.6418816388467376E-2</v>
      </c>
      <c r="F140" s="83">
        <v>132</v>
      </c>
      <c r="G140" s="83">
        <f t="shared" ca="1" si="9"/>
        <v>1.2778572942138366E-2</v>
      </c>
    </row>
    <row r="141" spans="2:7" x14ac:dyDescent="0.2">
      <c r="B141" s="167">
        <v>42678</v>
      </c>
      <c r="C141" s="28">
        <v>249.05</v>
      </c>
      <c r="D141" s="83">
        <f t="shared" si="8"/>
        <v>-0.38818876360331145</v>
      </c>
      <c r="E141" s="83">
        <v>3.6412817311693713E-2</v>
      </c>
      <c r="F141" s="83">
        <v>133</v>
      </c>
      <c r="G141" s="83">
        <f t="shared" ca="1" si="9"/>
        <v>-4.4276572944145637E-3</v>
      </c>
    </row>
    <row r="142" spans="2:7" x14ac:dyDescent="0.2">
      <c r="B142" s="167">
        <v>45448</v>
      </c>
      <c r="C142" s="28">
        <v>407.07</v>
      </c>
      <c r="D142" s="83">
        <f t="shared" si="8"/>
        <v>5.3268573204849234</v>
      </c>
      <c r="E142" s="83">
        <v>3.6355304361108919E-2</v>
      </c>
      <c r="F142" s="83">
        <v>134</v>
      </c>
      <c r="G142" s="83">
        <f t="shared" ca="1" si="9"/>
        <v>-1.0671455174615988E-2</v>
      </c>
    </row>
    <row r="143" spans="2:7" x14ac:dyDescent="0.2">
      <c r="B143" s="167">
        <v>39345</v>
      </c>
      <c r="C143" s="28">
        <v>64.34</v>
      </c>
      <c r="D143" s="83">
        <f t="shared" si="8"/>
        <v>-0.11730004115790914</v>
      </c>
      <c r="E143" s="83">
        <v>3.607085346215784E-2</v>
      </c>
      <c r="F143" s="83">
        <v>135</v>
      </c>
      <c r="G143" s="83">
        <f t="shared" ca="1" si="9"/>
        <v>-2.5353778038273194E-2</v>
      </c>
    </row>
    <row r="144" spans="2:7" x14ac:dyDescent="0.2">
      <c r="B144" s="167">
        <v>39568</v>
      </c>
      <c r="C144" s="28">
        <v>72.89</v>
      </c>
      <c r="D144" s="83">
        <f t="shared" si="8"/>
        <v>0.11983407589491468</v>
      </c>
      <c r="E144" s="83">
        <v>3.5810714793235693E-2</v>
      </c>
      <c r="F144" s="83">
        <v>136</v>
      </c>
      <c r="G144" s="83">
        <f t="shared" ca="1" si="9"/>
        <v>-2.3371765591479163E-2</v>
      </c>
    </row>
    <row r="145" spans="2:7" x14ac:dyDescent="0.2">
      <c r="B145" s="167">
        <v>39429</v>
      </c>
      <c r="C145" s="28">
        <v>65.09</v>
      </c>
      <c r="D145" s="83">
        <f t="shared" si="8"/>
        <v>-0.69398213446168311</v>
      </c>
      <c r="E145" s="83">
        <v>3.5640413683373139E-2</v>
      </c>
      <c r="F145" s="83">
        <v>137</v>
      </c>
      <c r="G145" s="83">
        <f t="shared" ca="1" si="9"/>
        <v>-1.2017536268973061E-3</v>
      </c>
    </row>
    <row r="146" spans="2:7" x14ac:dyDescent="0.2">
      <c r="B146" s="167">
        <v>44175</v>
      </c>
      <c r="C146" s="28">
        <v>212.7</v>
      </c>
      <c r="D146" s="83">
        <f t="shared" si="8"/>
        <v>2.3474976392823419</v>
      </c>
      <c r="E146" s="83">
        <v>3.554040895813039E-2</v>
      </c>
      <c r="F146" s="83">
        <v>138</v>
      </c>
      <c r="G146" s="83">
        <f t="shared" ca="1" si="9"/>
        <v>-7.5362463592660535E-3</v>
      </c>
    </row>
    <row r="147" spans="2:7" x14ac:dyDescent="0.2">
      <c r="B147" s="167">
        <v>39919</v>
      </c>
      <c r="C147" s="28">
        <v>63.54</v>
      </c>
      <c r="D147" s="83">
        <f t="shared" si="8"/>
        <v>9.7598894455000834E-2</v>
      </c>
      <c r="E147" s="83">
        <v>3.5359296072999868E-2</v>
      </c>
      <c r="F147" s="83">
        <v>139</v>
      </c>
      <c r="G147" s="83">
        <f t="shared" ca="1" si="9"/>
        <v>2.5032993089625886E-2</v>
      </c>
    </row>
    <row r="148" spans="2:7" x14ac:dyDescent="0.2">
      <c r="B148" s="167">
        <v>39759</v>
      </c>
      <c r="C148" s="28">
        <v>57.89</v>
      </c>
      <c r="D148" s="83">
        <f t="shared" si="8"/>
        <v>-0.70666328857360017</v>
      </c>
      <c r="E148" s="83">
        <v>3.5228898426323298E-2</v>
      </c>
      <c r="F148" s="83">
        <v>140</v>
      </c>
      <c r="G148" s="83">
        <f t="shared" ca="1" si="9"/>
        <v>2.072651070225035E-3</v>
      </c>
    </row>
    <row r="149" spans="2:7" x14ac:dyDescent="0.2">
      <c r="B149" s="167">
        <v>43980</v>
      </c>
      <c r="C149" s="28">
        <v>197.35</v>
      </c>
      <c r="D149" s="83">
        <f t="shared" si="8"/>
        <v>-0.24733028222730738</v>
      </c>
      <c r="E149" s="83">
        <v>3.5142932074481978E-2</v>
      </c>
      <c r="F149" s="83">
        <v>141</v>
      </c>
      <c r="G149" s="83">
        <f t="shared" ca="1" si="9"/>
        <v>-2.5917734497397835E-3</v>
      </c>
    </row>
    <row r="150" spans="2:7" x14ac:dyDescent="0.2">
      <c r="B150" s="167">
        <v>43077</v>
      </c>
      <c r="C150" s="28">
        <v>262.2</v>
      </c>
      <c r="D150" s="83">
        <f t="shared" si="8"/>
        <v>2.0616534329752452</v>
      </c>
      <c r="E150" s="83">
        <v>3.4931912374185886E-2</v>
      </c>
      <c r="F150" s="83">
        <v>142</v>
      </c>
      <c r="G150" s="83">
        <f t="shared" ca="1" si="9"/>
        <v>6.7574571393585921E-3</v>
      </c>
    </row>
    <row r="151" spans="2:7" x14ac:dyDescent="0.2">
      <c r="B151" s="167">
        <v>40098</v>
      </c>
      <c r="C151" s="28">
        <v>85.64</v>
      </c>
      <c r="D151" s="83">
        <f t="shared" si="8"/>
        <v>0.31470678538532393</v>
      </c>
      <c r="E151" s="83">
        <v>3.4924471299093665E-2</v>
      </c>
      <c r="F151" s="83">
        <v>143</v>
      </c>
      <c r="G151" s="83">
        <f t="shared" ca="1" si="9"/>
        <v>-2.2253601151074817E-2</v>
      </c>
    </row>
    <row r="152" spans="2:7" x14ac:dyDescent="0.2">
      <c r="B152" s="167">
        <v>39699</v>
      </c>
      <c r="C152" s="28">
        <v>65.14</v>
      </c>
      <c r="D152" s="83">
        <f t="shared" si="8"/>
        <v>0.64453420853319876</v>
      </c>
      <c r="E152" s="83">
        <v>3.4789515488482886E-2</v>
      </c>
      <c r="F152" s="83">
        <v>144</v>
      </c>
      <c r="G152" s="83">
        <f t="shared" ca="1" si="9"/>
        <v>1.1417747944580973E-3</v>
      </c>
    </row>
    <row r="153" spans="2:7" x14ac:dyDescent="0.2">
      <c r="B153" s="167">
        <v>38600</v>
      </c>
      <c r="C153" s="28">
        <v>39.61</v>
      </c>
      <c r="D153" s="83">
        <f t="shared" si="8"/>
        <v>-0.72358688066992327</v>
      </c>
      <c r="E153" s="83">
        <v>3.4743991640543322E-2</v>
      </c>
      <c r="F153" s="83">
        <v>145</v>
      </c>
      <c r="G153" s="83">
        <f t="shared" ca="1" si="9"/>
        <v>1.2110430835728728E-2</v>
      </c>
    </row>
    <row r="154" spans="2:7" x14ac:dyDescent="0.2">
      <c r="B154" s="167">
        <v>40984</v>
      </c>
      <c r="C154" s="28">
        <v>143.30000000000001</v>
      </c>
      <c r="D154" s="83">
        <f t="shared" si="8"/>
        <v>-0.39189475917674516</v>
      </c>
      <c r="E154" s="83">
        <v>3.4731749584807584E-2</v>
      </c>
      <c r="F154" s="83">
        <v>146</v>
      </c>
      <c r="G154" s="83">
        <f t="shared" ca="1" si="9"/>
        <v>2.8891280026955145E-2</v>
      </c>
    </row>
    <row r="155" spans="2:7" x14ac:dyDescent="0.2">
      <c r="B155" s="167">
        <v>41536</v>
      </c>
      <c r="C155" s="28">
        <v>235.65</v>
      </c>
      <c r="D155" s="83">
        <f t="shared" si="8"/>
        <v>6.3525741029641196</v>
      </c>
      <c r="E155" s="83">
        <v>3.4641728134878889E-2</v>
      </c>
      <c r="F155" s="83">
        <v>147</v>
      </c>
      <c r="G155" s="83">
        <f t="shared" ca="1" si="9"/>
        <v>1.0202581924763416E-2</v>
      </c>
    </row>
    <row r="156" spans="2:7" x14ac:dyDescent="0.2">
      <c r="B156" s="167">
        <v>38470</v>
      </c>
      <c r="C156" s="28">
        <v>32.049999999999997</v>
      </c>
      <c r="D156" s="83">
        <f t="shared" si="8"/>
        <v>-0.85927552140504937</v>
      </c>
      <c r="E156" s="83">
        <v>3.453841187863127E-2</v>
      </c>
      <c r="F156" s="83">
        <v>148</v>
      </c>
      <c r="G156" s="83">
        <f t="shared" ca="1" si="9"/>
        <v>1.6174717937359119E-2</v>
      </c>
    </row>
    <row r="157" spans="2:7" x14ac:dyDescent="0.2">
      <c r="B157" s="167">
        <v>44593</v>
      </c>
      <c r="C157" s="28">
        <v>227.75</v>
      </c>
      <c r="D157" s="83">
        <f t="shared" si="8"/>
        <v>-7.4262255101211316E-2</v>
      </c>
      <c r="E157" s="83">
        <v>3.428701180744783E-2</v>
      </c>
      <c r="F157" s="83">
        <v>149</v>
      </c>
      <c r="G157" s="83">
        <f t="shared" ca="1" si="9"/>
        <v>-4.1099863735877568E-2</v>
      </c>
    </row>
    <row r="158" spans="2:7" x14ac:dyDescent="0.2">
      <c r="B158" s="167">
        <v>42024</v>
      </c>
      <c r="C158" s="28">
        <v>246.02</v>
      </c>
      <c r="D158" s="83">
        <f t="shared" si="8"/>
        <v>1.7611672278338948</v>
      </c>
      <c r="E158" s="83">
        <v>3.4262412241980934E-2</v>
      </c>
      <c r="F158" s="83">
        <v>150</v>
      </c>
      <c r="G158" s="83">
        <f t="shared" ca="1" si="9"/>
        <v>-1.7708351933564369E-2</v>
      </c>
    </row>
    <row r="159" spans="2:7" x14ac:dyDescent="0.2">
      <c r="B159" s="167">
        <v>40140</v>
      </c>
      <c r="C159" s="28">
        <v>89.1</v>
      </c>
      <c r="D159" s="83">
        <f t="shared" si="8"/>
        <v>1.0774073210538586</v>
      </c>
      <c r="E159" s="83">
        <v>3.424260011607648E-2</v>
      </c>
      <c r="F159" s="83">
        <v>151</v>
      </c>
      <c r="G159" s="83">
        <f t="shared" ca="1" si="9"/>
        <v>-1.0693943591500207E-2</v>
      </c>
    </row>
    <row r="160" spans="2:7" x14ac:dyDescent="0.2">
      <c r="B160" s="167">
        <v>38679</v>
      </c>
      <c r="C160" s="28">
        <v>42.89</v>
      </c>
      <c r="D160" s="83">
        <f t="shared" si="8"/>
        <v>-0.38323267184354332</v>
      </c>
      <c r="E160" s="83">
        <v>3.4241620448517043E-2</v>
      </c>
      <c r="F160" s="83">
        <v>152</v>
      </c>
      <c r="G160" s="83">
        <f t="shared" ca="1" si="9"/>
        <v>-1.7162318226452444E-3</v>
      </c>
    </row>
    <row r="161" spans="2:7" x14ac:dyDescent="0.2">
      <c r="B161" s="167">
        <v>39496</v>
      </c>
      <c r="C161" s="28">
        <v>69.540000000000006</v>
      </c>
      <c r="D161" s="83">
        <f t="shared" si="8"/>
        <v>0.29666231586798442</v>
      </c>
      <c r="E161" s="83">
        <v>3.420582986317685E-2</v>
      </c>
      <c r="F161" s="83">
        <v>153</v>
      </c>
      <c r="G161" s="83">
        <f t="shared" ca="1" si="9"/>
        <v>-2.7417629963306857E-2</v>
      </c>
    </row>
    <row r="162" spans="2:7" x14ac:dyDescent="0.2">
      <c r="B162" s="167">
        <v>39197</v>
      </c>
      <c r="C162" s="28">
        <v>53.63</v>
      </c>
      <c r="D162" s="83">
        <f t="shared" si="8"/>
        <v>-0.81564111378480575</v>
      </c>
      <c r="E162" s="83">
        <v>3.4130350944851583E-2</v>
      </c>
      <c r="F162" s="83">
        <v>154</v>
      </c>
      <c r="G162" s="83">
        <f t="shared" ca="1" si="9"/>
        <v>-3.4890511424808826E-2</v>
      </c>
    </row>
    <row r="163" spans="2:7" x14ac:dyDescent="0.2">
      <c r="B163" s="167">
        <v>42851</v>
      </c>
      <c r="C163" s="28">
        <v>290.89999999999998</v>
      </c>
      <c r="D163" s="83">
        <f t="shared" si="8"/>
        <v>1.157211716722284</v>
      </c>
      <c r="E163" s="83">
        <v>3.4127266263775206E-2</v>
      </c>
      <c r="F163" s="83">
        <v>155</v>
      </c>
      <c r="G163" s="83">
        <f t="shared" ca="1" si="9"/>
        <v>1.2987190324094176E-2</v>
      </c>
    </row>
    <row r="164" spans="2:7" x14ac:dyDescent="0.2">
      <c r="B164" s="167">
        <v>40731</v>
      </c>
      <c r="C164" s="28">
        <v>134.85</v>
      </c>
      <c r="D164" s="83">
        <f t="shared" si="8"/>
        <v>-0.42590148580186471</v>
      </c>
      <c r="E164" s="83">
        <v>3.4125766871165558E-2</v>
      </c>
      <c r="F164" s="83">
        <v>156</v>
      </c>
      <c r="G164" s="83">
        <f t="shared" ca="1" si="9"/>
        <v>-1.3395309259397149E-3</v>
      </c>
    </row>
    <row r="165" spans="2:7" x14ac:dyDescent="0.2">
      <c r="B165" s="167">
        <v>41424</v>
      </c>
      <c r="C165" s="28">
        <v>234.89</v>
      </c>
      <c r="D165" s="83">
        <f t="shared" si="8"/>
        <v>1.6119203825197372</v>
      </c>
      <c r="E165" s="83">
        <v>3.4028878323648488E-2</v>
      </c>
      <c r="F165" s="83">
        <v>157</v>
      </c>
      <c r="G165" s="83">
        <f t="shared" ca="1" si="9"/>
        <v>1.233780938386379E-2</v>
      </c>
    </row>
    <row r="166" spans="2:7" x14ac:dyDescent="0.2">
      <c r="B166" s="167">
        <v>40319</v>
      </c>
      <c r="C166" s="28">
        <v>89.93</v>
      </c>
      <c r="D166" s="83">
        <f t="shared" si="8"/>
        <v>-0.2914434289316104</v>
      </c>
      <c r="E166" s="83">
        <v>3.3915842722464964E-2</v>
      </c>
      <c r="F166" s="83">
        <v>158</v>
      </c>
      <c r="G166" s="83">
        <f t="shared" ca="1" si="9"/>
        <v>-2.3401578236771158E-2</v>
      </c>
    </row>
    <row r="167" spans="2:7" x14ac:dyDescent="0.2">
      <c r="B167" s="167">
        <v>40717</v>
      </c>
      <c r="C167" s="28">
        <v>126.92</v>
      </c>
      <c r="D167" s="83">
        <f t="shared" si="8"/>
        <v>1.0174852964552537</v>
      </c>
      <c r="E167" s="83">
        <v>3.3718846717706474E-2</v>
      </c>
      <c r="F167" s="83">
        <v>159</v>
      </c>
      <c r="G167" s="83">
        <f t="shared" ca="1" si="9"/>
        <v>-1.1619915174810052E-2</v>
      </c>
    </row>
    <row r="168" spans="2:7" x14ac:dyDescent="0.2">
      <c r="B168" s="167">
        <v>39958</v>
      </c>
      <c r="C168" s="28">
        <v>62.91</v>
      </c>
      <c r="D168" s="83">
        <f t="shared" si="8"/>
        <v>-0.86399308182899137</v>
      </c>
      <c r="E168" s="83">
        <v>3.3683864607295388E-2</v>
      </c>
      <c r="F168" s="83">
        <v>160</v>
      </c>
      <c r="G168" s="83">
        <f t="shared" ca="1" si="9"/>
        <v>1.0354561948534667E-2</v>
      </c>
    </row>
    <row r="169" spans="2:7" x14ac:dyDescent="0.2">
      <c r="B169" s="167">
        <v>45689</v>
      </c>
      <c r="C169" s="28">
        <v>462.55</v>
      </c>
      <c r="D169" s="83">
        <f t="shared" si="8"/>
        <v>4.5243043114773673</v>
      </c>
      <c r="E169" s="83">
        <v>3.363128491620114E-2</v>
      </c>
      <c r="F169" s="83">
        <v>161</v>
      </c>
      <c r="G169" s="83">
        <f t="shared" ca="1" si="9"/>
        <v>-1.2554249297971311E-2</v>
      </c>
    </row>
    <row r="170" spans="2:7" x14ac:dyDescent="0.2">
      <c r="B170" s="167">
        <v>40212</v>
      </c>
      <c r="C170" s="28">
        <v>83.73</v>
      </c>
      <c r="D170" s="83">
        <f t="shared" si="8"/>
        <v>0.36657417985963764</v>
      </c>
      <c r="E170" s="83">
        <v>3.3576101715837532E-2</v>
      </c>
      <c r="F170" s="83">
        <v>162</v>
      </c>
      <c r="G170" s="83">
        <f t="shared" ca="1" si="9"/>
        <v>1.6049528171757855E-2</v>
      </c>
    </row>
    <row r="171" spans="2:7" x14ac:dyDescent="0.2">
      <c r="B171" s="167">
        <v>39903</v>
      </c>
      <c r="C171" s="28">
        <v>61.27</v>
      </c>
      <c r="D171" s="83">
        <f t="shared" si="8"/>
        <v>-0.71849299333792782</v>
      </c>
      <c r="E171" s="83">
        <v>3.3569500674763865E-2</v>
      </c>
      <c r="F171" s="83">
        <v>163</v>
      </c>
      <c r="G171" s="83">
        <f t="shared" ca="1" si="9"/>
        <v>1.0194707659063298E-2</v>
      </c>
    </row>
    <row r="172" spans="2:7" x14ac:dyDescent="0.2">
      <c r="B172" s="167">
        <v>44273</v>
      </c>
      <c r="C172" s="28">
        <v>217.65</v>
      </c>
      <c r="D172" s="83">
        <f t="shared" si="8"/>
        <v>-9.8757763975155261E-2</v>
      </c>
      <c r="E172" s="83">
        <v>3.3475783475783533E-2</v>
      </c>
      <c r="F172" s="83">
        <v>164</v>
      </c>
      <c r="G172" s="83">
        <f t="shared" ca="1" si="9"/>
        <v>4.301042121317435E-3</v>
      </c>
    </row>
    <row r="173" spans="2:7" x14ac:dyDescent="0.2">
      <c r="B173" s="167">
        <v>44460</v>
      </c>
      <c r="C173" s="28">
        <v>241.5</v>
      </c>
      <c r="D173" s="83">
        <f t="shared" si="8"/>
        <v>3.7964250248262164</v>
      </c>
      <c r="E173" s="83">
        <v>3.3155080213903745E-2</v>
      </c>
      <c r="F173" s="83">
        <v>165</v>
      </c>
      <c r="G173" s="83">
        <f t="shared" ca="1" si="9"/>
        <v>6.6104014437751175E-3</v>
      </c>
    </row>
    <row r="174" spans="2:7" x14ac:dyDescent="0.2">
      <c r="B174" s="167">
        <v>38740</v>
      </c>
      <c r="C174" s="28">
        <v>50.35</v>
      </c>
      <c r="D174" s="83">
        <f t="shared" si="8"/>
        <v>0.17448098903662246</v>
      </c>
      <c r="E174" s="83">
        <v>3.3032416906031994E-2</v>
      </c>
      <c r="F174" s="83">
        <v>166</v>
      </c>
      <c r="G174" s="83">
        <f t="shared" ca="1" si="9"/>
        <v>5.1096086848562384E-3</v>
      </c>
    </row>
    <row r="175" spans="2:7" x14ac:dyDescent="0.2">
      <c r="B175" s="167">
        <v>38614</v>
      </c>
      <c r="C175" s="28">
        <v>42.87</v>
      </c>
      <c r="D175" s="83">
        <f t="shared" si="8"/>
        <v>-0.51939461883408078</v>
      </c>
      <c r="E175" s="83">
        <v>3.3012048192771024E-2</v>
      </c>
      <c r="F175" s="83">
        <v>167</v>
      </c>
      <c r="G175" s="83">
        <f t="shared" ca="1" si="9"/>
        <v>-1.5913186618002936E-2</v>
      </c>
    </row>
    <row r="176" spans="2:7" x14ac:dyDescent="0.2">
      <c r="B176" s="167">
        <v>40324</v>
      </c>
      <c r="C176" s="28">
        <v>89.2</v>
      </c>
      <c r="D176" s="83">
        <f t="shared" si="8"/>
        <v>0.80165623106443151</v>
      </c>
      <c r="E176" s="83">
        <v>3.3005211349160492E-2</v>
      </c>
      <c r="F176" s="83">
        <v>168</v>
      </c>
      <c r="G176" s="83">
        <f t="shared" ca="1" si="9"/>
        <v>1.699754365597721E-2</v>
      </c>
    </row>
    <row r="177" spans="2:7" x14ac:dyDescent="0.2">
      <c r="B177" s="167">
        <v>39163</v>
      </c>
      <c r="C177" s="28">
        <v>49.51</v>
      </c>
      <c r="D177" s="83">
        <f t="shared" si="8"/>
        <v>-0.22080579162732139</v>
      </c>
      <c r="E177" s="83">
        <v>3.296474024619233E-2</v>
      </c>
      <c r="F177" s="83">
        <v>169</v>
      </c>
      <c r="G177" s="83">
        <f t="shared" ca="1" si="9"/>
        <v>2.9513068799154499E-2</v>
      </c>
    </row>
    <row r="178" spans="2:7" x14ac:dyDescent="0.2">
      <c r="B178" s="167">
        <v>39521</v>
      </c>
      <c r="C178" s="28">
        <v>63.54</v>
      </c>
      <c r="D178" s="83">
        <f t="shared" si="8"/>
        <v>0.20936429387133612</v>
      </c>
      <c r="E178" s="83">
        <v>3.2834850455136476E-2</v>
      </c>
      <c r="F178" s="83">
        <v>170</v>
      </c>
      <c r="G178" s="83">
        <f t="shared" ca="1" si="9"/>
        <v>2.5203692532639772E-3</v>
      </c>
    </row>
    <row r="179" spans="2:7" x14ac:dyDescent="0.2">
      <c r="B179" s="167">
        <v>39188</v>
      </c>
      <c r="C179" s="28">
        <v>52.54</v>
      </c>
      <c r="D179" s="83">
        <f t="shared" si="8"/>
        <v>-0.6624044207415023</v>
      </c>
      <c r="E179" s="83">
        <v>3.2828779241203102E-2</v>
      </c>
      <c r="F179" s="83">
        <v>171</v>
      </c>
      <c r="G179" s="83">
        <f t="shared" ca="1" si="9"/>
        <v>-1.1484412432392984E-2</v>
      </c>
    </row>
    <row r="180" spans="2:7" x14ac:dyDescent="0.2">
      <c r="B180" s="167">
        <v>41046</v>
      </c>
      <c r="C180" s="28">
        <v>155.63</v>
      </c>
      <c r="D180" s="83">
        <f t="shared" si="8"/>
        <v>-0.57168019815604798</v>
      </c>
      <c r="E180" s="83">
        <v>3.278253367841262E-2</v>
      </c>
      <c r="F180" s="83">
        <v>172</v>
      </c>
      <c r="G180" s="83">
        <f t="shared" ca="1" si="9"/>
        <v>3.3917290098713312E-3</v>
      </c>
    </row>
    <row r="181" spans="2:7" x14ac:dyDescent="0.2">
      <c r="B181" s="167">
        <v>44971</v>
      </c>
      <c r="C181" s="28">
        <v>363.35</v>
      </c>
      <c r="D181" s="83">
        <f t="shared" si="8"/>
        <v>0.45806581059390061</v>
      </c>
      <c r="E181" s="83">
        <v>3.2743086149560979E-2</v>
      </c>
      <c r="F181" s="83">
        <v>173</v>
      </c>
      <c r="G181" s="83">
        <f t="shared" ca="1" si="9"/>
        <v>2.7624447526888355E-3</v>
      </c>
    </row>
    <row r="182" spans="2:7" x14ac:dyDescent="0.2">
      <c r="B182" s="167">
        <v>44482</v>
      </c>
      <c r="C182" s="28">
        <v>249.2</v>
      </c>
      <c r="D182" s="83">
        <f t="shared" si="8"/>
        <v>-0.18774445893089967</v>
      </c>
      <c r="E182" s="83">
        <v>3.2739328636551913E-2</v>
      </c>
      <c r="F182" s="83">
        <v>174</v>
      </c>
      <c r="G182" s="83">
        <f t="shared" ca="1" si="9"/>
        <v>1.6890138790519742E-2</v>
      </c>
    </row>
    <row r="183" spans="2:7" x14ac:dyDescent="0.2">
      <c r="B183" s="167">
        <v>43355</v>
      </c>
      <c r="C183" s="28">
        <v>306.8</v>
      </c>
      <c r="D183" s="83">
        <f t="shared" si="8"/>
        <v>0.59916601511597611</v>
      </c>
      <c r="E183" s="83">
        <v>3.2301480484522284E-2</v>
      </c>
      <c r="F183" s="83">
        <v>175</v>
      </c>
      <c r="G183" s="83">
        <f t="shared" ca="1" si="9"/>
        <v>1.0776264436926536E-2</v>
      </c>
    </row>
    <row r="184" spans="2:7" x14ac:dyDescent="0.2">
      <c r="B184" s="167">
        <v>44006</v>
      </c>
      <c r="C184" s="28">
        <v>191.85</v>
      </c>
      <c r="D184" s="83">
        <f t="shared" si="8"/>
        <v>2.1342917823884981</v>
      </c>
      <c r="E184" s="83">
        <v>3.2284100080710254E-2</v>
      </c>
      <c r="F184" s="83">
        <v>176</v>
      </c>
      <c r="G184" s="83">
        <f t="shared" ca="1" si="9"/>
        <v>-1.8618699984198746E-2</v>
      </c>
    </row>
    <row r="185" spans="2:7" x14ac:dyDescent="0.2">
      <c r="B185" s="167">
        <v>38903</v>
      </c>
      <c r="C185" s="28">
        <v>61.21</v>
      </c>
      <c r="D185" s="83">
        <f t="shared" si="8"/>
        <v>-0.85615247226922353</v>
      </c>
      <c r="E185" s="83">
        <v>3.2209106239460432E-2</v>
      </c>
      <c r="F185" s="83">
        <v>177</v>
      </c>
      <c r="G185" s="83">
        <f t="shared" ca="1" si="9"/>
        <v>3.8192044149824245E-2</v>
      </c>
    </row>
    <row r="186" spans="2:7" x14ac:dyDescent="0.2">
      <c r="B186" s="167">
        <v>45261</v>
      </c>
      <c r="C186" s="28">
        <v>425.52</v>
      </c>
      <c r="D186" s="83">
        <f t="shared" si="8"/>
        <v>1.3858704793944492</v>
      </c>
      <c r="E186" s="83">
        <v>3.2139132122152962E-2</v>
      </c>
      <c r="F186" s="83">
        <v>178</v>
      </c>
      <c r="G186" s="83">
        <f t="shared" ca="1" si="9"/>
        <v>1.4904088821072747E-2</v>
      </c>
    </row>
    <row r="187" spans="2:7" x14ac:dyDescent="0.2">
      <c r="B187" s="167">
        <v>44145</v>
      </c>
      <c r="C187" s="28">
        <v>178.35</v>
      </c>
      <c r="D187" s="83">
        <f t="shared" si="8"/>
        <v>1.6055514974433891</v>
      </c>
      <c r="E187" s="83">
        <v>3.2118055555555455E-2</v>
      </c>
      <c r="F187" s="83">
        <v>179</v>
      </c>
      <c r="G187" s="83">
        <f t="shared" ca="1" si="9"/>
        <v>-3.7716243020612262E-3</v>
      </c>
    </row>
    <row r="188" spans="2:7" x14ac:dyDescent="0.2">
      <c r="B188" s="167">
        <v>39535</v>
      </c>
      <c r="C188" s="28">
        <v>68.45</v>
      </c>
      <c r="D188" s="83">
        <f t="shared" si="8"/>
        <v>-0.70424300034566201</v>
      </c>
      <c r="E188" s="83">
        <v>3.1961405095733524E-2</v>
      </c>
      <c r="F188" s="83">
        <v>180</v>
      </c>
      <c r="G188" s="83">
        <f t="shared" ca="1" si="9"/>
        <v>-1.8055914452266468E-3</v>
      </c>
    </row>
    <row r="189" spans="2:7" x14ac:dyDescent="0.2">
      <c r="B189" s="167">
        <v>42325</v>
      </c>
      <c r="C189" s="28">
        <v>231.44</v>
      </c>
      <c r="D189" s="83">
        <f t="shared" si="8"/>
        <v>7.5214866434378622E-2</v>
      </c>
      <c r="E189" s="83">
        <v>3.1924380238986964E-2</v>
      </c>
      <c r="F189" s="83">
        <v>181</v>
      </c>
      <c r="G189" s="83">
        <f t="shared" ca="1" si="9"/>
        <v>-2.7169255410981461E-3</v>
      </c>
    </row>
    <row r="190" spans="2:7" x14ac:dyDescent="0.2">
      <c r="B190" s="167">
        <v>44413</v>
      </c>
      <c r="C190" s="28">
        <v>215.25</v>
      </c>
      <c r="D190" s="83">
        <f t="shared" si="8"/>
        <v>4.1867469879518069</v>
      </c>
      <c r="E190" s="83">
        <v>3.1879194630872514E-2</v>
      </c>
      <c r="F190" s="83">
        <v>182</v>
      </c>
      <c r="G190" s="83">
        <f t="shared" ca="1" si="9"/>
        <v>6.9468180167863195E-4</v>
      </c>
    </row>
    <row r="191" spans="2:7" x14ac:dyDescent="0.2">
      <c r="B191" s="167">
        <v>38658</v>
      </c>
      <c r="C191" s="28">
        <v>41.5</v>
      </c>
      <c r="D191" s="83">
        <f t="shared" si="8"/>
        <v>-0.80797704978715523</v>
      </c>
      <c r="E191" s="83">
        <v>3.1824962705121862E-2</v>
      </c>
      <c r="F191" s="83">
        <v>183</v>
      </c>
      <c r="G191" s="83">
        <f t="shared" ca="1" si="9"/>
        <v>2.5024525751718405E-2</v>
      </c>
    </row>
    <row r="192" spans="2:7" x14ac:dyDescent="0.2">
      <c r="B192" s="167">
        <v>42216</v>
      </c>
      <c r="C192" s="28">
        <v>216.12</v>
      </c>
      <c r="D192" s="83">
        <f t="shared" si="8"/>
        <v>-2.8761459644076962E-2</v>
      </c>
      <c r="E192" s="83">
        <v>3.1796046977943263E-2</v>
      </c>
      <c r="F192" s="83">
        <v>184</v>
      </c>
      <c r="G192" s="83">
        <f t="shared" ca="1" si="9"/>
        <v>4.9412929263772309E-3</v>
      </c>
    </row>
    <row r="193" spans="2:7" x14ac:dyDescent="0.2">
      <c r="B193" s="167">
        <v>41498</v>
      </c>
      <c r="C193" s="28">
        <v>222.52</v>
      </c>
      <c r="D193" s="83">
        <f t="shared" si="8"/>
        <v>2.8571676200381351</v>
      </c>
      <c r="E193" s="83">
        <v>3.166581668134829E-2</v>
      </c>
      <c r="F193" s="83">
        <v>185</v>
      </c>
      <c r="G193" s="83">
        <f t="shared" ca="1" si="9"/>
        <v>2.3735513513044829E-2</v>
      </c>
    </row>
    <row r="194" spans="2:7" x14ac:dyDescent="0.2">
      <c r="B194" s="167">
        <v>39786</v>
      </c>
      <c r="C194" s="28">
        <v>57.69</v>
      </c>
      <c r="D194" s="83">
        <f t="shared" si="8"/>
        <v>-0.7343311075293576</v>
      </c>
      <c r="E194" s="83">
        <v>3.1652360515021384E-2</v>
      </c>
      <c r="F194" s="83">
        <v>186</v>
      </c>
      <c r="G194" s="83">
        <f t="shared" ca="1" si="9"/>
        <v>-9.5700500923408937E-3</v>
      </c>
    </row>
    <row r="195" spans="2:7" x14ac:dyDescent="0.2">
      <c r="B195" s="167">
        <v>42093</v>
      </c>
      <c r="C195" s="28">
        <v>217.15</v>
      </c>
      <c r="D195" s="83">
        <f t="shared" si="8"/>
        <v>-0.11652223442776348</v>
      </c>
      <c r="E195" s="83">
        <v>3.1640457979001363E-2</v>
      </c>
      <c r="F195" s="83">
        <v>187</v>
      </c>
      <c r="G195" s="83">
        <f t="shared" ca="1" si="9"/>
        <v>9.0528210865319092E-3</v>
      </c>
    </row>
    <row r="196" spans="2:7" x14ac:dyDescent="0.2">
      <c r="B196" s="167">
        <v>41904</v>
      </c>
      <c r="C196" s="28">
        <v>245.79</v>
      </c>
      <c r="D196" s="83">
        <f t="shared" si="8"/>
        <v>-0.19610793131643503</v>
      </c>
      <c r="E196" s="83">
        <v>3.1560834347588794E-2</v>
      </c>
      <c r="F196" s="83">
        <v>188</v>
      </c>
      <c r="G196" s="83">
        <f t="shared" ca="1" si="9"/>
        <v>1.5370896546554364E-2</v>
      </c>
    </row>
    <row r="197" spans="2:7" x14ac:dyDescent="0.2">
      <c r="B197" s="167">
        <v>43567</v>
      </c>
      <c r="C197" s="28">
        <v>305.75</v>
      </c>
      <c r="D197" s="83">
        <f t="shared" si="8"/>
        <v>4.4307282415630551</v>
      </c>
      <c r="E197" s="83">
        <v>3.1545209176788207E-2</v>
      </c>
      <c r="F197" s="83">
        <v>189</v>
      </c>
      <c r="G197" s="83">
        <f t="shared" ca="1" si="9"/>
        <v>-3.1318199433864546E-2</v>
      </c>
    </row>
    <row r="198" spans="2:7" x14ac:dyDescent="0.2">
      <c r="B198" s="167">
        <v>39773</v>
      </c>
      <c r="C198" s="28">
        <v>56.3</v>
      </c>
      <c r="D198" s="83">
        <f t="shared" si="8"/>
        <v>-0.74219250847147167</v>
      </c>
      <c r="E198" s="83">
        <v>3.1513374862587006E-2</v>
      </c>
      <c r="F198" s="83">
        <v>190</v>
      </c>
      <c r="G198" s="83">
        <f t="shared" ca="1" si="9"/>
        <v>-6.9468988425634322E-3</v>
      </c>
    </row>
    <row r="199" spans="2:7" x14ac:dyDescent="0.2">
      <c r="B199" s="167">
        <v>42506</v>
      </c>
      <c r="C199" s="28">
        <v>218.38</v>
      </c>
      <c r="D199" s="83">
        <f t="shared" si="8"/>
        <v>2.3325194567373719</v>
      </c>
      <c r="E199" s="83">
        <v>3.1456640846400888E-2</v>
      </c>
      <c r="F199" s="83">
        <v>191</v>
      </c>
      <c r="G199" s="83">
        <f t="shared" ca="1" si="9"/>
        <v>2.1194250059145641E-2</v>
      </c>
    </row>
    <row r="200" spans="2:7" x14ac:dyDescent="0.2">
      <c r="B200" s="167">
        <v>40000</v>
      </c>
      <c r="C200" s="28">
        <v>65.53</v>
      </c>
      <c r="D200" s="83">
        <f t="shared" si="8"/>
        <v>7.5319986872333503E-2</v>
      </c>
      <c r="E200" s="83">
        <v>3.1318854265029936E-2</v>
      </c>
      <c r="F200" s="83">
        <v>192</v>
      </c>
      <c r="G200" s="83">
        <f t="shared" ca="1" si="9"/>
        <v>-1.3585630849995535E-2</v>
      </c>
    </row>
    <row r="201" spans="2:7" x14ac:dyDescent="0.2">
      <c r="B201" s="167">
        <v>39042</v>
      </c>
      <c r="C201" s="28">
        <v>60.94</v>
      </c>
      <c r="D201" s="83">
        <f t="shared" ref="D201:D264" si="10">(C201-C202)/C202</f>
        <v>-5.5486670799751989E-2</v>
      </c>
      <c r="E201" s="83">
        <v>3.1308173971907161E-2</v>
      </c>
      <c r="F201" s="83">
        <v>193</v>
      </c>
      <c r="G201" s="83">
        <f t="shared" ref="G201:G264" ca="1" si="11">_xlfn.NORM.INV(RAND(),$M$10,$M$11)</f>
        <v>-2.7266808986375526E-2</v>
      </c>
    </row>
    <row r="202" spans="2:7" x14ac:dyDescent="0.2">
      <c r="B202" s="167">
        <v>39006</v>
      </c>
      <c r="C202" s="28">
        <v>64.52</v>
      </c>
      <c r="D202" s="83">
        <f t="shared" si="10"/>
        <v>-0.77124623293742256</v>
      </c>
      <c r="E202" s="83">
        <v>3.1165095093495215E-2</v>
      </c>
      <c r="F202" s="83">
        <v>194</v>
      </c>
      <c r="G202" s="83">
        <f t="shared" ca="1" si="11"/>
        <v>-1.3869619815124108E-4</v>
      </c>
    </row>
    <row r="203" spans="2:7" x14ac:dyDescent="0.2">
      <c r="B203" s="167">
        <v>42836</v>
      </c>
      <c r="C203" s="28">
        <v>282.05</v>
      </c>
      <c r="D203" s="83">
        <f t="shared" si="10"/>
        <v>2.8244067796610173</v>
      </c>
      <c r="E203" s="83">
        <v>3.1072929994516541E-2</v>
      </c>
      <c r="F203" s="83">
        <v>195</v>
      </c>
      <c r="G203" s="83">
        <f t="shared" ca="1" si="11"/>
        <v>-3.3658508994256681E-2</v>
      </c>
    </row>
    <row r="204" spans="2:7" x14ac:dyDescent="0.2">
      <c r="B204" s="167">
        <v>39604</v>
      </c>
      <c r="C204" s="28">
        <v>73.75</v>
      </c>
      <c r="D204" s="83">
        <f t="shared" si="10"/>
        <v>0.22610141313383211</v>
      </c>
      <c r="E204" s="83">
        <v>3.1035928980847182E-2</v>
      </c>
      <c r="F204" s="83">
        <v>196</v>
      </c>
      <c r="G204" s="83">
        <f t="shared" ca="1" si="11"/>
        <v>-1.4337202894472064E-2</v>
      </c>
    </row>
    <row r="205" spans="2:7" x14ac:dyDescent="0.2">
      <c r="B205" s="167">
        <v>38910</v>
      </c>
      <c r="C205" s="28">
        <v>60.15</v>
      </c>
      <c r="D205" s="83">
        <f t="shared" si="10"/>
        <v>0.23182469793159943</v>
      </c>
      <c r="E205" s="83">
        <v>3.1025025711347191E-2</v>
      </c>
      <c r="F205" s="83">
        <v>197</v>
      </c>
      <c r="G205" s="83">
        <f t="shared" ca="1" si="11"/>
        <v>-5.1304011431280751E-3</v>
      </c>
    </row>
    <row r="206" spans="2:7" x14ac:dyDescent="0.2">
      <c r="B206" s="167">
        <v>39156</v>
      </c>
      <c r="C206" s="28">
        <v>48.83</v>
      </c>
      <c r="D206" s="83">
        <f t="shared" si="10"/>
        <v>-0.51772839506172841</v>
      </c>
      <c r="E206" s="83">
        <v>3.0821194849060606E-2</v>
      </c>
      <c r="F206" s="83">
        <v>198</v>
      </c>
      <c r="G206" s="83">
        <f t="shared" ca="1" si="11"/>
        <v>-4.7580254679073569E-3</v>
      </c>
    </row>
    <row r="207" spans="2:7" x14ac:dyDescent="0.2">
      <c r="B207" s="167">
        <v>40359</v>
      </c>
      <c r="C207" s="28">
        <v>101.25</v>
      </c>
      <c r="D207" s="83">
        <f t="shared" si="10"/>
        <v>0.75142708873897246</v>
      </c>
      <c r="E207" s="83">
        <v>3.0744171841596214E-2</v>
      </c>
      <c r="F207" s="83">
        <v>199</v>
      </c>
      <c r="G207" s="83">
        <f t="shared" ca="1" si="11"/>
        <v>-9.7327911258981437E-3</v>
      </c>
    </row>
    <row r="208" spans="2:7" x14ac:dyDescent="0.2">
      <c r="B208" s="167">
        <v>39895</v>
      </c>
      <c r="C208" s="28">
        <v>57.81</v>
      </c>
      <c r="D208" s="83">
        <f t="shared" si="10"/>
        <v>-0.78785321100917427</v>
      </c>
      <c r="E208" s="83">
        <v>3.0665002674273467E-2</v>
      </c>
      <c r="F208" s="83">
        <v>200</v>
      </c>
      <c r="G208" s="83">
        <f t="shared" ca="1" si="11"/>
        <v>-1.7801132619610058E-2</v>
      </c>
    </row>
    <row r="209" spans="2:7" x14ac:dyDescent="0.2">
      <c r="B209" s="167">
        <v>43286</v>
      </c>
      <c r="C209" s="28">
        <v>272.5</v>
      </c>
      <c r="D209" s="83">
        <f t="shared" si="10"/>
        <v>1.125916679669215</v>
      </c>
      <c r="E209" s="83">
        <v>3.063540090771567E-2</v>
      </c>
      <c r="F209" s="83">
        <v>201</v>
      </c>
      <c r="G209" s="83">
        <f t="shared" ca="1" si="11"/>
        <v>1.4186701097170201E-3</v>
      </c>
    </row>
    <row r="210" spans="2:7" x14ac:dyDescent="0.2">
      <c r="B210" s="167">
        <v>40694</v>
      </c>
      <c r="C210" s="28">
        <v>128.18</v>
      </c>
      <c r="D210" s="83">
        <f t="shared" si="10"/>
        <v>0.95307024226725612</v>
      </c>
      <c r="E210" s="83">
        <v>3.0634397362708066E-2</v>
      </c>
      <c r="F210" s="83">
        <v>202</v>
      </c>
      <c r="G210" s="83">
        <f t="shared" ca="1" si="11"/>
        <v>-5.6388395675051773E-4</v>
      </c>
    </row>
    <row r="211" spans="2:7" x14ac:dyDescent="0.2">
      <c r="B211" s="167">
        <v>39486</v>
      </c>
      <c r="C211" s="28">
        <v>65.63</v>
      </c>
      <c r="D211" s="83">
        <f t="shared" si="10"/>
        <v>-0.72512146088121965</v>
      </c>
      <c r="E211" s="83">
        <v>3.0621859296482347E-2</v>
      </c>
      <c r="F211" s="83">
        <v>203</v>
      </c>
      <c r="G211" s="83">
        <f t="shared" ca="1" si="11"/>
        <v>9.6517411580406276E-3</v>
      </c>
    </row>
    <row r="212" spans="2:7" x14ac:dyDescent="0.2">
      <c r="B212" s="167">
        <v>42031</v>
      </c>
      <c r="C212" s="28">
        <v>238.76</v>
      </c>
      <c r="D212" s="83">
        <f t="shared" si="10"/>
        <v>-7.5612683417863744E-2</v>
      </c>
      <c r="E212" s="83">
        <v>3.0603876203220113E-2</v>
      </c>
      <c r="F212" s="83">
        <v>204</v>
      </c>
      <c r="G212" s="83">
        <f t="shared" ca="1" si="11"/>
        <v>2.0715086911659936E-2</v>
      </c>
    </row>
    <row r="213" spans="2:7" x14ac:dyDescent="0.2">
      <c r="B213" s="167">
        <v>42051</v>
      </c>
      <c r="C213" s="28">
        <v>258.29000000000002</v>
      </c>
      <c r="D213" s="83">
        <f t="shared" si="10"/>
        <v>0.50483570263341904</v>
      </c>
      <c r="E213" s="83">
        <v>3.0562981287156465E-2</v>
      </c>
      <c r="F213" s="83">
        <v>205</v>
      </c>
      <c r="G213" s="83">
        <f t="shared" ca="1" si="11"/>
        <v>8.1965646366562676E-3</v>
      </c>
    </row>
    <row r="214" spans="2:7" x14ac:dyDescent="0.2">
      <c r="B214" s="167">
        <v>41089</v>
      </c>
      <c r="C214" s="28">
        <v>171.64</v>
      </c>
      <c r="D214" s="83">
        <f t="shared" si="10"/>
        <v>-0.44471044969265616</v>
      </c>
      <c r="E214" s="83">
        <v>3.0252100840336089E-2</v>
      </c>
      <c r="F214" s="83">
        <v>206</v>
      </c>
      <c r="G214" s="83">
        <f t="shared" ca="1" si="11"/>
        <v>-3.3668668728033223E-2</v>
      </c>
    </row>
    <row r="215" spans="2:7" x14ac:dyDescent="0.2">
      <c r="B215" s="167">
        <v>42881</v>
      </c>
      <c r="C215" s="28">
        <v>309.10000000000002</v>
      </c>
      <c r="D215" s="83">
        <f t="shared" si="10"/>
        <v>-8.7527675276752703E-2</v>
      </c>
      <c r="E215" s="83">
        <v>3.016163972671225E-2</v>
      </c>
      <c r="F215" s="83">
        <v>207</v>
      </c>
      <c r="G215" s="83">
        <f t="shared" ca="1" si="11"/>
        <v>-1.8471956466671671E-2</v>
      </c>
    </row>
    <row r="216" spans="2:7" x14ac:dyDescent="0.2">
      <c r="B216" s="167">
        <v>42929</v>
      </c>
      <c r="C216" s="28">
        <v>338.75</v>
      </c>
      <c r="D216" s="83">
        <f t="shared" si="10"/>
        <v>5.1102092352092354</v>
      </c>
      <c r="E216" s="83">
        <v>3.0104911053671815E-2</v>
      </c>
      <c r="F216" s="83">
        <v>208</v>
      </c>
      <c r="G216" s="83">
        <f t="shared" ca="1" si="11"/>
        <v>-2.5164619981539727E-2</v>
      </c>
    </row>
    <row r="217" spans="2:7" x14ac:dyDescent="0.2">
      <c r="B217" s="167">
        <v>39646</v>
      </c>
      <c r="C217" s="28">
        <v>55.44</v>
      </c>
      <c r="D217" s="83">
        <f t="shared" si="10"/>
        <v>4.6630168019633732E-2</v>
      </c>
      <c r="E217" s="83">
        <v>3.0100334448160487E-2</v>
      </c>
      <c r="F217" s="83">
        <v>209</v>
      </c>
      <c r="G217" s="83">
        <f t="shared" ca="1" si="11"/>
        <v>1.2055923969709123E-2</v>
      </c>
    </row>
    <row r="218" spans="2:7" x14ac:dyDescent="0.2">
      <c r="B218" s="167">
        <v>39755</v>
      </c>
      <c r="C218" s="28">
        <v>52.97</v>
      </c>
      <c r="D218" s="83">
        <f t="shared" si="10"/>
        <v>-0.79348927875243669</v>
      </c>
      <c r="E218" s="83">
        <v>2.994361267742561E-2</v>
      </c>
      <c r="F218" s="83">
        <v>210</v>
      </c>
      <c r="G218" s="83">
        <f t="shared" ca="1" si="11"/>
        <v>-1.5894708320648928E-2</v>
      </c>
    </row>
    <row r="219" spans="2:7" x14ac:dyDescent="0.2">
      <c r="B219" s="167">
        <v>42681</v>
      </c>
      <c r="C219" s="28">
        <v>256.5</v>
      </c>
      <c r="D219" s="83">
        <f t="shared" si="10"/>
        <v>-0.10377358490566034</v>
      </c>
      <c r="E219" s="83">
        <v>2.9913671953422961E-2</v>
      </c>
      <c r="F219" s="83">
        <v>211</v>
      </c>
      <c r="G219" s="83">
        <f t="shared" ca="1" si="11"/>
        <v>-4.3454952386488997E-3</v>
      </c>
    </row>
    <row r="220" spans="2:7" x14ac:dyDescent="0.2">
      <c r="B220" s="167">
        <v>42874</v>
      </c>
      <c r="C220" s="28">
        <v>286.2</v>
      </c>
      <c r="D220" s="83">
        <f t="shared" si="10"/>
        <v>0.32200101621321991</v>
      </c>
      <c r="E220" s="83">
        <v>2.9866858582223866E-2</v>
      </c>
      <c r="F220" s="83">
        <v>212</v>
      </c>
      <c r="G220" s="83">
        <f t="shared" ca="1" si="11"/>
        <v>4.743697962174811E-3</v>
      </c>
    </row>
    <row r="221" spans="2:7" x14ac:dyDescent="0.2">
      <c r="B221" s="167">
        <v>42359</v>
      </c>
      <c r="C221" s="28">
        <v>216.49</v>
      </c>
      <c r="D221" s="83">
        <f t="shared" si="10"/>
        <v>0.16018220793140417</v>
      </c>
      <c r="E221" s="83">
        <v>2.9825896679668968E-2</v>
      </c>
      <c r="F221" s="83">
        <v>213</v>
      </c>
      <c r="G221" s="83">
        <f t="shared" ca="1" si="11"/>
        <v>1.9024193950158391E-2</v>
      </c>
    </row>
    <row r="222" spans="2:7" x14ac:dyDescent="0.2">
      <c r="B222" s="167">
        <v>44000</v>
      </c>
      <c r="C222" s="28">
        <v>186.6</v>
      </c>
      <c r="D222" s="83">
        <f t="shared" si="10"/>
        <v>1.2198429693076374</v>
      </c>
      <c r="E222" s="83">
        <v>2.9801324503311293E-2</v>
      </c>
      <c r="F222" s="83">
        <v>214</v>
      </c>
      <c r="G222" s="83">
        <f t="shared" ca="1" si="11"/>
        <v>-1.1913398335155848E-2</v>
      </c>
    </row>
    <row r="223" spans="2:7" x14ac:dyDescent="0.2">
      <c r="B223" s="167">
        <v>40170</v>
      </c>
      <c r="C223" s="28">
        <v>84.06</v>
      </c>
      <c r="D223" s="83">
        <f t="shared" si="10"/>
        <v>-0.64512179676615866</v>
      </c>
      <c r="E223" s="83">
        <v>2.9768467475193031E-2</v>
      </c>
      <c r="F223" s="83">
        <v>215</v>
      </c>
      <c r="G223" s="83">
        <f t="shared" ca="1" si="11"/>
        <v>2.6291756863685146E-3</v>
      </c>
    </row>
    <row r="224" spans="2:7" x14ac:dyDescent="0.2">
      <c r="B224" s="167">
        <v>41864</v>
      </c>
      <c r="C224" s="28">
        <v>236.87</v>
      </c>
      <c r="D224" s="83">
        <f t="shared" si="10"/>
        <v>-7.6710192944845088E-2</v>
      </c>
      <c r="E224" s="83">
        <v>2.9511474269819156E-2</v>
      </c>
      <c r="F224" s="83">
        <v>216</v>
      </c>
      <c r="G224" s="83">
        <f t="shared" ca="1" si="11"/>
        <v>-4.2059100258441248E-3</v>
      </c>
    </row>
    <row r="225" spans="2:7" x14ac:dyDescent="0.2">
      <c r="B225" s="167">
        <v>44483</v>
      </c>
      <c r="C225" s="28">
        <v>256.55</v>
      </c>
      <c r="D225" s="83">
        <f t="shared" si="10"/>
        <v>3.0832404902116828</v>
      </c>
      <c r="E225" s="83">
        <v>2.9494382022472003E-2</v>
      </c>
      <c r="F225" s="83">
        <v>217</v>
      </c>
      <c r="G225" s="83">
        <f t="shared" ca="1" si="11"/>
        <v>1.4250654271491199E-2</v>
      </c>
    </row>
    <row r="226" spans="2:7" x14ac:dyDescent="0.2">
      <c r="B226" s="167">
        <v>39366</v>
      </c>
      <c r="C226" s="28">
        <v>62.83</v>
      </c>
      <c r="D226" s="83">
        <f t="shared" si="10"/>
        <v>-0.73921886024986516</v>
      </c>
      <c r="E226" s="83">
        <v>2.9493691627068608E-2</v>
      </c>
      <c r="F226" s="83">
        <v>218</v>
      </c>
      <c r="G226" s="83">
        <f t="shared" ca="1" si="11"/>
        <v>2.9951466161865826E-2</v>
      </c>
    </row>
    <row r="227" spans="2:7" x14ac:dyDescent="0.2">
      <c r="B227" s="167">
        <v>42522</v>
      </c>
      <c r="C227" s="28">
        <v>240.93</v>
      </c>
      <c r="D227" s="83">
        <f t="shared" si="10"/>
        <v>5.5594881568200387</v>
      </c>
      <c r="E227" s="83">
        <v>2.9483399564158467E-2</v>
      </c>
      <c r="F227" s="83">
        <v>219</v>
      </c>
      <c r="G227" s="83">
        <f t="shared" ca="1" si="11"/>
        <v>-7.3024149640357804E-4</v>
      </c>
    </row>
    <row r="228" spans="2:7" x14ac:dyDescent="0.2">
      <c r="B228" s="167">
        <v>38533</v>
      </c>
      <c r="C228" s="28">
        <v>36.729999999999997</v>
      </c>
      <c r="D228" s="83">
        <f t="shared" si="10"/>
        <v>-0.72235240758938701</v>
      </c>
      <c r="E228" s="83">
        <v>2.9428251121076155E-2</v>
      </c>
      <c r="F228" s="83">
        <v>220</v>
      </c>
      <c r="G228" s="83">
        <f t="shared" ca="1" si="11"/>
        <v>1.4799366037155548E-3</v>
      </c>
    </row>
    <row r="229" spans="2:7" x14ac:dyDescent="0.2">
      <c r="B229" s="167">
        <v>40723</v>
      </c>
      <c r="C229" s="28">
        <v>132.29</v>
      </c>
      <c r="D229" s="83">
        <f t="shared" si="10"/>
        <v>1.496508775240611</v>
      </c>
      <c r="E229" s="83">
        <v>2.9414053381059849E-2</v>
      </c>
      <c r="F229" s="83">
        <v>221</v>
      </c>
      <c r="G229" s="83">
        <f t="shared" ca="1" si="11"/>
        <v>-1.519860322094738E-2</v>
      </c>
    </row>
    <row r="230" spans="2:7" x14ac:dyDescent="0.2">
      <c r="B230" s="167">
        <v>39182</v>
      </c>
      <c r="C230" s="28">
        <v>52.99</v>
      </c>
      <c r="D230" s="83">
        <f t="shared" si="10"/>
        <v>-0.8102077363896848</v>
      </c>
      <c r="E230" s="83">
        <v>2.9331779331779433E-2</v>
      </c>
      <c r="F230" s="83">
        <v>222</v>
      </c>
      <c r="G230" s="83">
        <f t="shared" ca="1" si="11"/>
        <v>1.3513399537830505E-2</v>
      </c>
    </row>
    <row r="231" spans="2:7" x14ac:dyDescent="0.2">
      <c r="B231" s="167">
        <v>42963</v>
      </c>
      <c r="C231" s="28">
        <v>279.2</v>
      </c>
      <c r="D231" s="83">
        <f t="shared" si="10"/>
        <v>0.58862019914651487</v>
      </c>
      <c r="E231" s="83">
        <v>2.9308755760368621E-2</v>
      </c>
      <c r="F231" s="83">
        <v>223</v>
      </c>
      <c r="G231" s="83">
        <f t="shared" ca="1" si="11"/>
        <v>1.7418067931852001E-2</v>
      </c>
    </row>
    <row r="232" spans="2:7" x14ac:dyDescent="0.2">
      <c r="B232" s="167">
        <v>43971</v>
      </c>
      <c r="C232" s="28">
        <v>175.75</v>
      </c>
      <c r="D232" s="83">
        <f t="shared" si="10"/>
        <v>4.363137015563014</v>
      </c>
      <c r="E232" s="83">
        <v>2.9282576866764276E-2</v>
      </c>
      <c r="F232" s="83">
        <v>224</v>
      </c>
      <c r="G232" s="83">
        <f t="shared" ca="1" si="11"/>
        <v>-9.7375812471565248E-3</v>
      </c>
    </row>
    <row r="233" spans="2:7" x14ac:dyDescent="0.2">
      <c r="B233" s="167">
        <v>38481</v>
      </c>
      <c r="C233" s="28">
        <v>32.770000000000003</v>
      </c>
      <c r="D233" s="83">
        <f t="shared" si="10"/>
        <v>-0.43363290701693735</v>
      </c>
      <c r="E233" s="83">
        <v>2.9208542713567941E-2</v>
      </c>
      <c r="F233" s="83">
        <v>225</v>
      </c>
      <c r="G233" s="83">
        <f t="shared" ca="1" si="11"/>
        <v>2.1673898178358481E-2</v>
      </c>
    </row>
    <row r="234" spans="2:7" x14ac:dyDescent="0.2">
      <c r="B234" s="167">
        <v>39077</v>
      </c>
      <c r="C234" s="28">
        <v>57.86</v>
      </c>
      <c r="D234" s="83">
        <f t="shared" si="10"/>
        <v>-0.66889842632331908</v>
      </c>
      <c r="E234" s="83">
        <v>2.9171113482746366E-2</v>
      </c>
      <c r="F234" s="83">
        <v>226</v>
      </c>
      <c r="G234" s="83">
        <f t="shared" ca="1" si="11"/>
        <v>-1.5853705641533249E-2</v>
      </c>
    </row>
    <row r="235" spans="2:7" x14ac:dyDescent="0.2">
      <c r="B235" s="167">
        <v>44140</v>
      </c>
      <c r="C235" s="28">
        <v>174.75</v>
      </c>
      <c r="D235" s="83">
        <f t="shared" si="10"/>
        <v>1.7593557555660826</v>
      </c>
      <c r="E235" s="83">
        <v>2.9151943462897456E-2</v>
      </c>
      <c r="F235" s="83">
        <v>227</v>
      </c>
      <c r="G235" s="83">
        <f t="shared" ca="1" si="11"/>
        <v>-7.9412962174465994E-3</v>
      </c>
    </row>
    <row r="236" spans="2:7" x14ac:dyDescent="0.2">
      <c r="B236" s="167">
        <v>39710</v>
      </c>
      <c r="C236" s="28">
        <v>63.33</v>
      </c>
      <c r="D236" s="83">
        <f t="shared" si="10"/>
        <v>-0.73308888607915035</v>
      </c>
      <c r="E236" s="83">
        <v>2.908677283067922E-2</v>
      </c>
      <c r="F236" s="83">
        <v>228</v>
      </c>
      <c r="G236" s="83">
        <f t="shared" ca="1" si="11"/>
        <v>1.0286608879029328E-2</v>
      </c>
    </row>
    <row r="237" spans="2:7" x14ac:dyDescent="0.2">
      <c r="B237" s="167">
        <v>42019</v>
      </c>
      <c r="C237" s="28">
        <v>237.27</v>
      </c>
      <c r="D237" s="83">
        <f t="shared" si="10"/>
        <v>-0.13829671327401494</v>
      </c>
      <c r="E237" s="83">
        <v>2.9013791308873264E-2</v>
      </c>
      <c r="F237" s="83">
        <v>229</v>
      </c>
      <c r="G237" s="83">
        <f t="shared" ca="1" si="11"/>
        <v>-1.0893670913699041E-2</v>
      </c>
    </row>
    <row r="238" spans="2:7" x14ac:dyDescent="0.2">
      <c r="B238" s="167">
        <v>43208</v>
      </c>
      <c r="C238" s="28">
        <v>275.35000000000002</v>
      </c>
      <c r="D238" s="83">
        <f t="shared" si="10"/>
        <v>1.3612897693165253</v>
      </c>
      <c r="E238" s="83">
        <v>2.8961136023916291E-2</v>
      </c>
      <c r="F238" s="83">
        <v>230</v>
      </c>
      <c r="G238" s="83">
        <f t="shared" ca="1" si="11"/>
        <v>-1.9748141545242223E-2</v>
      </c>
    </row>
    <row r="239" spans="2:7" x14ac:dyDescent="0.2">
      <c r="B239" s="167">
        <v>40504</v>
      </c>
      <c r="C239" s="28">
        <v>116.61</v>
      </c>
      <c r="D239" s="83">
        <f t="shared" si="10"/>
        <v>-0.54907192575406027</v>
      </c>
      <c r="E239" s="83">
        <v>2.8942027706697265E-2</v>
      </c>
      <c r="F239" s="83">
        <v>231</v>
      </c>
      <c r="G239" s="83">
        <f t="shared" ca="1" si="11"/>
        <v>1.1665087608178073E-2</v>
      </c>
    </row>
    <row r="240" spans="2:7" x14ac:dyDescent="0.2">
      <c r="B240" s="167">
        <v>44694</v>
      </c>
      <c r="C240" s="28">
        <v>258.60000000000002</v>
      </c>
      <c r="D240" s="83">
        <f t="shared" si="10"/>
        <v>-9.1036906854129976E-2</v>
      </c>
      <c r="E240" s="83">
        <v>2.8844241098070534E-2</v>
      </c>
      <c r="F240" s="83">
        <v>232</v>
      </c>
      <c r="G240" s="83">
        <f t="shared" ca="1" si="11"/>
        <v>-8.734294718956674E-4</v>
      </c>
    </row>
    <row r="241" spans="2:7" x14ac:dyDescent="0.2">
      <c r="B241" s="167">
        <v>43423</v>
      </c>
      <c r="C241" s="28">
        <v>284.5</v>
      </c>
      <c r="D241" s="83">
        <f t="shared" si="10"/>
        <v>0.48408972352634333</v>
      </c>
      <c r="E241" s="83">
        <v>2.8747062014102289E-2</v>
      </c>
      <c r="F241" s="83">
        <v>233</v>
      </c>
      <c r="G241" s="83">
        <f t="shared" ca="1" si="11"/>
        <v>7.8743379223756675E-3</v>
      </c>
    </row>
    <row r="242" spans="2:7" x14ac:dyDescent="0.2">
      <c r="B242" s="167">
        <v>43977</v>
      </c>
      <c r="C242" s="28">
        <v>191.7</v>
      </c>
      <c r="D242" s="83">
        <f t="shared" si="10"/>
        <v>2.4001418942887547</v>
      </c>
      <c r="E242" s="83">
        <v>2.8709417762275258E-2</v>
      </c>
      <c r="F242" s="83">
        <v>234</v>
      </c>
      <c r="G242" s="83">
        <f t="shared" ca="1" si="11"/>
        <v>1.9397643001254454E-2</v>
      </c>
    </row>
    <row r="243" spans="2:7" x14ac:dyDescent="0.2">
      <c r="B243" s="167">
        <v>39888</v>
      </c>
      <c r="C243" s="28">
        <v>56.38</v>
      </c>
      <c r="D243" s="83">
        <f t="shared" si="10"/>
        <v>-0.2878615637236327</v>
      </c>
      <c r="E243" s="83">
        <v>2.8644407954752787E-2</v>
      </c>
      <c r="F243" s="83">
        <v>235</v>
      </c>
      <c r="G243" s="83">
        <f t="shared" ca="1" si="11"/>
        <v>-2.461704455217573E-2</v>
      </c>
    </row>
    <row r="244" spans="2:7" x14ac:dyDescent="0.2">
      <c r="B244" s="167">
        <v>40021</v>
      </c>
      <c r="C244" s="28">
        <v>79.17</v>
      </c>
      <c r="D244" s="83">
        <f t="shared" si="10"/>
        <v>0.58023952095808384</v>
      </c>
      <c r="E244" s="83">
        <v>2.8582564635572339E-2</v>
      </c>
      <c r="F244" s="83">
        <v>236</v>
      </c>
      <c r="G244" s="83">
        <f t="shared" ca="1" si="11"/>
        <v>3.4916830685822839E-2</v>
      </c>
    </row>
    <row r="245" spans="2:7" x14ac:dyDescent="0.2">
      <c r="B245" s="167">
        <v>39171</v>
      </c>
      <c r="C245" s="28">
        <v>50.1</v>
      </c>
      <c r="D245" s="83">
        <f t="shared" si="10"/>
        <v>-0.21176840780365011</v>
      </c>
      <c r="E245" s="83">
        <v>2.8536234859371803E-2</v>
      </c>
      <c r="F245" s="83">
        <v>237</v>
      </c>
      <c r="G245" s="83">
        <f t="shared" ca="1" si="11"/>
        <v>6.5833750139373632E-3</v>
      </c>
    </row>
    <row r="246" spans="2:7" x14ac:dyDescent="0.2">
      <c r="B246" s="167">
        <v>39625</v>
      </c>
      <c r="C246" s="28">
        <v>63.56</v>
      </c>
      <c r="D246" s="83">
        <f t="shared" si="10"/>
        <v>-0.17796171753750636</v>
      </c>
      <c r="E246" s="83">
        <v>2.8478964401294583E-2</v>
      </c>
      <c r="F246" s="83">
        <v>238</v>
      </c>
      <c r="G246" s="83">
        <f t="shared" ca="1" si="11"/>
        <v>-2.9943439418407859E-3</v>
      </c>
    </row>
    <row r="247" spans="2:7" x14ac:dyDescent="0.2">
      <c r="B247" s="167">
        <v>40060</v>
      </c>
      <c r="C247" s="28">
        <v>77.319999999999993</v>
      </c>
      <c r="D247" s="83">
        <f t="shared" si="10"/>
        <v>-3.8784744667099081E-4</v>
      </c>
      <c r="E247" s="83">
        <v>2.8465017291832751E-2</v>
      </c>
      <c r="F247" s="83">
        <v>239</v>
      </c>
      <c r="G247" s="83">
        <f t="shared" ca="1" si="11"/>
        <v>-2.5859626619528574E-2</v>
      </c>
    </row>
    <row r="248" spans="2:7" x14ac:dyDescent="0.2">
      <c r="B248" s="167">
        <v>40078</v>
      </c>
      <c r="C248" s="28">
        <v>77.349999999999994</v>
      </c>
      <c r="D248" s="83">
        <f t="shared" si="10"/>
        <v>1.0365982095839916</v>
      </c>
      <c r="E248" s="83">
        <v>2.8453663076718531E-2</v>
      </c>
      <c r="F248" s="83">
        <v>240</v>
      </c>
      <c r="G248" s="83">
        <f t="shared" ca="1" si="11"/>
        <v>1.6598281610330654E-2</v>
      </c>
    </row>
    <row r="249" spans="2:7" x14ac:dyDescent="0.2">
      <c r="B249" s="167">
        <v>38567</v>
      </c>
      <c r="C249" s="28">
        <v>37.979999999999997</v>
      </c>
      <c r="D249" s="83">
        <f t="shared" si="10"/>
        <v>-0.69688747007182761</v>
      </c>
      <c r="E249" s="83">
        <v>2.8432168968318364E-2</v>
      </c>
      <c r="F249" s="83">
        <v>241</v>
      </c>
      <c r="G249" s="83">
        <f t="shared" ca="1" si="11"/>
        <v>-1.431455698778715E-2</v>
      </c>
    </row>
    <row r="250" spans="2:7" x14ac:dyDescent="0.2">
      <c r="B250" s="167">
        <v>40676</v>
      </c>
      <c r="C250" s="28">
        <v>125.3</v>
      </c>
      <c r="D250" s="83">
        <f t="shared" si="10"/>
        <v>1.003197442046363</v>
      </c>
      <c r="E250" s="83">
        <v>2.8313500205170317E-2</v>
      </c>
      <c r="F250" s="83">
        <v>242</v>
      </c>
      <c r="G250" s="83">
        <f t="shared" ca="1" si="11"/>
        <v>-1.6457540087727637E-2</v>
      </c>
    </row>
    <row r="251" spans="2:7" x14ac:dyDescent="0.2">
      <c r="B251" s="167">
        <v>39689</v>
      </c>
      <c r="C251" s="28">
        <v>62.55</v>
      </c>
      <c r="D251" s="83">
        <f t="shared" si="10"/>
        <v>7.4373067674338683E-2</v>
      </c>
      <c r="E251" s="83">
        <v>2.8275521946408005E-2</v>
      </c>
      <c r="F251" s="83">
        <v>243</v>
      </c>
      <c r="G251" s="83">
        <f t="shared" ca="1" si="11"/>
        <v>-1.8107167272465551E-2</v>
      </c>
    </row>
    <row r="252" spans="2:7" x14ac:dyDescent="0.2">
      <c r="B252" s="167">
        <v>39841</v>
      </c>
      <c r="C252" s="28">
        <v>58.22</v>
      </c>
      <c r="D252" s="83">
        <f t="shared" si="10"/>
        <v>-0.7549353874647472</v>
      </c>
      <c r="E252" s="83">
        <v>2.8258565877781729E-2</v>
      </c>
      <c r="F252" s="83">
        <v>244</v>
      </c>
      <c r="G252" s="83">
        <f t="shared" ca="1" si="11"/>
        <v>-1.8249644921654217E-2</v>
      </c>
    </row>
    <row r="253" spans="2:7" x14ac:dyDescent="0.2">
      <c r="B253" s="167">
        <v>42300</v>
      </c>
      <c r="C253" s="28">
        <v>237.57</v>
      </c>
      <c r="D253" s="83">
        <f t="shared" si="10"/>
        <v>3.1569553805774277</v>
      </c>
      <c r="E253" s="83">
        <v>2.8130003894923618E-2</v>
      </c>
      <c r="F253" s="83">
        <v>245</v>
      </c>
      <c r="G253" s="83">
        <f t="shared" ca="1" si="11"/>
        <v>4.4239418716485499E-4</v>
      </c>
    </row>
    <row r="254" spans="2:7" x14ac:dyDescent="0.2">
      <c r="B254" s="167">
        <v>39290</v>
      </c>
      <c r="C254" s="28">
        <v>57.15</v>
      </c>
      <c r="D254" s="83">
        <f t="shared" si="10"/>
        <v>0.10030804774740087</v>
      </c>
      <c r="E254" s="83">
        <v>2.8062601187263808E-2</v>
      </c>
      <c r="F254" s="83">
        <v>246</v>
      </c>
      <c r="G254" s="83">
        <f t="shared" ca="1" si="11"/>
        <v>-6.6539010329645029E-3</v>
      </c>
    </row>
    <row r="255" spans="2:7" x14ac:dyDescent="0.2">
      <c r="B255" s="167">
        <v>38754</v>
      </c>
      <c r="C255" s="28">
        <v>51.94</v>
      </c>
      <c r="D255" s="83">
        <f t="shared" si="10"/>
        <v>-0.7957530475815966</v>
      </c>
      <c r="E255" s="83">
        <v>2.790421531763302E-2</v>
      </c>
      <c r="F255" s="83">
        <v>247</v>
      </c>
      <c r="G255" s="83">
        <f t="shared" ca="1" si="11"/>
        <v>-1.0813368439545241E-2</v>
      </c>
    </row>
    <row r="256" spans="2:7" x14ac:dyDescent="0.2">
      <c r="B256" s="167">
        <v>42579</v>
      </c>
      <c r="C256" s="28">
        <v>254.3</v>
      </c>
      <c r="D256" s="83">
        <f t="shared" si="10"/>
        <v>0.14400107967070053</v>
      </c>
      <c r="E256" s="83">
        <v>2.7890056588520638E-2</v>
      </c>
      <c r="F256" s="83">
        <v>248</v>
      </c>
      <c r="G256" s="83">
        <f t="shared" ca="1" si="11"/>
        <v>9.5054679454894195E-3</v>
      </c>
    </row>
    <row r="257" spans="2:7" x14ac:dyDescent="0.2">
      <c r="B257" s="167">
        <v>41401</v>
      </c>
      <c r="C257" s="28">
        <v>222.29</v>
      </c>
      <c r="D257" s="83">
        <f t="shared" si="10"/>
        <v>2.7676271186440675</v>
      </c>
      <c r="E257" s="83">
        <v>2.7883103671506527E-2</v>
      </c>
      <c r="F257" s="83">
        <v>249</v>
      </c>
      <c r="G257" s="83">
        <f t="shared" ca="1" si="11"/>
        <v>1.2129909396604356E-2</v>
      </c>
    </row>
    <row r="258" spans="2:7" x14ac:dyDescent="0.2">
      <c r="B258" s="167">
        <v>38786</v>
      </c>
      <c r="C258" s="28">
        <v>59</v>
      </c>
      <c r="D258" s="83">
        <f t="shared" si="10"/>
        <v>-0.73835920177383596</v>
      </c>
      <c r="E258" s="83">
        <v>2.7874564459930338E-2</v>
      </c>
      <c r="F258" s="83">
        <v>250</v>
      </c>
      <c r="G258" s="83">
        <f t="shared" ca="1" si="11"/>
        <v>6.430179970230941E-3</v>
      </c>
    </row>
    <row r="259" spans="2:7" x14ac:dyDescent="0.2">
      <c r="B259" s="167">
        <v>44624</v>
      </c>
      <c r="C259" s="28">
        <v>225.5</v>
      </c>
      <c r="D259" s="83">
        <f t="shared" si="10"/>
        <v>-0.51565788908458265</v>
      </c>
      <c r="E259" s="83">
        <v>2.7803099361896053E-2</v>
      </c>
      <c r="F259" s="83">
        <v>251</v>
      </c>
      <c r="G259" s="83">
        <f t="shared" ca="1" si="11"/>
        <v>-4.8144910794531122E-3</v>
      </c>
    </row>
    <row r="260" spans="2:7" x14ac:dyDescent="0.2">
      <c r="B260" s="167">
        <v>45127</v>
      </c>
      <c r="C260" s="28">
        <v>465.58</v>
      </c>
      <c r="D260" s="83">
        <f t="shared" si="10"/>
        <v>0.70292611558156559</v>
      </c>
      <c r="E260" s="83">
        <v>2.7770419426048531E-2</v>
      </c>
      <c r="F260" s="83">
        <v>252</v>
      </c>
      <c r="G260" s="83">
        <f t="shared" ca="1" si="11"/>
        <v>3.6260802018815208E-2</v>
      </c>
    </row>
    <row r="261" spans="2:7" x14ac:dyDescent="0.2">
      <c r="B261" s="167">
        <v>43118</v>
      </c>
      <c r="C261" s="28">
        <v>273.39999999999998</v>
      </c>
      <c r="D261" s="83">
        <f t="shared" si="10"/>
        <v>4.6093557652851862</v>
      </c>
      <c r="E261" s="83">
        <v>2.7626386017665722E-2</v>
      </c>
      <c r="F261" s="83">
        <v>253</v>
      </c>
      <c r="G261" s="83">
        <f t="shared" ca="1" si="11"/>
        <v>6.240962448157107E-3</v>
      </c>
    </row>
    <row r="262" spans="2:7" x14ac:dyDescent="0.2">
      <c r="B262" s="167">
        <v>38737</v>
      </c>
      <c r="C262" s="28">
        <v>48.74</v>
      </c>
      <c r="D262" s="83">
        <f t="shared" si="10"/>
        <v>-0.61326668253590411</v>
      </c>
      <c r="E262" s="83">
        <v>2.76196500105419E-2</v>
      </c>
      <c r="F262" s="83">
        <v>254</v>
      </c>
      <c r="G262" s="83">
        <f t="shared" ca="1" si="11"/>
        <v>1.6741042166020789E-2</v>
      </c>
    </row>
    <row r="263" spans="2:7" x14ac:dyDescent="0.2">
      <c r="B263" s="167">
        <v>40646</v>
      </c>
      <c r="C263" s="28">
        <v>126.03</v>
      </c>
      <c r="D263" s="83">
        <f t="shared" si="10"/>
        <v>-0.67856049785757999</v>
      </c>
      <c r="E263" s="83">
        <v>2.7558092132083125E-2</v>
      </c>
      <c r="F263" s="83">
        <v>255</v>
      </c>
      <c r="G263" s="83">
        <f t="shared" ca="1" si="11"/>
        <v>-3.0699439606054202E-2</v>
      </c>
    </row>
    <row r="264" spans="2:7" x14ac:dyDescent="0.2">
      <c r="B264" s="167">
        <v>45344</v>
      </c>
      <c r="C264" s="28">
        <v>392.08</v>
      </c>
      <c r="D264" s="83">
        <f t="shared" si="10"/>
        <v>0.55371507826431543</v>
      </c>
      <c r="E264" s="83">
        <v>2.7544094137379748E-2</v>
      </c>
      <c r="F264" s="83">
        <v>256</v>
      </c>
      <c r="G264" s="83">
        <f t="shared" ca="1" si="11"/>
        <v>1.2375387623591078E-2</v>
      </c>
    </row>
    <row r="265" spans="2:7" x14ac:dyDescent="0.2">
      <c r="B265" s="167">
        <v>42552</v>
      </c>
      <c r="C265" s="28">
        <v>252.35</v>
      </c>
      <c r="D265" s="83">
        <f t="shared" ref="D265:D328" si="12">(C265-C266)/C266</f>
        <v>0.14913479052823317</v>
      </c>
      <c r="E265" s="83">
        <v>2.7483713355048862E-2</v>
      </c>
      <c r="F265" s="83">
        <v>257</v>
      </c>
      <c r="G265" s="83">
        <f t="shared" ref="G265:G328" ca="1" si="13">_xlfn.NORM.INV(RAND(),$M$10,$M$11)</f>
        <v>-1.4445918593272886E-2</v>
      </c>
    </row>
    <row r="266" spans="2:7" x14ac:dyDescent="0.2">
      <c r="B266" s="167">
        <v>42473</v>
      </c>
      <c r="C266" s="28">
        <v>219.6</v>
      </c>
      <c r="D266" s="83">
        <f t="shared" si="12"/>
        <v>3.0124246300018274</v>
      </c>
      <c r="E266" s="83">
        <v>2.7416487321044188E-2</v>
      </c>
      <c r="F266" s="83">
        <v>258</v>
      </c>
      <c r="G266" s="83">
        <f t="shared" ca="1" si="13"/>
        <v>-6.3600114680951022E-3</v>
      </c>
    </row>
    <row r="267" spans="2:7" x14ac:dyDescent="0.2">
      <c r="B267" s="167">
        <v>39771</v>
      </c>
      <c r="C267" s="28">
        <v>54.73</v>
      </c>
      <c r="D267" s="83">
        <f t="shared" si="12"/>
        <v>-0.77009031716026055</v>
      </c>
      <c r="E267" s="83">
        <v>2.7407546461422821E-2</v>
      </c>
      <c r="F267" s="83">
        <v>259</v>
      </c>
      <c r="G267" s="83">
        <f t="shared" ca="1" si="13"/>
        <v>-3.6882112728658746E-2</v>
      </c>
    </row>
    <row r="268" spans="2:7" x14ac:dyDescent="0.2">
      <c r="B268" s="167">
        <v>44480</v>
      </c>
      <c r="C268" s="28">
        <v>238.05</v>
      </c>
      <c r="D268" s="83">
        <f t="shared" si="12"/>
        <v>-8.3894554550702369E-2</v>
      </c>
      <c r="E268" s="83">
        <v>2.7406128614587928E-2</v>
      </c>
      <c r="F268" s="83">
        <v>260</v>
      </c>
      <c r="G268" s="83">
        <f t="shared" ca="1" si="13"/>
        <v>3.075187517410222E-2</v>
      </c>
    </row>
    <row r="269" spans="2:7" x14ac:dyDescent="0.2">
      <c r="B269" s="167">
        <v>43738</v>
      </c>
      <c r="C269" s="28">
        <v>259.85000000000002</v>
      </c>
      <c r="D269" s="83">
        <f t="shared" si="12"/>
        <v>1.2577982448518552</v>
      </c>
      <c r="E269" s="83">
        <v>2.7278118205179024E-2</v>
      </c>
      <c r="F269" s="83">
        <v>261</v>
      </c>
      <c r="G269" s="83">
        <f t="shared" ca="1" si="13"/>
        <v>-1.5936732016239272E-2</v>
      </c>
    </row>
    <row r="270" spans="2:7" x14ac:dyDescent="0.2">
      <c r="B270" s="167">
        <v>40603</v>
      </c>
      <c r="C270" s="28">
        <v>115.09</v>
      </c>
      <c r="D270" s="83">
        <f t="shared" si="12"/>
        <v>-2.6393706116233741E-2</v>
      </c>
      <c r="E270" s="83">
        <v>2.7222420564084228E-2</v>
      </c>
      <c r="F270" s="83">
        <v>262</v>
      </c>
      <c r="G270" s="83">
        <f t="shared" ca="1" si="13"/>
        <v>2.2656816590978585E-2</v>
      </c>
    </row>
    <row r="271" spans="2:7" x14ac:dyDescent="0.2">
      <c r="B271" s="167">
        <v>40451</v>
      </c>
      <c r="C271" s="28">
        <v>118.21</v>
      </c>
      <c r="D271" s="83">
        <f t="shared" si="12"/>
        <v>-0.51253608247422688</v>
      </c>
      <c r="E271" s="83">
        <v>2.71092188721869E-2</v>
      </c>
      <c r="F271" s="83">
        <v>263</v>
      </c>
      <c r="G271" s="83">
        <f t="shared" ca="1" si="13"/>
        <v>7.1903729756454806E-3</v>
      </c>
    </row>
    <row r="272" spans="2:7" x14ac:dyDescent="0.2">
      <c r="B272" s="167">
        <v>43703</v>
      </c>
      <c r="C272" s="28">
        <v>242.5</v>
      </c>
      <c r="D272" s="83">
        <f t="shared" si="12"/>
        <v>3.9784438513652227</v>
      </c>
      <c r="E272" s="83">
        <v>2.7107157983905148E-2</v>
      </c>
      <c r="F272" s="83">
        <v>264</v>
      </c>
      <c r="G272" s="83">
        <f t="shared" ca="1" si="13"/>
        <v>-1.3809980754308008E-2</v>
      </c>
    </row>
    <row r="273" spans="2:7" x14ac:dyDescent="0.2">
      <c r="B273" s="167">
        <v>38721</v>
      </c>
      <c r="C273" s="28">
        <v>48.71</v>
      </c>
      <c r="D273" s="83">
        <f t="shared" si="12"/>
        <v>-0.71566166598564007</v>
      </c>
      <c r="E273" s="83">
        <v>2.6987138941598168E-2</v>
      </c>
      <c r="F273" s="83">
        <v>265</v>
      </c>
      <c r="G273" s="83">
        <f t="shared" ca="1" si="13"/>
        <v>6.9648008717027748E-4</v>
      </c>
    </row>
    <row r="274" spans="2:7" x14ac:dyDescent="0.2">
      <c r="B274" s="167">
        <v>41100</v>
      </c>
      <c r="C274" s="28">
        <v>171.31</v>
      </c>
      <c r="D274" s="83">
        <f t="shared" si="12"/>
        <v>-0.26570938705529362</v>
      </c>
      <c r="E274" s="83">
        <v>2.6853683390277466E-2</v>
      </c>
      <c r="F274" s="83">
        <v>266</v>
      </c>
      <c r="G274" s="83">
        <f t="shared" ca="1" si="13"/>
        <v>-1.3524059618886712E-2</v>
      </c>
    </row>
    <row r="275" spans="2:7" x14ac:dyDescent="0.2">
      <c r="B275" s="167">
        <v>42712</v>
      </c>
      <c r="C275" s="28">
        <v>233.3</v>
      </c>
      <c r="D275" s="83">
        <f t="shared" si="12"/>
        <v>-0.14841582712804779</v>
      </c>
      <c r="E275" s="83">
        <v>2.6848591549295878E-2</v>
      </c>
      <c r="F275" s="83">
        <v>267</v>
      </c>
      <c r="G275" s="83">
        <f t="shared" ca="1" si="13"/>
        <v>-2.0215125618526845E-2</v>
      </c>
    </row>
    <row r="276" spans="2:7" x14ac:dyDescent="0.2">
      <c r="B276" s="167">
        <v>44700</v>
      </c>
      <c r="C276" s="28">
        <v>273.95999999999998</v>
      </c>
      <c r="D276" s="83">
        <f t="shared" si="12"/>
        <v>1.6304368698991836</v>
      </c>
      <c r="E276" s="83">
        <v>2.6836581709145307E-2</v>
      </c>
      <c r="F276" s="83">
        <v>268</v>
      </c>
      <c r="G276" s="83">
        <f t="shared" ca="1" si="13"/>
        <v>-9.3358861388438772E-3</v>
      </c>
    </row>
    <row r="277" spans="2:7" x14ac:dyDescent="0.2">
      <c r="B277" s="167">
        <v>40581</v>
      </c>
      <c r="C277" s="28">
        <v>104.15</v>
      </c>
      <c r="D277" s="83">
        <f t="shared" si="12"/>
        <v>0.95293455840990082</v>
      </c>
      <c r="E277" s="83">
        <v>2.6816523710933637E-2</v>
      </c>
      <c r="F277" s="83">
        <v>269</v>
      </c>
      <c r="G277" s="83">
        <f t="shared" ca="1" si="13"/>
        <v>-2.934658416728843E-4</v>
      </c>
    </row>
    <row r="278" spans="2:7" x14ac:dyDescent="0.2">
      <c r="B278" s="167">
        <v>38755</v>
      </c>
      <c r="C278" s="28">
        <v>53.33</v>
      </c>
      <c r="D278" s="83">
        <f t="shared" si="12"/>
        <v>0.50905489530277281</v>
      </c>
      <c r="E278" s="83">
        <v>2.6761648055448607E-2</v>
      </c>
      <c r="F278" s="83">
        <v>270</v>
      </c>
      <c r="G278" s="83">
        <f t="shared" ca="1" si="13"/>
        <v>3.0682089063752777E-2</v>
      </c>
    </row>
    <row r="279" spans="2:7" x14ac:dyDescent="0.2">
      <c r="B279" s="167">
        <v>38503</v>
      </c>
      <c r="C279" s="28">
        <v>35.340000000000003</v>
      </c>
      <c r="D279" s="83">
        <f t="shared" si="12"/>
        <v>-0.57215496368038732</v>
      </c>
      <c r="E279" s="83">
        <v>2.672864613596751E-2</v>
      </c>
      <c r="F279" s="83">
        <v>271</v>
      </c>
      <c r="G279" s="83">
        <f t="shared" ca="1" si="13"/>
        <v>3.6110964548307571E-3</v>
      </c>
    </row>
    <row r="280" spans="2:7" x14ac:dyDescent="0.2">
      <c r="B280" s="167">
        <v>40025</v>
      </c>
      <c r="C280" s="28">
        <v>82.6</v>
      </c>
      <c r="D280" s="83">
        <f t="shared" si="12"/>
        <v>-0.5954153605015674</v>
      </c>
      <c r="E280" s="83">
        <v>2.672467371037901E-2</v>
      </c>
      <c r="F280" s="83">
        <v>272</v>
      </c>
      <c r="G280" s="83">
        <f t="shared" ca="1" si="13"/>
        <v>3.7022756416112777E-3</v>
      </c>
    </row>
    <row r="281" spans="2:7" x14ac:dyDescent="0.2">
      <c r="B281" s="167">
        <v>41380</v>
      </c>
      <c r="C281" s="28">
        <v>204.16</v>
      </c>
      <c r="D281" s="83">
        <f t="shared" si="12"/>
        <v>5.139561231846735E-2</v>
      </c>
      <c r="E281" s="83">
        <v>2.6703545385969335E-2</v>
      </c>
      <c r="F281" s="83">
        <v>273</v>
      </c>
      <c r="G281" s="83">
        <f t="shared" ca="1" si="13"/>
        <v>-2.0263956898029144E-2</v>
      </c>
    </row>
    <row r="282" spans="2:7" x14ac:dyDescent="0.2">
      <c r="B282" s="167">
        <v>41376</v>
      </c>
      <c r="C282" s="28">
        <v>194.18</v>
      </c>
      <c r="D282" s="83">
        <f t="shared" si="12"/>
        <v>-0.20959010054137658</v>
      </c>
      <c r="E282" s="83">
        <v>2.6646928201332458E-2</v>
      </c>
      <c r="F282" s="83">
        <v>274</v>
      </c>
      <c r="G282" s="83">
        <f t="shared" ca="1" si="13"/>
        <v>2.1602580710763457E-3</v>
      </c>
    </row>
    <row r="283" spans="2:7" x14ac:dyDescent="0.2">
      <c r="B283" s="167">
        <v>42549</v>
      </c>
      <c r="C283" s="28">
        <v>245.67</v>
      </c>
      <c r="D283" s="83">
        <f t="shared" si="12"/>
        <v>3.0566380449141346</v>
      </c>
      <c r="E283" s="83">
        <v>2.661930631007094E-2</v>
      </c>
      <c r="F283" s="83">
        <v>275</v>
      </c>
      <c r="G283" s="83">
        <f t="shared" ca="1" si="13"/>
        <v>5.7008692302604842E-3</v>
      </c>
    </row>
    <row r="284" spans="2:7" x14ac:dyDescent="0.2">
      <c r="B284" s="167">
        <v>39400</v>
      </c>
      <c r="C284" s="28">
        <v>60.56</v>
      </c>
      <c r="D284" s="83">
        <f t="shared" si="12"/>
        <v>-0.55708330285965035</v>
      </c>
      <c r="E284" s="83">
        <v>2.6614680454314296E-2</v>
      </c>
      <c r="F284" s="83">
        <v>276</v>
      </c>
      <c r="G284" s="83">
        <f t="shared" ca="1" si="13"/>
        <v>-2.0497123584015814E-3</v>
      </c>
    </row>
    <row r="285" spans="2:7" x14ac:dyDescent="0.2">
      <c r="B285" s="167">
        <v>40752</v>
      </c>
      <c r="C285" s="28">
        <v>136.72999999999999</v>
      </c>
      <c r="D285" s="83">
        <f t="shared" si="12"/>
        <v>1.5088073394495412</v>
      </c>
      <c r="E285" s="83">
        <v>2.6578571964862168E-2</v>
      </c>
      <c r="F285" s="83">
        <v>277</v>
      </c>
      <c r="G285" s="83">
        <f t="shared" ca="1" si="13"/>
        <v>-2.0837647115855482E-2</v>
      </c>
    </row>
    <row r="286" spans="2:7" x14ac:dyDescent="0.2">
      <c r="B286" s="167">
        <v>38870</v>
      </c>
      <c r="C286" s="28">
        <v>54.5</v>
      </c>
      <c r="D286" s="83">
        <f t="shared" si="12"/>
        <v>0.13707490089714167</v>
      </c>
      <c r="E286" s="83">
        <v>2.6558673949896337E-2</v>
      </c>
      <c r="F286" s="83">
        <v>278</v>
      </c>
      <c r="G286" s="83">
        <f t="shared" ca="1" si="13"/>
        <v>-1.9493663550799314E-2</v>
      </c>
    </row>
    <row r="287" spans="2:7" x14ac:dyDescent="0.2">
      <c r="B287" s="167">
        <v>39162</v>
      </c>
      <c r="C287" s="28">
        <v>47.93</v>
      </c>
      <c r="D287" s="83">
        <f t="shared" si="12"/>
        <v>2.4145299145299202E-2</v>
      </c>
      <c r="E287" s="83">
        <v>2.6558149496680276E-2</v>
      </c>
      <c r="F287" s="83">
        <v>279</v>
      </c>
      <c r="G287" s="83">
        <f t="shared" ca="1" si="13"/>
        <v>-2.3422672016199859E-2</v>
      </c>
    </row>
    <row r="288" spans="2:7" x14ac:dyDescent="0.2">
      <c r="B288" s="167">
        <v>38713</v>
      </c>
      <c r="C288" s="28">
        <v>46.8</v>
      </c>
      <c r="D288" s="83">
        <f t="shared" si="12"/>
        <v>-0.83868187928716686</v>
      </c>
      <c r="E288" s="83">
        <v>2.6540908093880097E-2</v>
      </c>
      <c r="F288" s="83">
        <v>280</v>
      </c>
      <c r="G288" s="83">
        <f t="shared" ca="1" si="13"/>
        <v>-2.1465842397802134E-2</v>
      </c>
    </row>
    <row r="289" spans="2:7" x14ac:dyDescent="0.2">
      <c r="B289" s="167">
        <v>44746</v>
      </c>
      <c r="C289" s="28">
        <v>290.11</v>
      </c>
      <c r="D289" s="83">
        <f t="shared" si="12"/>
        <v>2.6938053097345181E-2</v>
      </c>
      <c r="E289" s="83">
        <v>2.6538339053819752E-2</v>
      </c>
      <c r="F289" s="83">
        <v>281</v>
      </c>
      <c r="G289" s="83">
        <f t="shared" ca="1" si="13"/>
        <v>-1.3730837124935739E-3</v>
      </c>
    </row>
    <row r="290" spans="2:7" x14ac:dyDescent="0.2">
      <c r="B290" s="167">
        <v>43388</v>
      </c>
      <c r="C290" s="28">
        <v>282.5</v>
      </c>
      <c r="D290" s="83">
        <f t="shared" si="12"/>
        <v>2.3921709894332372</v>
      </c>
      <c r="E290" s="83">
        <v>2.6526162790697718E-2</v>
      </c>
      <c r="F290" s="83">
        <v>282</v>
      </c>
      <c r="G290" s="83">
        <f t="shared" ca="1" si="13"/>
        <v>3.4664339283900739E-2</v>
      </c>
    </row>
    <row r="291" spans="2:7" x14ac:dyDescent="0.2">
      <c r="B291" s="167">
        <v>40245</v>
      </c>
      <c r="C291" s="28">
        <v>83.28</v>
      </c>
      <c r="D291" s="83">
        <f t="shared" si="12"/>
        <v>0.39497487437185924</v>
      </c>
      <c r="E291" s="83">
        <v>2.6500677924319066E-2</v>
      </c>
      <c r="F291" s="83">
        <v>283</v>
      </c>
      <c r="G291" s="83">
        <f t="shared" ca="1" si="13"/>
        <v>-2.2956073043046425E-2</v>
      </c>
    </row>
    <row r="292" spans="2:7" x14ac:dyDescent="0.2">
      <c r="B292" s="167">
        <v>39843</v>
      </c>
      <c r="C292" s="28">
        <v>59.7</v>
      </c>
      <c r="D292" s="83">
        <f t="shared" si="12"/>
        <v>-0.36401406200063918</v>
      </c>
      <c r="E292" s="83">
        <v>2.6478679504814414E-2</v>
      </c>
      <c r="F292" s="83">
        <v>284</v>
      </c>
      <c r="G292" s="83">
        <f t="shared" ca="1" si="13"/>
        <v>2.3959638347262519E-2</v>
      </c>
    </row>
    <row r="293" spans="2:7" x14ac:dyDescent="0.2">
      <c r="B293" s="167">
        <v>40326</v>
      </c>
      <c r="C293" s="28">
        <v>93.87</v>
      </c>
      <c r="D293" s="83">
        <f t="shared" si="12"/>
        <v>0.95562500000000006</v>
      </c>
      <c r="E293" s="83">
        <v>2.6462547840349935E-2</v>
      </c>
      <c r="F293" s="83">
        <v>285</v>
      </c>
      <c r="G293" s="83">
        <f t="shared" ca="1" si="13"/>
        <v>-1.3744159208575397E-2</v>
      </c>
    </row>
    <row r="294" spans="2:7" x14ac:dyDescent="0.2">
      <c r="B294" s="167">
        <v>38705</v>
      </c>
      <c r="C294" s="28">
        <v>48</v>
      </c>
      <c r="D294" s="83">
        <f t="shared" si="12"/>
        <v>-0.22667955534074433</v>
      </c>
      <c r="E294" s="83">
        <v>2.6298909557408528E-2</v>
      </c>
      <c r="F294" s="83">
        <v>286</v>
      </c>
      <c r="G294" s="83">
        <f t="shared" ca="1" si="13"/>
        <v>1.5881001812379732E-2</v>
      </c>
    </row>
    <row r="295" spans="2:7" x14ac:dyDescent="0.2">
      <c r="B295" s="167">
        <v>38978</v>
      </c>
      <c r="C295" s="28">
        <v>62.07</v>
      </c>
      <c r="D295" s="83">
        <f t="shared" si="12"/>
        <v>0.10405549626467452</v>
      </c>
      <c r="E295" s="83">
        <v>2.6289682539682599E-2</v>
      </c>
      <c r="F295" s="83">
        <v>287</v>
      </c>
      <c r="G295" s="83">
        <f t="shared" ca="1" si="13"/>
        <v>3.9544775265700034E-3</v>
      </c>
    </row>
    <row r="296" spans="2:7" x14ac:dyDescent="0.2">
      <c r="B296" s="167">
        <v>39784</v>
      </c>
      <c r="C296" s="28">
        <v>56.22</v>
      </c>
      <c r="D296" s="83">
        <f t="shared" si="12"/>
        <v>-0.56163742690058482</v>
      </c>
      <c r="E296" s="83">
        <v>2.6286966046002148E-2</v>
      </c>
      <c r="F296" s="83">
        <v>288</v>
      </c>
      <c r="G296" s="83">
        <f t="shared" ca="1" si="13"/>
        <v>1.1182681175249332E-2</v>
      </c>
    </row>
    <row r="297" spans="2:7" x14ac:dyDescent="0.2">
      <c r="B297" s="167">
        <v>40813</v>
      </c>
      <c r="C297" s="28">
        <v>128.25</v>
      </c>
      <c r="D297" s="83">
        <f t="shared" si="12"/>
        <v>-0.41164327002477291</v>
      </c>
      <c r="E297" s="83">
        <v>2.6246299111786837E-2</v>
      </c>
      <c r="F297" s="83">
        <v>289</v>
      </c>
      <c r="G297" s="83">
        <f t="shared" ca="1" si="13"/>
        <v>1.0400529324160792E-2</v>
      </c>
    </row>
    <row r="298" spans="2:7" x14ac:dyDescent="0.2">
      <c r="B298" s="167">
        <v>42277</v>
      </c>
      <c r="C298" s="28">
        <v>217.98</v>
      </c>
      <c r="D298" s="83">
        <f t="shared" si="12"/>
        <v>-7.2622846202935631E-2</v>
      </c>
      <c r="E298" s="83">
        <v>2.622287086295369E-2</v>
      </c>
      <c r="F298" s="83">
        <v>290</v>
      </c>
      <c r="G298" s="83">
        <f t="shared" ca="1" si="13"/>
        <v>-4.9088731680559355E-4</v>
      </c>
    </row>
    <row r="299" spans="2:7" x14ac:dyDescent="0.2">
      <c r="B299" s="167">
        <v>41565</v>
      </c>
      <c r="C299" s="28">
        <v>235.05</v>
      </c>
      <c r="D299" s="83">
        <f t="shared" si="12"/>
        <v>9.8621173171301812E-2</v>
      </c>
      <c r="E299" s="83">
        <v>2.6195153896529141E-2</v>
      </c>
      <c r="F299" s="83">
        <v>291</v>
      </c>
      <c r="G299" s="83">
        <f t="shared" ca="1" si="13"/>
        <v>2.0025339061168424E-2</v>
      </c>
    </row>
    <row r="300" spans="2:7" x14ac:dyDescent="0.2">
      <c r="B300" s="167">
        <v>44617</v>
      </c>
      <c r="C300" s="28">
        <v>213.95</v>
      </c>
      <c r="D300" s="83">
        <f t="shared" si="12"/>
        <v>0.59568914081145563</v>
      </c>
      <c r="E300" s="83">
        <v>2.6139088729016734E-2</v>
      </c>
      <c r="F300" s="83">
        <v>292</v>
      </c>
      <c r="G300" s="83">
        <f t="shared" ca="1" si="13"/>
        <v>-7.937946352694028E-3</v>
      </c>
    </row>
    <row r="301" spans="2:7" x14ac:dyDescent="0.2">
      <c r="B301" s="167">
        <v>40815</v>
      </c>
      <c r="C301" s="28">
        <v>134.08000000000001</v>
      </c>
      <c r="D301" s="83">
        <f t="shared" si="12"/>
        <v>-0.36873822975517889</v>
      </c>
      <c r="E301" s="83">
        <v>2.6096273054259014E-2</v>
      </c>
      <c r="F301" s="83">
        <v>293</v>
      </c>
      <c r="G301" s="83">
        <f t="shared" ca="1" si="13"/>
        <v>-2.4233535339928551E-2</v>
      </c>
    </row>
    <row r="302" spans="2:7" x14ac:dyDescent="0.2">
      <c r="B302" s="167">
        <v>44400</v>
      </c>
      <c r="C302" s="28">
        <v>212.4</v>
      </c>
      <c r="D302" s="83">
        <f t="shared" si="12"/>
        <v>-0.35793960279314407</v>
      </c>
      <c r="E302" s="83">
        <v>2.6086956521739157E-2</v>
      </c>
      <c r="F302" s="83">
        <v>294</v>
      </c>
      <c r="G302" s="83">
        <f t="shared" ca="1" si="13"/>
        <v>7.5795796740318992E-3</v>
      </c>
    </row>
    <row r="303" spans="2:7" x14ac:dyDescent="0.2">
      <c r="B303" s="167">
        <v>44838</v>
      </c>
      <c r="C303" s="28">
        <v>330.81</v>
      </c>
      <c r="D303" s="83">
        <f t="shared" si="12"/>
        <v>1.5055669166098613</v>
      </c>
      <c r="E303" s="83">
        <v>2.6053782450916461E-2</v>
      </c>
      <c r="F303" s="83">
        <v>295</v>
      </c>
      <c r="G303" s="83">
        <f t="shared" ca="1" si="13"/>
        <v>3.7263063121896665E-2</v>
      </c>
    </row>
    <row r="304" spans="2:7" x14ac:dyDescent="0.2">
      <c r="B304" s="167">
        <v>40823</v>
      </c>
      <c r="C304" s="28">
        <v>132.03</v>
      </c>
      <c r="D304" s="83">
        <f t="shared" si="12"/>
        <v>-0.23327526132404175</v>
      </c>
      <c r="E304" s="83">
        <v>2.6033571650606109E-2</v>
      </c>
      <c r="F304" s="83">
        <v>296</v>
      </c>
      <c r="G304" s="83">
        <f t="shared" ca="1" si="13"/>
        <v>9.4908487249706786E-3</v>
      </c>
    </row>
    <row r="305" spans="2:7" x14ac:dyDescent="0.2">
      <c r="B305" s="167">
        <v>44116</v>
      </c>
      <c r="C305" s="28">
        <v>172.2</v>
      </c>
      <c r="D305" s="83">
        <f t="shared" si="12"/>
        <v>-0.61519553072625699</v>
      </c>
      <c r="E305" s="83">
        <v>2.591599642537977E-2</v>
      </c>
      <c r="F305" s="83">
        <v>297</v>
      </c>
      <c r="G305" s="83">
        <f t="shared" ca="1" si="13"/>
        <v>1.1591593394732204E-2</v>
      </c>
    </row>
    <row r="306" spans="2:7" x14ac:dyDescent="0.2">
      <c r="B306" s="167">
        <v>45688</v>
      </c>
      <c r="C306" s="28">
        <v>447.5</v>
      </c>
      <c r="D306" s="83">
        <f t="shared" si="12"/>
        <v>2.3425455631909173</v>
      </c>
      <c r="E306" s="83">
        <v>2.5905547913801036E-2</v>
      </c>
      <c r="F306" s="83">
        <v>298</v>
      </c>
      <c r="G306" s="83">
        <f t="shared" ca="1" si="13"/>
        <v>2.4135167641981019E-2</v>
      </c>
    </row>
    <row r="307" spans="2:7" x14ac:dyDescent="0.2">
      <c r="B307" s="167">
        <v>40784</v>
      </c>
      <c r="C307" s="28">
        <v>133.88</v>
      </c>
      <c r="D307" s="83">
        <f t="shared" si="12"/>
        <v>-0.66947290457968156</v>
      </c>
      <c r="E307" s="83">
        <v>2.5900383141762417E-2</v>
      </c>
      <c r="F307" s="83">
        <v>299</v>
      </c>
      <c r="G307" s="83">
        <f t="shared" ca="1" si="13"/>
        <v>3.0232762113711797E-2</v>
      </c>
    </row>
    <row r="308" spans="2:7" x14ac:dyDescent="0.2">
      <c r="B308" s="167">
        <v>45721</v>
      </c>
      <c r="C308" s="28">
        <v>405.05</v>
      </c>
      <c r="D308" s="83">
        <f t="shared" si="12"/>
        <v>0.80600142678794373</v>
      </c>
      <c r="E308" s="83">
        <v>2.5832594656198526E-2</v>
      </c>
      <c r="F308" s="83">
        <v>300</v>
      </c>
      <c r="G308" s="83">
        <f t="shared" ca="1" si="13"/>
        <v>4.4065100867753923E-4</v>
      </c>
    </row>
    <row r="309" spans="2:7" x14ac:dyDescent="0.2">
      <c r="B309" s="167">
        <v>42324</v>
      </c>
      <c r="C309" s="28">
        <v>224.28</v>
      </c>
      <c r="D309" s="83">
        <f t="shared" si="12"/>
        <v>-0.48822562979189488</v>
      </c>
      <c r="E309" s="83">
        <v>2.57958287596049E-2</v>
      </c>
      <c r="F309" s="83">
        <v>301</v>
      </c>
      <c r="G309" s="83">
        <f t="shared" ca="1" si="13"/>
        <v>-2.6207777689322177E-2</v>
      </c>
    </row>
    <row r="310" spans="2:7" x14ac:dyDescent="0.2">
      <c r="B310" s="167">
        <v>45110</v>
      </c>
      <c r="C310" s="28">
        <v>438.24</v>
      </c>
      <c r="D310" s="83">
        <f t="shared" si="12"/>
        <v>0.79555045683615366</v>
      </c>
      <c r="E310" s="83">
        <v>2.5794672534057352E-2</v>
      </c>
      <c r="F310" s="83">
        <v>302</v>
      </c>
      <c r="G310" s="83">
        <f t="shared" ca="1" si="13"/>
        <v>-2.1090591345279196E-2</v>
      </c>
    </row>
    <row r="311" spans="2:7" x14ac:dyDescent="0.2">
      <c r="B311" s="167">
        <v>41481</v>
      </c>
      <c r="C311" s="28">
        <v>244.07</v>
      </c>
      <c r="D311" s="83">
        <f t="shared" si="12"/>
        <v>7.9621356217100897E-2</v>
      </c>
      <c r="E311" s="83">
        <v>2.5762797343868184E-2</v>
      </c>
      <c r="F311" s="83">
        <v>303</v>
      </c>
      <c r="G311" s="83">
        <f t="shared" ca="1" si="13"/>
        <v>3.4071798486484512E-3</v>
      </c>
    </row>
    <row r="312" spans="2:7" x14ac:dyDescent="0.2">
      <c r="B312" s="167">
        <v>42100</v>
      </c>
      <c r="C312" s="28">
        <v>226.07</v>
      </c>
      <c r="D312" s="83">
        <f t="shared" si="12"/>
        <v>0.92171030261815701</v>
      </c>
      <c r="E312" s="83">
        <v>2.5725952813067093E-2</v>
      </c>
      <c r="F312" s="83">
        <v>304</v>
      </c>
      <c r="G312" s="83">
        <f t="shared" ca="1" si="13"/>
        <v>1.5835191773532875E-2</v>
      </c>
    </row>
    <row r="313" spans="2:7" x14ac:dyDescent="0.2">
      <c r="B313" s="167">
        <v>40627</v>
      </c>
      <c r="C313" s="28">
        <v>117.64</v>
      </c>
      <c r="D313" s="83">
        <f t="shared" si="12"/>
        <v>0.92662954471012116</v>
      </c>
      <c r="E313" s="83">
        <v>2.5721510157816749E-2</v>
      </c>
      <c r="F313" s="83">
        <v>305</v>
      </c>
      <c r="G313" s="83">
        <f t="shared" ca="1" si="13"/>
        <v>3.1097643594703472E-2</v>
      </c>
    </row>
    <row r="314" spans="2:7" x14ac:dyDescent="0.2">
      <c r="B314" s="167">
        <v>39050</v>
      </c>
      <c r="C314" s="28">
        <v>61.06</v>
      </c>
      <c r="D314" s="83">
        <f t="shared" si="12"/>
        <v>-0.82030606238964099</v>
      </c>
      <c r="E314" s="83">
        <v>2.5701327061985572E-2</v>
      </c>
      <c r="F314" s="83">
        <v>306</v>
      </c>
      <c r="G314" s="83">
        <f t="shared" ca="1" si="13"/>
        <v>-6.8415779507136959E-3</v>
      </c>
    </row>
    <row r="315" spans="2:7" x14ac:dyDescent="0.2">
      <c r="B315" s="167">
        <v>44958</v>
      </c>
      <c r="C315" s="28">
        <v>339.8</v>
      </c>
      <c r="D315" s="83">
        <f t="shared" si="12"/>
        <v>3.2974579486530926</v>
      </c>
      <c r="E315" s="83">
        <v>2.5687464155271789E-2</v>
      </c>
      <c r="F315" s="83">
        <v>307</v>
      </c>
      <c r="G315" s="83">
        <f t="shared" ca="1" si="13"/>
        <v>4.5442610362867392E-3</v>
      </c>
    </row>
    <row r="316" spans="2:7" x14ac:dyDescent="0.2">
      <c r="B316" s="167">
        <v>40091</v>
      </c>
      <c r="C316" s="28">
        <v>79.069999999999993</v>
      </c>
      <c r="D316" s="83">
        <f t="shared" si="12"/>
        <v>-0.57659973226238292</v>
      </c>
      <c r="E316" s="83">
        <v>2.5684265144636006E-2</v>
      </c>
      <c r="F316" s="83">
        <v>308</v>
      </c>
      <c r="G316" s="83">
        <f t="shared" ca="1" si="13"/>
        <v>5.0160957929007979E-3</v>
      </c>
    </row>
    <row r="317" spans="2:7" x14ac:dyDescent="0.2">
      <c r="B317" s="167">
        <v>41232</v>
      </c>
      <c r="C317" s="28">
        <v>186.75</v>
      </c>
      <c r="D317" s="83">
        <f t="shared" si="12"/>
        <v>-0.21085991971265583</v>
      </c>
      <c r="E317" s="83">
        <v>2.5648066783831212E-2</v>
      </c>
      <c r="F317" s="83">
        <v>309</v>
      </c>
      <c r="G317" s="83">
        <f t="shared" ca="1" si="13"/>
        <v>-1.7551950026104702E-2</v>
      </c>
    </row>
    <row r="318" spans="2:7" x14ac:dyDescent="0.2">
      <c r="B318" s="167">
        <v>43859</v>
      </c>
      <c r="C318" s="28">
        <v>236.65</v>
      </c>
      <c r="D318" s="83">
        <f t="shared" si="12"/>
        <v>0.43129309302044272</v>
      </c>
      <c r="E318" s="83">
        <v>2.5568797399783339E-2</v>
      </c>
      <c r="F318" s="83">
        <v>310</v>
      </c>
      <c r="G318" s="83">
        <f t="shared" ca="1" si="13"/>
        <v>-1.3691230394580657E-2</v>
      </c>
    </row>
    <row r="319" spans="2:7" x14ac:dyDescent="0.2">
      <c r="B319" s="167">
        <v>41079</v>
      </c>
      <c r="C319" s="28">
        <v>165.34</v>
      </c>
      <c r="D319" s="83">
        <f t="shared" si="12"/>
        <v>-0.62271814530850667</v>
      </c>
      <c r="E319" s="83">
        <v>2.5491533833653872E-2</v>
      </c>
      <c r="F319" s="83">
        <v>311</v>
      </c>
      <c r="G319" s="83">
        <f t="shared" ca="1" si="13"/>
        <v>-3.8968881878953539E-2</v>
      </c>
    </row>
    <row r="320" spans="2:7" x14ac:dyDescent="0.2">
      <c r="B320" s="167">
        <v>45266</v>
      </c>
      <c r="C320" s="28">
        <v>438.24</v>
      </c>
      <c r="D320" s="83">
        <f t="shared" si="12"/>
        <v>11.625756266205705</v>
      </c>
      <c r="E320" s="83">
        <v>2.5458629726694111E-2</v>
      </c>
      <c r="F320" s="83">
        <v>312</v>
      </c>
      <c r="G320" s="83">
        <f t="shared" ca="1" si="13"/>
        <v>-8.2653601318665483E-3</v>
      </c>
    </row>
    <row r="321" spans="2:7" x14ac:dyDescent="0.2">
      <c r="B321" s="167">
        <v>38499</v>
      </c>
      <c r="C321" s="28">
        <v>34.71</v>
      </c>
      <c r="D321" s="83">
        <f t="shared" si="12"/>
        <v>-0.71247514910536769</v>
      </c>
      <c r="E321" s="83">
        <v>2.5406203840472655E-2</v>
      </c>
      <c r="F321" s="83">
        <v>313</v>
      </c>
      <c r="G321" s="83">
        <f t="shared" ca="1" si="13"/>
        <v>9.8328354989892092E-3</v>
      </c>
    </row>
    <row r="322" spans="2:7" x14ac:dyDescent="0.2">
      <c r="B322" s="167">
        <v>40633</v>
      </c>
      <c r="C322" s="28">
        <v>120.72</v>
      </c>
      <c r="D322" s="83">
        <f t="shared" si="12"/>
        <v>-0.44090403853278992</v>
      </c>
      <c r="E322" s="83">
        <v>2.5310005095974215E-2</v>
      </c>
      <c r="F322" s="83">
        <v>314</v>
      </c>
      <c r="G322" s="83">
        <f t="shared" ca="1" si="13"/>
        <v>-2.7246868231830777E-2</v>
      </c>
    </row>
    <row r="323" spans="2:7" x14ac:dyDescent="0.2">
      <c r="B323" s="167">
        <v>42243</v>
      </c>
      <c r="C323" s="28">
        <v>215.92</v>
      </c>
      <c r="D323" s="83">
        <f t="shared" si="12"/>
        <v>2.5275281816696613</v>
      </c>
      <c r="E323" s="83">
        <v>2.5309843772258814E-2</v>
      </c>
      <c r="F323" s="83">
        <v>315</v>
      </c>
      <c r="G323" s="83">
        <f t="shared" ca="1" si="13"/>
        <v>-8.2311302027580305E-3</v>
      </c>
    </row>
    <row r="324" spans="2:7" x14ac:dyDescent="0.2">
      <c r="B324" s="167">
        <v>38958</v>
      </c>
      <c r="C324" s="28">
        <v>61.21</v>
      </c>
      <c r="D324" s="83">
        <f t="shared" si="12"/>
        <v>-0.33067249863313286</v>
      </c>
      <c r="E324" s="83">
        <v>2.5293132328308172E-2</v>
      </c>
      <c r="F324" s="83">
        <v>316</v>
      </c>
      <c r="G324" s="83">
        <f t="shared" ca="1" si="13"/>
        <v>1.235354374674204E-2</v>
      </c>
    </row>
    <row r="325" spans="2:7" x14ac:dyDescent="0.2">
      <c r="B325" s="167">
        <v>40325</v>
      </c>
      <c r="C325" s="28">
        <v>91.45</v>
      </c>
      <c r="D325" s="83">
        <f t="shared" si="12"/>
        <v>-0.46442166910688137</v>
      </c>
      <c r="E325" s="83">
        <v>2.5224215246636771E-2</v>
      </c>
      <c r="F325" s="83">
        <v>317</v>
      </c>
      <c r="G325" s="83">
        <f t="shared" ca="1" si="13"/>
        <v>-7.576942925239887E-5</v>
      </c>
    </row>
    <row r="326" spans="2:7" x14ac:dyDescent="0.2">
      <c r="B326" s="167">
        <v>44099</v>
      </c>
      <c r="C326" s="28">
        <v>170.75</v>
      </c>
      <c r="D326" s="83">
        <f t="shared" si="12"/>
        <v>1.56035387614335</v>
      </c>
      <c r="E326" s="83">
        <v>2.5217652356649585E-2</v>
      </c>
      <c r="F326" s="83">
        <v>318</v>
      </c>
      <c r="G326" s="83">
        <f t="shared" ca="1" si="13"/>
        <v>-2.3809645046564128E-2</v>
      </c>
    </row>
    <row r="327" spans="2:7" x14ac:dyDescent="0.2">
      <c r="B327" s="167">
        <v>39476</v>
      </c>
      <c r="C327" s="28">
        <v>66.69</v>
      </c>
      <c r="D327" s="83">
        <f t="shared" si="12"/>
        <v>1.7080982156474068E-2</v>
      </c>
      <c r="E327" s="83">
        <v>2.5211375864719457E-2</v>
      </c>
      <c r="F327" s="83">
        <v>319</v>
      </c>
      <c r="G327" s="83">
        <f t="shared" ca="1" si="13"/>
        <v>2.245871538868916E-3</v>
      </c>
    </row>
    <row r="328" spans="2:7" x14ac:dyDescent="0.2">
      <c r="B328" s="167">
        <v>38825</v>
      </c>
      <c r="C328" s="28">
        <v>65.569999999999993</v>
      </c>
      <c r="D328" s="83">
        <f t="shared" si="12"/>
        <v>-0.71992995045275932</v>
      </c>
      <c r="E328" s="83">
        <v>2.5171982489055538E-2</v>
      </c>
      <c r="F328" s="83">
        <v>320</v>
      </c>
      <c r="G328" s="83">
        <f t="shared" ca="1" si="13"/>
        <v>-7.1783819177758728E-3</v>
      </c>
    </row>
    <row r="329" spans="2:7" x14ac:dyDescent="0.2">
      <c r="B329" s="167">
        <v>41404</v>
      </c>
      <c r="C329" s="28">
        <v>234.12</v>
      </c>
      <c r="D329" s="83">
        <f t="shared" ref="D329:D392" si="14">(C329-C330)/C330</f>
        <v>-7.7558804831531431E-3</v>
      </c>
      <c r="E329" s="83">
        <v>2.5088664127151009E-2</v>
      </c>
      <c r="F329" s="83">
        <v>321</v>
      </c>
      <c r="G329" s="83">
        <f t="shared" ref="G329:G392" ca="1" si="15">_xlfn.NORM.INV(RAND(),$M$10,$M$11)</f>
        <v>-1.7668534676838613E-3</v>
      </c>
    </row>
    <row r="330" spans="2:7" x14ac:dyDescent="0.2">
      <c r="B330" s="167">
        <v>41716</v>
      </c>
      <c r="C330" s="28">
        <v>235.95</v>
      </c>
      <c r="D330" s="83">
        <f t="shared" si="14"/>
        <v>-1.7938899525514036E-2</v>
      </c>
      <c r="E330" s="83">
        <v>2.5067338604570256E-2</v>
      </c>
      <c r="F330" s="83">
        <v>322</v>
      </c>
      <c r="G330" s="83">
        <f t="shared" ca="1" si="15"/>
        <v>1.5520281245689002E-2</v>
      </c>
    </row>
    <row r="331" spans="2:7" x14ac:dyDescent="0.2">
      <c r="B331" s="167">
        <v>42012</v>
      </c>
      <c r="C331" s="28">
        <v>240.26</v>
      </c>
      <c r="D331" s="83">
        <f t="shared" si="14"/>
        <v>3.9324574009443642</v>
      </c>
      <c r="E331" s="83">
        <v>2.5043730534579142E-2</v>
      </c>
      <c r="F331" s="83">
        <v>323</v>
      </c>
      <c r="G331" s="83">
        <f t="shared" ca="1" si="15"/>
        <v>-3.0125397319489973E-3</v>
      </c>
    </row>
    <row r="332" spans="2:7" x14ac:dyDescent="0.2">
      <c r="B332" s="167">
        <v>39170</v>
      </c>
      <c r="C332" s="28">
        <v>48.71</v>
      </c>
      <c r="D332" s="83">
        <f t="shared" si="14"/>
        <v>-0.86541968282035697</v>
      </c>
      <c r="E332" s="83">
        <v>2.5042087542087494E-2</v>
      </c>
      <c r="F332" s="83">
        <v>324</v>
      </c>
      <c r="G332" s="83">
        <f t="shared" ca="1" si="15"/>
        <v>8.9364019263128182E-3</v>
      </c>
    </row>
    <row r="333" spans="2:7" x14ac:dyDescent="0.2">
      <c r="B333" s="167">
        <v>44988</v>
      </c>
      <c r="C333" s="28">
        <v>361.94</v>
      </c>
      <c r="D333" s="83">
        <f t="shared" si="14"/>
        <v>-0.2381654002399545</v>
      </c>
      <c r="E333" s="83">
        <v>2.5035400736335242E-2</v>
      </c>
      <c r="F333" s="83">
        <v>325</v>
      </c>
      <c r="G333" s="83">
        <f t="shared" ca="1" si="15"/>
        <v>-2.3753028774619368E-2</v>
      </c>
    </row>
    <row r="334" spans="2:7" x14ac:dyDescent="0.2">
      <c r="B334" s="167">
        <v>45499</v>
      </c>
      <c r="C334" s="28">
        <v>475.09</v>
      </c>
      <c r="D334" s="83">
        <f t="shared" si="14"/>
        <v>1.1863322595490104</v>
      </c>
      <c r="E334" s="83">
        <v>2.5005393743257769E-2</v>
      </c>
      <c r="F334" s="83">
        <v>326</v>
      </c>
      <c r="G334" s="83">
        <f t="shared" ca="1" si="15"/>
        <v>1.0469705769418658E-2</v>
      </c>
    </row>
    <row r="335" spans="2:7" x14ac:dyDescent="0.2">
      <c r="B335" s="167">
        <v>44553</v>
      </c>
      <c r="C335" s="28">
        <v>217.3</v>
      </c>
      <c r="D335" s="83">
        <f t="shared" si="14"/>
        <v>-5.4436273443279191E-2</v>
      </c>
      <c r="E335" s="83">
        <v>2.5000000000000053E-2</v>
      </c>
      <c r="F335" s="83">
        <v>327</v>
      </c>
      <c r="G335" s="83">
        <f t="shared" ca="1" si="15"/>
        <v>2.7510450614337549E-3</v>
      </c>
    </row>
    <row r="336" spans="2:7" x14ac:dyDescent="0.2">
      <c r="B336" s="167">
        <v>42075</v>
      </c>
      <c r="C336" s="28">
        <v>229.81</v>
      </c>
      <c r="D336" s="83">
        <f t="shared" si="14"/>
        <v>0.13123307900566081</v>
      </c>
      <c r="E336" s="83">
        <v>2.4976584452076154E-2</v>
      </c>
      <c r="F336" s="83">
        <v>328</v>
      </c>
      <c r="G336" s="83">
        <f t="shared" ca="1" si="15"/>
        <v>-1.3193720342957635E-2</v>
      </c>
    </row>
    <row r="337" spans="2:7" x14ac:dyDescent="0.2">
      <c r="B337" s="167">
        <v>44172</v>
      </c>
      <c r="C337" s="28">
        <v>203.15</v>
      </c>
      <c r="D337" s="83">
        <f t="shared" si="14"/>
        <v>-0.38627231805685625</v>
      </c>
      <c r="E337" s="83">
        <v>2.4974772956609572E-2</v>
      </c>
      <c r="F337" s="83">
        <v>329</v>
      </c>
      <c r="G337" s="83">
        <f t="shared" ca="1" si="15"/>
        <v>5.1765826642014828E-3</v>
      </c>
    </row>
    <row r="338" spans="2:7" x14ac:dyDescent="0.2">
      <c r="B338" s="167">
        <v>44833</v>
      </c>
      <c r="C338" s="28">
        <v>331.01</v>
      </c>
      <c r="D338" s="83">
        <f t="shared" si="14"/>
        <v>0.69687804377915619</v>
      </c>
      <c r="E338" s="83">
        <v>2.4925687391627482E-2</v>
      </c>
      <c r="F338" s="83">
        <v>330</v>
      </c>
      <c r="G338" s="83">
        <f t="shared" ca="1" si="15"/>
        <v>-2.9037622855444395E-3</v>
      </c>
    </row>
    <row r="339" spans="2:7" x14ac:dyDescent="0.2">
      <c r="B339" s="167">
        <v>41240</v>
      </c>
      <c r="C339" s="28">
        <v>195.07</v>
      </c>
      <c r="D339" s="83">
        <f t="shared" si="14"/>
        <v>-0.52808689761950844</v>
      </c>
      <c r="E339" s="83">
        <v>2.4904113907423846E-2</v>
      </c>
      <c r="F339" s="83">
        <v>331</v>
      </c>
      <c r="G339" s="83">
        <f t="shared" ca="1" si="15"/>
        <v>-2.7327086907043378E-3</v>
      </c>
    </row>
    <row r="340" spans="2:7" x14ac:dyDescent="0.2">
      <c r="B340" s="167">
        <v>45392</v>
      </c>
      <c r="C340" s="28">
        <v>413.36</v>
      </c>
      <c r="D340" s="83">
        <f t="shared" si="14"/>
        <v>2.6419383259911897</v>
      </c>
      <c r="E340" s="83">
        <v>2.4867974115488634E-2</v>
      </c>
      <c r="F340" s="83">
        <v>332</v>
      </c>
      <c r="G340" s="83">
        <f t="shared" ca="1" si="15"/>
        <v>5.0692077544516544E-4</v>
      </c>
    </row>
    <row r="341" spans="2:7" x14ac:dyDescent="0.2">
      <c r="B341" s="167">
        <v>40480</v>
      </c>
      <c r="C341" s="28">
        <v>113.5</v>
      </c>
      <c r="D341" s="83">
        <f t="shared" si="14"/>
        <v>-0.43969985683961099</v>
      </c>
      <c r="E341" s="83">
        <v>2.4830699774266364E-2</v>
      </c>
      <c r="F341" s="83">
        <v>333</v>
      </c>
      <c r="G341" s="83">
        <f t="shared" ca="1" si="15"/>
        <v>5.8770955582078295E-3</v>
      </c>
    </row>
    <row r="342" spans="2:7" x14ac:dyDescent="0.2">
      <c r="B342" s="167">
        <v>41515</v>
      </c>
      <c r="C342" s="28">
        <v>202.57</v>
      </c>
      <c r="D342" s="83">
        <f t="shared" si="14"/>
        <v>3.5898747123497735E-2</v>
      </c>
      <c r="E342" s="83">
        <v>2.4685113055794402E-2</v>
      </c>
      <c r="F342" s="83">
        <v>334</v>
      </c>
      <c r="G342" s="83">
        <f t="shared" ca="1" si="15"/>
        <v>3.7426257366511617E-2</v>
      </c>
    </row>
    <row r="343" spans="2:7" x14ac:dyDescent="0.2">
      <c r="B343" s="167">
        <v>44159</v>
      </c>
      <c r="C343" s="28">
        <v>195.55</v>
      </c>
      <c r="D343" s="83">
        <f t="shared" si="14"/>
        <v>2.4020528879610303</v>
      </c>
      <c r="E343" s="83">
        <v>2.4626670159811459E-2</v>
      </c>
      <c r="F343" s="83">
        <v>335</v>
      </c>
      <c r="G343" s="83">
        <f t="shared" ca="1" si="15"/>
        <v>6.3863057833592662E-4</v>
      </c>
    </row>
    <row r="344" spans="2:7" x14ac:dyDescent="0.2">
      <c r="B344" s="167">
        <v>38931</v>
      </c>
      <c r="C344" s="28">
        <v>57.48</v>
      </c>
      <c r="D344" s="83">
        <f t="shared" si="14"/>
        <v>-0.13342379014020808</v>
      </c>
      <c r="E344" s="83">
        <v>2.4598930481283341E-2</v>
      </c>
      <c r="F344" s="83">
        <v>336</v>
      </c>
      <c r="G344" s="83">
        <f t="shared" ca="1" si="15"/>
        <v>1.0421106951070038E-2</v>
      </c>
    </row>
    <row r="345" spans="2:7" x14ac:dyDescent="0.2">
      <c r="B345" s="167">
        <v>39534</v>
      </c>
      <c r="C345" s="28">
        <v>66.33</v>
      </c>
      <c r="D345" s="83">
        <f t="shared" si="14"/>
        <v>-6.1810466760961871E-2</v>
      </c>
      <c r="E345" s="83">
        <v>2.4559777571825821E-2</v>
      </c>
      <c r="F345" s="83">
        <v>337</v>
      </c>
      <c r="G345" s="83">
        <f t="shared" ca="1" si="15"/>
        <v>-1.7769124441683395E-2</v>
      </c>
    </row>
    <row r="346" spans="2:7" x14ac:dyDescent="0.2">
      <c r="B346" s="167">
        <v>39560</v>
      </c>
      <c r="C346" s="28">
        <v>70.7</v>
      </c>
      <c r="D346" s="83">
        <f t="shared" si="14"/>
        <v>0.30780614132445433</v>
      </c>
      <c r="E346" s="83">
        <v>2.4489204463121254E-2</v>
      </c>
      <c r="F346" s="83">
        <v>338</v>
      </c>
      <c r="G346" s="83">
        <f t="shared" ca="1" si="15"/>
        <v>-4.8075370368921124E-3</v>
      </c>
    </row>
    <row r="347" spans="2:7" x14ac:dyDescent="0.2">
      <c r="B347" s="167">
        <v>38758</v>
      </c>
      <c r="C347" s="28">
        <v>54.06</v>
      </c>
      <c r="D347" s="83">
        <f t="shared" si="14"/>
        <v>-0.53707826682651139</v>
      </c>
      <c r="E347" s="83">
        <v>2.4445707788516183E-2</v>
      </c>
      <c r="F347" s="83">
        <v>339</v>
      </c>
      <c r="G347" s="83">
        <f t="shared" ca="1" si="15"/>
        <v>2.167668842140787E-2</v>
      </c>
    </row>
    <row r="348" spans="2:7" x14ac:dyDescent="0.2">
      <c r="B348" s="167">
        <v>40561</v>
      </c>
      <c r="C348" s="28">
        <v>116.78</v>
      </c>
      <c r="D348" s="83">
        <f t="shared" si="14"/>
        <v>-0.46653876022109542</v>
      </c>
      <c r="E348" s="83">
        <v>2.4385964912280712E-2</v>
      </c>
      <c r="F348" s="83">
        <v>340</v>
      </c>
      <c r="G348" s="83">
        <f t="shared" ca="1" si="15"/>
        <v>-1.039219400867555E-2</v>
      </c>
    </row>
    <row r="349" spans="2:7" x14ac:dyDescent="0.2">
      <c r="B349" s="167">
        <v>42128</v>
      </c>
      <c r="C349" s="28">
        <v>218.91</v>
      </c>
      <c r="D349" s="83">
        <f t="shared" si="14"/>
        <v>0.65302423922072028</v>
      </c>
      <c r="E349" s="83">
        <v>2.437997192325694E-2</v>
      </c>
      <c r="F349" s="83">
        <v>341</v>
      </c>
      <c r="G349" s="83">
        <f t="shared" ca="1" si="15"/>
        <v>-2.9284472967909706E-2</v>
      </c>
    </row>
    <row r="350" spans="2:7" x14ac:dyDescent="0.2">
      <c r="B350" s="167">
        <v>40764</v>
      </c>
      <c r="C350" s="28">
        <v>132.43</v>
      </c>
      <c r="D350" s="83">
        <f t="shared" si="14"/>
        <v>-0.40601031621439776</v>
      </c>
      <c r="E350" s="83">
        <v>2.4365717821782221E-2</v>
      </c>
      <c r="F350" s="83">
        <v>342</v>
      </c>
      <c r="G350" s="83">
        <f t="shared" ca="1" si="15"/>
        <v>4.8033609874137746E-2</v>
      </c>
    </row>
    <row r="351" spans="2:7" x14ac:dyDescent="0.2">
      <c r="B351" s="167">
        <v>44274</v>
      </c>
      <c r="C351" s="28">
        <v>222.95</v>
      </c>
      <c r="D351" s="83">
        <f t="shared" si="14"/>
        <v>6.3540523779993294E-2</v>
      </c>
      <c r="E351" s="83">
        <v>2.4351022283482578E-2</v>
      </c>
      <c r="F351" s="83">
        <v>343</v>
      </c>
      <c r="G351" s="83">
        <f t="shared" ca="1" si="15"/>
        <v>1.2936783090415946E-2</v>
      </c>
    </row>
    <row r="352" spans="2:7" x14ac:dyDescent="0.2">
      <c r="B352" s="167">
        <v>41603</v>
      </c>
      <c r="C352" s="28">
        <v>209.63</v>
      </c>
      <c r="D352" s="83">
        <f t="shared" si="14"/>
        <v>-0.19186584425597528</v>
      </c>
      <c r="E352" s="83">
        <v>2.4334229171756608E-2</v>
      </c>
      <c r="F352" s="83">
        <v>344</v>
      </c>
      <c r="G352" s="83">
        <f t="shared" ca="1" si="15"/>
        <v>-9.8564691314403461E-3</v>
      </c>
    </row>
    <row r="353" spans="2:7" x14ac:dyDescent="0.2">
      <c r="B353" s="167">
        <v>43768</v>
      </c>
      <c r="C353" s="28">
        <v>259.39999999999998</v>
      </c>
      <c r="D353" s="83">
        <f t="shared" si="14"/>
        <v>2.0738239127858749</v>
      </c>
      <c r="E353" s="83">
        <v>2.4284304047383919E-2</v>
      </c>
      <c r="F353" s="83">
        <v>345</v>
      </c>
      <c r="G353" s="83">
        <f t="shared" ca="1" si="15"/>
        <v>3.1293946143279829E-2</v>
      </c>
    </row>
    <row r="354" spans="2:7" x14ac:dyDescent="0.2">
      <c r="B354" s="167">
        <v>40121</v>
      </c>
      <c r="C354" s="28">
        <v>84.39</v>
      </c>
      <c r="D354" s="83">
        <f t="shared" si="14"/>
        <v>-0.27300137835975186</v>
      </c>
      <c r="E354" s="83">
        <v>2.4274790629930817E-2</v>
      </c>
      <c r="F354" s="83">
        <v>346</v>
      </c>
      <c r="G354" s="83">
        <f t="shared" ca="1" si="15"/>
        <v>1.4875715707044915E-2</v>
      </c>
    </row>
    <row r="355" spans="2:7" x14ac:dyDescent="0.2">
      <c r="B355" s="167">
        <v>40464</v>
      </c>
      <c r="C355" s="28">
        <v>116.08</v>
      </c>
      <c r="D355" s="83">
        <f t="shared" si="14"/>
        <v>-0.60171556013038263</v>
      </c>
      <c r="E355" s="83">
        <v>2.4265419571163859E-2</v>
      </c>
      <c r="F355" s="83">
        <v>347</v>
      </c>
      <c r="G355" s="83">
        <f t="shared" ca="1" si="15"/>
        <v>8.2850546851666335E-3</v>
      </c>
    </row>
    <row r="356" spans="2:7" x14ac:dyDescent="0.2">
      <c r="B356" s="167">
        <v>42935</v>
      </c>
      <c r="C356" s="28">
        <v>291.45</v>
      </c>
      <c r="D356" s="83">
        <f t="shared" si="14"/>
        <v>-0.1382827745254569</v>
      </c>
      <c r="E356" s="83">
        <v>2.4248813916710514E-2</v>
      </c>
      <c r="F356" s="83">
        <v>348</v>
      </c>
      <c r="G356" s="83">
        <f t="shared" ca="1" si="15"/>
        <v>-1.4126251468183445E-2</v>
      </c>
    </row>
    <row r="357" spans="2:7" x14ac:dyDescent="0.2">
      <c r="B357" s="167">
        <v>44852</v>
      </c>
      <c r="C357" s="28">
        <v>338.22</v>
      </c>
      <c r="D357" s="83">
        <f t="shared" si="14"/>
        <v>0.25475792988313861</v>
      </c>
      <c r="E357" s="83">
        <v>2.4226273393495243E-2</v>
      </c>
      <c r="F357" s="83">
        <v>349</v>
      </c>
      <c r="G357" s="83">
        <f t="shared" ca="1" si="15"/>
        <v>2.0044072163225599E-2</v>
      </c>
    </row>
    <row r="358" spans="2:7" x14ac:dyDescent="0.2">
      <c r="B358" s="167">
        <v>44664</v>
      </c>
      <c r="C358" s="28">
        <v>269.55</v>
      </c>
      <c r="D358" s="83">
        <f t="shared" si="14"/>
        <v>-0.14319771137952958</v>
      </c>
      <c r="E358" s="83">
        <v>2.4203966866783208E-2</v>
      </c>
      <c r="F358" s="83">
        <v>350</v>
      </c>
      <c r="G358" s="83">
        <f t="shared" ca="1" si="15"/>
        <v>-1.0623407585821955E-2</v>
      </c>
    </row>
    <row r="359" spans="2:7" x14ac:dyDescent="0.2">
      <c r="B359" s="167">
        <v>44921</v>
      </c>
      <c r="C359" s="28">
        <v>314.60000000000002</v>
      </c>
      <c r="D359" s="83">
        <f t="shared" si="14"/>
        <v>1.9086538461538465</v>
      </c>
      <c r="E359" s="83">
        <v>2.4188560080737071E-2</v>
      </c>
      <c r="F359" s="83">
        <v>351</v>
      </c>
      <c r="G359" s="83">
        <f t="shared" ca="1" si="15"/>
        <v>7.1650599090341324E-3</v>
      </c>
    </row>
    <row r="360" spans="2:7" x14ac:dyDescent="0.2">
      <c r="B360" s="167">
        <v>40421</v>
      </c>
      <c r="C360" s="28">
        <v>108.16</v>
      </c>
      <c r="D360" s="83">
        <f t="shared" si="14"/>
        <v>0.21255605381165912</v>
      </c>
      <c r="E360" s="83">
        <v>2.4145440772654077E-2</v>
      </c>
      <c r="F360" s="83">
        <v>352</v>
      </c>
      <c r="G360" s="83">
        <f t="shared" ca="1" si="15"/>
        <v>9.5431214934707988E-3</v>
      </c>
    </row>
    <row r="361" spans="2:7" x14ac:dyDescent="0.2">
      <c r="B361" s="167">
        <v>40284</v>
      </c>
      <c r="C361" s="28">
        <v>89.2</v>
      </c>
      <c r="D361" s="83">
        <f t="shared" si="14"/>
        <v>5.487228003784296E-2</v>
      </c>
      <c r="E361" s="83">
        <v>2.4110218140068987E-2</v>
      </c>
      <c r="F361" s="83">
        <v>353</v>
      </c>
      <c r="G361" s="83">
        <f t="shared" ca="1" si="15"/>
        <v>1.6286700054735759E-2</v>
      </c>
    </row>
    <row r="362" spans="2:7" x14ac:dyDescent="0.2">
      <c r="B362" s="167">
        <v>40203</v>
      </c>
      <c r="C362" s="28">
        <v>84.56</v>
      </c>
      <c r="D362" s="83">
        <f t="shared" si="14"/>
        <v>0.25014784151389713</v>
      </c>
      <c r="E362" s="83">
        <v>2.410076298897916E-2</v>
      </c>
      <c r="F362" s="83">
        <v>354</v>
      </c>
      <c r="G362" s="83">
        <f t="shared" ca="1" si="15"/>
        <v>-2.7176163638770602E-2</v>
      </c>
    </row>
    <row r="363" spans="2:7" x14ac:dyDescent="0.2">
      <c r="B363" s="167">
        <v>38811</v>
      </c>
      <c r="C363" s="28">
        <v>67.64</v>
      </c>
      <c r="D363" s="83">
        <f t="shared" si="14"/>
        <v>-0.65984410359567502</v>
      </c>
      <c r="E363" s="83">
        <v>2.4072672218016705E-2</v>
      </c>
      <c r="F363" s="83">
        <v>355</v>
      </c>
      <c r="G363" s="83">
        <f t="shared" ca="1" si="15"/>
        <v>-8.4476989913297128E-3</v>
      </c>
    </row>
    <row r="364" spans="2:7" x14ac:dyDescent="0.2">
      <c r="B364" s="167">
        <v>41379</v>
      </c>
      <c r="C364" s="28">
        <v>198.85</v>
      </c>
      <c r="D364" s="83">
        <f t="shared" si="14"/>
        <v>-0.25940409683426446</v>
      </c>
      <c r="E364" s="83">
        <v>2.4049850654032277E-2</v>
      </c>
      <c r="F364" s="83">
        <v>356</v>
      </c>
      <c r="G364" s="83">
        <f t="shared" ca="1" si="15"/>
        <v>-2.0080131624206656E-2</v>
      </c>
    </row>
    <row r="365" spans="2:7" x14ac:dyDescent="0.2">
      <c r="B365" s="167">
        <v>42795</v>
      </c>
      <c r="C365" s="28">
        <v>268.5</v>
      </c>
      <c r="D365" s="83">
        <f t="shared" si="14"/>
        <v>2.6195740091668909</v>
      </c>
      <c r="E365" s="83">
        <v>2.4027459954233454E-2</v>
      </c>
      <c r="F365" s="83">
        <v>357</v>
      </c>
      <c r="G365" s="83">
        <f t="shared" ca="1" si="15"/>
        <v>2.9667506115901531E-2</v>
      </c>
    </row>
    <row r="366" spans="2:7" x14ac:dyDescent="0.2">
      <c r="B366" s="167">
        <v>39580</v>
      </c>
      <c r="C366" s="28">
        <v>74.180000000000007</v>
      </c>
      <c r="D366" s="83">
        <f t="shared" si="14"/>
        <v>0.35711672155140894</v>
      </c>
      <c r="E366" s="83">
        <v>2.4019878520154737E-2</v>
      </c>
      <c r="F366" s="83">
        <v>358</v>
      </c>
      <c r="G366" s="83">
        <f t="shared" ca="1" si="15"/>
        <v>6.9694672597321724E-5</v>
      </c>
    </row>
    <row r="367" spans="2:7" x14ac:dyDescent="0.2">
      <c r="B367" s="167">
        <v>39237</v>
      </c>
      <c r="C367" s="28">
        <v>54.66</v>
      </c>
      <c r="D367" s="83">
        <f t="shared" si="14"/>
        <v>-0.77380509000620734</v>
      </c>
      <c r="E367" s="83">
        <v>2.397901835893582E-2</v>
      </c>
      <c r="F367" s="83">
        <v>359</v>
      </c>
      <c r="G367" s="83">
        <f t="shared" ca="1" si="15"/>
        <v>1.1900075072263186E-2</v>
      </c>
    </row>
    <row r="368" spans="2:7" x14ac:dyDescent="0.2">
      <c r="B368" s="167">
        <v>42734</v>
      </c>
      <c r="C368" s="28">
        <v>241.65</v>
      </c>
      <c r="D368" s="83">
        <f t="shared" si="14"/>
        <v>3.0860669597565096</v>
      </c>
      <c r="E368" s="83">
        <v>2.394067796610172E-2</v>
      </c>
      <c r="F368" s="83">
        <v>360</v>
      </c>
      <c r="G368" s="83">
        <f t="shared" ca="1" si="15"/>
        <v>-4.7517637413826185E-3</v>
      </c>
    </row>
    <row r="369" spans="2:7" x14ac:dyDescent="0.2">
      <c r="B369" s="167">
        <v>38782</v>
      </c>
      <c r="C369" s="28">
        <v>59.14</v>
      </c>
      <c r="D369" s="83">
        <f t="shared" si="14"/>
        <v>-0.68776727733488197</v>
      </c>
      <c r="E369" s="83">
        <v>2.3891966759002816E-2</v>
      </c>
      <c r="F369" s="83">
        <v>361</v>
      </c>
      <c r="G369" s="83">
        <f t="shared" ca="1" si="15"/>
        <v>1.6507010140171769E-2</v>
      </c>
    </row>
    <row r="370" spans="2:7" x14ac:dyDescent="0.2">
      <c r="B370" s="167">
        <v>41282</v>
      </c>
      <c r="C370" s="28">
        <v>189.41</v>
      </c>
      <c r="D370" s="83">
        <f t="shared" si="14"/>
        <v>-0.14982719152565194</v>
      </c>
      <c r="E370" s="83">
        <v>2.3837837837837821E-2</v>
      </c>
      <c r="F370" s="83">
        <v>362</v>
      </c>
      <c r="G370" s="83">
        <f t="shared" ca="1" si="15"/>
        <v>-3.0842012363930119E-3</v>
      </c>
    </row>
    <row r="371" spans="2:7" x14ac:dyDescent="0.2">
      <c r="B371" s="167">
        <v>42461</v>
      </c>
      <c r="C371" s="28">
        <v>222.79</v>
      </c>
      <c r="D371" s="83">
        <f t="shared" si="14"/>
        <v>-2.62674825174826E-2</v>
      </c>
      <c r="E371" s="83">
        <v>2.3757007627975311E-2</v>
      </c>
      <c r="F371" s="83">
        <v>363</v>
      </c>
      <c r="G371" s="83">
        <f t="shared" ca="1" si="15"/>
        <v>1.2228029759033856E-2</v>
      </c>
    </row>
    <row r="372" spans="2:7" x14ac:dyDescent="0.2">
      <c r="B372" s="167">
        <v>42699</v>
      </c>
      <c r="C372" s="28">
        <v>228.8</v>
      </c>
      <c r="D372" s="83">
        <f t="shared" si="14"/>
        <v>3.1084575327706951</v>
      </c>
      <c r="E372" s="83">
        <v>2.3713646532438529E-2</v>
      </c>
      <c r="F372" s="83">
        <v>364</v>
      </c>
      <c r="G372" s="83">
        <f t="shared" ca="1" si="15"/>
        <v>1.9900908295354344E-2</v>
      </c>
    </row>
    <row r="373" spans="2:7" x14ac:dyDescent="0.2">
      <c r="B373" s="167">
        <v>38924</v>
      </c>
      <c r="C373" s="28">
        <v>55.69</v>
      </c>
      <c r="D373" s="83">
        <f t="shared" si="14"/>
        <v>-0.3300048123195381</v>
      </c>
      <c r="E373" s="83">
        <v>2.3713235294117632E-2</v>
      </c>
      <c r="F373" s="83">
        <v>365</v>
      </c>
      <c r="G373" s="83">
        <f t="shared" ca="1" si="15"/>
        <v>4.9348572734543581E-3</v>
      </c>
    </row>
    <row r="374" spans="2:7" x14ac:dyDescent="0.2">
      <c r="B374" s="167">
        <v>40094</v>
      </c>
      <c r="C374" s="28">
        <v>83.12</v>
      </c>
      <c r="D374" s="83">
        <f t="shared" si="14"/>
        <v>-0.69288749307223352</v>
      </c>
      <c r="E374" s="83">
        <v>2.3645320197044354E-2</v>
      </c>
      <c r="F374" s="83">
        <v>366</v>
      </c>
      <c r="G374" s="83">
        <f t="shared" ca="1" si="15"/>
        <v>1.6190473114484412E-2</v>
      </c>
    </row>
    <row r="375" spans="2:7" x14ac:dyDescent="0.2">
      <c r="B375" s="167">
        <v>43669</v>
      </c>
      <c r="C375" s="28">
        <v>270.64999999999998</v>
      </c>
      <c r="D375" s="83">
        <f t="shared" si="14"/>
        <v>0.78000657678395235</v>
      </c>
      <c r="E375" s="83">
        <v>2.3638426626323754E-2</v>
      </c>
      <c r="F375" s="83">
        <v>367</v>
      </c>
      <c r="G375" s="83">
        <f t="shared" ca="1" si="15"/>
        <v>-1.9739140263328691E-2</v>
      </c>
    </row>
    <row r="376" spans="2:7" x14ac:dyDescent="0.2">
      <c r="B376" s="167">
        <v>41009</v>
      </c>
      <c r="C376" s="28">
        <v>152.05000000000001</v>
      </c>
      <c r="D376" s="83">
        <f t="shared" si="14"/>
        <v>-0.25524098746081497</v>
      </c>
      <c r="E376" s="83">
        <v>2.3629998653561461E-2</v>
      </c>
      <c r="F376" s="83">
        <v>368</v>
      </c>
      <c r="G376" s="83">
        <f t="shared" ca="1" si="15"/>
        <v>-4.1764886915300517E-4</v>
      </c>
    </row>
    <row r="377" spans="2:7" x14ac:dyDescent="0.2">
      <c r="B377" s="167">
        <v>41508</v>
      </c>
      <c r="C377" s="28">
        <v>204.16</v>
      </c>
      <c r="D377" s="83">
        <f t="shared" si="14"/>
        <v>2.6424620874219449</v>
      </c>
      <c r="E377" s="83">
        <v>2.361494108799202E-2</v>
      </c>
      <c r="F377" s="83">
        <v>369</v>
      </c>
      <c r="G377" s="83">
        <f t="shared" ca="1" si="15"/>
        <v>3.3821392836957322E-2</v>
      </c>
    </row>
    <row r="378" spans="2:7" x14ac:dyDescent="0.2">
      <c r="B378" s="167">
        <v>39742</v>
      </c>
      <c r="C378" s="28">
        <v>56.05</v>
      </c>
      <c r="D378" s="83">
        <f t="shared" si="14"/>
        <v>-0.13422922459067035</v>
      </c>
      <c r="E378" s="83">
        <v>2.3557341124908676E-2</v>
      </c>
      <c r="F378" s="83">
        <v>370</v>
      </c>
      <c r="G378" s="83">
        <f t="shared" ca="1" si="15"/>
        <v>2.1619362875507503E-2</v>
      </c>
    </row>
    <row r="379" spans="2:7" x14ac:dyDescent="0.2">
      <c r="B379" s="167">
        <v>39974</v>
      </c>
      <c r="C379" s="28">
        <v>64.739999999999995</v>
      </c>
      <c r="D379" s="83">
        <f t="shared" si="14"/>
        <v>-0.78420000000000001</v>
      </c>
      <c r="E379" s="83">
        <v>2.3557312252964344E-2</v>
      </c>
      <c r="F379" s="83">
        <v>371</v>
      </c>
      <c r="G379" s="83">
        <f t="shared" ca="1" si="15"/>
        <v>3.2914668095649314E-3</v>
      </c>
    </row>
    <row r="380" spans="2:7" x14ac:dyDescent="0.2">
      <c r="B380" s="167">
        <v>43552</v>
      </c>
      <c r="C380" s="28">
        <v>300</v>
      </c>
      <c r="D380" s="83">
        <f t="shared" si="14"/>
        <v>5.3870555673834364</v>
      </c>
      <c r="E380" s="83">
        <v>2.3541453428863789E-2</v>
      </c>
      <c r="F380" s="83">
        <v>372</v>
      </c>
      <c r="G380" s="83">
        <f t="shared" ca="1" si="15"/>
        <v>1.0524244143581869E-2</v>
      </c>
    </row>
    <row r="381" spans="2:7" x14ac:dyDescent="0.2">
      <c r="B381" s="167">
        <v>38699</v>
      </c>
      <c r="C381" s="28">
        <v>46.97</v>
      </c>
      <c r="D381" s="83">
        <f t="shared" si="14"/>
        <v>-0.25337784136067398</v>
      </c>
      <c r="E381" s="83">
        <v>2.3534539115275623E-2</v>
      </c>
      <c r="F381" s="83">
        <v>373</v>
      </c>
      <c r="G381" s="83">
        <f t="shared" ca="1" si="15"/>
        <v>-1.0829249738118798E-2</v>
      </c>
    </row>
    <row r="382" spans="2:7" x14ac:dyDescent="0.2">
      <c r="B382" s="167">
        <v>39353</v>
      </c>
      <c r="C382" s="28">
        <v>62.91</v>
      </c>
      <c r="D382" s="83">
        <f t="shared" si="14"/>
        <v>-0.76038849742906112</v>
      </c>
      <c r="E382" s="83">
        <v>2.3426061493411383E-2</v>
      </c>
      <c r="F382" s="83">
        <v>374</v>
      </c>
      <c r="G382" s="83">
        <f t="shared" ca="1" si="15"/>
        <v>-3.9659595448883068E-2</v>
      </c>
    </row>
    <row r="383" spans="2:7" x14ac:dyDescent="0.2">
      <c r="B383" s="167">
        <v>44487</v>
      </c>
      <c r="C383" s="28">
        <v>262.55</v>
      </c>
      <c r="D383" s="83">
        <f t="shared" si="14"/>
        <v>3.1164941988084038</v>
      </c>
      <c r="E383" s="83">
        <v>2.3387253946599101E-2</v>
      </c>
      <c r="F383" s="83">
        <v>375</v>
      </c>
      <c r="G383" s="83">
        <f t="shared" ca="1" si="15"/>
        <v>2.828437662753866E-2</v>
      </c>
    </row>
    <row r="384" spans="2:7" x14ac:dyDescent="0.2">
      <c r="B384" s="167">
        <v>39722</v>
      </c>
      <c r="C384" s="28">
        <v>63.78</v>
      </c>
      <c r="D384" s="83">
        <f t="shared" si="14"/>
        <v>-0.69808284023668643</v>
      </c>
      <c r="E384" s="83">
        <v>2.3263276111022024E-2</v>
      </c>
      <c r="F384" s="83">
        <v>376</v>
      </c>
      <c r="G384" s="83">
        <f t="shared" ca="1" si="15"/>
        <v>-9.1456598992173952E-4</v>
      </c>
    </row>
    <row r="385" spans="2:7" x14ac:dyDescent="0.2">
      <c r="B385" s="167">
        <v>44209</v>
      </c>
      <c r="C385" s="28">
        <v>211.25</v>
      </c>
      <c r="D385" s="83">
        <f t="shared" si="14"/>
        <v>2.4023192140441294</v>
      </c>
      <c r="E385" s="83">
        <v>2.3250181642044135E-2</v>
      </c>
      <c r="F385" s="83">
        <v>377</v>
      </c>
      <c r="G385" s="83">
        <f t="shared" ca="1" si="15"/>
        <v>7.7968238686098252E-3</v>
      </c>
    </row>
    <row r="386" spans="2:7" x14ac:dyDescent="0.2">
      <c r="B386" s="167">
        <v>39526</v>
      </c>
      <c r="C386" s="28">
        <v>62.09</v>
      </c>
      <c r="D386" s="83">
        <f t="shared" si="14"/>
        <v>-0.7096563011456628</v>
      </c>
      <c r="E386" s="83">
        <v>2.3236651285431835E-2</v>
      </c>
      <c r="F386" s="83">
        <v>378</v>
      </c>
      <c r="G386" s="83">
        <f t="shared" ca="1" si="15"/>
        <v>1.8663636681916299E-2</v>
      </c>
    </row>
    <row r="387" spans="2:7" x14ac:dyDescent="0.2">
      <c r="B387" s="167">
        <v>44197</v>
      </c>
      <c r="C387" s="28">
        <v>213.85</v>
      </c>
      <c r="D387" s="83">
        <f t="shared" si="14"/>
        <v>-0.12428337428337427</v>
      </c>
      <c r="E387" s="83">
        <v>2.320574162679423E-2</v>
      </c>
      <c r="F387" s="83">
        <v>379</v>
      </c>
      <c r="G387" s="83">
        <f t="shared" ca="1" si="15"/>
        <v>-1.2702137250256689E-3</v>
      </c>
    </row>
    <row r="388" spans="2:7" x14ac:dyDescent="0.2">
      <c r="B388" s="167">
        <v>41472</v>
      </c>
      <c r="C388" s="28">
        <v>244.2</v>
      </c>
      <c r="D388" s="83">
        <f t="shared" si="14"/>
        <v>2.2161201106282098</v>
      </c>
      <c r="E388" s="83">
        <v>2.3041474654377881E-2</v>
      </c>
      <c r="F388" s="83">
        <v>380</v>
      </c>
      <c r="G388" s="83">
        <f t="shared" ca="1" si="15"/>
        <v>-1.2448594338689786E-3</v>
      </c>
    </row>
    <row r="389" spans="2:7" x14ac:dyDescent="0.2">
      <c r="B389" s="167">
        <v>40071</v>
      </c>
      <c r="C389" s="28">
        <v>75.930000000000007</v>
      </c>
      <c r="D389" s="83">
        <f t="shared" si="14"/>
        <v>-0.6783308621054861</v>
      </c>
      <c r="E389" s="83">
        <v>2.303961196443018E-2</v>
      </c>
      <c r="F389" s="83">
        <v>381</v>
      </c>
      <c r="G389" s="83">
        <f t="shared" ca="1" si="15"/>
        <v>-2.4775696036125023E-2</v>
      </c>
    </row>
    <row r="390" spans="2:7" x14ac:dyDescent="0.2">
      <c r="B390" s="167">
        <v>42515</v>
      </c>
      <c r="C390" s="28">
        <v>236.05</v>
      </c>
      <c r="D390" s="83">
        <f t="shared" si="14"/>
        <v>-0.41003723975906625</v>
      </c>
      <c r="E390" s="83">
        <v>2.3012914969229446E-2</v>
      </c>
      <c r="F390" s="83">
        <v>382</v>
      </c>
      <c r="G390" s="83">
        <f t="shared" ca="1" si="15"/>
        <v>2.0366156890356892E-2</v>
      </c>
    </row>
    <row r="391" spans="2:7" x14ac:dyDescent="0.2">
      <c r="B391" s="167">
        <v>45044</v>
      </c>
      <c r="C391" s="28">
        <v>400.11</v>
      </c>
      <c r="D391" s="83">
        <f t="shared" si="14"/>
        <v>0.84365496267625106</v>
      </c>
      <c r="E391" s="83">
        <v>2.2959118451665733E-2</v>
      </c>
      <c r="F391" s="83">
        <v>383</v>
      </c>
      <c r="G391" s="83">
        <f t="shared" ca="1" si="15"/>
        <v>3.7481856101009757E-2</v>
      </c>
    </row>
    <row r="392" spans="2:7" x14ac:dyDescent="0.2">
      <c r="B392" s="167">
        <v>42459</v>
      </c>
      <c r="C392" s="28">
        <v>217.02</v>
      </c>
      <c r="D392" s="83">
        <f t="shared" si="14"/>
        <v>-0.18840688107703804</v>
      </c>
      <c r="E392" s="83">
        <v>2.2955456045251021E-2</v>
      </c>
      <c r="F392" s="83">
        <v>384</v>
      </c>
      <c r="G392" s="83">
        <f t="shared" ca="1" si="15"/>
        <v>-2.9957657466290168E-2</v>
      </c>
    </row>
    <row r="393" spans="2:7" x14ac:dyDescent="0.2">
      <c r="B393" s="167">
        <v>43012</v>
      </c>
      <c r="C393" s="28">
        <v>267.39999999999998</v>
      </c>
      <c r="D393" s="83">
        <f t="shared" ref="D393:D456" si="16">(C393-C394)/C394</f>
        <v>3.1938519447929736</v>
      </c>
      <c r="E393" s="83">
        <v>2.2953328232593728E-2</v>
      </c>
      <c r="F393" s="83">
        <v>385</v>
      </c>
      <c r="G393" s="83">
        <f t="shared" ref="G393:G456" ca="1" si="17">_xlfn.NORM.INV(RAND(),$M$10,$M$11)</f>
        <v>-8.4193082176192459E-3</v>
      </c>
    </row>
    <row r="394" spans="2:7" x14ac:dyDescent="0.2">
      <c r="B394" s="167">
        <v>39717</v>
      </c>
      <c r="C394" s="28">
        <v>63.76</v>
      </c>
      <c r="D394" s="83">
        <f t="shared" si="16"/>
        <v>-0.8480638627427618</v>
      </c>
      <c r="E394" s="83">
        <v>2.2942403337076846E-2</v>
      </c>
      <c r="F394" s="83">
        <v>386</v>
      </c>
      <c r="G394" s="83">
        <f t="shared" ca="1" si="17"/>
        <v>2.3769411980750995E-2</v>
      </c>
    </row>
    <row r="395" spans="2:7" x14ac:dyDescent="0.2">
      <c r="B395" s="167">
        <v>45481</v>
      </c>
      <c r="C395" s="28">
        <v>419.65</v>
      </c>
      <c r="D395" s="83">
        <f t="shared" si="16"/>
        <v>6.3493870402802095</v>
      </c>
      <c r="E395" s="83">
        <v>2.2937792511700389E-2</v>
      </c>
      <c r="F395" s="83">
        <v>387</v>
      </c>
      <c r="G395" s="83">
        <f t="shared" ca="1" si="17"/>
        <v>4.3017102882768957E-3</v>
      </c>
    </row>
    <row r="396" spans="2:7" x14ac:dyDescent="0.2">
      <c r="B396" s="167">
        <v>38937</v>
      </c>
      <c r="C396" s="28">
        <v>57.1</v>
      </c>
      <c r="D396" s="83">
        <f t="shared" si="16"/>
        <v>-0.21468848851602246</v>
      </c>
      <c r="E396" s="83">
        <v>2.2930849158007902E-2</v>
      </c>
      <c r="F396" s="83">
        <v>388</v>
      </c>
      <c r="G396" s="83">
        <f t="shared" ca="1" si="17"/>
        <v>-3.4633950777731987E-2</v>
      </c>
    </row>
    <row r="397" spans="2:7" x14ac:dyDescent="0.2">
      <c r="B397" s="167">
        <v>39451</v>
      </c>
      <c r="C397" s="28">
        <v>72.709999999999994</v>
      </c>
      <c r="D397" s="83">
        <f t="shared" si="16"/>
        <v>-0.68965811601007299</v>
      </c>
      <c r="E397" s="83">
        <v>2.278801519200999E-2</v>
      </c>
      <c r="F397" s="83">
        <v>389</v>
      </c>
      <c r="G397" s="83">
        <f t="shared" ca="1" si="17"/>
        <v>-1.346992634472551E-2</v>
      </c>
    </row>
    <row r="398" spans="2:7" x14ac:dyDescent="0.2">
      <c r="B398" s="167">
        <v>41466</v>
      </c>
      <c r="C398" s="28">
        <v>234.29</v>
      </c>
      <c r="D398" s="83">
        <f t="shared" si="16"/>
        <v>2.2535758922371887</v>
      </c>
      <c r="E398" s="83">
        <v>2.2743146499039545E-2</v>
      </c>
      <c r="F398" s="83">
        <v>390</v>
      </c>
      <c r="G398" s="83">
        <f t="shared" ca="1" si="17"/>
        <v>-2.4246550966309656E-2</v>
      </c>
    </row>
    <row r="399" spans="2:7" x14ac:dyDescent="0.2">
      <c r="B399" s="167">
        <v>40009</v>
      </c>
      <c r="C399" s="28">
        <v>72.010000000000005</v>
      </c>
      <c r="D399" s="83">
        <f t="shared" si="16"/>
        <v>-0.76108161911081618</v>
      </c>
      <c r="E399" s="83">
        <v>2.2724044879988761E-2</v>
      </c>
      <c r="F399" s="83">
        <v>391</v>
      </c>
      <c r="G399" s="83">
        <f t="shared" ca="1" si="17"/>
        <v>-8.2547556065061204E-3</v>
      </c>
    </row>
    <row r="400" spans="2:7" x14ac:dyDescent="0.2">
      <c r="B400" s="167">
        <v>43602</v>
      </c>
      <c r="C400" s="28">
        <v>301.39999999999998</v>
      </c>
      <c r="D400" s="83">
        <f t="shared" si="16"/>
        <v>6.8204462895692775</v>
      </c>
      <c r="E400" s="83">
        <v>2.2561492790500348E-2</v>
      </c>
      <c r="F400" s="83">
        <v>392</v>
      </c>
      <c r="G400" s="83">
        <f t="shared" ca="1" si="17"/>
        <v>-1.1213140318459193E-2</v>
      </c>
    </row>
    <row r="401" spans="2:7" x14ac:dyDescent="0.2">
      <c r="B401" s="167">
        <v>38545</v>
      </c>
      <c r="C401" s="28">
        <v>38.54</v>
      </c>
      <c r="D401" s="83">
        <f t="shared" si="16"/>
        <v>-0.87950601844614662</v>
      </c>
      <c r="E401" s="83">
        <v>2.2552401167418454E-2</v>
      </c>
      <c r="F401" s="83">
        <v>393</v>
      </c>
      <c r="G401" s="83">
        <f t="shared" ca="1" si="17"/>
        <v>-4.6550133068660573E-3</v>
      </c>
    </row>
    <row r="402" spans="2:7" x14ac:dyDescent="0.2">
      <c r="B402" s="167">
        <v>43342</v>
      </c>
      <c r="C402" s="28">
        <v>319.85000000000002</v>
      </c>
      <c r="D402" s="83">
        <f t="shared" si="16"/>
        <v>0.32761912668105614</v>
      </c>
      <c r="E402" s="83">
        <v>2.2538363171355533E-2</v>
      </c>
      <c r="F402" s="83">
        <v>394</v>
      </c>
      <c r="G402" s="83">
        <f t="shared" ca="1" si="17"/>
        <v>1.4738685623689406E-3</v>
      </c>
    </row>
    <row r="403" spans="2:7" x14ac:dyDescent="0.2">
      <c r="B403" s="167">
        <v>41969</v>
      </c>
      <c r="C403" s="28">
        <v>240.92</v>
      </c>
      <c r="D403" s="83">
        <f t="shared" si="16"/>
        <v>-0.47196773769342043</v>
      </c>
      <c r="E403" s="83">
        <v>2.2537243750265157E-2</v>
      </c>
      <c r="F403" s="83">
        <v>395</v>
      </c>
      <c r="G403" s="83">
        <f t="shared" ca="1" si="17"/>
        <v>5.5519214284092326E-4</v>
      </c>
    </row>
    <row r="404" spans="2:7" x14ac:dyDescent="0.2">
      <c r="B404" s="167">
        <v>45590</v>
      </c>
      <c r="C404" s="28">
        <v>456.26</v>
      </c>
      <c r="D404" s="83">
        <f t="shared" si="16"/>
        <v>0.74377985858971918</v>
      </c>
      <c r="E404" s="83">
        <v>2.2477197857607E-2</v>
      </c>
      <c r="F404" s="83">
        <v>396</v>
      </c>
      <c r="G404" s="83">
        <f t="shared" ca="1" si="17"/>
        <v>-6.1434128598365917E-3</v>
      </c>
    </row>
    <row r="405" spans="2:7" x14ac:dyDescent="0.2">
      <c r="B405" s="167">
        <v>43741</v>
      </c>
      <c r="C405" s="28">
        <v>261.64999999999998</v>
      </c>
      <c r="D405" s="83">
        <f t="shared" si="16"/>
        <v>0.17174205105239571</v>
      </c>
      <c r="E405" s="83">
        <v>2.2469714732317198E-2</v>
      </c>
      <c r="F405" s="83">
        <v>397</v>
      </c>
      <c r="G405" s="83">
        <f t="shared" ca="1" si="17"/>
        <v>-2.9680624932344199E-3</v>
      </c>
    </row>
    <row r="406" spans="2:7" x14ac:dyDescent="0.2">
      <c r="B406" s="167">
        <v>44571</v>
      </c>
      <c r="C406" s="28">
        <v>223.3</v>
      </c>
      <c r="D406" s="83">
        <f t="shared" si="16"/>
        <v>2.9431396786155748</v>
      </c>
      <c r="E406" s="83">
        <v>2.243589743589746E-2</v>
      </c>
      <c r="F406" s="83">
        <v>398</v>
      </c>
      <c r="G406" s="83">
        <f t="shared" ca="1" si="17"/>
        <v>-1.5273539466177208E-3</v>
      </c>
    </row>
    <row r="407" spans="2:7" x14ac:dyDescent="0.2">
      <c r="B407" s="167">
        <v>39223</v>
      </c>
      <c r="C407" s="28">
        <v>56.63</v>
      </c>
      <c r="D407" s="83">
        <f t="shared" si="16"/>
        <v>-0.12119801365611414</v>
      </c>
      <c r="E407" s="83">
        <v>2.2386712402960859E-2</v>
      </c>
      <c r="F407" s="83">
        <v>399</v>
      </c>
      <c r="G407" s="83">
        <f t="shared" ca="1" si="17"/>
        <v>1.224732189877141E-2</v>
      </c>
    </row>
    <row r="408" spans="2:7" x14ac:dyDescent="0.2">
      <c r="B408" s="167">
        <v>39707</v>
      </c>
      <c r="C408" s="28">
        <v>64.44</v>
      </c>
      <c r="D408" s="83">
        <f t="shared" si="16"/>
        <v>0.39601386481802431</v>
      </c>
      <c r="E408" s="83">
        <v>2.2370299857210799E-2</v>
      </c>
      <c r="F408" s="83">
        <v>400</v>
      </c>
      <c r="G408" s="83">
        <f t="shared" ca="1" si="17"/>
        <v>1.1234447324075119E-2</v>
      </c>
    </row>
    <row r="409" spans="2:7" x14ac:dyDescent="0.2">
      <c r="B409" s="167">
        <v>38684</v>
      </c>
      <c r="C409" s="28">
        <v>46.16</v>
      </c>
      <c r="D409" s="83">
        <f t="shared" si="16"/>
        <v>-0.7651488170948868</v>
      </c>
      <c r="E409" s="83">
        <v>2.236987818383163E-2</v>
      </c>
      <c r="F409" s="83">
        <v>401</v>
      </c>
      <c r="G409" s="83">
        <f t="shared" ca="1" si="17"/>
        <v>-3.116640529338729E-5</v>
      </c>
    </row>
    <row r="410" spans="2:7" x14ac:dyDescent="0.2">
      <c r="B410" s="167">
        <v>44034</v>
      </c>
      <c r="C410" s="28">
        <v>196.55</v>
      </c>
      <c r="D410" s="83">
        <f t="shared" si="16"/>
        <v>-8.7214972367993318E-2</v>
      </c>
      <c r="E410" s="83">
        <v>2.236671001300396E-2</v>
      </c>
      <c r="F410" s="83">
        <v>402</v>
      </c>
      <c r="G410" s="83">
        <f t="shared" ca="1" si="17"/>
        <v>1.7455774110514771E-2</v>
      </c>
    </row>
    <row r="411" spans="2:7" x14ac:dyDescent="0.2">
      <c r="B411" s="167">
        <v>42499</v>
      </c>
      <c r="C411" s="28">
        <v>215.33</v>
      </c>
      <c r="D411" s="83">
        <f t="shared" si="16"/>
        <v>2.7678040244969382</v>
      </c>
      <c r="E411" s="83">
        <v>2.2362548665843737E-2</v>
      </c>
      <c r="F411" s="83">
        <v>403</v>
      </c>
      <c r="G411" s="83">
        <f t="shared" ca="1" si="17"/>
        <v>3.5848341374447611E-2</v>
      </c>
    </row>
    <row r="412" spans="2:7" x14ac:dyDescent="0.2">
      <c r="B412" s="167">
        <v>39778</v>
      </c>
      <c r="C412" s="28">
        <v>57.15</v>
      </c>
      <c r="D412" s="83">
        <f t="shared" si="16"/>
        <v>-0.7485259174513772</v>
      </c>
      <c r="E412" s="83">
        <v>2.2361359570661897E-2</v>
      </c>
      <c r="F412" s="83">
        <v>404</v>
      </c>
      <c r="G412" s="83">
        <f t="shared" ca="1" si="17"/>
        <v>1.9360500957797053E-2</v>
      </c>
    </row>
    <row r="413" spans="2:7" x14ac:dyDescent="0.2">
      <c r="B413" s="167">
        <v>41402</v>
      </c>
      <c r="C413" s="28">
        <v>227.26</v>
      </c>
      <c r="D413" s="83">
        <f t="shared" si="16"/>
        <v>-1.3970843457132936E-2</v>
      </c>
      <c r="E413" s="83">
        <v>2.2358180754869759E-2</v>
      </c>
      <c r="F413" s="83">
        <v>405</v>
      </c>
      <c r="G413" s="83">
        <f t="shared" ca="1" si="17"/>
        <v>-6.1197660868606018E-4</v>
      </c>
    </row>
    <row r="414" spans="2:7" x14ac:dyDescent="0.2">
      <c r="B414" s="167">
        <v>41555</v>
      </c>
      <c r="C414" s="28">
        <v>230.48</v>
      </c>
      <c r="D414" s="83">
        <f t="shared" si="16"/>
        <v>2.7024899598393572</v>
      </c>
      <c r="E414" s="83">
        <v>2.2356281050390312E-2</v>
      </c>
      <c r="F414" s="83">
        <v>406</v>
      </c>
      <c r="G414" s="83">
        <f t="shared" ca="1" si="17"/>
        <v>9.7689163999191463E-4</v>
      </c>
    </row>
    <row r="415" spans="2:7" x14ac:dyDescent="0.2">
      <c r="B415" s="167">
        <v>39629</v>
      </c>
      <c r="C415" s="28">
        <v>62.25</v>
      </c>
      <c r="D415" s="83">
        <f t="shared" si="16"/>
        <v>-0.73855522889542213</v>
      </c>
      <c r="E415" s="83">
        <v>2.2335358843816711E-2</v>
      </c>
      <c r="F415" s="83">
        <v>407</v>
      </c>
      <c r="G415" s="83">
        <f t="shared" ca="1" si="17"/>
        <v>5.4497483638532539E-3</v>
      </c>
    </row>
    <row r="416" spans="2:7" x14ac:dyDescent="0.2">
      <c r="B416" s="167">
        <v>44515</v>
      </c>
      <c r="C416" s="28">
        <v>238.1</v>
      </c>
      <c r="D416" s="83">
        <f t="shared" si="16"/>
        <v>0.26413591717547119</v>
      </c>
      <c r="E416" s="83">
        <v>2.2327179046801152E-2</v>
      </c>
      <c r="F416" s="83">
        <v>408</v>
      </c>
      <c r="G416" s="83">
        <f t="shared" ca="1" si="17"/>
        <v>-3.6112479701466641E-3</v>
      </c>
    </row>
    <row r="417" spans="2:7" x14ac:dyDescent="0.2">
      <c r="B417" s="167">
        <v>41289</v>
      </c>
      <c r="C417" s="28">
        <v>188.35</v>
      </c>
      <c r="D417" s="83">
        <f t="shared" si="16"/>
        <v>0.39270925761608977</v>
      </c>
      <c r="E417" s="83">
        <v>2.230785931393826E-2</v>
      </c>
      <c r="F417" s="83">
        <v>409</v>
      </c>
      <c r="G417" s="83">
        <f t="shared" ca="1" si="17"/>
        <v>-2.275026128684253E-2</v>
      </c>
    </row>
    <row r="418" spans="2:7" x14ac:dyDescent="0.2">
      <c r="B418" s="167">
        <v>40828</v>
      </c>
      <c r="C418" s="28">
        <v>135.24</v>
      </c>
      <c r="D418" s="83">
        <f t="shared" si="16"/>
        <v>-0.45013214067899976</v>
      </c>
      <c r="E418" s="83">
        <v>2.229949353692658E-2</v>
      </c>
      <c r="F418" s="83">
        <v>410</v>
      </c>
      <c r="G418" s="83">
        <f t="shared" ca="1" si="17"/>
        <v>-1.147974208504632E-2</v>
      </c>
    </row>
    <row r="419" spans="2:7" x14ac:dyDescent="0.2">
      <c r="B419" s="167">
        <v>42661</v>
      </c>
      <c r="C419" s="28">
        <v>245.95</v>
      </c>
      <c r="D419" s="83">
        <f t="shared" si="16"/>
        <v>2.8744486452425964</v>
      </c>
      <c r="E419" s="83">
        <v>2.2236076475477949E-2</v>
      </c>
      <c r="F419" s="83">
        <v>411</v>
      </c>
      <c r="G419" s="83">
        <f t="shared" ca="1" si="17"/>
        <v>-1.3015031817186721E-2</v>
      </c>
    </row>
    <row r="420" spans="2:7" x14ac:dyDescent="0.2">
      <c r="B420" s="167">
        <v>38960</v>
      </c>
      <c r="C420" s="28">
        <v>63.48</v>
      </c>
      <c r="D420" s="83">
        <f t="shared" si="16"/>
        <v>-0.70318417730396976</v>
      </c>
      <c r="E420" s="83">
        <v>2.222222222222215E-2</v>
      </c>
      <c r="F420" s="83">
        <v>412</v>
      </c>
      <c r="G420" s="83">
        <f t="shared" ca="1" si="17"/>
        <v>-1.0479300278223691E-2</v>
      </c>
    </row>
    <row r="421" spans="2:7" x14ac:dyDescent="0.2">
      <c r="B421" s="167">
        <v>41649</v>
      </c>
      <c r="C421" s="28">
        <v>213.87</v>
      </c>
      <c r="D421" s="83">
        <f t="shared" si="16"/>
        <v>-0.32859295535882466</v>
      </c>
      <c r="E421" s="83">
        <v>2.2176552119676982E-2</v>
      </c>
      <c r="F421" s="83">
        <v>413</v>
      </c>
      <c r="G421" s="83">
        <f t="shared" ca="1" si="17"/>
        <v>-6.0621084455469562E-3</v>
      </c>
    </row>
    <row r="422" spans="2:7" x14ac:dyDescent="0.2">
      <c r="B422" s="167">
        <v>44803</v>
      </c>
      <c r="C422" s="28">
        <v>318.54000000000002</v>
      </c>
      <c r="D422" s="83">
        <f t="shared" si="16"/>
        <v>3.7879152262137383</v>
      </c>
      <c r="E422" s="83">
        <v>2.2173731668966482E-2</v>
      </c>
      <c r="F422" s="83">
        <v>414</v>
      </c>
      <c r="G422" s="83">
        <f t="shared" ca="1" si="17"/>
        <v>9.4794857086484014E-3</v>
      </c>
    </row>
    <row r="423" spans="2:7" x14ac:dyDescent="0.2">
      <c r="B423" s="167">
        <v>39430</v>
      </c>
      <c r="C423" s="28">
        <v>66.53</v>
      </c>
      <c r="D423" s="83">
        <f t="shared" si="16"/>
        <v>0.24007455731593669</v>
      </c>
      <c r="E423" s="83">
        <v>2.2123214011368839E-2</v>
      </c>
      <c r="F423" s="83">
        <v>415</v>
      </c>
      <c r="G423" s="83">
        <f t="shared" ca="1" si="17"/>
        <v>1.8260054435199078E-3</v>
      </c>
    </row>
    <row r="424" spans="2:7" x14ac:dyDescent="0.2">
      <c r="B424" s="167">
        <v>39884</v>
      </c>
      <c r="C424" s="28">
        <v>53.65</v>
      </c>
      <c r="D424" s="83">
        <f t="shared" si="16"/>
        <v>-0.68258194296532948</v>
      </c>
      <c r="E424" s="83">
        <v>2.2099447513812088E-2</v>
      </c>
      <c r="F424" s="83">
        <v>416</v>
      </c>
      <c r="G424" s="83">
        <f t="shared" ca="1" si="17"/>
        <v>1.4584653600170697E-2</v>
      </c>
    </row>
    <row r="425" spans="2:7" x14ac:dyDescent="0.2">
      <c r="B425" s="167">
        <v>41117</v>
      </c>
      <c r="C425" s="28">
        <v>169.02</v>
      </c>
      <c r="D425" s="83">
        <f t="shared" si="16"/>
        <v>3.8568965517241391</v>
      </c>
      <c r="E425" s="83">
        <v>2.2071717965773754E-2</v>
      </c>
      <c r="F425" s="83">
        <v>417</v>
      </c>
      <c r="G425" s="83">
        <f t="shared" ca="1" si="17"/>
        <v>7.8716331409342481E-3</v>
      </c>
    </row>
    <row r="426" spans="2:7" x14ac:dyDescent="0.2">
      <c r="B426" s="167">
        <v>38525</v>
      </c>
      <c r="C426" s="28">
        <v>34.799999999999997</v>
      </c>
      <c r="D426" s="83">
        <f t="shared" si="16"/>
        <v>-0.1577928363988384</v>
      </c>
      <c r="E426" s="83">
        <v>2.2026431718061675E-2</v>
      </c>
      <c r="F426" s="83">
        <v>418</v>
      </c>
      <c r="G426" s="83">
        <f t="shared" ca="1" si="17"/>
        <v>-5.6474121098762237E-3</v>
      </c>
    </row>
    <row r="427" spans="2:7" x14ac:dyDescent="0.2">
      <c r="B427" s="167">
        <v>38607</v>
      </c>
      <c r="C427" s="28">
        <v>41.32</v>
      </c>
      <c r="D427" s="83">
        <f t="shared" si="16"/>
        <v>-0.8054705522338873</v>
      </c>
      <c r="E427" s="83">
        <v>2.2013356418501127E-2</v>
      </c>
      <c r="F427" s="83">
        <v>419</v>
      </c>
      <c r="G427" s="83">
        <f t="shared" ca="1" si="17"/>
        <v>2.0575527044544989E-2</v>
      </c>
    </row>
    <row r="428" spans="2:7" x14ac:dyDescent="0.2">
      <c r="B428" s="167">
        <v>41607</v>
      </c>
      <c r="C428" s="28">
        <v>212.41</v>
      </c>
      <c r="D428" s="83">
        <f t="shared" si="16"/>
        <v>-0.2081640260950606</v>
      </c>
      <c r="E428" s="83">
        <v>2.1988067744418749E-2</v>
      </c>
      <c r="F428" s="83">
        <v>420</v>
      </c>
      <c r="G428" s="83">
        <f t="shared" ca="1" si="17"/>
        <v>6.5019650118158384E-3</v>
      </c>
    </row>
    <row r="429" spans="2:7" x14ac:dyDescent="0.2">
      <c r="B429" s="167">
        <v>44733</v>
      </c>
      <c r="C429" s="28">
        <v>268.25</v>
      </c>
      <c r="D429" s="83">
        <f t="shared" si="16"/>
        <v>-0.19028645597512758</v>
      </c>
      <c r="E429" s="83">
        <v>2.1982627247790237E-2</v>
      </c>
      <c r="F429" s="83">
        <v>421</v>
      </c>
      <c r="G429" s="83">
        <f t="shared" ca="1" si="17"/>
        <v>5.7694042668863669E-3</v>
      </c>
    </row>
    <row r="430" spans="2:7" x14ac:dyDescent="0.2">
      <c r="B430" s="167">
        <v>44957</v>
      </c>
      <c r="C430" s="28">
        <v>331.29</v>
      </c>
      <c r="D430" s="83">
        <f t="shared" si="16"/>
        <v>1.5436885749385749</v>
      </c>
      <c r="E430" s="83">
        <v>2.1900737221999516E-2</v>
      </c>
      <c r="F430" s="83">
        <v>422</v>
      </c>
      <c r="G430" s="83">
        <f t="shared" ca="1" si="17"/>
        <v>-3.4632707156012785E-2</v>
      </c>
    </row>
    <row r="431" spans="2:7" x14ac:dyDescent="0.2">
      <c r="B431" s="167">
        <v>40875</v>
      </c>
      <c r="C431" s="28">
        <v>130.24</v>
      </c>
      <c r="D431" s="83">
        <f t="shared" si="16"/>
        <v>-0.51074380165289246</v>
      </c>
      <c r="E431" s="83">
        <v>2.1890937622597147E-2</v>
      </c>
      <c r="F431" s="83">
        <v>423</v>
      </c>
      <c r="G431" s="83">
        <f t="shared" ca="1" si="17"/>
        <v>2.6729684710748484E-2</v>
      </c>
    </row>
    <row r="432" spans="2:7" x14ac:dyDescent="0.2">
      <c r="B432" s="167">
        <v>43280</v>
      </c>
      <c r="C432" s="28">
        <v>266.2</v>
      </c>
      <c r="D432" s="83">
        <f t="shared" si="16"/>
        <v>-0.15719487098306167</v>
      </c>
      <c r="E432" s="83">
        <v>2.188099808061416E-2</v>
      </c>
      <c r="F432" s="83">
        <v>424</v>
      </c>
      <c r="G432" s="83">
        <f t="shared" ca="1" si="17"/>
        <v>-1.4113543514962759E-2</v>
      </c>
    </row>
    <row r="433" spans="2:7" x14ac:dyDescent="0.2">
      <c r="B433" s="167">
        <v>42884</v>
      </c>
      <c r="C433" s="28">
        <v>315.85000000000002</v>
      </c>
      <c r="D433" s="83">
        <f t="shared" si="16"/>
        <v>5.1919231523230751</v>
      </c>
      <c r="E433" s="83">
        <v>2.1837593011970236E-2</v>
      </c>
      <c r="F433" s="83">
        <v>425</v>
      </c>
      <c r="G433" s="83">
        <f t="shared" ca="1" si="17"/>
        <v>1.7683770802107021E-2</v>
      </c>
    </row>
    <row r="434" spans="2:7" x14ac:dyDescent="0.2">
      <c r="B434" s="167">
        <v>39244</v>
      </c>
      <c r="C434" s="28">
        <v>51.01</v>
      </c>
      <c r="D434" s="83">
        <f t="shared" si="16"/>
        <v>-0.79216069755123664</v>
      </c>
      <c r="E434" s="83">
        <v>2.1834935897435823E-2</v>
      </c>
      <c r="F434" s="83">
        <v>426</v>
      </c>
      <c r="G434" s="83">
        <f t="shared" ca="1" si="17"/>
        <v>2.7865149648416037E-3</v>
      </c>
    </row>
    <row r="435" spans="2:7" x14ac:dyDescent="0.2">
      <c r="B435" s="167">
        <v>42033</v>
      </c>
      <c r="C435" s="28">
        <v>245.43</v>
      </c>
      <c r="D435" s="83">
        <f t="shared" si="16"/>
        <v>0.57700957398959074</v>
      </c>
      <c r="E435" s="83">
        <v>2.1816062284025186E-2</v>
      </c>
      <c r="F435" s="83">
        <v>427</v>
      </c>
      <c r="G435" s="83">
        <f t="shared" ca="1" si="17"/>
        <v>1.6173141155978527E-2</v>
      </c>
    </row>
    <row r="436" spans="2:7" x14ac:dyDescent="0.2">
      <c r="B436" s="167">
        <v>41011</v>
      </c>
      <c r="C436" s="28">
        <v>155.63</v>
      </c>
      <c r="D436" s="83">
        <f t="shared" si="16"/>
        <v>-6.623867522649543E-2</v>
      </c>
      <c r="E436" s="83">
        <v>2.1797649530562624E-2</v>
      </c>
      <c r="F436" s="83">
        <v>428</v>
      </c>
      <c r="G436" s="83">
        <f t="shared" ca="1" si="17"/>
        <v>1.3114072672325026E-2</v>
      </c>
    </row>
    <row r="437" spans="2:7" x14ac:dyDescent="0.2">
      <c r="B437" s="167">
        <v>41081</v>
      </c>
      <c r="C437" s="28">
        <v>166.67</v>
      </c>
      <c r="D437" s="83">
        <f t="shared" si="16"/>
        <v>-0.37224105461393603</v>
      </c>
      <c r="E437" s="83">
        <v>2.1763119176066593E-2</v>
      </c>
      <c r="F437" s="83">
        <v>429</v>
      </c>
      <c r="G437" s="83">
        <f t="shared" ca="1" si="17"/>
        <v>-2.2050957396019609E-2</v>
      </c>
    </row>
    <row r="438" spans="2:7" x14ac:dyDescent="0.2">
      <c r="B438" s="167">
        <v>42760</v>
      </c>
      <c r="C438" s="28">
        <v>265.5</v>
      </c>
      <c r="D438" s="83">
        <f t="shared" si="16"/>
        <v>3.7478540772532183</v>
      </c>
      <c r="E438" s="83">
        <v>2.1743313450067258E-2</v>
      </c>
      <c r="F438" s="83">
        <v>430</v>
      </c>
      <c r="G438" s="83">
        <f t="shared" ca="1" si="17"/>
        <v>-2.1499818868406292E-2</v>
      </c>
    </row>
    <row r="439" spans="2:7" x14ac:dyDescent="0.2">
      <c r="B439" s="167">
        <v>39826</v>
      </c>
      <c r="C439" s="28">
        <v>55.92</v>
      </c>
      <c r="D439" s="83">
        <f t="shared" si="16"/>
        <v>-0.12570356472795496</v>
      </c>
      <c r="E439" s="83">
        <v>2.1743102503197605E-2</v>
      </c>
      <c r="F439" s="83">
        <v>431</v>
      </c>
      <c r="G439" s="83">
        <f t="shared" ca="1" si="17"/>
        <v>1.7030122995936987E-2</v>
      </c>
    </row>
    <row r="440" spans="2:7" x14ac:dyDescent="0.2">
      <c r="B440" s="167">
        <v>38824</v>
      </c>
      <c r="C440" s="28">
        <v>63.96</v>
      </c>
      <c r="D440" s="83">
        <f t="shared" si="16"/>
        <v>-0.77975206611570247</v>
      </c>
      <c r="E440" s="83">
        <v>2.172523961661341E-2</v>
      </c>
      <c r="F440" s="83">
        <v>432</v>
      </c>
      <c r="G440" s="83">
        <f t="shared" ca="1" si="17"/>
        <v>1.7650505240058473E-2</v>
      </c>
    </row>
    <row r="441" spans="2:7" x14ac:dyDescent="0.2">
      <c r="B441" s="167">
        <v>43474</v>
      </c>
      <c r="C441" s="28">
        <v>290.39999999999998</v>
      </c>
      <c r="D441" s="83">
        <f t="shared" si="16"/>
        <v>4.2983032293377113</v>
      </c>
      <c r="E441" s="83">
        <v>2.1635883905013111E-2</v>
      </c>
      <c r="F441" s="83">
        <v>433</v>
      </c>
      <c r="G441" s="83">
        <f t="shared" ca="1" si="17"/>
        <v>-3.8887123489524021E-2</v>
      </c>
    </row>
    <row r="442" spans="2:7" x14ac:dyDescent="0.2">
      <c r="B442" s="167">
        <v>39885</v>
      </c>
      <c r="C442" s="28">
        <v>54.81</v>
      </c>
      <c r="D442" s="83">
        <f t="shared" si="16"/>
        <v>-0.47089487402258906</v>
      </c>
      <c r="E442" s="83">
        <v>2.1621621621621692E-2</v>
      </c>
      <c r="F442" s="83">
        <v>434</v>
      </c>
      <c r="G442" s="83">
        <f t="shared" ca="1" si="17"/>
        <v>1.6648293520402375E-2</v>
      </c>
    </row>
    <row r="443" spans="2:7" x14ac:dyDescent="0.2">
      <c r="B443" s="167">
        <v>40403</v>
      </c>
      <c r="C443" s="28">
        <v>103.59</v>
      </c>
      <c r="D443" s="83">
        <f t="shared" si="16"/>
        <v>1.6990620114643045</v>
      </c>
      <c r="E443" s="83">
        <v>2.1597633136094651E-2</v>
      </c>
      <c r="F443" s="83">
        <v>435</v>
      </c>
      <c r="G443" s="83">
        <f t="shared" ca="1" si="17"/>
        <v>-1.4943771322218856E-3</v>
      </c>
    </row>
    <row r="444" spans="2:7" x14ac:dyDescent="0.2">
      <c r="B444" s="167">
        <v>38574</v>
      </c>
      <c r="C444" s="28">
        <v>38.380000000000003</v>
      </c>
      <c r="D444" s="83">
        <f t="shared" si="16"/>
        <v>-0.42553509953599761</v>
      </c>
      <c r="E444" s="83">
        <v>2.1559755123769026E-2</v>
      </c>
      <c r="F444" s="83">
        <v>436</v>
      </c>
      <c r="G444" s="83">
        <f t="shared" ca="1" si="17"/>
        <v>-6.8482725372927917E-3</v>
      </c>
    </row>
    <row r="445" spans="2:7" x14ac:dyDescent="0.2">
      <c r="B445" s="167">
        <v>38833</v>
      </c>
      <c r="C445" s="28">
        <v>66.81</v>
      </c>
      <c r="D445" s="83">
        <f t="shared" si="16"/>
        <v>-0.8504566210045662</v>
      </c>
      <c r="E445" s="83">
        <v>2.1559633027522881E-2</v>
      </c>
      <c r="F445" s="83">
        <v>437</v>
      </c>
      <c r="G445" s="83">
        <f t="shared" ca="1" si="17"/>
        <v>-3.6500942099435846E-3</v>
      </c>
    </row>
    <row r="446" spans="2:7" x14ac:dyDescent="0.2">
      <c r="B446" s="167">
        <v>45133</v>
      </c>
      <c r="C446" s="28">
        <v>446.76</v>
      </c>
      <c r="D446" s="83">
        <f t="shared" si="16"/>
        <v>0.78882882882882877</v>
      </c>
      <c r="E446" s="83">
        <v>2.153930580326523E-2</v>
      </c>
      <c r="F446" s="83">
        <v>438</v>
      </c>
      <c r="G446" s="83">
        <f t="shared" ca="1" si="17"/>
        <v>2.0702044133255049E-2</v>
      </c>
    </row>
    <row r="447" spans="2:7" x14ac:dyDescent="0.2">
      <c r="B447" s="167">
        <v>44642</v>
      </c>
      <c r="C447" s="28">
        <v>249.75</v>
      </c>
      <c r="D447" s="83">
        <f t="shared" si="16"/>
        <v>3.5633107984651931</v>
      </c>
      <c r="E447" s="83">
        <v>2.1472392638036811E-2</v>
      </c>
      <c r="F447" s="83">
        <v>439</v>
      </c>
      <c r="G447" s="83">
        <f t="shared" ca="1" si="17"/>
        <v>1.5456190215384018E-2</v>
      </c>
    </row>
    <row r="448" spans="2:7" x14ac:dyDescent="0.2">
      <c r="B448" s="167">
        <v>39321</v>
      </c>
      <c r="C448" s="28">
        <v>54.73</v>
      </c>
      <c r="D448" s="83">
        <f t="shared" si="16"/>
        <v>-0.52487195069016412</v>
      </c>
      <c r="E448" s="83">
        <v>2.1463232549458727E-2</v>
      </c>
      <c r="F448" s="83">
        <v>440</v>
      </c>
      <c r="G448" s="83">
        <f t="shared" ca="1" si="17"/>
        <v>1.0638008200430807E-2</v>
      </c>
    </row>
    <row r="449" spans="2:7" x14ac:dyDescent="0.2">
      <c r="B449" s="167">
        <v>40555</v>
      </c>
      <c r="C449" s="28">
        <v>115.19</v>
      </c>
      <c r="D449" s="83">
        <f t="shared" si="16"/>
        <v>-0.55602235498169206</v>
      </c>
      <c r="E449" s="83">
        <v>2.145960805178684E-2</v>
      </c>
      <c r="F449" s="83">
        <v>441</v>
      </c>
      <c r="G449" s="83">
        <f t="shared" ca="1" si="17"/>
        <v>1.4926235434194828E-3</v>
      </c>
    </row>
    <row r="450" spans="2:7" x14ac:dyDescent="0.2">
      <c r="B450" s="167">
        <v>41978</v>
      </c>
      <c r="C450" s="28">
        <v>259.45</v>
      </c>
      <c r="D450" s="83">
        <f t="shared" si="16"/>
        <v>0.11018399657680789</v>
      </c>
      <c r="E450" s="83">
        <v>2.1416479666154866E-2</v>
      </c>
      <c r="F450" s="83">
        <v>442</v>
      </c>
      <c r="G450" s="83">
        <f t="shared" ca="1" si="17"/>
        <v>7.6736336423527543E-3</v>
      </c>
    </row>
    <row r="451" spans="2:7" x14ac:dyDescent="0.2">
      <c r="B451" s="167">
        <v>42702</v>
      </c>
      <c r="C451" s="28">
        <v>233.7</v>
      </c>
      <c r="D451" s="83">
        <f t="shared" si="16"/>
        <v>2.7374060450983526</v>
      </c>
      <c r="E451" s="83">
        <v>2.1416083916083815E-2</v>
      </c>
      <c r="F451" s="83">
        <v>443</v>
      </c>
      <c r="G451" s="83">
        <f t="shared" ca="1" si="17"/>
        <v>6.3339883530316356E-3</v>
      </c>
    </row>
    <row r="452" spans="2:7" x14ac:dyDescent="0.2">
      <c r="B452" s="167">
        <v>39924</v>
      </c>
      <c r="C452" s="28">
        <v>62.53</v>
      </c>
      <c r="D452" s="83">
        <f t="shared" si="16"/>
        <v>-0.6990132370637786</v>
      </c>
      <c r="E452" s="83">
        <v>2.1398235870630552E-2</v>
      </c>
      <c r="F452" s="83">
        <v>444</v>
      </c>
      <c r="G452" s="83">
        <f t="shared" ca="1" si="17"/>
        <v>-7.1156893043831969E-4</v>
      </c>
    </row>
    <row r="453" spans="2:7" x14ac:dyDescent="0.2">
      <c r="B453" s="167">
        <v>44188</v>
      </c>
      <c r="C453" s="28">
        <v>207.75</v>
      </c>
      <c r="D453" s="83">
        <f t="shared" si="16"/>
        <v>0.2728219580933709</v>
      </c>
      <c r="E453" s="83">
        <v>2.1386430678466049E-2</v>
      </c>
      <c r="F453" s="83">
        <v>445</v>
      </c>
      <c r="G453" s="83">
        <f t="shared" ca="1" si="17"/>
        <v>2.5547132880221743E-2</v>
      </c>
    </row>
    <row r="454" spans="2:7" x14ac:dyDescent="0.2">
      <c r="B454" s="167">
        <v>41016</v>
      </c>
      <c r="C454" s="28">
        <v>163.22</v>
      </c>
      <c r="D454" s="83">
        <f t="shared" si="16"/>
        <v>2.4412818890997259</v>
      </c>
      <c r="E454" s="83">
        <v>2.1337838683436559E-2</v>
      </c>
      <c r="F454" s="83">
        <v>446</v>
      </c>
      <c r="G454" s="83">
        <f t="shared" ca="1" si="17"/>
        <v>9.0337848660566634E-3</v>
      </c>
    </row>
    <row r="455" spans="2:7" x14ac:dyDescent="0.2">
      <c r="B455" s="167">
        <v>38720</v>
      </c>
      <c r="C455" s="28">
        <v>47.43</v>
      </c>
      <c r="D455" s="83">
        <f t="shared" si="16"/>
        <v>-0.8352552969781174</v>
      </c>
      <c r="E455" s="83">
        <v>2.1317829457364386E-2</v>
      </c>
      <c r="F455" s="83">
        <v>447</v>
      </c>
      <c r="G455" s="83">
        <f t="shared" ca="1" si="17"/>
        <v>1.2357610076233837E-2</v>
      </c>
    </row>
    <row r="456" spans="2:7" x14ac:dyDescent="0.2">
      <c r="B456" s="167">
        <v>42815</v>
      </c>
      <c r="C456" s="28">
        <v>287.89999999999998</v>
      </c>
      <c r="D456" s="83">
        <f t="shared" si="16"/>
        <v>1.6495490520890852</v>
      </c>
      <c r="E456" s="83">
        <v>2.1284143313231644E-2</v>
      </c>
      <c r="F456" s="83">
        <v>448</v>
      </c>
      <c r="G456" s="83">
        <f t="shared" ca="1" si="17"/>
        <v>-1.5124589034340833E-2</v>
      </c>
    </row>
    <row r="457" spans="2:7" x14ac:dyDescent="0.2">
      <c r="B457" s="167">
        <v>40416</v>
      </c>
      <c r="C457" s="28">
        <v>108.66</v>
      </c>
      <c r="D457" s="83">
        <f t="shared" ref="D457:D520" si="18">(C457-C458)/C458</f>
        <v>-0.77148745557401532</v>
      </c>
      <c r="E457" s="83">
        <v>2.1240601503759313E-2</v>
      </c>
      <c r="F457" s="83">
        <v>449</v>
      </c>
      <c r="G457" s="83">
        <f t="shared" ref="G457:G520" ca="1" si="19">_xlfn.NORM.INV(RAND(),$M$10,$M$11)</f>
        <v>-9.1126725239507617E-3</v>
      </c>
    </row>
    <row r="458" spans="2:7" x14ac:dyDescent="0.2">
      <c r="B458" s="167">
        <v>45520</v>
      </c>
      <c r="C458" s="28">
        <v>475.51</v>
      </c>
      <c r="D458" s="83">
        <f t="shared" si="18"/>
        <v>12.146530273707491</v>
      </c>
      <c r="E458" s="83">
        <v>2.1218564095956006E-2</v>
      </c>
      <c r="F458" s="83">
        <v>450</v>
      </c>
      <c r="G458" s="83">
        <f t="shared" ca="1" si="19"/>
        <v>1.7745732650625984E-2</v>
      </c>
    </row>
    <row r="459" spans="2:7" x14ac:dyDescent="0.2">
      <c r="B459" s="167">
        <v>38530</v>
      </c>
      <c r="C459" s="28">
        <v>36.17</v>
      </c>
      <c r="D459" s="83">
        <f t="shared" si="18"/>
        <v>-0.58832233098110631</v>
      </c>
      <c r="E459" s="83">
        <v>2.1174477696216824E-2</v>
      </c>
      <c r="F459" s="83">
        <v>451</v>
      </c>
      <c r="G459" s="83">
        <f t="shared" ca="1" si="19"/>
        <v>5.8347676608103052E-3</v>
      </c>
    </row>
    <row r="460" spans="2:7" x14ac:dyDescent="0.2">
      <c r="B460" s="167">
        <v>40310</v>
      </c>
      <c r="C460" s="28">
        <v>87.86</v>
      </c>
      <c r="D460" s="83">
        <f t="shared" si="18"/>
        <v>-0.63192291579388349</v>
      </c>
      <c r="E460" s="83">
        <v>2.115295211529513E-2</v>
      </c>
      <c r="F460" s="83">
        <v>452</v>
      </c>
      <c r="G460" s="83">
        <f t="shared" ca="1" si="19"/>
        <v>7.6135755781885899E-3</v>
      </c>
    </row>
    <row r="461" spans="2:7" x14ac:dyDescent="0.2">
      <c r="B461" s="167">
        <v>41471</v>
      </c>
      <c r="C461" s="28">
        <v>238.7</v>
      </c>
      <c r="D461" s="83">
        <f t="shared" si="18"/>
        <v>9.5205322321633409E-2</v>
      </c>
      <c r="E461" s="83">
        <v>2.1132785763175899E-2</v>
      </c>
      <c r="F461" s="83">
        <v>453</v>
      </c>
      <c r="G461" s="83">
        <f t="shared" ca="1" si="19"/>
        <v>1.704723414106539E-2</v>
      </c>
    </row>
    <row r="462" spans="2:7" x14ac:dyDescent="0.2">
      <c r="B462" s="167">
        <v>41696</v>
      </c>
      <c r="C462" s="28">
        <v>217.95</v>
      </c>
      <c r="D462" s="83">
        <f t="shared" si="18"/>
        <v>7.3380940655010968E-2</v>
      </c>
      <c r="E462" s="83">
        <v>2.113005997001495E-2</v>
      </c>
      <c r="F462" s="83">
        <v>454</v>
      </c>
      <c r="G462" s="83">
        <f t="shared" ca="1" si="19"/>
        <v>5.1362320247000165E-3</v>
      </c>
    </row>
    <row r="463" spans="2:7" x14ac:dyDescent="0.2">
      <c r="B463" s="167">
        <v>44054</v>
      </c>
      <c r="C463" s="28">
        <v>203.05</v>
      </c>
      <c r="D463" s="83">
        <f t="shared" si="18"/>
        <v>1.1709018435475949E-2</v>
      </c>
      <c r="E463" s="83">
        <v>2.1121448327885428E-2</v>
      </c>
      <c r="F463" s="83">
        <v>455</v>
      </c>
      <c r="G463" s="83">
        <f t="shared" ca="1" si="19"/>
        <v>2.8919449950216138E-2</v>
      </c>
    </row>
    <row r="464" spans="2:7" x14ac:dyDescent="0.2">
      <c r="B464" s="167">
        <v>44035</v>
      </c>
      <c r="C464" s="28">
        <v>200.7</v>
      </c>
      <c r="D464" s="83">
        <f t="shared" si="18"/>
        <v>-0.29143865842894973</v>
      </c>
      <c r="E464" s="83">
        <v>2.1114220300177955E-2</v>
      </c>
      <c r="F464" s="83">
        <v>456</v>
      </c>
      <c r="G464" s="83">
        <f t="shared" ca="1" si="19"/>
        <v>-9.2368962511628246E-3</v>
      </c>
    </row>
    <row r="465" spans="2:7" x14ac:dyDescent="0.2">
      <c r="B465" s="167">
        <v>43406</v>
      </c>
      <c r="C465" s="28">
        <v>283.25</v>
      </c>
      <c r="D465" s="83">
        <f t="shared" si="18"/>
        <v>3.9973535638673252</v>
      </c>
      <c r="E465" s="83">
        <v>2.108868060562373E-2</v>
      </c>
      <c r="F465" s="83">
        <v>457</v>
      </c>
      <c r="G465" s="83">
        <f t="shared" ca="1" si="19"/>
        <v>2.8041701579419553E-2</v>
      </c>
    </row>
    <row r="466" spans="2:7" x14ac:dyDescent="0.2">
      <c r="B466" s="167">
        <v>39294</v>
      </c>
      <c r="C466" s="28">
        <v>56.68</v>
      </c>
      <c r="D466" s="83">
        <f t="shared" si="18"/>
        <v>-0.29546302050963336</v>
      </c>
      <c r="E466" s="83">
        <v>2.107728337236537E-2</v>
      </c>
      <c r="F466" s="83">
        <v>458</v>
      </c>
      <c r="G466" s="83">
        <f t="shared" ca="1" si="19"/>
        <v>9.1077809728591749E-4</v>
      </c>
    </row>
    <row r="467" spans="2:7" x14ac:dyDescent="0.2">
      <c r="B467" s="167">
        <v>40024</v>
      </c>
      <c r="C467" s="28">
        <v>80.45</v>
      </c>
      <c r="D467" s="83">
        <f t="shared" si="18"/>
        <v>0.15241369431313564</v>
      </c>
      <c r="E467" s="83">
        <v>2.1068663535981677E-2</v>
      </c>
      <c r="F467" s="83">
        <v>459</v>
      </c>
      <c r="G467" s="83">
        <f t="shared" ca="1" si="19"/>
        <v>2.3306467249404311E-2</v>
      </c>
    </row>
    <row r="468" spans="2:7" x14ac:dyDescent="0.2">
      <c r="B468" s="167">
        <v>39539</v>
      </c>
      <c r="C468" s="28">
        <v>69.81</v>
      </c>
      <c r="D468" s="83">
        <f t="shared" si="18"/>
        <v>5.6926570779712422E-2</v>
      </c>
      <c r="E468" s="83">
        <v>2.1061869240895096E-2</v>
      </c>
      <c r="F468" s="83">
        <v>460</v>
      </c>
      <c r="G468" s="83">
        <f t="shared" ca="1" si="19"/>
        <v>-3.8254044041731924E-2</v>
      </c>
    </row>
    <row r="469" spans="2:7" x14ac:dyDescent="0.2">
      <c r="B469" s="167">
        <v>38810</v>
      </c>
      <c r="C469" s="28">
        <v>66.05</v>
      </c>
      <c r="D469" s="83">
        <f t="shared" si="18"/>
        <v>-0.70783385677002697</v>
      </c>
      <c r="E469" s="83">
        <v>2.1023342093059196E-2</v>
      </c>
      <c r="F469" s="83">
        <v>461</v>
      </c>
      <c r="G469" s="83">
        <f t="shared" ca="1" si="19"/>
        <v>7.4734387094243411E-3</v>
      </c>
    </row>
    <row r="470" spans="2:7" x14ac:dyDescent="0.2">
      <c r="B470" s="167">
        <v>41710</v>
      </c>
      <c r="C470" s="28">
        <v>226.07</v>
      </c>
      <c r="D470" s="83">
        <f t="shared" si="18"/>
        <v>2.5657728706624603</v>
      </c>
      <c r="E470" s="83">
        <v>2.0954703518041757E-2</v>
      </c>
      <c r="F470" s="83">
        <v>462</v>
      </c>
      <c r="G470" s="83">
        <f t="shared" ca="1" si="19"/>
        <v>2.2992822572114251E-2</v>
      </c>
    </row>
    <row r="471" spans="2:7" x14ac:dyDescent="0.2">
      <c r="B471" s="167">
        <v>39027</v>
      </c>
      <c r="C471" s="28">
        <v>63.4</v>
      </c>
      <c r="D471" s="83">
        <f t="shared" si="18"/>
        <v>-0.66258648217136773</v>
      </c>
      <c r="E471" s="83">
        <v>2.093397745571654E-2</v>
      </c>
      <c r="F471" s="83">
        <v>463</v>
      </c>
      <c r="G471" s="83">
        <f t="shared" ca="1" si="19"/>
        <v>-2.2567930924230595E-2</v>
      </c>
    </row>
    <row r="472" spans="2:7" x14ac:dyDescent="0.2">
      <c r="B472" s="167">
        <v>44154</v>
      </c>
      <c r="C472" s="28">
        <v>187.9</v>
      </c>
      <c r="D472" s="83">
        <f t="shared" si="18"/>
        <v>-0.25332803496920325</v>
      </c>
      <c r="E472" s="83">
        <v>2.0918228742189592E-2</v>
      </c>
      <c r="F472" s="83">
        <v>464</v>
      </c>
      <c r="G472" s="83">
        <f t="shared" ca="1" si="19"/>
        <v>2.9751398671676536E-3</v>
      </c>
    </row>
    <row r="473" spans="2:7" x14ac:dyDescent="0.2">
      <c r="B473" s="167">
        <v>42593</v>
      </c>
      <c r="C473" s="28">
        <v>251.65</v>
      </c>
      <c r="D473" s="83">
        <f t="shared" si="18"/>
        <v>2.8431582162492366</v>
      </c>
      <c r="E473" s="83">
        <v>2.0892494929006109E-2</v>
      </c>
      <c r="F473" s="83">
        <v>465</v>
      </c>
      <c r="G473" s="83">
        <f t="shared" ca="1" si="19"/>
        <v>5.5010662332175796E-3</v>
      </c>
    </row>
    <row r="474" spans="2:7" x14ac:dyDescent="0.2">
      <c r="B474" s="167">
        <v>39434</v>
      </c>
      <c r="C474" s="28">
        <v>65.48</v>
      </c>
      <c r="D474" s="83">
        <f t="shared" si="18"/>
        <v>-0.72039796746231688</v>
      </c>
      <c r="E474" s="83">
        <v>2.0891799189273516E-2</v>
      </c>
      <c r="F474" s="83">
        <v>466</v>
      </c>
      <c r="G474" s="83">
        <f t="shared" ca="1" si="19"/>
        <v>7.9285452509843448E-3</v>
      </c>
    </row>
    <row r="475" spans="2:7" x14ac:dyDescent="0.2">
      <c r="B475" s="167">
        <v>41746</v>
      </c>
      <c r="C475" s="28">
        <v>234.19</v>
      </c>
      <c r="D475" s="83">
        <f t="shared" si="18"/>
        <v>2.6229888613861387</v>
      </c>
      <c r="E475" s="83">
        <v>2.0791561328567739E-2</v>
      </c>
      <c r="F475" s="83">
        <v>467</v>
      </c>
      <c r="G475" s="83">
        <f t="shared" ca="1" si="19"/>
        <v>-1.5403516798605261E-2</v>
      </c>
    </row>
    <row r="476" spans="2:7" x14ac:dyDescent="0.2">
      <c r="B476" s="167">
        <v>39713</v>
      </c>
      <c r="C476" s="28">
        <v>64.64</v>
      </c>
      <c r="D476" s="83">
        <f t="shared" si="18"/>
        <v>0.65743589743589748</v>
      </c>
      <c r="E476" s="83">
        <v>2.0685299226275104E-2</v>
      </c>
      <c r="F476" s="83">
        <v>468</v>
      </c>
      <c r="G476" s="83">
        <f t="shared" ca="1" si="19"/>
        <v>-1.4760705563637747E-2</v>
      </c>
    </row>
    <row r="477" spans="2:7" x14ac:dyDescent="0.2">
      <c r="B477" s="167">
        <v>38547</v>
      </c>
      <c r="C477" s="28">
        <v>39</v>
      </c>
      <c r="D477" s="83">
        <f t="shared" si="18"/>
        <v>-0.91307255098629225</v>
      </c>
      <c r="E477" s="83">
        <v>2.0675215912064882E-2</v>
      </c>
      <c r="F477" s="83">
        <v>469</v>
      </c>
      <c r="G477" s="83">
        <f t="shared" ca="1" si="19"/>
        <v>1.5466903217294341E-2</v>
      </c>
    </row>
    <row r="478" spans="2:7" x14ac:dyDescent="0.2">
      <c r="B478" s="167">
        <v>45649</v>
      </c>
      <c r="C478" s="28">
        <v>448.65</v>
      </c>
      <c r="D478" s="83">
        <f t="shared" si="18"/>
        <v>0.79008897578103177</v>
      </c>
      <c r="E478" s="83">
        <v>2.0656550720021805E-2</v>
      </c>
      <c r="F478" s="83">
        <v>470</v>
      </c>
      <c r="G478" s="83">
        <f t="shared" ca="1" si="19"/>
        <v>3.8703065598722844E-3</v>
      </c>
    </row>
    <row r="479" spans="2:7" x14ac:dyDescent="0.2">
      <c r="B479" s="167">
        <v>42048</v>
      </c>
      <c r="C479" s="28">
        <v>250.63</v>
      </c>
      <c r="D479" s="83">
        <f t="shared" si="18"/>
        <v>0.14057522526622365</v>
      </c>
      <c r="E479" s="83">
        <v>2.0646685127870962E-2</v>
      </c>
      <c r="F479" s="83">
        <v>471</v>
      </c>
      <c r="G479" s="83">
        <f t="shared" ca="1" si="19"/>
        <v>-1.3584366689688199E-2</v>
      </c>
    </row>
    <row r="480" spans="2:7" x14ac:dyDescent="0.2">
      <c r="B480" s="167">
        <v>42450</v>
      </c>
      <c r="C480" s="28">
        <v>219.74</v>
      </c>
      <c r="D480" s="83">
        <f t="shared" si="18"/>
        <v>-0.23502175805047865</v>
      </c>
      <c r="E480" s="83">
        <v>2.0622387366465385E-2</v>
      </c>
      <c r="F480" s="83">
        <v>472</v>
      </c>
      <c r="G480" s="83">
        <f t="shared" ca="1" si="19"/>
        <v>-1.1109253750860125E-2</v>
      </c>
    </row>
    <row r="481" spans="2:7" x14ac:dyDescent="0.2">
      <c r="B481" s="167">
        <v>43222</v>
      </c>
      <c r="C481" s="28">
        <v>287.25</v>
      </c>
      <c r="D481" s="83">
        <f t="shared" si="18"/>
        <v>0.26397078236381244</v>
      </c>
      <c r="E481" s="83">
        <v>2.0607567951678847E-2</v>
      </c>
      <c r="F481" s="83">
        <v>473</v>
      </c>
      <c r="G481" s="83">
        <f t="shared" ca="1" si="19"/>
        <v>1.273563436589647E-2</v>
      </c>
    </row>
    <row r="482" spans="2:7" x14ac:dyDescent="0.2">
      <c r="B482" s="167">
        <v>42334</v>
      </c>
      <c r="C482" s="28">
        <v>227.26</v>
      </c>
      <c r="D482" s="83">
        <f t="shared" si="18"/>
        <v>0.25177637014596516</v>
      </c>
      <c r="E482" s="83">
        <v>2.0521801607615939E-2</v>
      </c>
      <c r="F482" s="83">
        <v>474</v>
      </c>
      <c r="G482" s="83">
        <f t="shared" ca="1" si="19"/>
        <v>-1.2722111533831192E-2</v>
      </c>
    </row>
    <row r="483" spans="2:7" x14ac:dyDescent="0.2">
      <c r="B483" s="167">
        <v>43928</v>
      </c>
      <c r="C483" s="28">
        <v>181.55</v>
      </c>
      <c r="D483" s="83">
        <f t="shared" si="18"/>
        <v>-0.42135458167330675</v>
      </c>
      <c r="E483" s="83">
        <v>2.0517144463181595E-2</v>
      </c>
      <c r="F483" s="83">
        <v>475</v>
      </c>
      <c r="G483" s="83">
        <f t="shared" ca="1" si="19"/>
        <v>-9.8653741665493348E-3</v>
      </c>
    </row>
    <row r="484" spans="2:7" x14ac:dyDescent="0.2">
      <c r="B484" s="167">
        <v>43329</v>
      </c>
      <c r="C484" s="28">
        <v>313.75</v>
      </c>
      <c r="D484" s="83">
        <f t="shared" si="18"/>
        <v>3.9518623737373737</v>
      </c>
      <c r="E484" s="83">
        <v>2.0491136770206576E-2</v>
      </c>
      <c r="F484" s="83">
        <v>476</v>
      </c>
      <c r="G484" s="83">
        <f t="shared" ca="1" si="19"/>
        <v>3.7001897483246809E-2</v>
      </c>
    </row>
    <row r="485" spans="2:7" x14ac:dyDescent="0.2">
      <c r="B485" s="167">
        <v>39531</v>
      </c>
      <c r="C485" s="28">
        <v>63.36</v>
      </c>
      <c r="D485" s="83">
        <f t="shared" si="18"/>
        <v>-0.74620468656118577</v>
      </c>
      <c r="E485" s="83">
        <v>2.0454179416975294E-2</v>
      </c>
      <c r="F485" s="83">
        <v>477</v>
      </c>
      <c r="G485" s="83">
        <f t="shared" ca="1" si="19"/>
        <v>5.1742611981818246E-2</v>
      </c>
    </row>
    <row r="486" spans="2:7" x14ac:dyDescent="0.2">
      <c r="B486" s="167">
        <v>42748</v>
      </c>
      <c r="C486" s="28">
        <v>249.65</v>
      </c>
      <c r="D486" s="83">
        <f t="shared" si="18"/>
        <v>0.57200428184623131</v>
      </c>
      <c r="E486" s="83">
        <v>2.0437359493153485E-2</v>
      </c>
      <c r="F486" s="83">
        <v>478</v>
      </c>
      <c r="G486" s="83">
        <f t="shared" ca="1" si="19"/>
        <v>-1.8580984404791112E-2</v>
      </c>
    </row>
    <row r="487" spans="2:7" x14ac:dyDescent="0.2">
      <c r="B487" s="167">
        <v>41047</v>
      </c>
      <c r="C487" s="28">
        <v>158.81</v>
      </c>
      <c r="D487" s="83">
        <f t="shared" si="18"/>
        <v>-0.64282661988619749</v>
      </c>
      <c r="E487" s="83">
        <v>2.0433078455310717E-2</v>
      </c>
      <c r="F487" s="83">
        <v>479</v>
      </c>
      <c r="G487" s="83">
        <f t="shared" ca="1" si="19"/>
        <v>-1.5766202490452793E-2</v>
      </c>
    </row>
    <row r="488" spans="2:7" x14ac:dyDescent="0.2">
      <c r="B488" s="167">
        <v>45639</v>
      </c>
      <c r="C488" s="28">
        <v>444.63</v>
      </c>
      <c r="D488" s="83">
        <f t="shared" si="18"/>
        <v>1.0792648709315376</v>
      </c>
      <c r="E488" s="83">
        <v>2.0425492851077448E-2</v>
      </c>
      <c r="F488" s="83">
        <v>480</v>
      </c>
      <c r="G488" s="83">
        <f t="shared" ca="1" si="19"/>
        <v>-8.2507512790887493E-3</v>
      </c>
    </row>
    <row r="489" spans="2:7" x14ac:dyDescent="0.2">
      <c r="B489" s="167">
        <v>42271</v>
      </c>
      <c r="C489" s="28">
        <v>213.84</v>
      </c>
      <c r="D489" s="83">
        <f t="shared" si="18"/>
        <v>0.18411872196688631</v>
      </c>
      <c r="E489" s="83">
        <v>2.0423744989501818E-2</v>
      </c>
      <c r="F489" s="83">
        <v>481</v>
      </c>
      <c r="G489" s="83">
        <f t="shared" ca="1" si="19"/>
        <v>5.5245694910586347E-3</v>
      </c>
    </row>
    <row r="490" spans="2:7" x14ac:dyDescent="0.2">
      <c r="B490" s="167">
        <v>41180</v>
      </c>
      <c r="C490" s="28">
        <v>180.59</v>
      </c>
      <c r="D490" s="83">
        <f t="shared" si="18"/>
        <v>0.13002940992428511</v>
      </c>
      <c r="E490" s="83">
        <v>2.0397785060458886E-2</v>
      </c>
      <c r="F490" s="83">
        <v>482</v>
      </c>
      <c r="G490" s="83">
        <f t="shared" ca="1" si="19"/>
        <v>-2.7140973108231232E-2</v>
      </c>
    </row>
    <row r="491" spans="2:7" x14ac:dyDescent="0.2">
      <c r="B491" s="167">
        <v>41015</v>
      </c>
      <c r="C491" s="28">
        <v>159.81</v>
      </c>
      <c r="D491" s="83">
        <f t="shared" si="18"/>
        <v>-0.55421350665290525</v>
      </c>
      <c r="E491" s="83">
        <v>2.0367769122717389E-2</v>
      </c>
      <c r="F491" s="83">
        <v>483</v>
      </c>
      <c r="G491" s="83">
        <f t="shared" ca="1" si="19"/>
        <v>1.6292339453529994E-2</v>
      </c>
    </row>
    <row r="492" spans="2:7" x14ac:dyDescent="0.2">
      <c r="B492" s="167">
        <v>44874</v>
      </c>
      <c r="C492" s="28">
        <v>358.49</v>
      </c>
      <c r="D492" s="83">
        <f t="shared" si="18"/>
        <v>-0.16273909895602215</v>
      </c>
      <c r="E492" s="83">
        <v>2.035065748278031E-2</v>
      </c>
      <c r="F492" s="83">
        <v>484</v>
      </c>
      <c r="G492" s="83">
        <f t="shared" ca="1" si="19"/>
        <v>-9.8347596720834898E-3</v>
      </c>
    </row>
    <row r="493" spans="2:7" x14ac:dyDescent="0.2">
      <c r="B493" s="167">
        <v>45482</v>
      </c>
      <c r="C493" s="28">
        <v>428.17</v>
      </c>
      <c r="D493" s="83">
        <f t="shared" si="18"/>
        <v>0.94269509981851185</v>
      </c>
      <c r="E493" s="83">
        <v>2.0302633146669937E-2</v>
      </c>
      <c r="F493" s="83">
        <v>485</v>
      </c>
      <c r="G493" s="83">
        <f t="shared" ca="1" si="19"/>
        <v>-1.5499698099264599E-2</v>
      </c>
    </row>
    <row r="494" spans="2:7" x14ac:dyDescent="0.2">
      <c r="B494" s="167">
        <v>42095</v>
      </c>
      <c r="C494" s="28">
        <v>220.4</v>
      </c>
      <c r="D494" s="83">
        <f t="shared" si="18"/>
        <v>-0.16594134342478711</v>
      </c>
      <c r="E494" s="83">
        <v>2.027590037959446E-2</v>
      </c>
      <c r="F494" s="83">
        <v>486</v>
      </c>
      <c r="G494" s="83">
        <f t="shared" ca="1" si="19"/>
        <v>2.570557098879887E-2</v>
      </c>
    </row>
    <row r="495" spans="2:7" x14ac:dyDescent="0.2">
      <c r="B495" s="167">
        <v>43083</v>
      </c>
      <c r="C495" s="28">
        <v>264.25</v>
      </c>
      <c r="D495" s="83">
        <f t="shared" si="18"/>
        <v>0.3398063174973382</v>
      </c>
      <c r="E495" s="83">
        <v>2.0270270270270271E-2</v>
      </c>
      <c r="F495" s="83">
        <v>487</v>
      </c>
      <c r="G495" s="83">
        <f t="shared" ca="1" si="19"/>
        <v>-1.1443137604717241E-2</v>
      </c>
    </row>
    <row r="496" spans="2:7" x14ac:dyDescent="0.2">
      <c r="B496" s="167">
        <v>41201</v>
      </c>
      <c r="C496" s="28">
        <v>197.23</v>
      </c>
      <c r="D496" s="83">
        <f t="shared" si="18"/>
        <v>2.8847157016171108E-2</v>
      </c>
      <c r="E496" s="83">
        <v>2.0225532795365181E-2</v>
      </c>
      <c r="F496" s="83">
        <v>488</v>
      </c>
      <c r="G496" s="83">
        <f t="shared" ca="1" si="19"/>
        <v>-2.1704615899198393E-2</v>
      </c>
    </row>
    <row r="497" spans="2:7" x14ac:dyDescent="0.2">
      <c r="B497" s="167">
        <v>44155</v>
      </c>
      <c r="C497" s="28">
        <v>191.7</v>
      </c>
      <c r="D497" s="83">
        <f t="shared" si="18"/>
        <v>-0.1316361659720964</v>
      </c>
      <c r="E497" s="83">
        <v>2.0223523150611936E-2</v>
      </c>
      <c r="F497" s="83">
        <v>489</v>
      </c>
      <c r="G497" s="83">
        <f t="shared" ca="1" si="19"/>
        <v>-2.4270516055071616E-2</v>
      </c>
    </row>
    <row r="498" spans="2:7" x14ac:dyDescent="0.2">
      <c r="B498" s="167">
        <v>42142</v>
      </c>
      <c r="C498" s="28">
        <v>220.76</v>
      </c>
      <c r="D498" s="83">
        <f t="shared" si="18"/>
        <v>-0.46667310897977921</v>
      </c>
      <c r="E498" s="83">
        <v>2.0195018254078306E-2</v>
      </c>
      <c r="F498" s="83">
        <v>490</v>
      </c>
      <c r="G498" s="83">
        <f t="shared" ca="1" si="19"/>
        <v>8.3440408909750061E-3</v>
      </c>
    </row>
    <row r="499" spans="2:7" x14ac:dyDescent="0.2">
      <c r="B499" s="167">
        <v>45407</v>
      </c>
      <c r="C499" s="28">
        <v>413.93</v>
      </c>
      <c r="D499" s="83">
        <f t="shared" si="18"/>
        <v>1.83164591599398</v>
      </c>
      <c r="E499" s="83">
        <v>2.018534036575146E-2</v>
      </c>
      <c r="F499" s="83">
        <v>491</v>
      </c>
      <c r="G499" s="83">
        <f t="shared" ca="1" si="19"/>
        <v>1.7024712297075237E-2</v>
      </c>
    </row>
    <row r="500" spans="2:7" x14ac:dyDescent="0.2">
      <c r="B500" s="167">
        <v>40987</v>
      </c>
      <c r="C500" s="28">
        <v>146.18</v>
      </c>
      <c r="D500" s="83">
        <f t="shared" si="18"/>
        <v>-0.14062316284538501</v>
      </c>
      <c r="E500" s="83">
        <v>2.0097697138869473E-2</v>
      </c>
      <c r="F500" s="83">
        <v>492</v>
      </c>
      <c r="G500" s="83">
        <f t="shared" ca="1" si="19"/>
        <v>3.0378723930774201E-2</v>
      </c>
    </row>
    <row r="501" spans="2:7" x14ac:dyDescent="0.2">
      <c r="B501" s="167">
        <v>44138</v>
      </c>
      <c r="C501" s="28">
        <v>170.1</v>
      </c>
      <c r="D501" s="83">
        <f t="shared" si="18"/>
        <v>-0.29661332340900637</v>
      </c>
      <c r="E501" s="83">
        <v>2.0089955022488722E-2</v>
      </c>
      <c r="F501" s="83">
        <v>493</v>
      </c>
      <c r="G501" s="83">
        <f t="shared" ca="1" si="19"/>
        <v>3.6923354106165492E-2</v>
      </c>
    </row>
    <row r="502" spans="2:7" x14ac:dyDescent="0.2">
      <c r="B502" s="167">
        <v>42528</v>
      </c>
      <c r="C502" s="28">
        <v>241.83</v>
      </c>
      <c r="D502" s="83">
        <f t="shared" si="18"/>
        <v>0.11416724257083621</v>
      </c>
      <c r="E502" s="83">
        <v>2.0078457839456783E-2</v>
      </c>
      <c r="F502" s="83">
        <v>494</v>
      </c>
      <c r="G502" s="83">
        <f t="shared" ca="1" si="19"/>
        <v>-2.7477194670174751E-3</v>
      </c>
    </row>
    <row r="503" spans="2:7" x14ac:dyDescent="0.2">
      <c r="B503" s="167">
        <v>42486</v>
      </c>
      <c r="C503" s="28">
        <v>217.05</v>
      </c>
      <c r="D503" s="83">
        <f t="shared" si="18"/>
        <v>0.25151357896557691</v>
      </c>
      <c r="E503" s="83">
        <v>2.0067675533414844E-2</v>
      </c>
      <c r="F503" s="83">
        <v>495</v>
      </c>
      <c r="G503" s="83">
        <f t="shared" ca="1" si="19"/>
        <v>1.6641868538431272E-2</v>
      </c>
    </row>
    <row r="504" spans="2:7" x14ac:dyDescent="0.2">
      <c r="B504" s="167">
        <v>41173</v>
      </c>
      <c r="C504" s="28">
        <v>173.43</v>
      </c>
      <c r="D504" s="83">
        <f t="shared" si="18"/>
        <v>-0.64176237296538052</v>
      </c>
      <c r="E504" s="83">
        <v>2.0056463945418164E-2</v>
      </c>
      <c r="F504" s="83">
        <v>496</v>
      </c>
      <c r="G504" s="83">
        <f t="shared" ca="1" si="19"/>
        <v>3.6858711228039881E-2</v>
      </c>
    </row>
    <row r="505" spans="2:7" x14ac:dyDescent="0.2">
      <c r="B505" s="167">
        <v>45544</v>
      </c>
      <c r="C505" s="28">
        <v>484.12</v>
      </c>
      <c r="D505" s="83">
        <f t="shared" si="18"/>
        <v>0.99554822753503713</v>
      </c>
      <c r="E505" s="83">
        <v>2.003750447736034E-2</v>
      </c>
      <c r="F505" s="83">
        <v>497</v>
      </c>
      <c r="G505" s="83">
        <f t="shared" ca="1" si="19"/>
        <v>-1.9496534542954119E-2</v>
      </c>
    </row>
    <row r="506" spans="2:7" x14ac:dyDescent="0.2">
      <c r="B506" s="167">
        <v>44636</v>
      </c>
      <c r="C506" s="28">
        <v>242.6</v>
      </c>
      <c r="D506" s="83">
        <f t="shared" si="18"/>
        <v>-0.25427271609492191</v>
      </c>
      <c r="E506" s="83">
        <v>1.9970569686777382E-2</v>
      </c>
      <c r="F506" s="83">
        <v>498</v>
      </c>
      <c r="G506" s="83">
        <f t="shared" ca="1" si="19"/>
        <v>1.4034768797183142E-2</v>
      </c>
    </row>
    <row r="507" spans="2:7" x14ac:dyDescent="0.2">
      <c r="B507" s="167">
        <v>44953</v>
      </c>
      <c r="C507" s="28">
        <v>325.32</v>
      </c>
      <c r="D507" s="83">
        <f t="shared" si="18"/>
        <v>4.0382530586959895</v>
      </c>
      <c r="E507" s="83">
        <v>1.9907828322412658E-2</v>
      </c>
      <c r="F507" s="83">
        <v>499</v>
      </c>
      <c r="G507" s="83">
        <f t="shared" ca="1" si="19"/>
        <v>-5.395492952534625E-3</v>
      </c>
    </row>
    <row r="508" spans="2:7" x14ac:dyDescent="0.2">
      <c r="B508" s="167">
        <v>38853</v>
      </c>
      <c r="C508" s="28">
        <v>64.569999999999993</v>
      </c>
      <c r="D508" s="83">
        <f t="shared" si="18"/>
        <v>-0.8317832486648431</v>
      </c>
      <c r="E508" s="83">
        <v>1.9902069183383206E-2</v>
      </c>
      <c r="F508" s="83">
        <v>500</v>
      </c>
      <c r="G508" s="83">
        <f t="shared" ca="1" si="19"/>
        <v>-4.2513231782734652E-4</v>
      </c>
    </row>
    <row r="509" spans="2:7" x14ac:dyDescent="0.2">
      <c r="B509" s="167">
        <v>45037</v>
      </c>
      <c r="C509" s="28">
        <v>383.85</v>
      </c>
      <c r="D509" s="83">
        <f t="shared" si="18"/>
        <v>5.6135423845623711</v>
      </c>
      <c r="E509" s="83">
        <v>1.9874060100433133E-2</v>
      </c>
      <c r="F509" s="83">
        <v>501</v>
      </c>
      <c r="G509" s="83">
        <f t="shared" ca="1" si="19"/>
        <v>2.9043864178998739E-2</v>
      </c>
    </row>
    <row r="510" spans="2:7" x14ac:dyDescent="0.2">
      <c r="B510" s="167">
        <v>39388</v>
      </c>
      <c r="C510" s="28">
        <v>58.04</v>
      </c>
      <c r="D510" s="83">
        <f t="shared" si="18"/>
        <v>-0.80348738784492979</v>
      </c>
      <c r="E510" s="83">
        <v>1.9855912844842779E-2</v>
      </c>
      <c r="F510" s="83">
        <v>502</v>
      </c>
      <c r="G510" s="83">
        <f t="shared" ca="1" si="19"/>
        <v>3.7232754505393588E-2</v>
      </c>
    </row>
    <row r="511" spans="2:7" x14ac:dyDescent="0.2">
      <c r="B511" s="167">
        <v>43476</v>
      </c>
      <c r="C511" s="28">
        <v>295.35000000000002</v>
      </c>
      <c r="D511" s="83">
        <f t="shared" si="18"/>
        <v>7.4530623926731554</v>
      </c>
      <c r="E511" s="83">
        <v>1.9854972375690606E-2</v>
      </c>
      <c r="F511" s="83">
        <v>503</v>
      </c>
      <c r="G511" s="83">
        <f t="shared" ca="1" si="19"/>
        <v>5.7316673647925872E-4</v>
      </c>
    </row>
    <row r="512" spans="2:7" x14ac:dyDescent="0.2">
      <c r="B512" s="167">
        <v>38511</v>
      </c>
      <c r="C512" s="28">
        <v>34.94</v>
      </c>
      <c r="D512" s="83">
        <f t="shared" si="18"/>
        <v>-0.8433745741438049</v>
      </c>
      <c r="E512" s="83">
        <v>1.9848219497956794E-2</v>
      </c>
      <c r="F512" s="83">
        <v>504</v>
      </c>
      <c r="G512" s="83">
        <f t="shared" ca="1" si="19"/>
        <v>1.5843017879688597E-2</v>
      </c>
    </row>
    <row r="513" spans="2:7" x14ac:dyDescent="0.2">
      <c r="B513" s="167">
        <v>41529</v>
      </c>
      <c r="C513" s="28">
        <v>223.08</v>
      </c>
      <c r="D513" s="83">
        <f t="shared" si="18"/>
        <v>0.59433962264150964</v>
      </c>
      <c r="E513" s="83">
        <v>1.9840907012892033E-2</v>
      </c>
      <c r="F513" s="83">
        <v>505</v>
      </c>
      <c r="G513" s="83">
        <f t="shared" ca="1" si="19"/>
        <v>-7.1872056488038539E-3</v>
      </c>
    </row>
    <row r="514" spans="2:7" x14ac:dyDescent="0.2">
      <c r="B514" s="167">
        <v>40841</v>
      </c>
      <c r="C514" s="28">
        <v>139.91999999999999</v>
      </c>
      <c r="D514" s="83">
        <f t="shared" si="18"/>
        <v>1.4037107026284139</v>
      </c>
      <c r="E514" s="83">
        <v>1.9825072886297368E-2</v>
      </c>
      <c r="F514" s="83">
        <v>506</v>
      </c>
      <c r="G514" s="83">
        <f t="shared" ca="1" si="19"/>
        <v>6.9788724177418746E-3</v>
      </c>
    </row>
    <row r="515" spans="2:7" x14ac:dyDescent="0.2">
      <c r="B515" s="167">
        <v>39101</v>
      </c>
      <c r="C515" s="28">
        <v>58.21</v>
      </c>
      <c r="D515" s="83">
        <f t="shared" si="18"/>
        <v>-0.83977429121937797</v>
      </c>
      <c r="E515" s="83">
        <v>1.9796776454099555E-2</v>
      </c>
      <c r="F515" s="83">
        <v>507</v>
      </c>
      <c r="G515" s="83">
        <f t="shared" ca="1" si="19"/>
        <v>-1.1957802293669214E-2</v>
      </c>
    </row>
    <row r="516" spans="2:7" x14ac:dyDescent="0.2">
      <c r="B516" s="167">
        <v>45021</v>
      </c>
      <c r="C516" s="28">
        <v>363.3</v>
      </c>
      <c r="D516" s="83">
        <f t="shared" si="18"/>
        <v>0.28170753219262668</v>
      </c>
      <c r="E516" s="83">
        <v>1.9789473684210558E-2</v>
      </c>
      <c r="F516" s="83">
        <v>508</v>
      </c>
      <c r="G516" s="83">
        <f t="shared" ca="1" si="19"/>
        <v>3.429087079499829E-2</v>
      </c>
    </row>
    <row r="517" spans="2:7" x14ac:dyDescent="0.2">
      <c r="B517" s="167">
        <v>42871</v>
      </c>
      <c r="C517" s="28">
        <v>283.45</v>
      </c>
      <c r="D517" s="83">
        <f t="shared" si="18"/>
        <v>0.49443770759740607</v>
      </c>
      <c r="E517" s="83">
        <v>1.9787731606404031E-2</v>
      </c>
      <c r="F517" s="83">
        <v>509</v>
      </c>
      <c r="G517" s="83">
        <f t="shared" ca="1" si="19"/>
        <v>-1.0212609407122864E-2</v>
      </c>
    </row>
    <row r="518" spans="2:7" x14ac:dyDescent="0.2">
      <c r="B518" s="167">
        <v>41234</v>
      </c>
      <c r="C518" s="28">
        <v>189.67</v>
      </c>
      <c r="D518" s="83">
        <f t="shared" si="18"/>
        <v>-0.39503062005613676</v>
      </c>
      <c r="E518" s="83">
        <v>1.9786010000537545E-2</v>
      </c>
      <c r="F518" s="83">
        <v>510</v>
      </c>
      <c r="G518" s="83">
        <f t="shared" ca="1" si="19"/>
        <v>2.0895087257039608E-3</v>
      </c>
    </row>
    <row r="519" spans="2:7" x14ac:dyDescent="0.2">
      <c r="B519" s="167">
        <v>44931</v>
      </c>
      <c r="C519" s="28">
        <v>313.52</v>
      </c>
      <c r="D519" s="83">
        <f t="shared" si="18"/>
        <v>4.995792694587875</v>
      </c>
      <c r="E519" s="83">
        <v>1.9743047650024374E-2</v>
      </c>
      <c r="F519" s="83">
        <v>511</v>
      </c>
      <c r="G519" s="83">
        <f t="shared" ca="1" si="19"/>
        <v>1.8011648398911024E-2</v>
      </c>
    </row>
    <row r="520" spans="2:7" x14ac:dyDescent="0.2">
      <c r="B520" s="167">
        <v>38742</v>
      </c>
      <c r="C520" s="28">
        <v>52.29</v>
      </c>
      <c r="D520" s="83">
        <f t="shared" si="18"/>
        <v>-0.19230769230769226</v>
      </c>
      <c r="E520" s="83">
        <v>1.9695787831513222E-2</v>
      </c>
      <c r="F520" s="83">
        <v>512</v>
      </c>
      <c r="G520" s="83">
        <f t="shared" ca="1" si="19"/>
        <v>2.6325072378820544E-3</v>
      </c>
    </row>
    <row r="521" spans="2:7" x14ac:dyDescent="0.2">
      <c r="B521" s="167">
        <v>39533</v>
      </c>
      <c r="C521" s="28">
        <v>64.739999999999995</v>
      </c>
      <c r="D521" s="83">
        <f t="shared" ref="D521:D584" si="20">(C521-C522)/C522</f>
        <v>-0.71483944853103121</v>
      </c>
      <c r="E521" s="83">
        <v>1.9688139864545484E-2</v>
      </c>
      <c r="F521" s="83">
        <v>513</v>
      </c>
      <c r="G521" s="83">
        <f t="shared" ref="G521:G584" ca="1" si="21">_xlfn.NORM.INV(RAND(),$M$10,$M$11)</f>
        <v>3.4653679851932261E-2</v>
      </c>
    </row>
    <row r="522" spans="2:7" x14ac:dyDescent="0.2">
      <c r="B522" s="167">
        <v>41409</v>
      </c>
      <c r="C522" s="28">
        <v>227.03</v>
      </c>
      <c r="D522" s="83">
        <f t="shared" si="20"/>
        <v>4.2638534662647807</v>
      </c>
      <c r="E522" s="83">
        <v>1.9672131147540961E-2</v>
      </c>
      <c r="F522" s="83">
        <v>514</v>
      </c>
      <c r="G522" s="83">
        <f t="shared" ca="1" si="21"/>
        <v>1.4641083280735446E-2</v>
      </c>
    </row>
    <row r="523" spans="2:7" x14ac:dyDescent="0.2">
      <c r="B523" s="167">
        <v>38667</v>
      </c>
      <c r="C523" s="28">
        <v>43.13</v>
      </c>
      <c r="D523" s="83">
        <f t="shared" si="20"/>
        <v>-0.72179578146165257</v>
      </c>
      <c r="E523" s="83">
        <v>1.962174940898358E-2</v>
      </c>
      <c r="F523" s="83">
        <v>515</v>
      </c>
      <c r="G523" s="83">
        <f t="shared" ca="1" si="21"/>
        <v>-2.4133225790917323E-3</v>
      </c>
    </row>
    <row r="524" spans="2:7" x14ac:dyDescent="0.2">
      <c r="B524" s="167">
        <v>41061</v>
      </c>
      <c r="C524" s="28">
        <v>155.03</v>
      </c>
      <c r="D524" s="83">
        <f t="shared" si="20"/>
        <v>0.36038961038961048</v>
      </c>
      <c r="E524" s="83">
        <v>1.9598816178888454E-2</v>
      </c>
      <c r="F524" s="83">
        <v>516</v>
      </c>
      <c r="G524" s="83">
        <f t="shared" ca="1" si="21"/>
        <v>-1.2896931113469201E-2</v>
      </c>
    </row>
    <row r="525" spans="2:7" x14ac:dyDescent="0.2">
      <c r="B525" s="167">
        <v>40512</v>
      </c>
      <c r="C525" s="28">
        <v>113.96</v>
      </c>
      <c r="D525" s="83">
        <f t="shared" si="20"/>
        <v>-9.6201126179712979E-2</v>
      </c>
      <c r="E525" s="83">
        <v>1.9593808714324038E-2</v>
      </c>
      <c r="F525" s="83">
        <v>517</v>
      </c>
      <c r="G525" s="83">
        <f t="shared" ca="1" si="21"/>
        <v>-1.8230079622798583E-2</v>
      </c>
    </row>
    <row r="526" spans="2:7" x14ac:dyDescent="0.2">
      <c r="B526" s="167">
        <v>40686</v>
      </c>
      <c r="C526" s="28">
        <v>126.09</v>
      </c>
      <c r="D526" s="83">
        <f t="shared" si="20"/>
        <v>0.9627957658779579</v>
      </c>
      <c r="E526" s="83">
        <v>1.9568205708741019E-2</v>
      </c>
      <c r="F526" s="83">
        <v>518</v>
      </c>
      <c r="G526" s="83">
        <f t="shared" ca="1" si="21"/>
        <v>9.501306295036753E-3</v>
      </c>
    </row>
    <row r="527" spans="2:7" x14ac:dyDescent="0.2">
      <c r="B527" s="167">
        <v>39671</v>
      </c>
      <c r="C527" s="28">
        <v>64.239999999999995</v>
      </c>
      <c r="D527" s="83">
        <f t="shared" si="20"/>
        <v>0.11760612386917185</v>
      </c>
      <c r="E527" s="83">
        <v>1.9520710998254195E-2</v>
      </c>
      <c r="F527" s="83">
        <v>519</v>
      </c>
      <c r="G527" s="83">
        <f t="shared" ca="1" si="21"/>
        <v>-1.6648683648339477E-2</v>
      </c>
    </row>
    <row r="528" spans="2:7" x14ac:dyDescent="0.2">
      <c r="B528" s="167">
        <v>39889</v>
      </c>
      <c r="C528" s="28">
        <v>57.48</v>
      </c>
      <c r="D528" s="83">
        <f t="shared" si="20"/>
        <v>-0.40552280484021103</v>
      </c>
      <c r="E528" s="83">
        <v>1.9510464703795572E-2</v>
      </c>
      <c r="F528" s="83">
        <v>520</v>
      </c>
      <c r="G528" s="83">
        <f t="shared" ca="1" si="21"/>
        <v>-2.7091487246359441E-2</v>
      </c>
    </row>
    <row r="529" spans="2:7" x14ac:dyDescent="0.2">
      <c r="B529" s="167">
        <v>40344</v>
      </c>
      <c r="C529" s="28">
        <v>96.69</v>
      </c>
      <c r="D529" s="83">
        <f t="shared" si="20"/>
        <v>-0.53165415354807455</v>
      </c>
      <c r="E529" s="83">
        <v>1.9506537326022713E-2</v>
      </c>
      <c r="F529" s="83">
        <v>521</v>
      </c>
      <c r="G529" s="83">
        <f t="shared" ca="1" si="21"/>
        <v>-1.0927428408889482E-2</v>
      </c>
    </row>
    <row r="530" spans="2:7" x14ac:dyDescent="0.2">
      <c r="B530" s="167">
        <v>44208</v>
      </c>
      <c r="C530" s="28">
        <v>206.45</v>
      </c>
      <c r="D530" s="83">
        <f t="shared" si="20"/>
        <v>2.6572187776793621</v>
      </c>
      <c r="E530" s="83">
        <v>1.9506172839506116E-2</v>
      </c>
      <c r="F530" s="83">
        <v>522</v>
      </c>
      <c r="G530" s="83">
        <f t="shared" ca="1" si="21"/>
        <v>6.4715038750280734E-3</v>
      </c>
    </row>
    <row r="531" spans="2:7" x14ac:dyDescent="0.2">
      <c r="B531" s="167">
        <v>39139</v>
      </c>
      <c r="C531" s="28">
        <v>56.45</v>
      </c>
      <c r="D531" s="83">
        <f t="shared" si="20"/>
        <v>-9.2735454837672718E-2</v>
      </c>
      <c r="E531" s="83">
        <v>1.9505147191620109E-2</v>
      </c>
      <c r="F531" s="83">
        <v>523</v>
      </c>
      <c r="G531" s="83">
        <f t="shared" ca="1" si="21"/>
        <v>2.6072803251192084E-4</v>
      </c>
    </row>
    <row r="532" spans="2:7" x14ac:dyDescent="0.2">
      <c r="B532" s="167">
        <v>39017</v>
      </c>
      <c r="C532" s="28">
        <v>62.22</v>
      </c>
      <c r="D532" s="83">
        <f t="shared" si="20"/>
        <v>-0.72340520115581242</v>
      </c>
      <c r="E532" s="83">
        <v>1.9498607242339795E-2</v>
      </c>
      <c r="F532" s="83">
        <v>524</v>
      </c>
      <c r="G532" s="83">
        <f t="shared" ca="1" si="21"/>
        <v>-1.956065592122468E-2</v>
      </c>
    </row>
    <row r="533" spans="2:7" x14ac:dyDescent="0.2">
      <c r="B533" s="167">
        <v>44538</v>
      </c>
      <c r="C533" s="28">
        <v>224.95</v>
      </c>
      <c r="D533" s="83">
        <f t="shared" si="20"/>
        <v>2.8380822385258484</v>
      </c>
      <c r="E533" s="83">
        <v>1.9487876727849459E-2</v>
      </c>
      <c r="F533" s="83">
        <v>525</v>
      </c>
      <c r="G533" s="83">
        <f t="shared" ca="1" si="21"/>
        <v>2.2807625797157189E-2</v>
      </c>
    </row>
    <row r="534" spans="2:7" x14ac:dyDescent="0.2">
      <c r="B534" s="167">
        <v>39065</v>
      </c>
      <c r="C534" s="28">
        <v>58.61</v>
      </c>
      <c r="D534" s="83">
        <f t="shared" si="20"/>
        <v>0.89553686934023269</v>
      </c>
      <c r="E534" s="83">
        <v>1.9481648982431682E-2</v>
      </c>
      <c r="F534" s="83">
        <v>526</v>
      </c>
      <c r="G534" s="83">
        <f t="shared" ca="1" si="21"/>
        <v>2.3825583764422599E-2</v>
      </c>
    </row>
    <row r="535" spans="2:7" x14ac:dyDescent="0.2">
      <c r="B535" s="167">
        <v>38463</v>
      </c>
      <c r="C535" s="28">
        <v>30.92</v>
      </c>
      <c r="D535" s="83">
        <f t="shared" si="20"/>
        <v>-0.23427439326399208</v>
      </c>
      <c r="E535" s="83">
        <v>1.9452687108473574E-2</v>
      </c>
      <c r="F535" s="83">
        <v>527</v>
      </c>
      <c r="G535" s="83">
        <f t="shared" ca="1" si="21"/>
        <v>1.1015700522865192E-2</v>
      </c>
    </row>
    <row r="536" spans="2:7" x14ac:dyDescent="0.2">
      <c r="B536" s="167">
        <v>38601</v>
      </c>
      <c r="C536" s="28">
        <v>40.380000000000003</v>
      </c>
      <c r="D536" s="83">
        <f t="shared" si="20"/>
        <v>-0.86515278009684426</v>
      </c>
      <c r="E536" s="83">
        <v>1.9439535470840777E-2</v>
      </c>
      <c r="F536" s="83">
        <v>528</v>
      </c>
      <c r="G536" s="83">
        <f t="shared" ca="1" si="21"/>
        <v>3.1583436449261815E-2</v>
      </c>
    </row>
    <row r="537" spans="2:7" x14ac:dyDescent="0.2">
      <c r="B537" s="167">
        <v>43543</v>
      </c>
      <c r="C537" s="28">
        <v>299.45</v>
      </c>
      <c r="D537" s="83">
        <f t="shared" si="20"/>
        <v>-0.26954506647152093</v>
      </c>
      <c r="E537" s="83">
        <v>1.9404255319148897E-2</v>
      </c>
      <c r="F537" s="83">
        <v>529</v>
      </c>
      <c r="G537" s="83">
        <f t="shared" ca="1" si="21"/>
        <v>1.0088413378419811E-3</v>
      </c>
    </row>
    <row r="538" spans="2:7" x14ac:dyDescent="0.2">
      <c r="B538" s="167">
        <v>45422</v>
      </c>
      <c r="C538" s="28">
        <v>409.95</v>
      </c>
      <c r="D538" s="83">
        <f t="shared" si="20"/>
        <v>6.2009485332864918</v>
      </c>
      <c r="E538" s="83">
        <v>1.9395747855277912E-2</v>
      </c>
      <c r="F538" s="83">
        <v>530</v>
      </c>
      <c r="G538" s="83">
        <f t="shared" ca="1" si="21"/>
        <v>2.8371261290284552E-3</v>
      </c>
    </row>
    <row r="539" spans="2:7" x14ac:dyDescent="0.2">
      <c r="B539" s="167">
        <v>39829</v>
      </c>
      <c r="C539" s="28">
        <v>56.93</v>
      </c>
      <c r="D539" s="83">
        <f t="shared" si="20"/>
        <v>-0.67073452862926541</v>
      </c>
      <c r="E539" s="83">
        <v>1.9337511190689317E-2</v>
      </c>
      <c r="F539" s="83">
        <v>531</v>
      </c>
      <c r="G539" s="83">
        <f t="shared" ca="1" si="21"/>
        <v>-3.8605908930442648E-2</v>
      </c>
    </row>
    <row r="540" spans="2:7" x14ac:dyDescent="0.2">
      <c r="B540" s="167">
        <v>41177</v>
      </c>
      <c r="C540" s="28">
        <v>172.9</v>
      </c>
      <c r="D540" s="83">
        <f t="shared" si="20"/>
        <v>-0.5896523080574344</v>
      </c>
      <c r="E540" s="83">
        <v>1.9337342294540743E-2</v>
      </c>
      <c r="F540" s="83">
        <v>532</v>
      </c>
      <c r="G540" s="83">
        <f t="shared" ca="1" si="21"/>
        <v>-1.2737391168932992E-3</v>
      </c>
    </row>
    <row r="541" spans="2:7" x14ac:dyDescent="0.2">
      <c r="B541" s="167">
        <v>45090</v>
      </c>
      <c r="C541" s="28">
        <v>421.35</v>
      </c>
      <c r="D541" s="83">
        <f t="shared" si="20"/>
        <v>3.7273645237293844</v>
      </c>
      <c r="E541" s="83">
        <v>1.9329398103348192E-2</v>
      </c>
      <c r="F541" s="83">
        <v>533</v>
      </c>
      <c r="G541" s="83">
        <f t="shared" ca="1" si="21"/>
        <v>3.2556595116252439E-2</v>
      </c>
    </row>
    <row r="542" spans="2:7" x14ac:dyDescent="0.2">
      <c r="B542" s="167">
        <v>40142</v>
      </c>
      <c r="C542" s="28">
        <v>89.13</v>
      </c>
      <c r="D542" s="83">
        <f t="shared" si="20"/>
        <v>-0.6160671979323713</v>
      </c>
      <c r="E542" s="83">
        <v>1.9327538883806013E-2</v>
      </c>
      <c r="F542" s="83">
        <v>534</v>
      </c>
      <c r="G542" s="83">
        <f t="shared" ca="1" si="21"/>
        <v>2.4470525750586572E-2</v>
      </c>
    </row>
    <row r="543" spans="2:7" x14ac:dyDescent="0.2">
      <c r="B543" s="167">
        <v>44594</v>
      </c>
      <c r="C543" s="28">
        <v>232.15</v>
      </c>
      <c r="D543" s="83">
        <f t="shared" si="20"/>
        <v>3.9288747346072186</v>
      </c>
      <c r="E543" s="83">
        <v>1.9319429198682792E-2</v>
      </c>
      <c r="F543" s="83">
        <v>535</v>
      </c>
      <c r="G543" s="83">
        <f t="shared" ca="1" si="21"/>
        <v>5.1741061719737498E-3</v>
      </c>
    </row>
    <row r="544" spans="2:7" x14ac:dyDescent="0.2">
      <c r="B544" s="167">
        <v>38716</v>
      </c>
      <c r="C544" s="28">
        <v>47.1</v>
      </c>
      <c r="D544" s="83">
        <f t="shared" si="20"/>
        <v>-0.75386705685618738</v>
      </c>
      <c r="E544" s="83">
        <v>1.9259900454447101E-2</v>
      </c>
      <c r="F544" s="83">
        <v>536</v>
      </c>
      <c r="G544" s="83">
        <f t="shared" ca="1" si="21"/>
        <v>3.2851590415180036E-2</v>
      </c>
    </row>
    <row r="545" spans="2:7" x14ac:dyDescent="0.2">
      <c r="B545" s="167">
        <v>41218</v>
      </c>
      <c r="C545" s="28">
        <v>191.36</v>
      </c>
      <c r="D545" s="83">
        <f t="shared" si="20"/>
        <v>-0.48604732361077535</v>
      </c>
      <c r="E545" s="83">
        <v>1.922769640479368E-2</v>
      </c>
      <c r="F545" s="83">
        <v>537</v>
      </c>
      <c r="G545" s="83">
        <f t="shared" ca="1" si="21"/>
        <v>1.4672626688361093E-2</v>
      </c>
    </row>
    <row r="546" spans="2:7" x14ac:dyDescent="0.2">
      <c r="B546" s="167">
        <v>45027</v>
      </c>
      <c r="C546" s="28">
        <v>372.33</v>
      </c>
      <c r="D546" s="83">
        <f t="shared" si="20"/>
        <v>-0.17177177177177183</v>
      </c>
      <c r="E546" s="83">
        <v>1.9188656520310935E-2</v>
      </c>
      <c r="F546" s="83">
        <v>538</v>
      </c>
      <c r="G546" s="83">
        <f t="shared" ca="1" si="21"/>
        <v>3.6647440420133889E-2</v>
      </c>
    </row>
    <row r="547" spans="2:7" x14ac:dyDescent="0.2">
      <c r="B547" s="167">
        <v>45665</v>
      </c>
      <c r="C547" s="28">
        <v>449.55</v>
      </c>
      <c r="D547" s="83">
        <f t="shared" si="20"/>
        <v>0.91828461702581621</v>
      </c>
      <c r="E547" s="83">
        <v>1.9156653819995439E-2</v>
      </c>
      <c r="F547" s="83">
        <v>539</v>
      </c>
      <c r="G547" s="83">
        <f t="shared" ca="1" si="21"/>
        <v>3.7514864909944292E-3</v>
      </c>
    </row>
    <row r="548" spans="2:7" x14ac:dyDescent="0.2">
      <c r="B548" s="167">
        <v>44232</v>
      </c>
      <c r="C548" s="28">
        <v>234.35</v>
      </c>
      <c r="D548" s="83">
        <f t="shared" si="20"/>
        <v>2.9506068779501011</v>
      </c>
      <c r="E548" s="83">
        <v>1.9134594477060257E-2</v>
      </c>
      <c r="F548" s="83">
        <v>540</v>
      </c>
      <c r="G548" s="83">
        <f t="shared" ca="1" si="21"/>
        <v>3.8916387823265397E-2</v>
      </c>
    </row>
    <row r="549" spans="2:7" x14ac:dyDescent="0.2">
      <c r="B549" s="167">
        <v>39104</v>
      </c>
      <c r="C549" s="28">
        <v>59.32</v>
      </c>
      <c r="D549" s="83">
        <f t="shared" si="20"/>
        <v>-0.54136384722436992</v>
      </c>
      <c r="E549" s="83">
        <v>1.9068888507129348E-2</v>
      </c>
      <c r="F549" s="83">
        <v>541</v>
      </c>
      <c r="G549" s="83">
        <f t="shared" ca="1" si="21"/>
        <v>1.1750210728464026E-3</v>
      </c>
    </row>
    <row r="550" spans="2:7" x14ac:dyDescent="0.2">
      <c r="B550" s="167">
        <v>40718</v>
      </c>
      <c r="C550" s="28">
        <v>129.34</v>
      </c>
      <c r="D550" s="83">
        <f t="shared" si="20"/>
        <v>-0.54369377315223144</v>
      </c>
      <c r="E550" s="83">
        <v>1.9067128900094561E-2</v>
      </c>
      <c r="F550" s="83">
        <v>542</v>
      </c>
      <c r="G550" s="83">
        <f t="shared" ca="1" si="21"/>
        <v>3.4881325486226383E-2</v>
      </c>
    </row>
    <row r="551" spans="2:7" x14ac:dyDescent="0.2">
      <c r="B551" s="167">
        <v>43453</v>
      </c>
      <c r="C551" s="28">
        <v>283.45</v>
      </c>
      <c r="D551" s="83">
        <f t="shared" si="20"/>
        <v>0.29193254329990875</v>
      </c>
      <c r="E551" s="83">
        <v>1.9054467014201014E-2</v>
      </c>
      <c r="F551" s="83">
        <v>543</v>
      </c>
      <c r="G551" s="83">
        <f t="shared" ca="1" si="21"/>
        <v>-2.3413815788190066E-2</v>
      </c>
    </row>
    <row r="552" spans="2:7" x14ac:dyDescent="0.2">
      <c r="B552" s="167">
        <v>44623</v>
      </c>
      <c r="C552" s="28">
        <v>219.4</v>
      </c>
      <c r="D552" s="83">
        <f t="shared" si="20"/>
        <v>-0.17456734386756961</v>
      </c>
      <c r="E552" s="83">
        <v>1.9043195541105406E-2</v>
      </c>
      <c r="F552" s="83">
        <v>544</v>
      </c>
      <c r="G552" s="83">
        <f t="shared" ca="1" si="21"/>
        <v>-2.1104380329960693E-2</v>
      </c>
    </row>
    <row r="553" spans="2:7" x14ac:dyDescent="0.2">
      <c r="B553" s="167">
        <v>43199</v>
      </c>
      <c r="C553" s="28">
        <v>265.8</v>
      </c>
      <c r="D553" s="83">
        <f t="shared" si="20"/>
        <v>-7.5639019300991123E-2</v>
      </c>
      <c r="E553" s="83">
        <v>1.8976423231742336E-2</v>
      </c>
      <c r="F553" s="83">
        <v>545</v>
      </c>
      <c r="G553" s="83">
        <f t="shared" ca="1" si="21"/>
        <v>-2.2215427719153358E-2</v>
      </c>
    </row>
    <row r="554" spans="2:7" x14ac:dyDescent="0.2">
      <c r="B554" s="167">
        <v>43433</v>
      </c>
      <c r="C554" s="28">
        <v>287.55</v>
      </c>
      <c r="D554" s="83">
        <f t="shared" si="20"/>
        <v>3.8580841358337561</v>
      </c>
      <c r="E554" s="83">
        <v>1.89581856839122E-2</v>
      </c>
      <c r="F554" s="83">
        <v>546</v>
      </c>
      <c r="G554" s="83">
        <f t="shared" ca="1" si="21"/>
        <v>-6.2599423161075847E-3</v>
      </c>
    </row>
    <row r="555" spans="2:7" x14ac:dyDescent="0.2">
      <c r="B555" s="167">
        <v>38943</v>
      </c>
      <c r="C555" s="28">
        <v>59.19</v>
      </c>
      <c r="D555" s="83">
        <f t="shared" si="20"/>
        <v>-0.43757126567844923</v>
      </c>
      <c r="E555" s="83">
        <v>1.8936133585815015E-2</v>
      </c>
      <c r="F555" s="83">
        <v>547</v>
      </c>
      <c r="G555" s="83">
        <f t="shared" ca="1" si="21"/>
        <v>3.7368177562232992E-2</v>
      </c>
    </row>
    <row r="556" spans="2:7" x14ac:dyDescent="0.2">
      <c r="B556" s="167">
        <v>40396</v>
      </c>
      <c r="C556" s="28">
        <v>105.24</v>
      </c>
      <c r="D556" s="83">
        <f t="shared" si="20"/>
        <v>-0.19461238233718522</v>
      </c>
      <c r="E556" s="83">
        <v>1.887888469358107E-2</v>
      </c>
      <c r="F556" s="83">
        <v>548</v>
      </c>
      <c r="G556" s="83">
        <f t="shared" ca="1" si="21"/>
        <v>-9.4917014161862139E-3</v>
      </c>
    </row>
    <row r="557" spans="2:7" x14ac:dyDescent="0.2">
      <c r="B557" s="167">
        <v>40814</v>
      </c>
      <c r="C557" s="28">
        <v>130.66999999999999</v>
      </c>
      <c r="D557" s="83">
        <f t="shared" si="20"/>
        <v>0.84718688153802657</v>
      </c>
      <c r="E557" s="83">
        <v>1.8869395711500876E-2</v>
      </c>
      <c r="F557" s="83">
        <v>549</v>
      </c>
      <c r="G557" s="83">
        <f t="shared" ca="1" si="21"/>
        <v>1.7643116252891746E-2</v>
      </c>
    </row>
    <row r="558" spans="2:7" x14ac:dyDescent="0.2">
      <c r="B558" s="167">
        <v>40003</v>
      </c>
      <c r="C558" s="28">
        <v>70.739999999999995</v>
      </c>
      <c r="D558" s="83">
        <f t="shared" si="20"/>
        <v>-0.71602906346593875</v>
      </c>
      <c r="E558" s="83">
        <v>1.8867924528301713E-2</v>
      </c>
      <c r="F558" s="83">
        <v>550</v>
      </c>
      <c r="G558" s="83">
        <f t="shared" ca="1" si="21"/>
        <v>2.9726186269669268E-2</v>
      </c>
    </row>
    <row r="559" spans="2:7" x14ac:dyDescent="0.2">
      <c r="B559" s="167">
        <v>41478</v>
      </c>
      <c r="C559" s="28">
        <v>249.11</v>
      </c>
      <c r="D559" s="83">
        <f t="shared" si="20"/>
        <v>4.8353244319512774</v>
      </c>
      <c r="E559" s="83">
        <v>1.8854805725971428E-2</v>
      </c>
      <c r="F559" s="83">
        <v>551</v>
      </c>
      <c r="G559" s="83">
        <f t="shared" ca="1" si="21"/>
        <v>7.6872252333592753E-3</v>
      </c>
    </row>
    <row r="560" spans="2:7" x14ac:dyDescent="0.2">
      <c r="B560" s="167">
        <v>38635</v>
      </c>
      <c r="C560" s="28">
        <v>42.69</v>
      </c>
      <c r="D560" s="83">
        <f t="shared" si="20"/>
        <v>-0.8032265498962895</v>
      </c>
      <c r="E560" s="83">
        <v>1.8854415274462986E-2</v>
      </c>
      <c r="F560" s="83">
        <v>552</v>
      </c>
      <c r="G560" s="83">
        <f t="shared" ca="1" si="21"/>
        <v>2.0411403294679744E-2</v>
      </c>
    </row>
    <row r="561" spans="2:7" x14ac:dyDescent="0.2">
      <c r="B561" s="167">
        <v>42471</v>
      </c>
      <c r="C561" s="28">
        <v>216.95</v>
      </c>
      <c r="D561" s="83">
        <f t="shared" si="20"/>
        <v>-0.19108873974645788</v>
      </c>
      <c r="E561" s="83">
        <v>1.8831595754672636E-2</v>
      </c>
      <c r="F561" s="83">
        <v>553</v>
      </c>
      <c r="G561" s="83">
        <f t="shared" ca="1" si="21"/>
        <v>1.309659791856169E-2</v>
      </c>
    </row>
    <row r="562" spans="2:7" x14ac:dyDescent="0.2">
      <c r="B562" s="167">
        <v>43152</v>
      </c>
      <c r="C562" s="28">
        <v>268.2</v>
      </c>
      <c r="D562" s="83">
        <f t="shared" si="20"/>
        <v>0.21286121286121285</v>
      </c>
      <c r="E562" s="83">
        <v>1.8803418803418761E-2</v>
      </c>
      <c r="F562" s="83">
        <v>554</v>
      </c>
      <c r="G562" s="83">
        <f t="shared" ca="1" si="21"/>
        <v>1.8413323673389242E-3</v>
      </c>
    </row>
    <row r="563" spans="2:7" x14ac:dyDescent="0.2">
      <c r="B563" s="167">
        <v>42487</v>
      </c>
      <c r="C563" s="28">
        <v>221.13</v>
      </c>
      <c r="D563" s="83">
        <f t="shared" si="20"/>
        <v>2.2089682194166307</v>
      </c>
      <c r="E563" s="83">
        <v>1.8797512093987487E-2</v>
      </c>
      <c r="F563" s="83">
        <v>555</v>
      </c>
      <c r="G563" s="83">
        <f t="shared" ca="1" si="21"/>
        <v>6.5154283672347723E-3</v>
      </c>
    </row>
    <row r="564" spans="2:7" x14ac:dyDescent="0.2">
      <c r="B564" s="167">
        <v>39553</v>
      </c>
      <c r="C564" s="28">
        <v>68.91</v>
      </c>
      <c r="D564" s="83">
        <f t="shared" si="20"/>
        <v>-0.84667927466903992</v>
      </c>
      <c r="E564" s="83">
        <v>1.8775872264931933E-2</v>
      </c>
      <c r="F564" s="83">
        <v>556</v>
      </c>
      <c r="G564" s="83">
        <f t="shared" ca="1" si="21"/>
        <v>-1.9505597889381918E-2</v>
      </c>
    </row>
    <row r="565" spans="2:7" x14ac:dyDescent="0.2">
      <c r="B565" s="167">
        <v>45112</v>
      </c>
      <c r="C565" s="28">
        <v>449.45</v>
      </c>
      <c r="D565" s="83">
        <f t="shared" si="20"/>
        <v>4.4432602640184093</v>
      </c>
      <c r="E565" s="83">
        <v>1.8768275268037201E-2</v>
      </c>
      <c r="F565" s="83">
        <v>557</v>
      </c>
      <c r="G565" s="83">
        <f t="shared" ca="1" si="21"/>
        <v>1.5165254097580266E-2</v>
      </c>
    </row>
    <row r="566" spans="2:7" x14ac:dyDescent="0.2">
      <c r="B566" s="167">
        <v>40200</v>
      </c>
      <c r="C566" s="28">
        <v>82.57</v>
      </c>
      <c r="D566" s="83">
        <f t="shared" si="20"/>
        <v>-0.65064522953247306</v>
      </c>
      <c r="E566" s="83">
        <v>1.8753855644663739E-2</v>
      </c>
      <c r="F566" s="83">
        <v>558</v>
      </c>
      <c r="G566" s="83">
        <f t="shared" ca="1" si="21"/>
        <v>7.4259850939909925E-3</v>
      </c>
    </row>
    <row r="567" spans="2:7" x14ac:dyDescent="0.2">
      <c r="B567" s="167">
        <v>44631</v>
      </c>
      <c r="C567" s="28">
        <v>236.35</v>
      </c>
      <c r="D567" s="83">
        <f t="shared" si="20"/>
        <v>0.74543977549663987</v>
      </c>
      <c r="E567" s="83">
        <v>1.8749999999999975E-2</v>
      </c>
      <c r="F567" s="83">
        <v>559</v>
      </c>
      <c r="G567" s="83">
        <f t="shared" ca="1" si="21"/>
        <v>-2.1160862958861545E-2</v>
      </c>
    </row>
    <row r="568" spans="2:7" x14ac:dyDescent="0.2">
      <c r="B568" s="167">
        <v>40772</v>
      </c>
      <c r="C568" s="28">
        <v>135.41</v>
      </c>
      <c r="D568" s="83">
        <f t="shared" si="20"/>
        <v>0.40452235245306506</v>
      </c>
      <c r="E568" s="83">
        <v>1.8733072524827032E-2</v>
      </c>
      <c r="F568" s="83">
        <v>560</v>
      </c>
      <c r="G568" s="83">
        <f t="shared" ca="1" si="21"/>
        <v>2.1097124912433159E-2</v>
      </c>
    </row>
    <row r="569" spans="2:7" x14ac:dyDescent="0.2">
      <c r="B569" s="167">
        <v>40333</v>
      </c>
      <c r="C569" s="28">
        <v>96.41</v>
      </c>
      <c r="D569" s="83">
        <f t="shared" si="20"/>
        <v>-0.47175497233028324</v>
      </c>
      <c r="E569" s="83">
        <v>1.8702451394759043E-2</v>
      </c>
      <c r="F569" s="83">
        <v>561</v>
      </c>
      <c r="G569" s="83">
        <f t="shared" ca="1" si="21"/>
        <v>2.7288455838168458E-2</v>
      </c>
    </row>
    <row r="570" spans="2:7" x14ac:dyDescent="0.2">
      <c r="B570" s="167">
        <v>41186</v>
      </c>
      <c r="C570" s="28">
        <v>182.51</v>
      </c>
      <c r="D570" s="83">
        <f t="shared" si="20"/>
        <v>4.1527385657820428</v>
      </c>
      <c r="E570" s="83">
        <v>1.8698370171913344E-2</v>
      </c>
      <c r="F570" s="83">
        <v>562</v>
      </c>
      <c r="G570" s="83">
        <f t="shared" ca="1" si="21"/>
        <v>1.1135141399921888E-3</v>
      </c>
    </row>
    <row r="571" spans="2:7" x14ac:dyDescent="0.2">
      <c r="B571" s="167">
        <v>38527</v>
      </c>
      <c r="C571" s="28">
        <v>35.42</v>
      </c>
      <c r="D571" s="83">
        <f t="shared" si="20"/>
        <v>-0.82508641975308639</v>
      </c>
      <c r="E571" s="83">
        <v>1.8694276675294753E-2</v>
      </c>
      <c r="F571" s="83">
        <v>563</v>
      </c>
      <c r="G571" s="83">
        <f t="shared" ca="1" si="21"/>
        <v>-1.9133096589144565E-2</v>
      </c>
    </row>
    <row r="572" spans="2:7" x14ac:dyDescent="0.2">
      <c r="B572" s="167">
        <v>42418</v>
      </c>
      <c r="C572" s="28">
        <v>202.5</v>
      </c>
      <c r="D572" s="83">
        <f t="shared" si="20"/>
        <v>-0.25152467196451678</v>
      </c>
      <c r="E572" s="83">
        <v>1.8662910609185613E-2</v>
      </c>
      <c r="F572" s="83">
        <v>564</v>
      </c>
      <c r="G572" s="83">
        <f t="shared" ca="1" si="21"/>
        <v>-8.1432259498609005E-3</v>
      </c>
    </row>
    <row r="573" spans="2:7" x14ac:dyDescent="0.2">
      <c r="B573" s="167">
        <v>43109</v>
      </c>
      <c r="C573" s="28">
        <v>270.55</v>
      </c>
      <c r="D573" s="83">
        <f t="shared" si="20"/>
        <v>2.6300818462364148</v>
      </c>
      <c r="E573" s="83">
        <v>1.8637048192771039E-2</v>
      </c>
      <c r="F573" s="83">
        <v>565</v>
      </c>
      <c r="G573" s="83">
        <f t="shared" ca="1" si="21"/>
        <v>-7.3686109883609298E-3</v>
      </c>
    </row>
    <row r="574" spans="2:7" x14ac:dyDescent="0.2">
      <c r="B574" s="167">
        <v>39574</v>
      </c>
      <c r="C574" s="28">
        <v>74.53</v>
      </c>
      <c r="D574" s="83">
        <f t="shared" si="20"/>
        <v>0.37357169185403621</v>
      </c>
      <c r="E574" s="83">
        <v>1.858685253519201E-2</v>
      </c>
      <c r="F574" s="83">
        <v>566</v>
      </c>
      <c r="G574" s="83">
        <f t="shared" ca="1" si="21"/>
        <v>-7.8244704072520535E-4</v>
      </c>
    </row>
    <row r="575" spans="2:7" x14ac:dyDescent="0.2">
      <c r="B575" s="167">
        <v>39212</v>
      </c>
      <c r="C575" s="28">
        <v>54.26</v>
      </c>
      <c r="D575" s="83">
        <f t="shared" si="20"/>
        <v>-0.82325732899022808</v>
      </c>
      <c r="E575" s="83">
        <v>1.8584569175896279E-2</v>
      </c>
      <c r="F575" s="83">
        <v>567</v>
      </c>
      <c r="G575" s="83">
        <f t="shared" ca="1" si="21"/>
        <v>-1.7569096362885242E-2</v>
      </c>
    </row>
    <row r="576" spans="2:7" x14ac:dyDescent="0.2">
      <c r="B576" s="167">
        <v>43605</v>
      </c>
      <c r="C576" s="28">
        <v>307</v>
      </c>
      <c r="D576" s="83">
        <f t="shared" si="20"/>
        <v>1.8497168848046039</v>
      </c>
      <c r="E576" s="83">
        <v>1.8579960185799677E-2</v>
      </c>
      <c r="F576" s="83">
        <v>568</v>
      </c>
      <c r="G576" s="83">
        <f t="shared" ca="1" si="21"/>
        <v>-5.1154797476252456E-3</v>
      </c>
    </row>
    <row r="577" spans="2:7" x14ac:dyDescent="0.2">
      <c r="B577" s="167">
        <v>40408</v>
      </c>
      <c r="C577" s="28">
        <v>107.73</v>
      </c>
      <c r="D577" s="83">
        <f t="shared" si="20"/>
        <v>0.73143683702989404</v>
      </c>
      <c r="E577" s="83">
        <v>1.8530774321641373E-2</v>
      </c>
      <c r="F577" s="83">
        <v>569</v>
      </c>
      <c r="G577" s="83">
        <f t="shared" ca="1" si="21"/>
        <v>-1.7978636320941143E-3</v>
      </c>
    </row>
    <row r="578" spans="2:7" x14ac:dyDescent="0.2">
      <c r="B578" s="167">
        <v>38989</v>
      </c>
      <c r="C578" s="28">
        <v>62.22</v>
      </c>
      <c r="D578" s="83">
        <f t="shared" si="20"/>
        <v>-0.67898049736869259</v>
      </c>
      <c r="E578" s="83">
        <v>1.8497299066950326E-2</v>
      </c>
      <c r="F578" s="83">
        <v>570</v>
      </c>
      <c r="G578" s="83">
        <f t="shared" ca="1" si="21"/>
        <v>-1.1137416600654633E-3</v>
      </c>
    </row>
    <row r="579" spans="2:7" x14ac:dyDescent="0.2">
      <c r="B579" s="167">
        <v>41340</v>
      </c>
      <c r="C579" s="28">
        <v>193.82</v>
      </c>
      <c r="D579" s="83">
        <f t="shared" si="20"/>
        <v>2.9108151735270376</v>
      </c>
      <c r="E579" s="83">
        <v>1.8497109826589499E-2</v>
      </c>
      <c r="F579" s="83">
        <v>571</v>
      </c>
      <c r="G579" s="83">
        <f t="shared" ca="1" si="21"/>
        <v>-1.0540221181178798E-2</v>
      </c>
    </row>
    <row r="580" spans="2:7" x14ac:dyDescent="0.2">
      <c r="B580" s="167">
        <v>39175</v>
      </c>
      <c r="C580" s="28">
        <v>49.56</v>
      </c>
      <c r="D580" s="83">
        <f t="shared" si="20"/>
        <v>-0.40845070422535207</v>
      </c>
      <c r="E580" s="83">
        <v>1.8495684340320711E-2</v>
      </c>
      <c r="F580" s="83">
        <v>572</v>
      </c>
      <c r="G580" s="83">
        <f t="shared" ca="1" si="21"/>
        <v>1.0856960709597231E-3</v>
      </c>
    </row>
    <row r="581" spans="2:7" x14ac:dyDescent="0.2">
      <c r="B581" s="167">
        <v>40193</v>
      </c>
      <c r="C581" s="28">
        <v>83.78</v>
      </c>
      <c r="D581" s="83">
        <f t="shared" si="20"/>
        <v>0.12577264176296693</v>
      </c>
      <c r="E581" s="83">
        <v>1.8477996596158473E-2</v>
      </c>
      <c r="F581" s="83">
        <v>573</v>
      </c>
      <c r="G581" s="83">
        <f t="shared" ca="1" si="21"/>
        <v>-1.7273696119858139E-2</v>
      </c>
    </row>
    <row r="582" spans="2:7" x14ac:dyDescent="0.2">
      <c r="B582" s="167">
        <v>39461</v>
      </c>
      <c r="C582" s="28">
        <v>74.42</v>
      </c>
      <c r="D582" s="83">
        <f t="shared" si="20"/>
        <v>0.45124804992199691</v>
      </c>
      <c r="E582" s="83">
        <v>1.8475434514848895E-2</v>
      </c>
      <c r="F582" s="83">
        <v>574</v>
      </c>
      <c r="G582" s="83">
        <f t="shared" ca="1" si="21"/>
        <v>1.5034783601915208E-2</v>
      </c>
    </row>
    <row r="583" spans="2:7" x14ac:dyDescent="0.2">
      <c r="B583" s="167">
        <v>38741</v>
      </c>
      <c r="C583" s="28">
        <v>51.28</v>
      </c>
      <c r="D583" s="83">
        <f t="shared" si="20"/>
        <v>-0.79124771015672701</v>
      </c>
      <c r="E583" s="83">
        <v>1.8470705064548155E-2</v>
      </c>
      <c r="F583" s="83">
        <v>575</v>
      </c>
      <c r="G583" s="83">
        <f t="shared" ca="1" si="21"/>
        <v>2.6193190536451309E-2</v>
      </c>
    </row>
    <row r="584" spans="2:7" x14ac:dyDescent="0.2">
      <c r="B584" s="167">
        <v>43707</v>
      </c>
      <c r="C584" s="28">
        <v>245.65</v>
      </c>
      <c r="D584" s="83">
        <f t="shared" si="20"/>
        <v>8.4308099757227958E-2</v>
      </c>
      <c r="E584" s="83">
        <v>1.8449419568822626E-2</v>
      </c>
      <c r="F584" s="83">
        <v>576</v>
      </c>
      <c r="G584" s="83">
        <f t="shared" ca="1" si="21"/>
        <v>-3.2864348687068307E-2</v>
      </c>
    </row>
    <row r="585" spans="2:7" x14ac:dyDescent="0.2">
      <c r="B585" s="167">
        <v>44504</v>
      </c>
      <c r="C585" s="28">
        <v>226.55</v>
      </c>
      <c r="D585" s="83">
        <f t="shared" ref="D585:D648" si="22">(C585-C586)/C586</f>
        <v>7.5991450961766793E-2</v>
      </c>
      <c r="E585" s="83">
        <v>1.8431108114183064E-2</v>
      </c>
      <c r="F585" s="83">
        <v>577</v>
      </c>
      <c r="G585" s="83">
        <f t="shared" ref="G585:G648" ca="1" si="23">_xlfn.NORM.INV(RAND(),$M$10,$M$11)</f>
        <v>7.0257482546841367E-3</v>
      </c>
    </row>
    <row r="586" spans="2:7" x14ac:dyDescent="0.2">
      <c r="B586" s="167">
        <v>41691</v>
      </c>
      <c r="C586" s="28">
        <v>210.55</v>
      </c>
      <c r="D586" s="83">
        <f t="shared" si="22"/>
        <v>2.1206462131317623</v>
      </c>
      <c r="E586" s="83">
        <v>1.8428944568056507E-2</v>
      </c>
      <c r="F586" s="83">
        <v>578</v>
      </c>
      <c r="G586" s="83">
        <f t="shared" ca="1" si="23"/>
        <v>-2.7401935321096783E-2</v>
      </c>
    </row>
    <row r="587" spans="2:7" x14ac:dyDescent="0.2">
      <c r="B587" s="167">
        <v>39443</v>
      </c>
      <c r="C587" s="28">
        <v>67.47</v>
      </c>
      <c r="D587" s="83">
        <f t="shared" si="22"/>
        <v>-0.69121281464530893</v>
      </c>
      <c r="E587" s="83">
        <v>1.8415094339622625E-2</v>
      </c>
      <c r="F587" s="83">
        <v>579</v>
      </c>
      <c r="G587" s="83">
        <f t="shared" ca="1" si="23"/>
        <v>6.2684067308848451E-4</v>
      </c>
    </row>
    <row r="588" spans="2:7" x14ac:dyDescent="0.2">
      <c r="B588" s="167">
        <v>44286</v>
      </c>
      <c r="C588" s="28">
        <v>218.5</v>
      </c>
      <c r="D588" s="83">
        <f t="shared" si="22"/>
        <v>-0.22586359610274578</v>
      </c>
      <c r="E588" s="83">
        <v>1.8410626893497966E-2</v>
      </c>
      <c r="F588" s="83">
        <v>580</v>
      </c>
      <c r="G588" s="83">
        <f t="shared" ca="1" si="23"/>
        <v>2.3091002402320461E-2</v>
      </c>
    </row>
    <row r="589" spans="2:7" x14ac:dyDescent="0.2">
      <c r="B589" s="167">
        <v>43227</v>
      </c>
      <c r="C589" s="28">
        <v>282.25</v>
      </c>
      <c r="D589" s="83">
        <f t="shared" si="22"/>
        <v>-1.1902678102573E-2</v>
      </c>
      <c r="E589" s="83">
        <v>1.8401587587948846E-2</v>
      </c>
      <c r="F589" s="83">
        <v>581</v>
      </c>
      <c r="G589" s="83">
        <f t="shared" ca="1" si="23"/>
        <v>1.4396779091204069E-2</v>
      </c>
    </row>
    <row r="590" spans="2:7" x14ac:dyDescent="0.2">
      <c r="B590" s="167">
        <v>43430</v>
      </c>
      <c r="C590" s="28">
        <v>285.64999999999998</v>
      </c>
      <c r="D590" s="83">
        <f t="shared" si="22"/>
        <v>3.1530968304739746</v>
      </c>
      <c r="E590" s="83">
        <v>1.8360071301247692E-2</v>
      </c>
      <c r="F590" s="83">
        <v>582</v>
      </c>
      <c r="G590" s="83">
        <f t="shared" ca="1" si="23"/>
        <v>-1.2829745167272885E-2</v>
      </c>
    </row>
    <row r="591" spans="2:7" x14ac:dyDescent="0.2">
      <c r="B591" s="167">
        <v>38839</v>
      </c>
      <c r="C591" s="28">
        <v>68.78</v>
      </c>
      <c r="D591" s="83">
        <f t="shared" si="22"/>
        <v>-0.69486713100572295</v>
      </c>
      <c r="E591" s="83">
        <v>1.8359490672194178E-2</v>
      </c>
      <c r="F591" s="83">
        <v>583</v>
      </c>
      <c r="G591" s="83">
        <f t="shared" ca="1" si="23"/>
        <v>1.3802205005879349E-2</v>
      </c>
    </row>
    <row r="592" spans="2:7" x14ac:dyDescent="0.2">
      <c r="B592" s="167">
        <v>41422</v>
      </c>
      <c r="C592" s="28">
        <v>225.41</v>
      </c>
      <c r="D592" s="83">
        <f t="shared" si="22"/>
        <v>-0.33132601601898554</v>
      </c>
      <c r="E592" s="83">
        <v>1.8295988435128221E-2</v>
      </c>
      <c r="F592" s="83">
        <v>584</v>
      </c>
      <c r="G592" s="83">
        <f t="shared" ca="1" si="23"/>
        <v>-1.2847039191995039E-2</v>
      </c>
    </row>
    <row r="593" spans="2:7" x14ac:dyDescent="0.2">
      <c r="B593" s="167">
        <v>42922</v>
      </c>
      <c r="C593" s="28">
        <v>337.1</v>
      </c>
      <c r="D593" s="83">
        <f t="shared" si="22"/>
        <v>4.1702453987730062</v>
      </c>
      <c r="E593" s="83">
        <v>1.8275185017369012E-2</v>
      </c>
      <c r="F593" s="83">
        <v>585</v>
      </c>
      <c r="G593" s="83">
        <f t="shared" ca="1" si="23"/>
        <v>-1.1435247618826581E-2</v>
      </c>
    </row>
    <row r="594" spans="2:7" x14ac:dyDescent="0.2">
      <c r="B594" s="167">
        <v>39990</v>
      </c>
      <c r="C594" s="28">
        <v>65.2</v>
      </c>
      <c r="D594" s="83">
        <f t="shared" si="22"/>
        <v>-0.66963923794081892</v>
      </c>
      <c r="E594" s="83">
        <v>1.8272684679056718E-2</v>
      </c>
      <c r="F594" s="83">
        <v>586</v>
      </c>
      <c r="G594" s="83">
        <f t="shared" ca="1" si="23"/>
        <v>1.0507236876536029E-2</v>
      </c>
    </row>
    <row r="595" spans="2:7" x14ac:dyDescent="0.2">
      <c r="B595" s="167">
        <v>41341</v>
      </c>
      <c r="C595" s="28">
        <v>197.36</v>
      </c>
      <c r="D595" s="83">
        <f t="shared" si="22"/>
        <v>1</v>
      </c>
      <c r="E595" s="83">
        <v>1.8264369002167064E-2</v>
      </c>
      <c r="F595" s="83">
        <v>587</v>
      </c>
      <c r="G595" s="83">
        <f t="shared" ca="1" si="23"/>
        <v>2.4153176845175071E-2</v>
      </c>
    </row>
    <row r="596" spans="2:7" x14ac:dyDescent="0.2">
      <c r="B596" s="167">
        <v>40381</v>
      </c>
      <c r="C596" s="28">
        <v>98.68</v>
      </c>
      <c r="D596" s="83">
        <f t="shared" si="22"/>
        <v>-0.59407651172357046</v>
      </c>
      <c r="E596" s="83">
        <v>1.8264369002167064E-2</v>
      </c>
      <c r="F596" s="83">
        <v>588</v>
      </c>
      <c r="G596" s="83">
        <f t="shared" ca="1" si="23"/>
        <v>-9.3739760623071811E-3</v>
      </c>
    </row>
    <row r="597" spans="2:7" x14ac:dyDescent="0.2">
      <c r="B597" s="167">
        <v>42670</v>
      </c>
      <c r="C597" s="28">
        <v>243.1</v>
      </c>
      <c r="D597" s="83">
        <f t="shared" si="22"/>
        <v>1.7244200381037766</v>
      </c>
      <c r="E597" s="83">
        <v>1.8219895287958091E-2</v>
      </c>
      <c r="F597" s="83">
        <v>589</v>
      </c>
      <c r="G597" s="83">
        <f t="shared" ca="1" si="23"/>
        <v>4.0092986392867916E-3</v>
      </c>
    </row>
    <row r="598" spans="2:7" x14ac:dyDescent="0.2">
      <c r="B598" s="167">
        <v>40266</v>
      </c>
      <c r="C598" s="28">
        <v>89.23</v>
      </c>
      <c r="D598" s="83">
        <f t="shared" si="22"/>
        <v>0.40674759577487002</v>
      </c>
      <c r="E598" s="83">
        <v>1.8142400730260196E-2</v>
      </c>
      <c r="F598" s="83">
        <v>590</v>
      </c>
      <c r="G598" s="83">
        <f t="shared" ca="1" si="23"/>
        <v>-4.1178106301517107E-3</v>
      </c>
    </row>
    <row r="599" spans="2:7" x14ac:dyDescent="0.2">
      <c r="B599" s="167">
        <v>39945</v>
      </c>
      <c r="C599" s="28">
        <v>63.43</v>
      </c>
      <c r="D599" s="83">
        <f t="shared" si="22"/>
        <v>1.0500969618616676</v>
      </c>
      <c r="E599" s="83">
        <v>1.8138041733547394E-2</v>
      </c>
      <c r="F599" s="83">
        <v>591</v>
      </c>
      <c r="G599" s="83">
        <f t="shared" ca="1" si="23"/>
        <v>-1.3599620256494888E-3</v>
      </c>
    </row>
    <row r="600" spans="2:7" x14ac:dyDescent="0.2">
      <c r="B600" s="167">
        <v>38450</v>
      </c>
      <c r="C600" s="28">
        <v>30.94</v>
      </c>
      <c r="D600" s="83">
        <f t="shared" si="22"/>
        <v>-0.4560478199718706</v>
      </c>
      <c r="E600" s="83">
        <v>1.8098058571898674E-2</v>
      </c>
      <c r="F600" s="83">
        <v>592</v>
      </c>
      <c r="G600" s="83">
        <f t="shared" ca="1" si="23"/>
        <v>1.7003305560023933E-2</v>
      </c>
    </row>
    <row r="601" spans="2:7" x14ac:dyDescent="0.2">
      <c r="B601" s="167">
        <v>39324</v>
      </c>
      <c r="C601" s="28">
        <v>56.88</v>
      </c>
      <c r="D601" s="83">
        <f t="shared" si="22"/>
        <v>-0.65763813651137593</v>
      </c>
      <c r="E601" s="83">
        <v>1.807768032933605E-2</v>
      </c>
      <c r="F601" s="83">
        <v>593</v>
      </c>
      <c r="G601" s="83">
        <f t="shared" ca="1" si="23"/>
        <v>2.8874961378243181E-2</v>
      </c>
    </row>
    <row r="602" spans="2:7" x14ac:dyDescent="0.2">
      <c r="B602" s="167">
        <v>41095</v>
      </c>
      <c r="C602" s="28">
        <v>166.14</v>
      </c>
      <c r="D602" s="83">
        <f t="shared" si="22"/>
        <v>-0.22808158713933935</v>
      </c>
      <c r="E602" s="83">
        <v>1.8077088056866159E-2</v>
      </c>
      <c r="F602" s="83">
        <v>594</v>
      </c>
      <c r="G602" s="83">
        <f t="shared" ca="1" si="23"/>
        <v>2.0388788071647575E-2</v>
      </c>
    </row>
    <row r="603" spans="2:7" x14ac:dyDescent="0.2">
      <c r="B603" s="167">
        <v>41393</v>
      </c>
      <c r="C603" s="28">
        <v>215.23</v>
      </c>
      <c r="D603" s="83">
        <f t="shared" si="22"/>
        <v>2.2009220701963121</v>
      </c>
      <c r="E603" s="83">
        <v>1.8021000851385877E-2</v>
      </c>
      <c r="F603" s="83">
        <v>595</v>
      </c>
      <c r="G603" s="83">
        <f t="shared" ca="1" si="23"/>
        <v>1.6758271311944115E-2</v>
      </c>
    </row>
    <row r="604" spans="2:7" x14ac:dyDescent="0.2">
      <c r="B604" s="167">
        <v>39493</v>
      </c>
      <c r="C604" s="28">
        <v>67.239999999999995</v>
      </c>
      <c r="D604" s="83">
        <f t="shared" si="22"/>
        <v>-0.40305397727272735</v>
      </c>
      <c r="E604" s="83">
        <v>1.8016654049962118E-2</v>
      </c>
      <c r="F604" s="83">
        <v>596</v>
      </c>
      <c r="G604" s="83">
        <f t="shared" ca="1" si="23"/>
        <v>7.4226048801247137E-3</v>
      </c>
    </row>
    <row r="605" spans="2:7" x14ac:dyDescent="0.2">
      <c r="B605" s="167">
        <v>40536</v>
      </c>
      <c r="C605" s="28">
        <v>112.64</v>
      </c>
      <c r="D605" s="83">
        <f t="shared" si="22"/>
        <v>-0.53123309334554081</v>
      </c>
      <c r="E605" s="83">
        <v>1.7984636240397603E-2</v>
      </c>
      <c r="F605" s="83">
        <v>597</v>
      </c>
      <c r="G605" s="83">
        <f t="shared" ca="1" si="23"/>
        <v>1.6228367466599891E-2</v>
      </c>
    </row>
    <row r="606" spans="2:7" x14ac:dyDescent="0.2">
      <c r="B606" s="167">
        <v>42516</v>
      </c>
      <c r="C606" s="28">
        <v>240.29</v>
      </c>
      <c r="D606" s="83">
        <f t="shared" si="22"/>
        <v>1.1283436669619131</v>
      </c>
      <c r="E606" s="83">
        <v>1.7962296123702523E-2</v>
      </c>
      <c r="F606" s="83">
        <v>598</v>
      </c>
      <c r="G606" s="83">
        <f t="shared" ca="1" si="23"/>
        <v>-1.2464046951952379E-2</v>
      </c>
    </row>
    <row r="607" spans="2:7" x14ac:dyDescent="0.2">
      <c r="B607" s="167">
        <v>40522</v>
      </c>
      <c r="C607" s="28">
        <v>112.9</v>
      </c>
      <c r="D607" s="83">
        <f t="shared" si="22"/>
        <v>-0.75984854930656009</v>
      </c>
      <c r="E607" s="83">
        <v>1.7942475881345319E-2</v>
      </c>
      <c r="F607" s="83">
        <v>599</v>
      </c>
      <c r="G607" s="83">
        <f t="shared" ca="1" si="23"/>
        <v>-7.104560288221852E-3</v>
      </c>
    </row>
    <row r="608" spans="2:7" x14ac:dyDescent="0.2">
      <c r="B608" s="167">
        <v>45579</v>
      </c>
      <c r="C608" s="28">
        <v>470.12</v>
      </c>
      <c r="D608" s="83">
        <f t="shared" si="22"/>
        <v>1.2261577800928118</v>
      </c>
      <c r="E608" s="83">
        <v>1.7928286852589705E-2</v>
      </c>
      <c r="F608" s="83">
        <v>600</v>
      </c>
      <c r="G608" s="83">
        <f t="shared" ca="1" si="23"/>
        <v>2.7665766768557355E-2</v>
      </c>
    </row>
    <row r="609" spans="2:7" x14ac:dyDescent="0.2">
      <c r="B609" s="167">
        <v>42397</v>
      </c>
      <c r="C609" s="28">
        <v>211.18</v>
      </c>
      <c r="D609" s="83">
        <f t="shared" si="22"/>
        <v>3.0760470951553756</v>
      </c>
      <c r="E609" s="83">
        <v>1.788210343664148E-2</v>
      </c>
      <c r="F609" s="83">
        <v>601</v>
      </c>
      <c r="G609" s="83">
        <f t="shared" ca="1" si="23"/>
        <v>2.1989729255194337E-2</v>
      </c>
    </row>
    <row r="610" spans="2:7" x14ac:dyDescent="0.2">
      <c r="B610" s="167">
        <v>39314</v>
      </c>
      <c r="C610" s="28">
        <v>51.81</v>
      </c>
      <c r="D610" s="83">
        <f t="shared" si="22"/>
        <v>-0.18022151898734176</v>
      </c>
      <c r="E610" s="83">
        <v>1.7878192534381214E-2</v>
      </c>
      <c r="F610" s="83">
        <v>602</v>
      </c>
      <c r="G610" s="83">
        <f t="shared" ca="1" si="23"/>
        <v>-5.0155069632873313E-3</v>
      </c>
    </row>
    <row r="611" spans="2:7" x14ac:dyDescent="0.2">
      <c r="B611" s="167">
        <v>38981</v>
      </c>
      <c r="C611" s="28">
        <v>63.2</v>
      </c>
      <c r="D611" s="83">
        <f t="shared" si="22"/>
        <v>-0.75437232802176457</v>
      </c>
      <c r="E611" s="83">
        <v>1.7877274923498138E-2</v>
      </c>
      <c r="F611" s="83">
        <v>603</v>
      </c>
      <c r="G611" s="83">
        <f t="shared" ca="1" si="23"/>
        <v>7.8223527924332539E-3</v>
      </c>
    </row>
    <row r="612" spans="2:7" x14ac:dyDescent="0.2">
      <c r="B612" s="167">
        <v>42612</v>
      </c>
      <c r="C612" s="28">
        <v>257.3</v>
      </c>
      <c r="D612" s="83">
        <f t="shared" si="22"/>
        <v>0.52347681923145262</v>
      </c>
      <c r="E612" s="83">
        <v>1.7800632911392403E-2</v>
      </c>
      <c r="F612" s="83">
        <v>604</v>
      </c>
      <c r="G612" s="83">
        <f t="shared" ca="1" si="23"/>
        <v>-2.0864753559315028E-2</v>
      </c>
    </row>
    <row r="613" spans="2:7" x14ac:dyDescent="0.2">
      <c r="B613" s="167">
        <v>41115</v>
      </c>
      <c r="C613" s="28">
        <v>168.89</v>
      </c>
      <c r="D613" s="83">
        <f t="shared" si="22"/>
        <v>-0.50936873601952193</v>
      </c>
      <c r="E613" s="83">
        <v>1.7777509943352952E-2</v>
      </c>
      <c r="F613" s="83">
        <v>605</v>
      </c>
      <c r="G613" s="83">
        <f t="shared" ca="1" si="23"/>
        <v>1.4010286306501916E-2</v>
      </c>
    </row>
    <row r="614" spans="2:7" x14ac:dyDescent="0.2">
      <c r="B614" s="167">
        <v>44853</v>
      </c>
      <c r="C614" s="28">
        <v>344.23</v>
      </c>
      <c r="D614" s="83">
        <f t="shared" si="22"/>
        <v>0.48024080842829497</v>
      </c>
      <c r="E614" s="83">
        <v>1.7769499142569898E-2</v>
      </c>
      <c r="F614" s="83">
        <v>606</v>
      </c>
      <c r="G614" s="83">
        <f t="shared" ca="1" si="23"/>
        <v>4.7107589231255076E-2</v>
      </c>
    </row>
    <row r="615" spans="2:7" x14ac:dyDescent="0.2">
      <c r="B615" s="167">
        <v>42709</v>
      </c>
      <c r="C615" s="28">
        <v>232.55</v>
      </c>
      <c r="D615" s="83">
        <f t="shared" si="22"/>
        <v>0.13009038779278848</v>
      </c>
      <c r="E615" s="83">
        <v>1.7724288840262632E-2</v>
      </c>
      <c r="F615" s="83">
        <v>607</v>
      </c>
      <c r="G615" s="83">
        <f t="shared" ca="1" si="23"/>
        <v>-1.4790533529116608E-2</v>
      </c>
    </row>
    <row r="616" spans="2:7" x14ac:dyDescent="0.2">
      <c r="B616" s="167">
        <v>42177</v>
      </c>
      <c r="C616" s="28">
        <v>205.78</v>
      </c>
      <c r="D616" s="83">
        <f t="shared" si="22"/>
        <v>-0.14151022110972045</v>
      </c>
      <c r="E616" s="83">
        <v>1.7705242334322517E-2</v>
      </c>
      <c r="F616" s="83">
        <v>608</v>
      </c>
      <c r="G616" s="83">
        <f t="shared" ca="1" si="23"/>
        <v>2.9727923871935616E-3</v>
      </c>
    </row>
    <row r="617" spans="2:7" x14ac:dyDescent="0.2">
      <c r="B617" s="167">
        <v>42536</v>
      </c>
      <c r="C617" s="28">
        <v>239.7</v>
      </c>
      <c r="D617" s="83">
        <f t="shared" si="22"/>
        <v>-0.12294182217343587</v>
      </c>
      <c r="E617" s="83">
        <v>1.7704750987135344E-2</v>
      </c>
      <c r="F617" s="83">
        <v>609</v>
      </c>
      <c r="G617" s="83">
        <f t="shared" ca="1" si="23"/>
        <v>1.0750634395283466E-2</v>
      </c>
    </row>
    <row r="618" spans="2:7" x14ac:dyDescent="0.2">
      <c r="B618" s="167">
        <v>43300</v>
      </c>
      <c r="C618" s="28">
        <v>273.3</v>
      </c>
      <c r="D618" s="83">
        <f t="shared" si="22"/>
        <v>-0.16381103904050903</v>
      </c>
      <c r="E618" s="83">
        <v>1.768758145596723E-2</v>
      </c>
      <c r="F618" s="83">
        <v>610</v>
      </c>
      <c r="G618" s="83">
        <f t="shared" ca="1" si="23"/>
        <v>1.1813397083785173E-2</v>
      </c>
    </row>
    <row r="619" spans="2:7" x14ac:dyDescent="0.2">
      <c r="B619" s="167">
        <v>44809</v>
      </c>
      <c r="C619" s="28">
        <v>326.83999999999997</v>
      </c>
      <c r="D619" s="83">
        <f t="shared" si="22"/>
        <v>-0.21201600848642654</v>
      </c>
      <c r="E619" s="83">
        <v>1.7654201824578754E-2</v>
      </c>
      <c r="F619" s="83">
        <v>611</v>
      </c>
      <c r="G619" s="83">
        <f t="shared" ca="1" si="23"/>
        <v>2.2473512199808242E-4</v>
      </c>
    </row>
    <row r="620" spans="2:7" x14ac:dyDescent="0.2">
      <c r="B620" s="167">
        <v>45071</v>
      </c>
      <c r="C620" s="28">
        <v>414.78</v>
      </c>
      <c r="D620" s="83">
        <f t="shared" si="22"/>
        <v>0.95208960843373491</v>
      </c>
      <c r="E620" s="83">
        <v>1.7640275767315191E-2</v>
      </c>
      <c r="F620" s="83">
        <v>612</v>
      </c>
      <c r="G620" s="83">
        <f t="shared" ca="1" si="23"/>
        <v>1.3172026465087793E-2</v>
      </c>
    </row>
    <row r="621" spans="2:7" x14ac:dyDescent="0.2">
      <c r="B621" s="167">
        <v>41814</v>
      </c>
      <c r="C621" s="28">
        <v>212.48</v>
      </c>
      <c r="D621" s="83">
        <f t="shared" si="22"/>
        <v>2.3445616244294034</v>
      </c>
      <c r="E621" s="83">
        <v>1.7624521072796832E-2</v>
      </c>
      <c r="F621" s="83">
        <v>613</v>
      </c>
      <c r="G621" s="83">
        <f t="shared" ca="1" si="23"/>
        <v>7.2373918675916601E-3</v>
      </c>
    </row>
    <row r="622" spans="2:7" x14ac:dyDescent="0.2">
      <c r="B622" s="167">
        <v>39419</v>
      </c>
      <c r="C622" s="28">
        <v>63.53</v>
      </c>
      <c r="D622" s="83">
        <f t="shared" si="22"/>
        <v>8.5611756664388208E-2</v>
      </c>
      <c r="E622" s="83">
        <v>1.761973410219448E-2</v>
      </c>
      <c r="F622" s="83">
        <v>614</v>
      </c>
      <c r="G622" s="83">
        <f t="shared" ca="1" si="23"/>
        <v>8.6185996656696099E-4</v>
      </c>
    </row>
    <row r="623" spans="2:7" x14ac:dyDescent="0.2">
      <c r="B623" s="167">
        <v>39798</v>
      </c>
      <c r="C623" s="28">
        <v>58.52</v>
      </c>
      <c r="D623" s="83">
        <f t="shared" si="22"/>
        <v>-0.78053628351771975</v>
      </c>
      <c r="E623" s="83">
        <v>1.7562163102069296E-2</v>
      </c>
      <c r="F623" s="83">
        <v>615</v>
      </c>
      <c r="G623" s="83">
        <f t="shared" ca="1" si="23"/>
        <v>8.1203298182037208E-3</v>
      </c>
    </row>
    <row r="624" spans="2:7" x14ac:dyDescent="0.2">
      <c r="B624" s="167">
        <v>44687</v>
      </c>
      <c r="C624" s="28">
        <v>266.64999999999998</v>
      </c>
      <c r="D624" s="83">
        <f t="shared" si="22"/>
        <v>0.2296518330643301</v>
      </c>
      <c r="E624" s="83">
        <v>1.7553901927113015E-2</v>
      </c>
      <c r="F624" s="83">
        <v>616</v>
      </c>
      <c r="G624" s="83">
        <f t="shared" ca="1" si="23"/>
        <v>-1.2801845903085593E-2</v>
      </c>
    </row>
    <row r="625" spans="2:7" x14ac:dyDescent="0.2">
      <c r="B625" s="167">
        <v>42153</v>
      </c>
      <c r="C625" s="28">
        <v>216.85</v>
      </c>
      <c r="D625" s="83">
        <f t="shared" si="22"/>
        <v>7.8546198178099918E-3</v>
      </c>
      <c r="E625" s="83">
        <v>1.7549622260804188E-2</v>
      </c>
      <c r="F625" s="83">
        <v>617</v>
      </c>
      <c r="G625" s="83">
        <f t="shared" ca="1" si="23"/>
        <v>-1.2383790731434389E-2</v>
      </c>
    </row>
    <row r="626" spans="2:7" x14ac:dyDescent="0.2">
      <c r="B626" s="167">
        <v>41676</v>
      </c>
      <c r="C626" s="28">
        <v>215.16</v>
      </c>
      <c r="D626" s="83">
        <f t="shared" si="22"/>
        <v>7.499375468398696E-2</v>
      </c>
      <c r="E626" s="83">
        <v>1.7545519035232954E-2</v>
      </c>
      <c r="F626" s="83">
        <v>618</v>
      </c>
      <c r="G626" s="83">
        <f t="shared" ca="1" si="23"/>
        <v>-2.4184552518665178E-2</v>
      </c>
    </row>
    <row r="627" spans="2:7" x14ac:dyDescent="0.2">
      <c r="B627" s="167">
        <v>43986</v>
      </c>
      <c r="C627" s="28">
        <v>200.15</v>
      </c>
      <c r="D627" s="83">
        <f t="shared" si="22"/>
        <v>-6.2573181584000687E-2</v>
      </c>
      <c r="E627" s="83">
        <v>1.753940010167777E-2</v>
      </c>
      <c r="F627" s="83">
        <v>619</v>
      </c>
      <c r="G627" s="83">
        <f t="shared" ca="1" si="23"/>
        <v>1.4467525292625597E-3</v>
      </c>
    </row>
    <row r="628" spans="2:7" x14ac:dyDescent="0.2">
      <c r="B628" s="167">
        <v>42445</v>
      </c>
      <c r="C628" s="28">
        <v>213.51</v>
      </c>
      <c r="D628" s="83">
        <f t="shared" si="22"/>
        <v>-0.24139278735121691</v>
      </c>
      <c r="E628" s="83">
        <v>1.7538006958013524E-2</v>
      </c>
      <c r="F628" s="83">
        <v>620</v>
      </c>
      <c r="G628" s="83">
        <f t="shared" ca="1" si="23"/>
        <v>-1.1343286589890731E-2</v>
      </c>
    </row>
    <row r="629" spans="2:7" x14ac:dyDescent="0.2">
      <c r="B629" s="167">
        <v>43124</v>
      </c>
      <c r="C629" s="28">
        <v>281.45</v>
      </c>
      <c r="D629" s="83">
        <f t="shared" si="22"/>
        <v>1.4370075331197505</v>
      </c>
      <c r="E629" s="83">
        <v>1.7534345625451791E-2</v>
      </c>
      <c r="F629" s="83">
        <v>621</v>
      </c>
      <c r="G629" s="83">
        <f t="shared" ca="1" si="23"/>
        <v>-1.2219291408173173E-2</v>
      </c>
    </row>
    <row r="630" spans="2:7" x14ac:dyDescent="0.2">
      <c r="B630" s="167">
        <v>40541</v>
      </c>
      <c r="C630" s="28">
        <v>115.49</v>
      </c>
      <c r="D630" s="83">
        <f t="shared" si="22"/>
        <v>-0.52088778261771418</v>
      </c>
      <c r="E630" s="83">
        <v>1.7533039647577048E-2</v>
      </c>
      <c r="F630" s="83">
        <v>622</v>
      </c>
      <c r="G630" s="83">
        <f t="shared" ca="1" si="23"/>
        <v>-1.6635233089084819E-2</v>
      </c>
    </row>
    <row r="631" spans="2:7" x14ac:dyDescent="0.2">
      <c r="B631" s="167">
        <v>43816</v>
      </c>
      <c r="C631" s="28">
        <v>241.05</v>
      </c>
      <c r="D631" s="83">
        <f t="shared" si="22"/>
        <v>-0.24946290126724166</v>
      </c>
      <c r="E631" s="83">
        <v>1.7517940059096689E-2</v>
      </c>
      <c r="F631" s="83">
        <v>623</v>
      </c>
      <c r="G631" s="83">
        <f t="shared" ca="1" si="23"/>
        <v>-3.9281895016205258E-3</v>
      </c>
    </row>
    <row r="632" spans="2:7" x14ac:dyDescent="0.2">
      <c r="B632" s="167">
        <v>44806</v>
      </c>
      <c r="C632" s="28">
        <v>321.17</v>
      </c>
      <c r="D632" s="83">
        <f t="shared" si="22"/>
        <v>4.574900190939073</v>
      </c>
      <c r="E632" s="83">
        <v>1.7487723744654012E-2</v>
      </c>
      <c r="F632" s="83">
        <v>624</v>
      </c>
      <c r="G632" s="83">
        <f t="shared" ca="1" si="23"/>
        <v>-1.0560083324060408E-2</v>
      </c>
    </row>
    <row r="633" spans="2:7" x14ac:dyDescent="0.2">
      <c r="B633" s="167">
        <v>39328</v>
      </c>
      <c r="C633" s="28">
        <v>57.61</v>
      </c>
      <c r="D633" s="83">
        <f t="shared" si="22"/>
        <v>-0.85677348780548435</v>
      </c>
      <c r="E633" s="83">
        <v>1.7484987636877464E-2</v>
      </c>
      <c r="F633" s="83">
        <v>625</v>
      </c>
      <c r="G633" s="83">
        <f t="shared" ca="1" si="23"/>
        <v>1.6744749366177546E-2</v>
      </c>
    </row>
    <row r="634" spans="2:7" x14ac:dyDescent="0.2">
      <c r="B634" s="167">
        <v>45061</v>
      </c>
      <c r="C634" s="28">
        <v>402.23</v>
      </c>
      <c r="D634" s="83">
        <f t="shared" si="22"/>
        <v>4.8033472803347284</v>
      </c>
      <c r="E634" s="83">
        <v>1.7479510270160946E-2</v>
      </c>
      <c r="F634" s="83">
        <v>626</v>
      </c>
      <c r="G634" s="83">
        <f t="shared" ca="1" si="23"/>
        <v>-3.1468941920161117E-3</v>
      </c>
    </row>
    <row r="635" spans="2:7" x14ac:dyDescent="0.2">
      <c r="B635" s="167">
        <v>39595</v>
      </c>
      <c r="C635" s="28">
        <v>69.31</v>
      </c>
      <c r="D635" s="83">
        <f t="shared" si="22"/>
        <v>-0.76453201970443352</v>
      </c>
      <c r="E635" s="83">
        <v>1.7469172049324688E-2</v>
      </c>
      <c r="F635" s="83">
        <v>627</v>
      </c>
      <c r="G635" s="83">
        <f t="shared" ca="1" si="23"/>
        <v>2.4320981295254823E-2</v>
      </c>
    </row>
    <row r="636" spans="2:7" x14ac:dyDescent="0.2">
      <c r="B636" s="167">
        <v>43599</v>
      </c>
      <c r="C636" s="28">
        <v>294.35000000000002</v>
      </c>
      <c r="D636" s="83">
        <f t="shared" si="22"/>
        <v>-0.2740344300300892</v>
      </c>
      <c r="E636" s="83">
        <v>1.7455928102315974E-2</v>
      </c>
      <c r="F636" s="83">
        <v>628</v>
      </c>
      <c r="G636" s="83">
        <f t="shared" ca="1" si="23"/>
        <v>1.4328950950074009E-2</v>
      </c>
    </row>
    <row r="637" spans="2:7" x14ac:dyDescent="0.2">
      <c r="B637" s="167">
        <v>45373</v>
      </c>
      <c r="C637" s="28">
        <v>405.46</v>
      </c>
      <c r="D637" s="83">
        <f t="shared" si="22"/>
        <v>0.54425655088360747</v>
      </c>
      <c r="E637" s="83">
        <v>1.7439963865398582E-2</v>
      </c>
      <c r="F637" s="83">
        <v>629</v>
      </c>
      <c r="G637" s="83">
        <f t="shared" ca="1" si="23"/>
        <v>-7.8332928968185972E-3</v>
      </c>
    </row>
    <row r="638" spans="2:7" x14ac:dyDescent="0.2">
      <c r="B638" s="167">
        <v>42055</v>
      </c>
      <c r="C638" s="28">
        <v>262.56</v>
      </c>
      <c r="D638" s="83">
        <f t="shared" si="22"/>
        <v>3.731663362768066</v>
      </c>
      <c r="E638" s="83">
        <v>1.7437805161590329E-2</v>
      </c>
      <c r="F638" s="83">
        <v>630</v>
      </c>
      <c r="G638" s="83">
        <f t="shared" ca="1" si="23"/>
        <v>-1.0269341901525151E-2</v>
      </c>
    </row>
    <row r="639" spans="2:7" x14ac:dyDescent="0.2">
      <c r="B639" s="167">
        <v>38929</v>
      </c>
      <c r="C639" s="28">
        <v>55.49</v>
      </c>
      <c r="D639" s="83">
        <f t="shared" si="22"/>
        <v>0.28241275710654029</v>
      </c>
      <c r="E639" s="83">
        <v>1.7418408507517472E-2</v>
      </c>
      <c r="F639" s="83">
        <v>631</v>
      </c>
      <c r="G639" s="83">
        <f t="shared" ca="1" si="23"/>
        <v>-2.0322284515609079E-2</v>
      </c>
    </row>
    <row r="640" spans="2:7" x14ac:dyDescent="0.2">
      <c r="B640" s="167">
        <v>38672</v>
      </c>
      <c r="C640" s="28">
        <v>43.27</v>
      </c>
      <c r="D640" s="83">
        <f t="shared" si="22"/>
        <v>-0.83380065296715955</v>
      </c>
      <c r="E640" s="83">
        <v>1.7399482718081401E-2</v>
      </c>
      <c r="F640" s="83">
        <v>632</v>
      </c>
      <c r="G640" s="83">
        <f t="shared" ca="1" si="23"/>
        <v>1.3519572108782778E-2</v>
      </c>
    </row>
    <row r="641" spans="2:7" x14ac:dyDescent="0.2">
      <c r="B641" s="167">
        <v>42629</v>
      </c>
      <c r="C641" s="28">
        <v>260.35000000000002</v>
      </c>
      <c r="D641" s="83">
        <f t="shared" si="22"/>
        <v>0.2019852262234535</v>
      </c>
      <c r="E641" s="83">
        <v>1.7389605314576072E-2</v>
      </c>
      <c r="F641" s="83">
        <v>633</v>
      </c>
      <c r="G641" s="83">
        <f t="shared" ca="1" si="23"/>
        <v>3.7030643595064083E-2</v>
      </c>
    </row>
    <row r="642" spans="2:7" x14ac:dyDescent="0.2">
      <c r="B642" s="167">
        <v>44347</v>
      </c>
      <c r="C642" s="28">
        <v>216.6</v>
      </c>
      <c r="D642" s="83">
        <f t="shared" si="22"/>
        <v>2.4884844580447734</v>
      </c>
      <c r="E642" s="83">
        <v>1.7379051197745368E-2</v>
      </c>
      <c r="F642" s="83">
        <v>634</v>
      </c>
      <c r="G642" s="83">
        <f t="shared" ca="1" si="23"/>
        <v>8.2080100214784908E-3</v>
      </c>
    </row>
    <row r="643" spans="2:7" x14ac:dyDescent="0.2">
      <c r="B643" s="167">
        <v>38980</v>
      </c>
      <c r="C643" s="28">
        <v>62.09</v>
      </c>
      <c r="D643" s="83">
        <f t="shared" si="22"/>
        <v>-0.71060358890701469</v>
      </c>
      <c r="E643" s="83">
        <v>1.7368507291496024E-2</v>
      </c>
      <c r="F643" s="83">
        <v>635</v>
      </c>
      <c r="G643" s="83">
        <f t="shared" ca="1" si="23"/>
        <v>1.0504830582477856E-3</v>
      </c>
    </row>
    <row r="644" spans="2:7" x14ac:dyDescent="0.2">
      <c r="B644" s="167">
        <v>44285</v>
      </c>
      <c r="C644" s="28">
        <v>214.55</v>
      </c>
      <c r="D644" s="83">
        <f t="shared" si="22"/>
        <v>-0.14204022873595387</v>
      </c>
      <c r="E644" s="83">
        <v>1.730678046467523E-2</v>
      </c>
      <c r="F644" s="83">
        <v>636</v>
      </c>
      <c r="G644" s="83">
        <f t="shared" ca="1" si="23"/>
        <v>-2.2359972792608245E-2</v>
      </c>
    </row>
    <row r="645" spans="2:7" x14ac:dyDescent="0.2">
      <c r="B645" s="167">
        <v>41906</v>
      </c>
      <c r="C645" s="28">
        <v>250.07</v>
      </c>
      <c r="D645" s="83">
        <f t="shared" si="22"/>
        <v>0.14789993114528346</v>
      </c>
      <c r="E645" s="83">
        <v>1.7289073305670817E-2</v>
      </c>
      <c r="F645" s="83">
        <v>637</v>
      </c>
      <c r="G645" s="83">
        <f t="shared" ca="1" si="23"/>
        <v>-6.2665204152931317E-3</v>
      </c>
    </row>
    <row r="646" spans="2:7" x14ac:dyDescent="0.2">
      <c r="B646" s="167">
        <v>44211</v>
      </c>
      <c r="C646" s="28">
        <v>217.85</v>
      </c>
      <c r="D646" s="83">
        <f t="shared" si="22"/>
        <v>1.4829040346478233</v>
      </c>
      <c r="E646" s="83">
        <v>1.7277609152463173E-2</v>
      </c>
      <c r="F646" s="83">
        <v>638</v>
      </c>
      <c r="G646" s="83">
        <f t="shared" ca="1" si="23"/>
        <v>-9.2457870632602784E-4</v>
      </c>
    </row>
    <row r="647" spans="2:7" x14ac:dyDescent="0.2">
      <c r="B647" s="167">
        <v>40112</v>
      </c>
      <c r="C647" s="28">
        <v>87.74</v>
      </c>
      <c r="D647" s="83">
        <f t="shared" si="22"/>
        <v>0.37890931950337875</v>
      </c>
      <c r="E647" s="83">
        <v>1.7275362318840519E-2</v>
      </c>
      <c r="F647" s="83">
        <v>639</v>
      </c>
      <c r="G647" s="83">
        <f t="shared" ca="1" si="23"/>
        <v>-4.7677755575736922E-3</v>
      </c>
    </row>
    <row r="648" spans="2:7" x14ac:dyDescent="0.2">
      <c r="B648" s="167">
        <v>39692</v>
      </c>
      <c r="C648" s="28">
        <v>63.63</v>
      </c>
      <c r="D648" s="83">
        <f t="shared" si="22"/>
        <v>-0.4193813304133589</v>
      </c>
      <c r="E648" s="83">
        <v>1.7266187050359798E-2</v>
      </c>
      <c r="F648" s="83">
        <v>640</v>
      </c>
      <c r="G648" s="83">
        <f t="shared" ca="1" si="23"/>
        <v>-1.1120391185369892E-4</v>
      </c>
    </row>
    <row r="649" spans="2:7" x14ac:dyDescent="0.2">
      <c r="B649" s="167">
        <v>40409</v>
      </c>
      <c r="C649" s="28">
        <v>109.59</v>
      </c>
      <c r="D649" s="83">
        <f t="shared" ref="D649:D712" si="24">(C649-C650)/C650</f>
        <v>2.441896984924623</v>
      </c>
      <c r="E649" s="83">
        <v>1.7265385686438314E-2</v>
      </c>
      <c r="F649" s="83">
        <v>641</v>
      </c>
      <c r="G649" s="83">
        <f t="shared" ref="G649:G712" ca="1" si="25">_xlfn.NORM.INV(RAND(),$M$10,$M$11)</f>
        <v>-5.5577696260880702E-4</v>
      </c>
    </row>
    <row r="650" spans="2:7" x14ac:dyDescent="0.2">
      <c r="B650" s="167">
        <v>38478</v>
      </c>
      <c r="C650" s="28">
        <v>31.84</v>
      </c>
      <c r="D650" s="83">
        <f t="shared" si="24"/>
        <v>-0.88023321421854428</v>
      </c>
      <c r="E650" s="83">
        <v>1.7252396166134158E-2</v>
      </c>
      <c r="F650" s="83">
        <v>642</v>
      </c>
      <c r="G650" s="83">
        <f t="shared" ca="1" si="25"/>
        <v>-2.0899952639983552E-2</v>
      </c>
    </row>
    <row r="651" spans="2:7" x14ac:dyDescent="0.2">
      <c r="B651" s="167">
        <v>43776</v>
      </c>
      <c r="C651" s="28">
        <v>265.85000000000002</v>
      </c>
      <c r="D651" s="83">
        <f t="shared" si="24"/>
        <v>0.11002087682672243</v>
      </c>
      <c r="E651" s="83">
        <v>1.7218289649894775E-2</v>
      </c>
      <c r="F651" s="83">
        <v>643</v>
      </c>
      <c r="G651" s="83">
        <f t="shared" ca="1" si="25"/>
        <v>-1.1139803316252347E-2</v>
      </c>
    </row>
    <row r="652" spans="2:7" x14ac:dyDescent="0.2">
      <c r="B652" s="167">
        <v>44517</v>
      </c>
      <c r="C652" s="28">
        <v>239.5</v>
      </c>
      <c r="D652" s="83">
        <f t="shared" si="24"/>
        <v>3.8234784116525027E-2</v>
      </c>
      <c r="E652" s="83">
        <v>1.720110426842222E-2</v>
      </c>
      <c r="F652" s="83">
        <v>644</v>
      </c>
      <c r="G652" s="83">
        <f t="shared" ca="1" si="25"/>
        <v>1.7741023724892051E-2</v>
      </c>
    </row>
    <row r="653" spans="2:7" x14ac:dyDescent="0.2">
      <c r="B653" s="167">
        <v>42118</v>
      </c>
      <c r="C653" s="28">
        <v>230.68</v>
      </c>
      <c r="D653" s="83">
        <f t="shared" si="24"/>
        <v>-8.8221343873517766E-2</v>
      </c>
      <c r="E653" s="83">
        <v>1.710758377425042E-2</v>
      </c>
      <c r="F653" s="83">
        <v>645</v>
      </c>
      <c r="G653" s="83">
        <f t="shared" ca="1" si="25"/>
        <v>-6.1556927897324261E-3</v>
      </c>
    </row>
    <row r="654" spans="2:7" x14ac:dyDescent="0.2">
      <c r="B654" s="167">
        <v>43693</v>
      </c>
      <c r="C654" s="28">
        <v>253</v>
      </c>
      <c r="D654" s="83">
        <f t="shared" si="24"/>
        <v>0.88034188034188021</v>
      </c>
      <c r="E654" s="83">
        <v>1.7085427135678392E-2</v>
      </c>
      <c r="F654" s="83">
        <v>646</v>
      </c>
      <c r="G654" s="83">
        <f t="shared" ca="1" si="25"/>
        <v>-1.4948521041664151E-2</v>
      </c>
    </row>
    <row r="655" spans="2:7" x14ac:dyDescent="0.2">
      <c r="B655" s="167">
        <v>40724</v>
      </c>
      <c r="C655" s="28">
        <v>134.55000000000001</v>
      </c>
      <c r="D655" s="83">
        <f t="shared" si="24"/>
        <v>0.63765822784810144</v>
      </c>
      <c r="E655" s="83">
        <v>1.7083679794391259E-2</v>
      </c>
      <c r="F655" s="83">
        <v>647</v>
      </c>
      <c r="G655" s="83">
        <f t="shared" ca="1" si="25"/>
        <v>-6.3682570821471923E-3</v>
      </c>
    </row>
    <row r="656" spans="2:7" x14ac:dyDescent="0.2">
      <c r="B656" s="167">
        <v>40108</v>
      </c>
      <c r="C656" s="28">
        <v>82.16</v>
      </c>
      <c r="D656" s="83">
        <f t="shared" si="24"/>
        <v>-0.70047393364928912</v>
      </c>
      <c r="E656" s="83">
        <v>1.7083436494181672E-2</v>
      </c>
      <c r="F656" s="83">
        <v>648</v>
      </c>
      <c r="G656" s="83">
        <f t="shared" ca="1" si="25"/>
        <v>-7.2461968778310465E-3</v>
      </c>
    </row>
    <row r="657" spans="2:7" x14ac:dyDescent="0.2">
      <c r="B657" s="167">
        <v>42768</v>
      </c>
      <c r="C657" s="28">
        <v>274.3</v>
      </c>
      <c r="D657" s="83">
        <f t="shared" si="24"/>
        <v>3.7391154111955771</v>
      </c>
      <c r="E657" s="83">
        <v>1.705598813496486E-2</v>
      </c>
      <c r="F657" s="83">
        <v>649</v>
      </c>
      <c r="G657" s="83">
        <f t="shared" ca="1" si="25"/>
        <v>8.8371755311724646E-3</v>
      </c>
    </row>
    <row r="658" spans="2:7" x14ac:dyDescent="0.2">
      <c r="B658" s="167">
        <v>39113</v>
      </c>
      <c r="C658" s="28">
        <v>57.88</v>
      </c>
      <c r="D658" s="83">
        <f t="shared" si="24"/>
        <v>0.21163910404019257</v>
      </c>
      <c r="E658" s="83">
        <v>1.7044456158847407E-2</v>
      </c>
      <c r="F658" s="83">
        <v>650</v>
      </c>
      <c r="G658" s="83">
        <f t="shared" ca="1" si="25"/>
        <v>1.6099002984443566E-2</v>
      </c>
    </row>
    <row r="659" spans="2:7" x14ac:dyDescent="0.2">
      <c r="B659" s="167">
        <v>38700</v>
      </c>
      <c r="C659" s="28">
        <v>47.77</v>
      </c>
      <c r="D659" s="83">
        <f t="shared" si="24"/>
        <v>-0.78266606005459505</v>
      </c>
      <c r="E659" s="83">
        <v>1.7032148179689253E-2</v>
      </c>
      <c r="F659" s="83">
        <v>651</v>
      </c>
      <c r="G659" s="83">
        <f t="shared" ca="1" si="25"/>
        <v>3.1883671582850952E-3</v>
      </c>
    </row>
    <row r="660" spans="2:7" x14ac:dyDescent="0.2">
      <c r="B660" s="167">
        <v>42219</v>
      </c>
      <c r="C660" s="28">
        <v>219.8</v>
      </c>
      <c r="D660" s="83">
        <f t="shared" si="24"/>
        <v>-0.10340607791148274</v>
      </c>
      <c r="E660" s="83">
        <v>1.7027577271886019E-2</v>
      </c>
      <c r="F660" s="83">
        <v>652</v>
      </c>
      <c r="G660" s="83">
        <f t="shared" ca="1" si="25"/>
        <v>-2.4885694298330267E-3</v>
      </c>
    </row>
    <row r="661" spans="2:7" x14ac:dyDescent="0.2">
      <c r="B661" s="167">
        <v>43817</v>
      </c>
      <c r="C661" s="28">
        <v>245.15</v>
      </c>
      <c r="D661" s="83">
        <f t="shared" si="24"/>
        <v>-0.44309404815992726</v>
      </c>
      <c r="E661" s="83">
        <v>1.7008919311346168E-2</v>
      </c>
      <c r="F661" s="83">
        <v>653</v>
      </c>
      <c r="G661" s="83">
        <f t="shared" ca="1" si="25"/>
        <v>1.2324452195700839E-2</v>
      </c>
    </row>
    <row r="662" spans="2:7" x14ac:dyDescent="0.2">
      <c r="B662" s="167">
        <v>45674</v>
      </c>
      <c r="C662" s="28">
        <v>440.2</v>
      </c>
      <c r="D662" s="83">
        <f t="shared" si="24"/>
        <v>0.94434628975265011</v>
      </c>
      <c r="E662" s="83">
        <v>1.6980478225713216E-2</v>
      </c>
      <c r="F662" s="83">
        <v>654</v>
      </c>
      <c r="G662" s="83">
        <f t="shared" ca="1" si="25"/>
        <v>2.2307613552616345E-2</v>
      </c>
    </row>
    <row r="663" spans="2:7" x14ac:dyDescent="0.2">
      <c r="B663" s="167">
        <v>41829</v>
      </c>
      <c r="C663" s="28">
        <v>226.4</v>
      </c>
      <c r="D663" s="83">
        <f t="shared" si="24"/>
        <v>3.3742751472535568E-2</v>
      </c>
      <c r="E663" s="83">
        <v>1.6979606504357207E-2</v>
      </c>
      <c r="F663" s="83">
        <v>655</v>
      </c>
      <c r="G663" s="83">
        <f t="shared" ca="1" si="25"/>
        <v>1.090570143682861E-2</v>
      </c>
    </row>
    <row r="664" spans="2:7" x14ac:dyDescent="0.2">
      <c r="B664" s="167">
        <v>42510</v>
      </c>
      <c r="C664" s="28">
        <v>219.01</v>
      </c>
      <c r="D664" s="83">
        <f t="shared" si="24"/>
        <v>1.2528895053166803E-2</v>
      </c>
      <c r="E664" s="83">
        <v>1.6948365527488751E-2</v>
      </c>
      <c r="F664" s="83">
        <v>656</v>
      </c>
      <c r="G664" s="83">
        <f t="shared" ca="1" si="25"/>
        <v>7.5846423043611638E-3</v>
      </c>
    </row>
    <row r="665" spans="2:7" x14ac:dyDescent="0.2">
      <c r="B665" s="167">
        <v>44176</v>
      </c>
      <c r="C665" s="28">
        <v>216.3</v>
      </c>
      <c r="D665" s="83">
        <f t="shared" si="24"/>
        <v>2.2385087587962267</v>
      </c>
      <c r="E665" s="83">
        <v>1.6925246826516329E-2</v>
      </c>
      <c r="F665" s="83">
        <v>657</v>
      </c>
      <c r="G665" s="83">
        <f t="shared" ca="1" si="25"/>
        <v>-1.3913838222159976E-2</v>
      </c>
    </row>
    <row r="666" spans="2:7" x14ac:dyDescent="0.2">
      <c r="B666" s="167">
        <v>39615</v>
      </c>
      <c r="C666" s="28">
        <v>66.790000000000006</v>
      </c>
      <c r="D666" s="83">
        <f t="shared" si="24"/>
        <v>-0.68487850908233061</v>
      </c>
      <c r="E666" s="83">
        <v>1.6900121802679649E-2</v>
      </c>
      <c r="F666" s="83">
        <v>658</v>
      </c>
      <c r="G666" s="83">
        <f t="shared" ca="1" si="25"/>
        <v>2.7411514814127615E-3</v>
      </c>
    </row>
    <row r="667" spans="2:7" x14ac:dyDescent="0.2">
      <c r="B667" s="167">
        <v>41450</v>
      </c>
      <c r="C667" s="28">
        <v>211.95</v>
      </c>
      <c r="D667" s="83">
        <f t="shared" si="24"/>
        <v>1.7928580840690473</v>
      </c>
      <c r="E667" s="83">
        <v>1.6888163891954047E-2</v>
      </c>
      <c r="F667" s="83">
        <v>659</v>
      </c>
      <c r="G667" s="83">
        <f t="shared" ca="1" si="25"/>
        <v>3.4572971000570905E-2</v>
      </c>
    </row>
    <row r="668" spans="2:7" x14ac:dyDescent="0.2">
      <c r="B668" s="167">
        <v>40046</v>
      </c>
      <c r="C668" s="28">
        <v>75.89</v>
      </c>
      <c r="D668" s="83">
        <f t="shared" si="24"/>
        <v>-0.65100022993791684</v>
      </c>
      <c r="E668" s="83">
        <v>1.6883290901782196E-2</v>
      </c>
      <c r="F668" s="83">
        <v>660</v>
      </c>
      <c r="G668" s="83">
        <f t="shared" ca="1" si="25"/>
        <v>-1.7606068485543726E-2</v>
      </c>
    </row>
    <row r="669" spans="2:7" x14ac:dyDescent="0.2">
      <c r="B669" s="167">
        <v>42132</v>
      </c>
      <c r="C669" s="28">
        <v>217.45</v>
      </c>
      <c r="D669" s="83">
        <f t="shared" si="24"/>
        <v>4.8095110873630773</v>
      </c>
      <c r="E669" s="83">
        <v>1.688178077066959E-2</v>
      </c>
      <c r="F669" s="83">
        <v>661</v>
      </c>
      <c r="G669" s="83">
        <f t="shared" ca="1" si="25"/>
        <v>-8.7361722355302276E-3</v>
      </c>
    </row>
    <row r="670" spans="2:7" x14ac:dyDescent="0.2">
      <c r="B670" s="167">
        <v>38559</v>
      </c>
      <c r="C670" s="28">
        <v>37.43</v>
      </c>
      <c r="D670" s="83">
        <f t="shared" si="24"/>
        <v>-0.3545438868770478</v>
      </c>
      <c r="E670" s="83">
        <v>1.6843249117087677E-2</v>
      </c>
      <c r="F670" s="83">
        <v>662</v>
      </c>
      <c r="G670" s="83">
        <f t="shared" ca="1" si="25"/>
        <v>-5.9594589089079011E-3</v>
      </c>
    </row>
    <row r="671" spans="2:7" x14ac:dyDescent="0.2">
      <c r="B671" s="167">
        <v>39331</v>
      </c>
      <c r="C671" s="28">
        <v>57.99</v>
      </c>
      <c r="D671" s="83">
        <f t="shared" si="24"/>
        <v>-0.72244292346718997</v>
      </c>
      <c r="E671" s="83">
        <v>1.6833245660178867E-2</v>
      </c>
      <c r="F671" s="83">
        <v>663</v>
      </c>
      <c r="G671" s="83">
        <f t="shared" ca="1" si="25"/>
        <v>-4.0586028890148796E-3</v>
      </c>
    </row>
    <row r="672" spans="2:7" x14ac:dyDescent="0.2">
      <c r="B672" s="167">
        <v>42185</v>
      </c>
      <c r="C672" s="28">
        <v>208.93</v>
      </c>
      <c r="D672" s="83">
        <f t="shared" si="24"/>
        <v>2.5173400673400672</v>
      </c>
      <c r="E672" s="83">
        <v>1.6789955226786144E-2</v>
      </c>
      <c r="F672" s="83">
        <v>664</v>
      </c>
      <c r="G672" s="83">
        <f t="shared" ca="1" si="25"/>
        <v>-5.4066631287075142E-3</v>
      </c>
    </row>
    <row r="673" spans="2:7" x14ac:dyDescent="0.2">
      <c r="B673" s="167">
        <v>39650</v>
      </c>
      <c r="C673" s="28">
        <v>59.4</v>
      </c>
      <c r="D673" s="83">
        <f t="shared" si="24"/>
        <v>-0.74389928429766317</v>
      </c>
      <c r="E673" s="83">
        <v>1.6775077028414874E-2</v>
      </c>
      <c r="F673" s="83">
        <v>665</v>
      </c>
      <c r="G673" s="83">
        <f t="shared" ca="1" si="25"/>
        <v>2.0543778097397596E-2</v>
      </c>
    </row>
    <row r="674" spans="2:7" x14ac:dyDescent="0.2">
      <c r="B674" s="167">
        <v>41841</v>
      </c>
      <c r="C674" s="28">
        <v>231.94</v>
      </c>
      <c r="D674" s="83">
        <f t="shared" si="24"/>
        <v>-4.6495375128468665E-2</v>
      </c>
      <c r="E674" s="83">
        <v>1.6745572505698726E-2</v>
      </c>
      <c r="F674" s="83">
        <v>666</v>
      </c>
      <c r="G674" s="83">
        <f t="shared" ca="1" si="25"/>
        <v>-5.0249684533308435E-2</v>
      </c>
    </row>
    <row r="675" spans="2:7" x14ac:dyDescent="0.2">
      <c r="B675" s="167">
        <v>43844</v>
      </c>
      <c r="C675" s="28">
        <v>243.25</v>
      </c>
      <c r="D675" s="83">
        <f t="shared" si="24"/>
        <v>0.17189381895264252</v>
      </c>
      <c r="E675" s="83">
        <v>1.671891327063741E-2</v>
      </c>
      <c r="F675" s="83">
        <v>667</v>
      </c>
      <c r="G675" s="83">
        <f t="shared" ca="1" si="25"/>
        <v>-1.0877571493946745E-2</v>
      </c>
    </row>
    <row r="676" spans="2:7" x14ac:dyDescent="0.2">
      <c r="B676" s="167">
        <v>41381</v>
      </c>
      <c r="C676" s="28">
        <v>207.57</v>
      </c>
      <c r="D676" s="83">
        <f t="shared" si="24"/>
        <v>3.8634020618556697</v>
      </c>
      <c r="E676" s="83">
        <v>1.6702586206896537E-2</v>
      </c>
      <c r="F676" s="83">
        <v>668</v>
      </c>
      <c r="G676" s="83">
        <f t="shared" ca="1" si="25"/>
        <v>-1.2194279064507249E-2</v>
      </c>
    </row>
    <row r="677" spans="2:7" x14ac:dyDescent="0.2">
      <c r="B677" s="167">
        <v>38665</v>
      </c>
      <c r="C677" s="28">
        <v>42.68</v>
      </c>
      <c r="D677" s="83">
        <f t="shared" si="24"/>
        <v>-0.83562487964567678</v>
      </c>
      <c r="E677" s="83">
        <v>1.6674606955693255E-2</v>
      </c>
      <c r="F677" s="83">
        <v>669</v>
      </c>
      <c r="G677" s="83">
        <f t="shared" ca="1" si="25"/>
        <v>2.0425797687413462E-2</v>
      </c>
    </row>
    <row r="678" spans="2:7" x14ac:dyDescent="0.2">
      <c r="B678" s="167">
        <v>42758</v>
      </c>
      <c r="C678" s="28">
        <v>259.64999999999998</v>
      </c>
      <c r="D678" s="83">
        <f t="shared" si="24"/>
        <v>-2.4055628641232979E-2</v>
      </c>
      <c r="E678" s="83">
        <v>1.6640563821456428E-2</v>
      </c>
      <c r="F678" s="83">
        <v>670</v>
      </c>
      <c r="G678" s="83">
        <f t="shared" ca="1" si="25"/>
        <v>-2.4439480472536641E-3</v>
      </c>
    </row>
    <row r="679" spans="2:7" x14ac:dyDescent="0.2">
      <c r="B679" s="167">
        <v>43117</v>
      </c>
      <c r="C679" s="28">
        <v>266.05</v>
      </c>
      <c r="D679" s="83">
        <f t="shared" si="24"/>
        <v>0.15900675234153777</v>
      </c>
      <c r="E679" s="83">
        <v>1.6622086358425766E-2</v>
      </c>
      <c r="F679" s="83">
        <v>671</v>
      </c>
      <c r="G679" s="83">
        <f t="shared" ca="1" si="25"/>
        <v>1.2722671022172829E-3</v>
      </c>
    </row>
    <row r="680" spans="2:7" x14ac:dyDescent="0.2">
      <c r="B680" s="167">
        <v>42102</v>
      </c>
      <c r="C680" s="28">
        <v>229.55</v>
      </c>
      <c r="D680" s="83">
        <f t="shared" si="24"/>
        <v>0.19005650889107795</v>
      </c>
      <c r="E680" s="83">
        <v>1.6607617360496013E-2</v>
      </c>
      <c r="F680" s="83">
        <v>672</v>
      </c>
      <c r="G680" s="83">
        <f t="shared" ca="1" si="25"/>
        <v>-1.7375797451686287E-2</v>
      </c>
    </row>
    <row r="681" spans="2:7" x14ac:dyDescent="0.2">
      <c r="B681" s="167">
        <v>42426</v>
      </c>
      <c r="C681" s="28">
        <v>192.89</v>
      </c>
      <c r="D681" s="83">
        <f t="shared" si="24"/>
        <v>0.52651155428933194</v>
      </c>
      <c r="E681" s="83">
        <v>1.6601665436913552E-2</v>
      </c>
      <c r="F681" s="83">
        <v>673</v>
      </c>
      <c r="G681" s="83">
        <f t="shared" ca="1" si="25"/>
        <v>1.0423598615934658E-2</v>
      </c>
    </row>
    <row r="682" spans="2:7" x14ac:dyDescent="0.2">
      <c r="B682" s="167">
        <v>40653</v>
      </c>
      <c r="C682" s="28">
        <v>126.36</v>
      </c>
      <c r="D682" s="83">
        <f t="shared" si="24"/>
        <v>-0.39453761379971247</v>
      </c>
      <c r="E682" s="83">
        <v>1.6572807723250219E-2</v>
      </c>
      <c r="F682" s="83">
        <v>674</v>
      </c>
      <c r="G682" s="83">
        <f t="shared" ca="1" si="25"/>
        <v>-1.8034312012792257E-2</v>
      </c>
    </row>
    <row r="683" spans="2:7" x14ac:dyDescent="0.2">
      <c r="B683" s="167">
        <v>44299</v>
      </c>
      <c r="C683" s="28">
        <v>208.7</v>
      </c>
      <c r="D683" s="83">
        <f t="shared" si="24"/>
        <v>-3.1509582811267436E-2</v>
      </c>
      <c r="E683" s="83">
        <v>1.6561130053580016E-2</v>
      </c>
      <c r="F683" s="83">
        <v>675</v>
      </c>
      <c r="G683" s="83">
        <f t="shared" ca="1" si="25"/>
        <v>2.968918586226371E-4</v>
      </c>
    </row>
    <row r="684" spans="2:7" x14ac:dyDescent="0.2">
      <c r="B684" s="167">
        <v>41820</v>
      </c>
      <c r="C684" s="28">
        <v>215.49</v>
      </c>
      <c r="D684" s="83">
        <f t="shared" si="24"/>
        <v>2.7673076923076927</v>
      </c>
      <c r="E684" s="83">
        <v>1.6558165864704308E-2</v>
      </c>
      <c r="F684" s="83">
        <v>676</v>
      </c>
      <c r="G684" s="83">
        <f t="shared" ca="1" si="25"/>
        <v>-1.8849091660625771E-2</v>
      </c>
    </row>
    <row r="685" spans="2:7" x14ac:dyDescent="0.2">
      <c r="B685" s="167">
        <v>39300</v>
      </c>
      <c r="C685" s="28">
        <v>57.2</v>
      </c>
      <c r="D685" s="83">
        <f t="shared" si="24"/>
        <v>-0.59398069278818855</v>
      </c>
      <c r="E685" s="83">
        <v>1.652745690421183E-2</v>
      </c>
      <c r="F685" s="83">
        <v>677</v>
      </c>
      <c r="G685" s="83">
        <f t="shared" ca="1" si="25"/>
        <v>1.3687093118165496E-2</v>
      </c>
    </row>
    <row r="686" spans="2:7" x14ac:dyDescent="0.2">
      <c r="B686" s="167">
        <v>40982</v>
      </c>
      <c r="C686" s="28">
        <v>140.88</v>
      </c>
      <c r="D686" s="83">
        <f t="shared" si="24"/>
        <v>1.4356846473029043</v>
      </c>
      <c r="E686" s="83">
        <v>1.6523558698318723E-2</v>
      </c>
      <c r="F686" s="83">
        <v>678</v>
      </c>
      <c r="G686" s="83">
        <f t="shared" ca="1" si="25"/>
        <v>-4.0912644621046761E-2</v>
      </c>
    </row>
    <row r="687" spans="2:7" x14ac:dyDescent="0.2">
      <c r="B687" s="167">
        <v>39815</v>
      </c>
      <c r="C687" s="28">
        <v>57.84</v>
      </c>
      <c r="D687" s="83">
        <f t="shared" si="24"/>
        <v>-7.0395371263259329E-2</v>
      </c>
      <c r="E687" s="83">
        <v>1.6520210896309399E-2</v>
      </c>
      <c r="F687" s="83">
        <v>679</v>
      </c>
      <c r="G687" s="83">
        <f t="shared" ca="1" si="25"/>
        <v>-4.6406628834843146E-3</v>
      </c>
    </row>
    <row r="688" spans="2:7" x14ac:dyDescent="0.2">
      <c r="B688" s="167">
        <v>39412</v>
      </c>
      <c r="C688" s="28">
        <v>62.22</v>
      </c>
      <c r="D688" s="83">
        <f t="shared" si="24"/>
        <v>-0.66228831958315248</v>
      </c>
      <c r="E688" s="83">
        <v>1.6500571801993106E-2</v>
      </c>
      <c r="F688" s="83">
        <v>680</v>
      </c>
      <c r="G688" s="83">
        <f t="shared" ca="1" si="25"/>
        <v>2.3067233018005409E-2</v>
      </c>
    </row>
    <row r="689" spans="2:7" x14ac:dyDescent="0.2">
      <c r="B689" s="167">
        <v>41288</v>
      </c>
      <c r="C689" s="28">
        <v>184.24</v>
      </c>
      <c r="D689" s="83">
        <f t="shared" si="24"/>
        <v>-0.30514802941731084</v>
      </c>
      <c r="E689" s="83">
        <v>1.649655172413798E-2</v>
      </c>
      <c r="F689" s="83">
        <v>681</v>
      </c>
      <c r="G689" s="83">
        <f t="shared" ca="1" si="25"/>
        <v>-5.3813926339104593E-3</v>
      </c>
    </row>
    <row r="690" spans="2:7" x14ac:dyDescent="0.2">
      <c r="B690" s="167">
        <v>43273</v>
      </c>
      <c r="C690" s="28">
        <v>265.14999999999998</v>
      </c>
      <c r="D690" s="83">
        <f t="shared" si="24"/>
        <v>0.211228358686218</v>
      </c>
      <c r="E690" s="83">
        <v>1.6484569676058863E-2</v>
      </c>
      <c r="F690" s="83">
        <v>682</v>
      </c>
      <c r="G690" s="83">
        <f t="shared" ca="1" si="25"/>
        <v>-3.7342366241662978E-3</v>
      </c>
    </row>
    <row r="691" spans="2:7" x14ac:dyDescent="0.2">
      <c r="B691" s="167">
        <v>41659</v>
      </c>
      <c r="C691" s="28">
        <v>218.91</v>
      </c>
      <c r="D691" s="83">
        <f t="shared" si="24"/>
        <v>0.56935981073912101</v>
      </c>
      <c r="E691" s="83">
        <v>1.6484026745913739E-2</v>
      </c>
      <c r="F691" s="83">
        <v>683</v>
      </c>
      <c r="G691" s="83">
        <f t="shared" ca="1" si="25"/>
        <v>-5.4261197287974764E-3</v>
      </c>
    </row>
    <row r="692" spans="2:7" x14ac:dyDescent="0.2">
      <c r="B692" s="167">
        <v>40974</v>
      </c>
      <c r="C692" s="28">
        <v>139.49</v>
      </c>
      <c r="D692" s="83">
        <f t="shared" si="24"/>
        <v>-0.4406303885792196</v>
      </c>
      <c r="E692" s="83">
        <v>1.6468702178824013E-2</v>
      </c>
      <c r="F692" s="83">
        <v>684</v>
      </c>
      <c r="G692" s="83">
        <f t="shared" ca="1" si="25"/>
        <v>3.3932771835062416E-2</v>
      </c>
    </row>
    <row r="693" spans="2:7" x14ac:dyDescent="0.2">
      <c r="B693" s="167">
        <v>41964</v>
      </c>
      <c r="C693" s="28">
        <v>249.37</v>
      </c>
      <c r="D693" s="83">
        <f t="shared" si="24"/>
        <v>0.26231333839534288</v>
      </c>
      <c r="E693" s="83">
        <v>1.6467615049117482E-2</v>
      </c>
      <c r="F693" s="83">
        <v>685</v>
      </c>
      <c r="G693" s="83">
        <f t="shared" ca="1" si="25"/>
        <v>2.1066984512432842E-3</v>
      </c>
    </row>
    <row r="694" spans="2:7" x14ac:dyDescent="0.2">
      <c r="B694" s="167">
        <v>44025</v>
      </c>
      <c r="C694" s="28">
        <v>197.55</v>
      </c>
      <c r="D694" s="83">
        <f t="shared" si="24"/>
        <v>-7.2578752171259475E-2</v>
      </c>
      <c r="E694" s="83">
        <v>1.6465140210959697E-2</v>
      </c>
      <c r="F694" s="83">
        <v>686</v>
      </c>
      <c r="G694" s="83">
        <f t="shared" ca="1" si="25"/>
        <v>1.1206246541837976E-3</v>
      </c>
    </row>
    <row r="695" spans="2:7" x14ac:dyDescent="0.2">
      <c r="B695" s="167">
        <v>42440</v>
      </c>
      <c r="C695" s="28">
        <v>213.01</v>
      </c>
      <c r="D695" s="83">
        <f t="shared" si="24"/>
        <v>-8.0148551194023421E-2</v>
      </c>
      <c r="E695" s="83">
        <v>1.6463065470509585E-2</v>
      </c>
      <c r="F695" s="83">
        <v>687</v>
      </c>
      <c r="G695" s="83">
        <f t="shared" ca="1" si="25"/>
        <v>1.3634744844844679E-2</v>
      </c>
    </row>
    <row r="696" spans="2:7" x14ac:dyDescent="0.2">
      <c r="B696" s="167">
        <v>41876</v>
      </c>
      <c r="C696" s="28">
        <v>231.57</v>
      </c>
      <c r="D696" s="83">
        <f t="shared" si="24"/>
        <v>-0.12190960109206746</v>
      </c>
      <c r="E696" s="83">
        <v>1.6460363444824863E-2</v>
      </c>
      <c r="F696" s="83">
        <v>688</v>
      </c>
      <c r="G696" s="83">
        <f t="shared" ca="1" si="25"/>
        <v>3.1688639975920164E-3</v>
      </c>
    </row>
    <row r="697" spans="2:7" x14ac:dyDescent="0.2">
      <c r="B697" s="167">
        <v>41981</v>
      </c>
      <c r="C697" s="28">
        <v>263.72000000000003</v>
      </c>
      <c r="D697" s="83">
        <f t="shared" si="24"/>
        <v>-6.2495556345538515E-2</v>
      </c>
      <c r="E697" s="83">
        <v>1.645789169396816E-2</v>
      </c>
      <c r="F697" s="83">
        <v>689</v>
      </c>
      <c r="G697" s="83">
        <f t="shared" ca="1" si="25"/>
        <v>-3.9820639982499463E-3</v>
      </c>
    </row>
    <row r="698" spans="2:7" x14ac:dyDescent="0.2">
      <c r="B698" s="167">
        <v>42850</v>
      </c>
      <c r="C698" s="28">
        <v>281.3</v>
      </c>
      <c r="D698" s="83">
        <f t="shared" si="24"/>
        <v>2.8832136940916624</v>
      </c>
      <c r="E698" s="83">
        <v>1.6440831074977458E-2</v>
      </c>
      <c r="F698" s="83">
        <v>690</v>
      </c>
      <c r="G698" s="83">
        <f t="shared" ca="1" si="25"/>
        <v>7.8891146698561818E-3</v>
      </c>
    </row>
    <row r="699" spans="2:7" x14ac:dyDescent="0.2">
      <c r="B699" s="167">
        <v>39577</v>
      </c>
      <c r="C699" s="28">
        <v>72.44</v>
      </c>
      <c r="D699" s="83">
        <f t="shared" si="24"/>
        <v>-0.46593925095841932</v>
      </c>
      <c r="E699" s="83">
        <v>1.6416444506805131E-2</v>
      </c>
      <c r="F699" s="83">
        <v>691</v>
      </c>
      <c r="G699" s="83">
        <f t="shared" ca="1" si="25"/>
        <v>-1.2046067522490021E-2</v>
      </c>
    </row>
    <row r="700" spans="2:7" x14ac:dyDescent="0.2">
      <c r="B700" s="167">
        <v>40931</v>
      </c>
      <c r="C700" s="28">
        <v>135.63999999999999</v>
      </c>
      <c r="D700" s="83">
        <f t="shared" si="24"/>
        <v>1.3013233797081776</v>
      </c>
      <c r="E700" s="83">
        <v>1.6410640689396763E-2</v>
      </c>
      <c r="F700" s="83">
        <v>692</v>
      </c>
      <c r="G700" s="83">
        <f t="shared" ca="1" si="25"/>
        <v>-5.1231122681952325E-3</v>
      </c>
    </row>
    <row r="701" spans="2:7" x14ac:dyDescent="0.2">
      <c r="B701" s="167">
        <v>39332</v>
      </c>
      <c r="C701" s="28">
        <v>58.94</v>
      </c>
      <c r="D701" s="83">
        <f t="shared" si="24"/>
        <v>-0.56674507497794768</v>
      </c>
      <c r="E701" s="83">
        <v>1.6382134850836276E-2</v>
      </c>
      <c r="F701" s="83">
        <v>693</v>
      </c>
      <c r="G701" s="83">
        <f t="shared" ca="1" si="25"/>
        <v>6.781615275399477E-3</v>
      </c>
    </row>
    <row r="702" spans="2:7" x14ac:dyDescent="0.2">
      <c r="B702" s="167">
        <v>40830</v>
      </c>
      <c r="C702" s="28">
        <v>136.04</v>
      </c>
      <c r="D702" s="83">
        <f t="shared" si="24"/>
        <v>-0.40030857394754243</v>
      </c>
      <c r="E702" s="83">
        <v>1.6361598804632036E-2</v>
      </c>
      <c r="F702" s="83">
        <v>694</v>
      </c>
      <c r="G702" s="83">
        <f t="shared" ca="1" si="25"/>
        <v>-4.3031052377032015E-3</v>
      </c>
    </row>
    <row r="703" spans="2:7" x14ac:dyDescent="0.2">
      <c r="B703" s="167">
        <v>44501</v>
      </c>
      <c r="C703" s="28">
        <v>226.85</v>
      </c>
      <c r="D703" s="83">
        <f t="shared" si="24"/>
        <v>2.8731432473962779</v>
      </c>
      <c r="E703" s="83">
        <v>1.6353046594982105E-2</v>
      </c>
      <c r="F703" s="83">
        <v>695</v>
      </c>
      <c r="G703" s="83">
        <f t="shared" ca="1" si="25"/>
        <v>-2.0973566791717645E-2</v>
      </c>
    </row>
    <row r="704" spans="2:7" x14ac:dyDescent="0.2">
      <c r="B704" s="167">
        <v>38778</v>
      </c>
      <c r="C704" s="28">
        <v>58.57</v>
      </c>
      <c r="D704" s="83">
        <f t="shared" si="24"/>
        <v>-0.56534322820037108</v>
      </c>
      <c r="E704" s="83">
        <v>1.631094915842439E-2</v>
      </c>
      <c r="F704" s="83">
        <v>696</v>
      </c>
      <c r="G704" s="83">
        <f t="shared" ca="1" si="25"/>
        <v>7.621171011935741E-3</v>
      </c>
    </row>
    <row r="705" spans="2:7" x14ac:dyDescent="0.2">
      <c r="B705" s="167">
        <v>40788</v>
      </c>
      <c r="C705" s="28">
        <v>134.75</v>
      </c>
      <c r="D705" s="83">
        <f t="shared" si="24"/>
        <v>-0.72073117655592633</v>
      </c>
      <c r="E705" s="83">
        <v>1.629082132890864E-2</v>
      </c>
      <c r="F705" s="83">
        <v>697</v>
      </c>
      <c r="G705" s="83">
        <f t="shared" ca="1" si="25"/>
        <v>-2.2485568143375198E-2</v>
      </c>
    </row>
    <row r="706" spans="2:7" x14ac:dyDescent="0.2">
      <c r="B706" s="167">
        <v>45537</v>
      </c>
      <c r="C706" s="28">
        <v>482.51</v>
      </c>
      <c r="D706" s="83">
        <f t="shared" si="24"/>
        <v>0.57271838331160352</v>
      </c>
      <c r="E706" s="83">
        <v>1.6238416175231633E-2</v>
      </c>
      <c r="F706" s="83">
        <v>698</v>
      </c>
      <c r="G706" s="83">
        <f t="shared" ca="1" si="25"/>
        <v>4.474223019180041E-2</v>
      </c>
    </row>
    <row r="707" spans="2:7" x14ac:dyDescent="0.2">
      <c r="B707" s="167">
        <v>42902</v>
      </c>
      <c r="C707" s="28">
        <v>306.8</v>
      </c>
      <c r="D707" s="83">
        <f t="shared" si="24"/>
        <v>0.52979306906008472</v>
      </c>
      <c r="E707" s="83">
        <v>1.6230539913878881E-2</v>
      </c>
      <c r="F707" s="83">
        <v>699</v>
      </c>
      <c r="G707" s="83">
        <f t="shared" ca="1" si="25"/>
        <v>6.9866850200056927E-3</v>
      </c>
    </row>
    <row r="708" spans="2:7" x14ac:dyDescent="0.2">
      <c r="B708" s="167">
        <v>43983</v>
      </c>
      <c r="C708" s="28">
        <v>200.55</v>
      </c>
      <c r="D708" s="83">
        <f t="shared" si="24"/>
        <v>2.8941747572815535</v>
      </c>
      <c r="E708" s="83">
        <v>1.6214846719027197E-2</v>
      </c>
      <c r="F708" s="83">
        <v>700</v>
      </c>
      <c r="G708" s="83">
        <f t="shared" ca="1" si="25"/>
        <v>7.3948219967660753E-3</v>
      </c>
    </row>
    <row r="709" spans="2:7" x14ac:dyDescent="0.2">
      <c r="B709" s="167">
        <v>39276</v>
      </c>
      <c r="C709" s="28">
        <v>51.5</v>
      </c>
      <c r="D709" s="83">
        <f t="shared" si="24"/>
        <v>-0.45698017714044709</v>
      </c>
      <c r="E709" s="83">
        <v>1.6179952644041047E-2</v>
      </c>
      <c r="F709" s="83">
        <v>701</v>
      </c>
      <c r="G709" s="83">
        <f t="shared" ca="1" si="25"/>
        <v>-1.8613144816092719E-2</v>
      </c>
    </row>
    <row r="710" spans="2:7" x14ac:dyDescent="0.2">
      <c r="B710" s="167">
        <v>40343</v>
      </c>
      <c r="C710" s="28">
        <v>94.84</v>
      </c>
      <c r="D710" s="83">
        <f t="shared" si="24"/>
        <v>-0.57470852017937213</v>
      </c>
      <c r="E710" s="83">
        <v>1.6179149255330604E-2</v>
      </c>
      <c r="F710" s="83">
        <v>702</v>
      </c>
      <c r="G710" s="83">
        <f t="shared" ca="1" si="25"/>
        <v>-1.0270264642507264E-2</v>
      </c>
    </row>
    <row r="711" spans="2:7" x14ac:dyDescent="0.2">
      <c r="B711" s="167">
        <v>44607</v>
      </c>
      <c r="C711" s="28">
        <v>223</v>
      </c>
      <c r="D711" s="83">
        <f t="shared" si="24"/>
        <v>-0.13482056256062075</v>
      </c>
      <c r="E711" s="83">
        <v>1.6176805650489914E-2</v>
      </c>
      <c r="F711" s="83">
        <v>703</v>
      </c>
      <c r="G711" s="83">
        <f t="shared" ca="1" si="25"/>
        <v>-3.6283176402292068E-2</v>
      </c>
    </row>
    <row r="712" spans="2:7" x14ac:dyDescent="0.2">
      <c r="B712" s="167">
        <v>43685</v>
      </c>
      <c r="C712" s="28">
        <v>257.75</v>
      </c>
      <c r="D712" s="83">
        <f t="shared" si="24"/>
        <v>0.12530015280506435</v>
      </c>
      <c r="E712" s="83">
        <v>1.6164005519416495E-2</v>
      </c>
      <c r="F712" s="83">
        <v>704</v>
      </c>
      <c r="G712" s="83">
        <f t="shared" ca="1" si="25"/>
        <v>1.349844809345295E-2</v>
      </c>
    </row>
    <row r="713" spans="2:7" x14ac:dyDescent="0.2">
      <c r="B713" s="167">
        <v>41564</v>
      </c>
      <c r="C713" s="28">
        <v>229.05</v>
      </c>
      <c r="D713" s="83">
        <f t="shared" ref="D713:D776" si="26">(C713-C714)/C714</f>
        <v>0.74050151975683909</v>
      </c>
      <c r="E713" s="83">
        <v>1.6148351892107782E-2</v>
      </c>
      <c r="F713" s="83">
        <v>705</v>
      </c>
      <c r="G713" s="83">
        <f t="shared" ref="G713:G776" ca="1" si="27">_xlfn.NORM.INV(RAND(),$M$10,$M$11)</f>
        <v>4.8898249388946722E-3</v>
      </c>
    </row>
    <row r="714" spans="2:7" x14ac:dyDescent="0.2">
      <c r="B714" s="167">
        <v>40806</v>
      </c>
      <c r="C714" s="28">
        <v>131.6</v>
      </c>
      <c r="D714" s="83">
        <f t="shared" si="26"/>
        <v>-0.32857142857142863</v>
      </c>
      <c r="E714" s="83">
        <v>1.61377499806965E-2</v>
      </c>
      <c r="F714" s="83">
        <v>706</v>
      </c>
      <c r="G714" s="83">
        <f t="shared" ca="1" si="27"/>
        <v>6.0835208431059403E-3</v>
      </c>
    </row>
    <row r="715" spans="2:7" x14ac:dyDescent="0.2">
      <c r="B715" s="167">
        <v>42429</v>
      </c>
      <c r="C715" s="28">
        <v>196</v>
      </c>
      <c r="D715" s="83">
        <f t="shared" si="26"/>
        <v>1.2851812988224323</v>
      </c>
      <c r="E715" s="83">
        <v>1.6123179013945842E-2</v>
      </c>
      <c r="F715" s="83">
        <v>707</v>
      </c>
      <c r="G715" s="83">
        <f t="shared" ca="1" si="27"/>
        <v>4.021246976497095E-3</v>
      </c>
    </row>
    <row r="716" spans="2:7" x14ac:dyDescent="0.2">
      <c r="B716" s="167">
        <v>40135</v>
      </c>
      <c r="C716" s="28">
        <v>85.77</v>
      </c>
      <c r="D716" s="83">
        <f t="shared" si="26"/>
        <v>0.17028243962341369</v>
      </c>
      <c r="E716" s="83">
        <v>1.6111835090629065E-2</v>
      </c>
      <c r="F716" s="83">
        <v>708</v>
      </c>
      <c r="G716" s="83">
        <f t="shared" ca="1" si="27"/>
        <v>-2.9763017528809593E-2</v>
      </c>
    </row>
    <row r="717" spans="2:7" x14ac:dyDescent="0.2">
      <c r="B717" s="167">
        <v>39449</v>
      </c>
      <c r="C717" s="28">
        <v>73.290000000000006</v>
      </c>
      <c r="D717" s="83">
        <f t="shared" si="26"/>
        <v>-0.71359906213364599</v>
      </c>
      <c r="E717" s="83">
        <v>1.6082074032996132E-2</v>
      </c>
      <c r="F717" s="83">
        <v>709</v>
      </c>
      <c r="G717" s="83">
        <f t="shared" ca="1" si="27"/>
        <v>9.065471425866568E-3</v>
      </c>
    </row>
    <row r="718" spans="2:7" x14ac:dyDescent="0.2">
      <c r="B718" s="167">
        <v>42628</v>
      </c>
      <c r="C718" s="28">
        <v>255.9</v>
      </c>
      <c r="D718" s="83">
        <f t="shared" si="26"/>
        <v>0.29766734279918877</v>
      </c>
      <c r="E718" s="83">
        <v>1.608100059559266E-2</v>
      </c>
      <c r="F718" s="83">
        <v>710</v>
      </c>
      <c r="G718" s="83">
        <f t="shared" ca="1" si="27"/>
        <v>2.7140960307422371E-2</v>
      </c>
    </row>
    <row r="719" spans="2:7" x14ac:dyDescent="0.2">
      <c r="B719" s="167">
        <v>41298</v>
      </c>
      <c r="C719" s="28">
        <v>197.2</v>
      </c>
      <c r="D719" s="83">
        <f t="shared" si="26"/>
        <v>2.346911065852002</v>
      </c>
      <c r="E719" s="83">
        <v>1.6075845012365912E-2</v>
      </c>
      <c r="F719" s="83">
        <v>711</v>
      </c>
      <c r="G719" s="83">
        <f t="shared" ca="1" si="27"/>
        <v>-5.051282131067804E-3</v>
      </c>
    </row>
    <row r="720" spans="2:7" x14ac:dyDescent="0.2">
      <c r="B720" s="167">
        <v>39897</v>
      </c>
      <c r="C720" s="28">
        <v>58.92</v>
      </c>
      <c r="D720" s="83">
        <f t="shared" si="26"/>
        <v>-0.72248127737741974</v>
      </c>
      <c r="E720" s="83">
        <v>1.6037247801345054E-2</v>
      </c>
      <c r="F720" s="83">
        <v>712</v>
      </c>
      <c r="G720" s="83">
        <f t="shared" ca="1" si="27"/>
        <v>-9.5793223277263265E-3</v>
      </c>
    </row>
    <row r="721" spans="2:7" x14ac:dyDescent="0.2">
      <c r="B721" s="167">
        <v>42437</v>
      </c>
      <c r="C721" s="28">
        <v>212.31</v>
      </c>
      <c r="D721" s="83">
        <f t="shared" si="26"/>
        <v>8.1675293223799749E-3</v>
      </c>
      <c r="E721" s="83">
        <v>1.6031776416539023E-2</v>
      </c>
      <c r="F721" s="83">
        <v>713</v>
      </c>
      <c r="G721" s="83">
        <f t="shared" ca="1" si="27"/>
        <v>-5.2055239173289481E-3</v>
      </c>
    </row>
    <row r="722" spans="2:7" x14ac:dyDescent="0.2">
      <c r="B722" s="167">
        <v>42495</v>
      </c>
      <c r="C722" s="28">
        <v>210.59</v>
      </c>
      <c r="D722" s="83">
        <f t="shared" si="26"/>
        <v>-6.5912619206032322E-2</v>
      </c>
      <c r="E722" s="83">
        <v>1.6017754619578294E-2</v>
      </c>
      <c r="F722" s="83">
        <v>714</v>
      </c>
      <c r="G722" s="83">
        <f t="shared" ca="1" si="27"/>
        <v>-9.1979626553536815E-3</v>
      </c>
    </row>
    <row r="723" spans="2:7" x14ac:dyDescent="0.2">
      <c r="B723" s="167">
        <v>44532</v>
      </c>
      <c r="C723" s="28">
        <v>225.45</v>
      </c>
      <c r="D723" s="83">
        <f t="shared" si="26"/>
        <v>-0.48039825762289984</v>
      </c>
      <c r="E723" s="83">
        <v>1.5998197386209927E-2</v>
      </c>
      <c r="F723" s="83">
        <v>715</v>
      </c>
      <c r="G723" s="83">
        <f t="shared" ca="1" si="27"/>
        <v>1.7546189080022731E-3</v>
      </c>
    </row>
    <row r="724" spans="2:7" x14ac:dyDescent="0.2">
      <c r="B724" s="167">
        <v>45484</v>
      </c>
      <c r="C724" s="28">
        <v>433.89</v>
      </c>
      <c r="D724" s="83">
        <f t="shared" si="26"/>
        <v>0.35930451127819552</v>
      </c>
      <c r="E724" s="83">
        <v>1.5945490306265811E-2</v>
      </c>
      <c r="F724" s="83">
        <v>716</v>
      </c>
      <c r="G724" s="83">
        <f t="shared" ca="1" si="27"/>
        <v>-1.1599557628512129E-2</v>
      </c>
    </row>
    <row r="725" spans="2:7" x14ac:dyDescent="0.2">
      <c r="B725" s="167">
        <v>42888</v>
      </c>
      <c r="C725" s="28">
        <v>319.2</v>
      </c>
      <c r="D725" s="83">
        <f t="shared" si="26"/>
        <v>5.0172725777266003E-2</v>
      </c>
      <c r="E725" s="83">
        <v>1.5913430935709738E-2</v>
      </c>
      <c r="F725" s="83">
        <v>717</v>
      </c>
      <c r="G725" s="83">
        <f t="shared" ca="1" si="27"/>
        <v>1.4008771048895405E-2</v>
      </c>
    </row>
    <row r="726" spans="2:7" x14ac:dyDescent="0.2">
      <c r="B726" s="167">
        <v>43315</v>
      </c>
      <c r="C726" s="28">
        <v>303.95</v>
      </c>
      <c r="D726" s="83">
        <f t="shared" si="26"/>
        <v>0.37639813431146119</v>
      </c>
      <c r="E726" s="83">
        <v>1.5875668449197862E-2</v>
      </c>
      <c r="F726" s="83">
        <v>718</v>
      </c>
      <c r="G726" s="83">
        <f t="shared" ca="1" si="27"/>
        <v>1.4673835730933185E-2</v>
      </c>
    </row>
    <row r="727" spans="2:7" x14ac:dyDescent="0.2">
      <c r="B727" s="167">
        <v>41577</v>
      </c>
      <c r="C727" s="28">
        <v>220.83</v>
      </c>
      <c r="D727" s="83">
        <f t="shared" si="26"/>
        <v>3.0107155830003633</v>
      </c>
      <c r="E727" s="83">
        <v>1.587082528291479E-2</v>
      </c>
      <c r="F727" s="83">
        <v>719</v>
      </c>
      <c r="G727" s="83">
        <f t="shared" ca="1" si="27"/>
        <v>2.842918938229726E-2</v>
      </c>
    </row>
    <row r="728" spans="2:7" x14ac:dyDescent="0.2">
      <c r="B728" s="167">
        <v>38775</v>
      </c>
      <c r="C728" s="28">
        <v>55.06</v>
      </c>
      <c r="D728" s="83">
        <f t="shared" si="26"/>
        <v>-0.73942262186464747</v>
      </c>
      <c r="E728" s="83">
        <v>1.5867158671586706E-2</v>
      </c>
      <c r="F728" s="83">
        <v>720</v>
      </c>
      <c r="G728" s="83">
        <f t="shared" ca="1" si="27"/>
        <v>-1.8598753967081542E-3</v>
      </c>
    </row>
    <row r="729" spans="2:7" x14ac:dyDescent="0.2">
      <c r="B729" s="167">
        <v>44439</v>
      </c>
      <c r="C729" s="28">
        <v>211.3</v>
      </c>
      <c r="D729" s="83">
        <f t="shared" si="26"/>
        <v>-7.0922921338433781E-2</v>
      </c>
      <c r="E729" s="83">
        <v>1.586538461538467E-2</v>
      </c>
      <c r="F729" s="83">
        <v>721</v>
      </c>
      <c r="G729" s="83">
        <f t="shared" ca="1" si="27"/>
        <v>1.2902312344056032E-3</v>
      </c>
    </row>
    <row r="730" spans="2:7" x14ac:dyDescent="0.2">
      <c r="B730" s="167">
        <v>42317</v>
      </c>
      <c r="C730" s="28">
        <v>227.43</v>
      </c>
      <c r="D730" s="83">
        <f t="shared" si="26"/>
        <v>2.9844078486334973</v>
      </c>
      <c r="E730" s="83">
        <v>1.585670895122392E-2</v>
      </c>
      <c r="F730" s="83">
        <v>722</v>
      </c>
      <c r="G730" s="83">
        <f t="shared" ca="1" si="27"/>
        <v>-2.3484243282755816E-3</v>
      </c>
    </row>
    <row r="731" spans="2:7" x14ac:dyDescent="0.2">
      <c r="B731" s="167">
        <v>39100</v>
      </c>
      <c r="C731" s="28">
        <v>57.08</v>
      </c>
      <c r="D731" s="83">
        <f t="shared" si="26"/>
        <v>-0.7532209252053611</v>
      </c>
      <c r="E731" s="83">
        <v>1.5839117280654933E-2</v>
      </c>
      <c r="F731" s="83">
        <v>723</v>
      </c>
      <c r="G731" s="83">
        <f t="shared" ca="1" si="27"/>
        <v>3.1117989531076185E-2</v>
      </c>
    </row>
    <row r="732" spans="2:7" x14ac:dyDescent="0.2">
      <c r="B732" s="167">
        <v>44525</v>
      </c>
      <c r="C732" s="28">
        <v>231.3</v>
      </c>
      <c r="D732" s="83">
        <f t="shared" si="26"/>
        <v>-0.16885263573969603</v>
      </c>
      <c r="E732" s="83">
        <v>1.5810276679841997E-2</v>
      </c>
      <c r="F732" s="83">
        <v>724</v>
      </c>
      <c r="G732" s="83">
        <f t="shared" ca="1" si="27"/>
        <v>3.6316164649466298E-2</v>
      </c>
    </row>
    <row r="733" spans="2:7" x14ac:dyDescent="0.2">
      <c r="B733" s="167">
        <v>44701</v>
      </c>
      <c r="C733" s="28">
        <v>278.29000000000002</v>
      </c>
      <c r="D733" s="83">
        <f t="shared" si="26"/>
        <v>1.306880232981446E-2</v>
      </c>
      <c r="E733" s="83">
        <v>1.5805227040444011E-2</v>
      </c>
      <c r="F733" s="83">
        <v>725</v>
      </c>
      <c r="G733" s="83">
        <f t="shared" ca="1" si="27"/>
        <v>-1.5855537965183929E-2</v>
      </c>
    </row>
    <row r="734" spans="2:7" x14ac:dyDescent="0.2">
      <c r="B734" s="167">
        <v>43445</v>
      </c>
      <c r="C734" s="28">
        <v>274.7</v>
      </c>
      <c r="D734" s="83">
        <f t="shared" si="26"/>
        <v>0.1756398185397586</v>
      </c>
      <c r="E734" s="83">
        <v>1.5714549824366798E-2</v>
      </c>
      <c r="F734" s="83">
        <v>726</v>
      </c>
      <c r="G734" s="83">
        <f t="shared" ca="1" si="27"/>
        <v>2.0250566874464429E-2</v>
      </c>
    </row>
    <row r="735" spans="2:7" x14ac:dyDescent="0.2">
      <c r="B735" s="167">
        <v>41928</v>
      </c>
      <c r="C735" s="28">
        <v>233.66</v>
      </c>
      <c r="D735" s="83">
        <f t="shared" si="26"/>
        <v>1.2278794813119756</v>
      </c>
      <c r="E735" s="83">
        <v>1.5692240817213585E-2</v>
      </c>
      <c r="F735" s="83">
        <v>727</v>
      </c>
      <c r="G735" s="83">
        <f t="shared" ca="1" si="27"/>
        <v>-1.3894238538650861E-2</v>
      </c>
    </row>
    <row r="736" spans="2:7" x14ac:dyDescent="0.2">
      <c r="B736" s="167">
        <v>40595</v>
      </c>
      <c r="C736" s="28">
        <v>104.88</v>
      </c>
      <c r="D736" s="83">
        <f t="shared" si="26"/>
        <v>-0.7805077119477638</v>
      </c>
      <c r="E736" s="83">
        <v>1.5688553166763416E-2</v>
      </c>
      <c r="F736" s="83">
        <v>728</v>
      </c>
      <c r="G736" s="83">
        <f t="shared" ca="1" si="27"/>
        <v>2.2277262467145578E-2</v>
      </c>
    </row>
    <row r="737" spans="2:7" x14ac:dyDescent="0.2">
      <c r="B737" s="167">
        <v>45533</v>
      </c>
      <c r="C737" s="28">
        <v>477.83</v>
      </c>
      <c r="D737" s="83">
        <f t="shared" si="26"/>
        <v>6.7514130604767478E-2</v>
      </c>
      <c r="E737" s="83">
        <v>1.5687108088000841E-2</v>
      </c>
      <c r="F737" s="83">
        <v>729</v>
      </c>
      <c r="G737" s="83">
        <f t="shared" ca="1" si="27"/>
        <v>-7.7169195647622457E-3</v>
      </c>
    </row>
    <row r="738" spans="2:7" x14ac:dyDescent="0.2">
      <c r="B738" s="167">
        <v>45118</v>
      </c>
      <c r="C738" s="28">
        <v>447.61</v>
      </c>
      <c r="D738" s="83">
        <f t="shared" si="26"/>
        <v>0.72522644054731178</v>
      </c>
      <c r="E738" s="83">
        <v>1.5679600635352904E-2</v>
      </c>
      <c r="F738" s="83">
        <v>730</v>
      </c>
      <c r="G738" s="83">
        <f t="shared" ca="1" si="27"/>
        <v>-7.5893254753972269E-3</v>
      </c>
    </row>
    <row r="739" spans="2:7" x14ac:dyDescent="0.2">
      <c r="B739" s="167">
        <v>44656</v>
      </c>
      <c r="C739" s="28">
        <v>259.45</v>
      </c>
      <c r="D739" s="83">
        <f t="shared" si="26"/>
        <v>8.0276470833159849E-2</v>
      </c>
      <c r="E739" s="83">
        <v>1.5658641612840085E-2</v>
      </c>
      <c r="F739" s="83">
        <v>731</v>
      </c>
      <c r="G739" s="83">
        <f t="shared" ca="1" si="27"/>
        <v>-1.5661059542222605E-2</v>
      </c>
    </row>
    <row r="740" spans="2:7" x14ac:dyDescent="0.2">
      <c r="B740" s="167">
        <v>42544</v>
      </c>
      <c r="C740" s="28">
        <v>240.17</v>
      </c>
      <c r="D740" s="83">
        <f t="shared" si="26"/>
        <v>-0.14999115200849414</v>
      </c>
      <c r="E740" s="83">
        <v>1.5646805091554906E-2</v>
      </c>
      <c r="F740" s="83">
        <v>732</v>
      </c>
      <c r="G740" s="83">
        <f t="shared" ca="1" si="27"/>
        <v>1.3811249269041533E-3</v>
      </c>
    </row>
    <row r="741" spans="2:7" x14ac:dyDescent="0.2">
      <c r="B741" s="167">
        <v>43529</v>
      </c>
      <c r="C741" s="28">
        <v>282.55</v>
      </c>
      <c r="D741" s="83">
        <f t="shared" si="26"/>
        <v>0.14415873658635361</v>
      </c>
      <c r="E741" s="83">
        <v>1.5636232925952634E-2</v>
      </c>
      <c r="F741" s="83">
        <v>733</v>
      </c>
      <c r="G741" s="83">
        <f t="shared" ca="1" si="27"/>
        <v>3.9304724858200982E-2</v>
      </c>
    </row>
    <row r="742" spans="2:7" x14ac:dyDescent="0.2">
      <c r="B742" s="167">
        <v>43804</v>
      </c>
      <c r="C742" s="28">
        <v>246.95</v>
      </c>
      <c r="D742" s="83">
        <f t="shared" si="26"/>
        <v>-8.4861960348341786E-2</v>
      </c>
      <c r="E742" s="83">
        <v>1.5628213037219753E-2</v>
      </c>
      <c r="F742" s="83">
        <v>734</v>
      </c>
      <c r="G742" s="83">
        <f t="shared" ca="1" si="27"/>
        <v>-7.5000224267751147E-3</v>
      </c>
    </row>
    <row r="743" spans="2:7" x14ac:dyDescent="0.2">
      <c r="B743" s="167">
        <v>43040</v>
      </c>
      <c r="C743" s="28">
        <v>269.85000000000002</v>
      </c>
      <c r="D743" s="83">
        <f t="shared" si="26"/>
        <v>0.98404529078744241</v>
      </c>
      <c r="E743" s="83">
        <v>1.5619119307489779E-2</v>
      </c>
      <c r="F743" s="83">
        <v>735</v>
      </c>
      <c r="G743" s="83">
        <f t="shared" ca="1" si="27"/>
        <v>-2.2560430437356766E-3</v>
      </c>
    </row>
    <row r="744" spans="2:7" x14ac:dyDescent="0.2">
      <c r="B744" s="167">
        <v>40918</v>
      </c>
      <c r="C744" s="28">
        <v>136.01</v>
      </c>
      <c r="D744" s="83">
        <f t="shared" si="26"/>
        <v>-1.9079768107435188E-3</v>
      </c>
      <c r="E744" s="83">
        <v>1.560633213859023E-2</v>
      </c>
      <c r="F744" s="83">
        <v>736</v>
      </c>
      <c r="G744" s="83">
        <f t="shared" ca="1" si="27"/>
        <v>6.6037464155852682E-3</v>
      </c>
    </row>
    <row r="745" spans="2:7" x14ac:dyDescent="0.2">
      <c r="B745" s="167">
        <v>40946</v>
      </c>
      <c r="C745" s="28">
        <v>136.27000000000001</v>
      </c>
      <c r="D745" s="83">
        <f t="shared" si="26"/>
        <v>-4.619584237418628E-2</v>
      </c>
      <c r="E745" s="83">
        <v>1.5576091816962314E-2</v>
      </c>
      <c r="F745" s="83">
        <v>737</v>
      </c>
      <c r="G745" s="83">
        <f t="shared" ca="1" si="27"/>
        <v>-2.4355929715235376E-2</v>
      </c>
    </row>
    <row r="746" spans="2:7" x14ac:dyDescent="0.2">
      <c r="B746" s="167">
        <v>40844</v>
      </c>
      <c r="C746" s="28">
        <v>142.87</v>
      </c>
      <c r="D746" s="83">
        <f t="shared" si="26"/>
        <v>0.36822447806933539</v>
      </c>
      <c r="E746" s="83">
        <v>1.556724481091838E-2</v>
      </c>
      <c r="F746" s="83">
        <v>738</v>
      </c>
      <c r="G746" s="83">
        <f t="shared" ca="1" si="27"/>
        <v>-7.1682103278681566E-3</v>
      </c>
    </row>
    <row r="747" spans="2:7" x14ac:dyDescent="0.2">
      <c r="B747" s="167">
        <v>40588</v>
      </c>
      <c r="C747" s="28">
        <v>104.42</v>
      </c>
      <c r="D747" s="83">
        <f t="shared" si="26"/>
        <v>-0.1212656736514348</v>
      </c>
      <c r="E747" s="83">
        <v>1.5561174868702671E-2</v>
      </c>
      <c r="F747" s="83">
        <v>739</v>
      </c>
      <c r="G747" s="83">
        <f t="shared" ca="1" si="27"/>
        <v>9.1362876410593374E-3</v>
      </c>
    </row>
    <row r="748" spans="2:7" x14ac:dyDescent="0.2">
      <c r="B748" s="167">
        <v>40445</v>
      </c>
      <c r="C748" s="28">
        <v>118.83</v>
      </c>
      <c r="D748" s="83">
        <f t="shared" si="26"/>
        <v>0.8526660430308699</v>
      </c>
      <c r="E748" s="83">
        <v>1.5554226134518359E-2</v>
      </c>
      <c r="F748" s="83">
        <v>740</v>
      </c>
      <c r="G748" s="83">
        <f t="shared" ca="1" si="27"/>
        <v>3.72831694785562E-2</v>
      </c>
    </row>
    <row r="749" spans="2:7" x14ac:dyDescent="0.2">
      <c r="B749" s="167">
        <v>39930</v>
      </c>
      <c r="C749" s="28">
        <v>64.14</v>
      </c>
      <c r="D749" s="83">
        <f t="shared" si="26"/>
        <v>-4.9214349243996348E-2</v>
      </c>
      <c r="E749" s="83">
        <v>1.5516149461684675E-2</v>
      </c>
      <c r="F749" s="83">
        <v>741</v>
      </c>
      <c r="G749" s="83">
        <f t="shared" ca="1" si="27"/>
        <v>-1.9154370678889803E-3</v>
      </c>
    </row>
    <row r="750" spans="2:7" x14ac:dyDescent="0.2">
      <c r="B750" s="167">
        <v>38831</v>
      </c>
      <c r="C750" s="28">
        <v>67.459999999999994</v>
      </c>
      <c r="D750" s="83">
        <f t="shared" si="26"/>
        <v>-0.50107240588713864</v>
      </c>
      <c r="E750" s="83">
        <v>1.5505042902302977E-2</v>
      </c>
      <c r="F750" s="83">
        <v>742</v>
      </c>
      <c r="G750" s="83">
        <f t="shared" ca="1" si="27"/>
        <v>1.6933037322991951E-2</v>
      </c>
    </row>
    <row r="751" spans="2:7" x14ac:dyDescent="0.2">
      <c r="B751" s="167">
        <v>40939</v>
      </c>
      <c r="C751" s="28">
        <v>135.21</v>
      </c>
      <c r="D751" s="83">
        <f t="shared" si="26"/>
        <v>-0.35843416370106757</v>
      </c>
      <c r="E751" s="83">
        <v>1.5471273000375534E-2</v>
      </c>
      <c r="F751" s="83">
        <v>743</v>
      </c>
      <c r="G751" s="83">
        <f t="shared" ca="1" si="27"/>
        <v>-4.9335289224344617E-3</v>
      </c>
    </row>
    <row r="752" spans="2:7" x14ac:dyDescent="0.2">
      <c r="B752" s="167">
        <v>41618</v>
      </c>
      <c r="C752" s="28">
        <v>210.75</v>
      </c>
      <c r="D752" s="83">
        <f t="shared" si="26"/>
        <v>0.19689913675601992</v>
      </c>
      <c r="E752" s="83">
        <v>1.5466897947383675E-2</v>
      </c>
      <c r="F752" s="83">
        <v>744</v>
      </c>
      <c r="G752" s="83">
        <f t="shared" ca="1" si="27"/>
        <v>6.1595623568801378E-3</v>
      </c>
    </row>
    <row r="753" spans="2:7" x14ac:dyDescent="0.2">
      <c r="B753" s="167">
        <v>41130</v>
      </c>
      <c r="C753" s="28">
        <v>176.08</v>
      </c>
      <c r="D753" s="83">
        <f t="shared" si="26"/>
        <v>0.49638820430016156</v>
      </c>
      <c r="E753" s="83">
        <v>1.5455594002306844E-2</v>
      </c>
      <c r="F753" s="83">
        <v>745</v>
      </c>
      <c r="G753" s="83">
        <f t="shared" ca="1" si="27"/>
        <v>2.7036769742131362E-2</v>
      </c>
    </row>
    <row r="754" spans="2:7" x14ac:dyDescent="0.2">
      <c r="B754" s="167">
        <v>40547</v>
      </c>
      <c r="C754" s="28">
        <v>117.67</v>
      </c>
      <c r="D754" s="83">
        <f t="shared" si="26"/>
        <v>-0.55804694835680746</v>
      </c>
      <c r="E754" s="83">
        <v>1.5447014152571681E-2</v>
      </c>
      <c r="F754" s="83">
        <v>746</v>
      </c>
      <c r="G754" s="83">
        <f t="shared" ca="1" si="27"/>
        <v>-6.3153932800762615E-3</v>
      </c>
    </row>
    <row r="755" spans="2:7" x14ac:dyDescent="0.2">
      <c r="B755" s="167">
        <v>43080</v>
      </c>
      <c r="C755" s="28">
        <v>266.25</v>
      </c>
      <c r="D755" s="83">
        <f t="shared" si="26"/>
        <v>-7.6407007081625471E-3</v>
      </c>
      <c r="E755" s="83">
        <v>1.544622425629295E-2</v>
      </c>
      <c r="F755" s="83">
        <v>747</v>
      </c>
      <c r="G755" s="83">
        <f t="shared" ca="1" si="27"/>
        <v>-9.2895540872605861E-3</v>
      </c>
    </row>
    <row r="756" spans="2:7" x14ac:dyDescent="0.2">
      <c r="B756" s="167">
        <v>44739</v>
      </c>
      <c r="C756" s="28">
        <v>268.3</v>
      </c>
      <c r="D756" s="83">
        <f t="shared" si="26"/>
        <v>0.15826282161975491</v>
      </c>
      <c r="E756" s="83">
        <v>1.5441677390053681E-2</v>
      </c>
      <c r="F756" s="83">
        <v>748</v>
      </c>
      <c r="G756" s="83">
        <f t="shared" ca="1" si="27"/>
        <v>-2.3636309006227974E-2</v>
      </c>
    </row>
    <row r="757" spans="2:7" x14ac:dyDescent="0.2">
      <c r="B757" s="167">
        <v>42292</v>
      </c>
      <c r="C757" s="28">
        <v>231.64</v>
      </c>
      <c r="D757" s="83">
        <f t="shared" si="26"/>
        <v>0.80250564158431248</v>
      </c>
      <c r="E757" s="83">
        <v>1.5430475188497201E-2</v>
      </c>
      <c r="F757" s="83">
        <v>749</v>
      </c>
      <c r="G757" s="83">
        <f t="shared" ca="1" si="27"/>
        <v>9.6083353175870911E-3</v>
      </c>
    </row>
    <row r="758" spans="2:7" x14ac:dyDescent="0.2">
      <c r="B758" s="167">
        <v>40708</v>
      </c>
      <c r="C758" s="28">
        <v>128.51</v>
      </c>
      <c r="D758" s="83">
        <f t="shared" si="26"/>
        <v>-0.23619613670133735</v>
      </c>
      <c r="E758" s="83">
        <v>1.5407711757269189E-2</v>
      </c>
      <c r="F758" s="83">
        <v>750</v>
      </c>
      <c r="G758" s="83">
        <f t="shared" ca="1" si="27"/>
        <v>6.0174574828038702E-3</v>
      </c>
    </row>
    <row r="759" spans="2:7" x14ac:dyDescent="0.2">
      <c r="B759" s="167">
        <v>44123</v>
      </c>
      <c r="C759" s="28">
        <v>168.25</v>
      </c>
      <c r="D759" s="83">
        <f t="shared" si="26"/>
        <v>1.5473126419379259</v>
      </c>
      <c r="E759" s="83">
        <v>1.5389257694628917E-2</v>
      </c>
      <c r="F759" s="83">
        <v>751</v>
      </c>
      <c r="G759" s="83">
        <f t="shared" ca="1" si="27"/>
        <v>-2.6351834835101326E-2</v>
      </c>
    </row>
    <row r="760" spans="2:7" x14ac:dyDescent="0.2">
      <c r="B760" s="167">
        <v>39492</v>
      </c>
      <c r="C760" s="28">
        <v>66.05</v>
      </c>
      <c r="D760" s="83">
        <f t="shared" si="26"/>
        <v>-0.41990163358510452</v>
      </c>
      <c r="E760" s="83">
        <v>1.5372790161414298E-2</v>
      </c>
      <c r="F760" s="83">
        <v>752</v>
      </c>
      <c r="G760" s="83">
        <f t="shared" ca="1" si="27"/>
        <v>-1.4858321822498532E-2</v>
      </c>
    </row>
    <row r="761" spans="2:7" x14ac:dyDescent="0.2">
      <c r="B761" s="167">
        <v>40477</v>
      </c>
      <c r="C761" s="28">
        <v>113.86</v>
      </c>
      <c r="D761" s="83">
        <f t="shared" si="26"/>
        <v>-0.74066734996014116</v>
      </c>
      <c r="E761" s="83">
        <v>1.533797039415016E-2</v>
      </c>
      <c r="F761" s="83">
        <v>753</v>
      </c>
      <c r="G761" s="83">
        <f t="shared" ca="1" si="27"/>
        <v>-2.1916455682054119E-2</v>
      </c>
    </row>
    <row r="762" spans="2:7" x14ac:dyDescent="0.2">
      <c r="B762" s="167">
        <v>45288</v>
      </c>
      <c r="C762" s="28">
        <v>439.05</v>
      </c>
      <c r="D762" s="83">
        <f t="shared" si="26"/>
        <v>7.4709627628786421</v>
      </c>
      <c r="E762" s="83">
        <v>1.5332315804079356E-2</v>
      </c>
      <c r="F762" s="83">
        <v>754</v>
      </c>
      <c r="G762" s="83">
        <f t="shared" ca="1" si="27"/>
        <v>-1.676598996910177E-2</v>
      </c>
    </row>
    <row r="763" spans="2:7" x14ac:dyDescent="0.2">
      <c r="B763" s="167">
        <v>39266</v>
      </c>
      <c r="C763" s="28">
        <v>51.83</v>
      </c>
      <c r="D763" s="83">
        <f t="shared" si="26"/>
        <v>-0.87432104752667317</v>
      </c>
      <c r="E763" s="83">
        <v>1.5279138099902079E-2</v>
      </c>
      <c r="F763" s="83">
        <v>755</v>
      </c>
      <c r="G763" s="83">
        <f t="shared" ca="1" si="27"/>
        <v>1.2535665712418488E-2</v>
      </c>
    </row>
    <row r="764" spans="2:7" x14ac:dyDescent="0.2">
      <c r="B764" s="167">
        <v>45728</v>
      </c>
      <c r="C764" s="28">
        <v>412.4</v>
      </c>
      <c r="D764" s="83">
        <f t="shared" si="26"/>
        <v>0.42157876594277816</v>
      </c>
      <c r="E764" s="83">
        <v>1.5263417035942858E-2</v>
      </c>
      <c r="F764" s="83">
        <v>756</v>
      </c>
      <c r="G764" s="83">
        <f t="shared" ca="1" si="27"/>
        <v>-1.5924445961505961E-3</v>
      </c>
    </row>
    <row r="765" spans="2:7" x14ac:dyDescent="0.2">
      <c r="B765" s="167">
        <v>43531</v>
      </c>
      <c r="C765" s="28">
        <v>290.10000000000002</v>
      </c>
      <c r="D765" s="83">
        <f t="shared" si="26"/>
        <v>0.39089993767080611</v>
      </c>
      <c r="E765" s="83">
        <v>1.5223097112860972E-2</v>
      </c>
      <c r="F765" s="83">
        <v>757</v>
      </c>
      <c r="G765" s="83">
        <f t="shared" ca="1" si="27"/>
        <v>2.2531408021980448E-2</v>
      </c>
    </row>
    <row r="766" spans="2:7" x14ac:dyDescent="0.2">
      <c r="B766" s="167">
        <v>42198</v>
      </c>
      <c r="C766" s="28">
        <v>208.57</v>
      </c>
      <c r="D766" s="83">
        <f t="shared" si="26"/>
        <v>-0.29951301427371957</v>
      </c>
      <c r="E766" s="83">
        <v>1.5186176685324919E-2</v>
      </c>
      <c r="F766" s="83">
        <v>758</v>
      </c>
      <c r="G766" s="83">
        <f t="shared" ca="1" si="27"/>
        <v>-1.0812872509011837E-2</v>
      </c>
    </row>
    <row r="767" spans="2:7" x14ac:dyDescent="0.2">
      <c r="B767" s="167">
        <v>43371</v>
      </c>
      <c r="C767" s="28">
        <v>297.75</v>
      </c>
      <c r="D767" s="83">
        <f t="shared" si="26"/>
        <v>-0.29924688161920449</v>
      </c>
      <c r="E767" s="83">
        <v>1.5172178656665491E-2</v>
      </c>
      <c r="F767" s="83">
        <v>759</v>
      </c>
      <c r="G767" s="83">
        <f t="shared" ca="1" si="27"/>
        <v>-4.3378172410404522E-2</v>
      </c>
    </row>
    <row r="768" spans="2:7" x14ac:dyDescent="0.2">
      <c r="B768" s="167">
        <v>45196</v>
      </c>
      <c r="C768" s="28">
        <v>424.9</v>
      </c>
      <c r="D768" s="83">
        <f t="shared" si="26"/>
        <v>0.52704402515723259</v>
      </c>
      <c r="E768" s="83">
        <v>1.514717125382257E-2</v>
      </c>
      <c r="F768" s="83">
        <v>760</v>
      </c>
      <c r="G768" s="83">
        <f t="shared" ca="1" si="27"/>
        <v>2.30240925748205E-2</v>
      </c>
    </row>
    <row r="769" spans="2:7" x14ac:dyDescent="0.2">
      <c r="B769" s="167">
        <v>43216</v>
      </c>
      <c r="C769" s="28">
        <v>278.25</v>
      </c>
      <c r="D769" s="83">
        <f t="shared" si="26"/>
        <v>0.26402580293462957</v>
      </c>
      <c r="E769" s="83">
        <v>1.5140459686245812E-2</v>
      </c>
      <c r="F769" s="83">
        <v>761</v>
      </c>
      <c r="G769" s="83">
        <f t="shared" ca="1" si="27"/>
        <v>7.1049971267175902E-4</v>
      </c>
    </row>
    <row r="770" spans="2:7" x14ac:dyDescent="0.2">
      <c r="B770" s="167">
        <v>42156</v>
      </c>
      <c r="C770" s="28">
        <v>220.13</v>
      </c>
      <c r="D770" s="83">
        <f t="shared" si="26"/>
        <v>-0.21213314244810302</v>
      </c>
      <c r="E770" s="83">
        <v>1.5125662900622555E-2</v>
      </c>
      <c r="F770" s="83">
        <v>762</v>
      </c>
      <c r="G770" s="83">
        <f t="shared" ca="1" si="27"/>
        <v>1.0354575946857462E-2</v>
      </c>
    </row>
    <row r="771" spans="2:7" x14ac:dyDescent="0.2">
      <c r="B771" s="167">
        <v>43626</v>
      </c>
      <c r="C771" s="28">
        <v>279.39999999999998</v>
      </c>
      <c r="D771" s="83">
        <f t="shared" si="26"/>
        <v>8.018721755971594</v>
      </c>
      <c r="E771" s="83">
        <v>1.5077202543142515E-2</v>
      </c>
      <c r="F771" s="83">
        <v>763</v>
      </c>
      <c r="G771" s="83">
        <f t="shared" ca="1" si="27"/>
        <v>6.4311402270127247E-3</v>
      </c>
    </row>
    <row r="772" spans="2:7" x14ac:dyDescent="0.2">
      <c r="B772" s="167">
        <v>38469</v>
      </c>
      <c r="C772" s="28">
        <v>30.98</v>
      </c>
      <c r="D772" s="83">
        <f t="shared" si="26"/>
        <v>-0.48332221480987325</v>
      </c>
      <c r="E772" s="83">
        <v>1.5072083879423357E-2</v>
      </c>
      <c r="F772" s="83">
        <v>764</v>
      </c>
      <c r="G772" s="83">
        <f t="shared" ca="1" si="27"/>
        <v>1.5073993032776629E-2</v>
      </c>
    </row>
    <row r="773" spans="2:7" x14ac:dyDescent="0.2">
      <c r="B773" s="167">
        <v>39847</v>
      </c>
      <c r="C773" s="28">
        <v>59.96</v>
      </c>
      <c r="D773" s="83">
        <f t="shared" si="26"/>
        <v>-0.7955328218243819</v>
      </c>
      <c r="E773" s="83">
        <v>1.5066869815473177E-2</v>
      </c>
      <c r="F773" s="83">
        <v>765</v>
      </c>
      <c r="G773" s="83">
        <f t="shared" ca="1" si="27"/>
        <v>-2.3318518051524142E-3</v>
      </c>
    </row>
    <row r="774" spans="2:7" x14ac:dyDescent="0.2">
      <c r="B774" s="167">
        <v>42940</v>
      </c>
      <c r="C774" s="28">
        <v>293.25</v>
      </c>
      <c r="D774" s="83">
        <f t="shared" si="26"/>
        <v>0.60993686522097168</v>
      </c>
      <c r="E774" s="83">
        <v>1.5057113187954389E-2</v>
      </c>
      <c r="F774" s="83">
        <v>766</v>
      </c>
      <c r="G774" s="83">
        <f t="shared" ca="1" si="27"/>
        <v>-5.2465840831958307E-3</v>
      </c>
    </row>
    <row r="775" spans="2:7" x14ac:dyDescent="0.2">
      <c r="B775" s="167">
        <v>43950</v>
      </c>
      <c r="C775" s="28">
        <v>182.15</v>
      </c>
      <c r="D775" s="83">
        <f t="shared" si="26"/>
        <v>0.21546776991859062</v>
      </c>
      <c r="E775" s="83">
        <v>1.5045973808860504E-2</v>
      </c>
      <c r="F775" s="83">
        <v>767</v>
      </c>
      <c r="G775" s="83">
        <f t="shared" ca="1" si="27"/>
        <v>1.1262434271049586E-2</v>
      </c>
    </row>
    <row r="776" spans="2:7" x14ac:dyDescent="0.2">
      <c r="B776" s="167">
        <v>40995</v>
      </c>
      <c r="C776" s="28">
        <v>149.86000000000001</v>
      </c>
      <c r="D776" s="83">
        <f t="shared" si="26"/>
        <v>-0.61892895285561711</v>
      </c>
      <c r="E776" s="83">
        <v>1.5036575453806742E-2</v>
      </c>
      <c r="F776" s="83">
        <v>768</v>
      </c>
      <c r="G776" s="83">
        <f t="shared" ca="1" si="27"/>
        <v>-1.243473771297348E-2</v>
      </c>
    </row>
    <row r="777" spans="2:7" x14ac:dyDescent="0.2">
      <c r="B777" s="167">
        <v>45371</v>
      </c>
      <c r="C777" s="28">
        <v>393.26</v>
      </c>
      <c r="D777" s="83">
        <f t="shared" ref="D777:D840" si="28">(C777-C778)/C778</f>
        <v>3.1553254437869822</v>
      </c>
      <c r="E777" s="83">
        <v>1.5021680776378261E-2</v>
      </c>
      <c r="F777" s="83">
        <v>769</v>
      </c>
      <c r="G777" s="83">
        <f t="shared" ref="G777:G840" ca="1" si="29">_xlfn.NORM.INV(RAND(),$M$10,$M$11)</f>
        <v>3.2983211125318504E-2</v>
      </c>
    </row>
    <row r="778" spans="2:7" x14ac:dyDescent="0.2">
      <c r="B778" s="167">
        <v>40332</v>
      </c>
      <c r="C778" s="28">
        <v>94.64</v>
      </c>
      <c r="D778" s="83">
        <f t="shared" si="28"/>
        <v>-0.58748147502397341</v>
      </c>
      <c r="E778" s="83">
        <v>1.5015015015015077E-2</v>
      </c>
      <c r="F778" s="83">
        <v>770</v>
      </c>
      <c r="G778" s="83">
        <f t="shared" ca="1" si="29"/>
        <v>3.278594530054494E-2</v>
      </c>
    </row>
    <row r="779" spans="2:7" x14ac:dyDescent="0.2">
      <c r="B779" s="167">
        <v>41745</v>
      </c>
      <c r="C779" s="28">
        <v>229.42</v>
      </c>
      <c r="D779" s="83">
        <f t="shared" si="28"/>
        <v>-5.463985495302464E-2</v>
      </c>
      <c r="E779" s="83">
        <v>1.4998009113834386E-2</v>
      </c>
      <c r="F779" s="83">
        <v>771</v>
      </c>
      <c r="G779" s="83">
        <f t="shared" ca="1" si="29"/>
        <v>5.8091228491372951E-3</v>
      </c>
    </row>
    <row r="780" spans="2:7" x14ac:dyDescent="0.2">
      <c r="B780" s="167">
        <v>42038</v>
      </c>
      <c r="C780" s="28">
        <v>242.68</v>
      </c>
      <c r="D780" s="83">
        <f t="shared" si="28"/>
        <v>0.13630191506297709</v>
      </c>
      <c r="E780" s="83">
        <v>1.4972814721873746E-2</v>
      </c>
      <c r="F780" s="83">
        <v>772</v>
      </c>
      <c r="G780" s="83">
        <f t="shared" ca="1" si="29"/>
        <v>1.4991679531588425E-3</v>
      </c>
    </row>
    <row r="781" spans="2:7" x14ac:dyDescent="0.2">
      <c r="B781" s="167">
        <v>42263</v>
      </c>
      <c r="C781" s="28">
        <v>213.57</v>
      </c>
      <c r="D781" s="83">
        <f t="shared" si="28"/>
        <v>3.2237796036732658E-2</v>
      </c>
      <c r="E781" s="83">
        <v>1.4970059880239549E-2</v>
      </c>
      <c r="F781" s="83">
        <v>773</v>
      </c>
      <c r="G781" s="83">
        <f t="shared" ca="1" si="29"/>
        <v>7.787035571913928E-3</v>
      </c>
    </row>
    <row r="782" spans="2:7" x14ac:dyDescent="0.2">
      <c r="B782" s="167">
        <v>44256</v>
      </c>
      <c r="C782" s="28">
        <v>206.9</v>
      </c>
      <c r="D782" s="83">
        <f t="shared" si="28"/>
        <v>0.1938834391229082</v>
      </c>
      <c r="E782" s="83">
        <v>1.4961981849399125E-2</v>
      </c>
      <c r="F782" s="83">
        <v>774</v>
      </c>
      <c r="G782" s="83">
        <f t="shared" ca="1" si="29"/>
        <v>2.5945268717180444E-2</v>
      </c>
    </row>
    <row r="783" spans="2:7" x14ac:dyDescent="0.2">
      <c r="B783" s="167">
        <v>44102</v>
      </c>
      <c r="C783" s="28">
        <v>173.3</v>
      </c>
      <c r="D783" s="83">
        <f t="shared" si="28"/>
        <v>1.0216985534297716</v>
      </c>
      <c r="E783" s="83">
        <v>1.4934114202049847E-2</v>
      </c>
      <c r="F783" s="83">
        <v>775</v>
      </c>
      <c r="G783" s="83">
        <f t="shared" ca="1" si="29"/>
        <v>-2.0351778114600885E-2</v>
      </c>
    </row>
    <row r="784" spans="2:7" x14ac:dyDescent="0.2">
      <c r="B784" s="167">
        <v>40155</v>
      </c>
      <c r="C784" s="28">
        <v>85.72</v>
      </c>
      <c r="D784" s="83">
        <f t="shared" si="28"/>
        <v>0.90785666592477188</v>
      </c>
      <c r="E784" s="83">
        <v>1.4918304522851115E-2</v>
      </c>
      <c r="F784" s="83">
        <v>776</v>
      </c>
      <c r="G784" s="83">
        <f t="shared" ca="1" si="29"/>
        <v>1.3078491982600306E-2</v>
      </c>
    </row>
    <row r="785" spans="2:7" x14ac:dyDescent="0.2">
      <c r="B785" s="167">
        <v>38693</v>
      </c>
      <c r="C785" s="28">
        <v>44.93</v>
      </c>
      <c r="D785" s="83">
        <f t="shared" si="28"/>
        <v>-0.8394497051992138</v>
      </c>
      <c r="E785" s="83">
        <v>1.4908515925005569E-2</v>
      </c>
      <c r="F785" s="83">
        <v>777</v>
      </c>
      <c r="G785" s="83">
        <f t="shared" ca="1" si="29"/>
        <v>-1.8240029740715724E-3</v>
      </c>
    </row>
    <row r="786" spans="2:7" x14ac:dyDescent="0.2">
      <c r="B786" s="167">
        <v>43451</v>
      </c>
      <c r="C786" s="28">
        <v>279.85000000000002</v>
      </c>
      <c r="D786" s="83">
        <f t="shared" si="28"/>
        <v>0.14243141737426523</v>
      </c>
      <c r="E786" s="83">
        <v>1.4868540344515041E-2</v>
      </c>
      <c r="F786" s="83">
        <v>778</v>
      </c>
      <c r="G786" s="83">
        <f t="shared" ca="1" si="29"/>
        <v>3.3779201062063553E-3</v>
      </c>
    </row>
    <row r="787" spans="2:7" x14ac:dyDescent="0.2">
      <c r="B787" s="167">
        <v>41955</v>
      </c>
      <c r="C787" s="28">
        <v>244.96</v>
      </c>
      <c r="D787" s="83">
        <f t="shared" si="28"/>
        <v>2.577625237330218</v>
      </c>
      <c r="E787" s="83">
        <v>1.4831386196039492E-2</v>
      </c>
      <c r="F787" s="83">
        <v>779</v>
      </c>
      <c r="G787" s="83">
        <f t="shared" ca="1" si="29"/>
        <v>4.3294989445682226E-2</v>
      </c>
    </row>
    <row r="788" spans="2:7" x14ac:dyDescent="0.2">
      <c r="B788" s="167">
        <v>39444</v>
      </c>
      <c r="C788" s="28">
        <v>68.47</v>
      </c>
      <c r="D788" s="83">
        <f t="shared" si="28"/>
        <v>-0.75611754229741768</v>
      </c>
      <c r="E788" s="83">
        <v>1.4821402104639099E-2</v>
      </c>
      <c r="F788" s="83">
        <v>780</v>
      </c>
      <c r="G788" s="83">
        <f t="shared" ca="1" si="29"/>
        <v>5.9275179691888242E-4</v>
      </c>
    </row>
    <row r="789" spans="2:7" x14ac:dyDescent="0.2">
      <c r="B789" s="167">
        <v>43461</v>
      </c>
      <c r="C789" s="28">
        <v>280.75</v>
      </c>
      <c r="D789" s="83">
        <f t="shared" si="28"/>
        <v>1.1165135962542852E-2</v>
      </c>
      <c r="E789" s="83">
        <v>1.4820169889752478E-2</v>
      </c>
      <c r="F789" s="83">
        <v>781</v>
      </c>
      <c r="G789" s="83">
        <f t="shared" ca="1" si="29"/>
        <v>-2.1888000441586633E-2</v>
      </c>
    </row>
    <row r="790" spans="2:7" x14ac:dyDescent="0.2">
      <c r="B790" s="167">
        <v>42990</v>
      </c>
      <c r="C790" s="28">
        <v>277.64999999999998</v>
      </c>
      <c r="D790" s="83">
        <f t="shared" si="28"/>
        <v>3.8211495051224165</v>
      </c>
      <c r="E790" s="83">
        <v>1.4802631578947201E-2</v>
      </c>
      <c r="F790" s="83">
        <v>782</v>
      </c>
      <c r="G790" s="83">
        <f t="shared" ca="1" si="29"/>
        <v>-1.3508763489463721E-2</v>
      </c>
    </row>
    <row r="791" spans="2:7" x14ac:dyDescent="0.2">
      <c r="B791" s="167">
        <v>39392</v>
      </c>
      <c r="C791" s="28">
        <v>57.59</v>
      </c>
      <c r="D791" s="83">
        <f t="shared" si="28"/>
        <v>-0.48182472557135142</v>
      </c>
      <c r="E791" s="83">
        <v>1.4801762114537506E-2</v>
      </c>
      <c r="F791" s="83">
        <v>783</v>
      </c>
      <c r="G791" s="83">
        <f t="shared" ca="1" si="29"/>
        <v>-9.6633045513129148E-3</v>
      </c>
    </row>
    <row r="792" spans="2:7" x14ac:dyDescent="0.2">
      <c r="B792" s="167">
        <v>40436</v>
      </c>
      <c r="C792" s="28">
        <v>111.14</v>
      </c>
      <c r="D792" s="83">
        <f t="shared" si="28"/>
        <v>-0.39017832647462275</v>
      </c>
      <c r="E792" s="83">
        <v>1.4791818845872943E-2</v>
      </c>
      <c r="F792" s="83">
        <v>784</v>
      </c>
      <c r="G792" s="83">
        <f t="shared" ca="1" si="29"/>
        <v>2.4485121240775252E-2</v>
      </c>
    </row>
    <row r="793" spans="2:7" x14ac:dyDescent="0.2">
      <c r="B793" s="167">
        <v>43943</v>
      </c>
      <c r="C793" s="28">
        <v>182.25</v>
      </c>
      <c r="D793" s="83">
        <f t="shared" si="28"/>
        <v>-8.320338045173295E-2</v>
      </c>
      <c r="E793" s="83">
        <v>1.4755011135857494E-2</v>
      </c>
      <c r="F793" s="83">
        <v>785</v>
      </c>
      <c r="G793" s="83">
        <f t="shared" ca="1" si="29"/>
        <v>-2.8211925729544202E-2</v>
      </c>
    </row>
    <row r="794" spans="2:7" x14ac:dyDescent="0.2">
      <c r="B794" s="167">
        <v>42417</v>
      </c>
      <c r="C794" s="28">
        <v>198.79</v>
      </c>
      <c r="D794" s="83">
        <f t="shared" si="28"/>
        <v>2.6123932400508809</v>
      </c>
      <c r="E794" s="83">
        <v>1.4752424706482829E-2</v>
      </c>
      <c r="F794" s="83">
        <v>786</v>
      </c>
      <c r="G794" s="83">
        <f t="shared" ca="1" si="29"/>
        <v>9.6956947426473285E-3</v>
      </c>
    </row>
    <row r="795" spans="2:7" x14ac:dyDescent="0.2">
      <c r="B795" s="167">
        <v>38771</v>
      </c>
      <c r="C795" s="28">
        <v>55.03</v>
      </c>
      <c r="D795" s="83">
        <f t="shared" si="28"/>
        <v>0.81677121162099708</v>
      </c>
      <c r="E795" s="83">
        <v>1.4751982297621322E-2</v>
      </c>
      <c r="F795" s="83">
        <v>787</v>
      </c>
      <c r="G795" s="83">
        <f t="shared" ca="1" si="29"/>
        <v>1.0242826070617593E-2</v>
      </c>
    </row>
    <row r="796" spans="2:7" x14ac:dyDescent="0.2">
      <c r="B796" s="167">
        <v>38448</v>
      </c>
      <c r="C796" s="28">
        <v>30.29</v>
      </c>
      <c r="D796" s="83">
        <f t="shared" si="28"/>
        <v>-0.91406604630049926</v>
      </c>
      <c r="E796" s="83">
        <v>1.4740368509212653E-2</v>
      </c>
      <c r="F796" s="83">
        <v>788</v>
      </c>
      <c r="G796" s="83">
        <f t="shared" ca="1" si="29"/>
        <v>9.3829033488594706E-3</v>
      </c>
    </row>
    <row r="797" spans="2:7" x14ac:dyDescent="0.2">
      <c r="B797" s="167">
        <v>44867</v>
      </c>
      <c r="C797" s="28">
        <v>352.48</v>
      </c>
      <c r="D797" s="83">
        <f t="shared" si="28"/>
        <v>4.0193590273269207E-2</v>
      </c>
      <c r="E797" s="83">
        <v>1.4739751266697387E-2</v>
      </c>
      <c r="F797" s="83">
        <v>789</v>
      </c>
      <c r="G797" s="83">
        <f t="shared" ca="1" si="29"/>
        <v>-1.3121281831319999E-2</v>
      </c>
    </row>
    <row r="798" spans="2:7" x14ac:dyDescent="0.2">
      <c r="B798" s="167">
        <v>44825</v>
      </c>
      <c r="C798" s="28">
        <v>338.86</v>
      </c>
      <c r="D798" s="83">
        <f t="shared" si="28"/>
        <v>0.59681447622637951</v>
      </c>
      <c r="E798" s="83">
        <v>1.4733185602204036E-2</v>
      </c>
      <c r="F798" s="83">
        <v>790</v>
      </c>
      <c r="G798" s="83">
        <f t="shared" ca="1" si="29"/>
        <v>5.7697599976597018E-4</v>
      </c>
    </row>
    <row r="799" spans="2:7" x14ac:dyDescent="0.2">
      <c r="B799" s="167">
        <v>42249</v>
      </c>
      <c r="C799" s="28">
        <v>212.21</v>
      </c>
      <c r="D799" s="83">
        <f t="shared" si="28"/>
        <v>-0.30564099208167006</v>
      </c>
      <c r="E799" s="83">
        <v>1.4727681346530927E-2</v>
      </c>
      <c r="F799" s="83">
        <v>791</v>
      </c>
      <c r="G799" s="83">
        <f t="shared" ca="1" si="29"/>
        <v>1.8387990388879574E-3</v>
      </c>
    </row>
    <row r="800" spans="2:7" x14ac:dyDescent="0.2">
      <c r="B800" s="167">
        <v>44774</v>
      </c>
      <c r="C800" s="28">
        <v>305.62</v>
      </c>
      <c r="D800" s="83">
        <f t="shared" si="28"/>
        <v>1.2636841715428488</v>
      </c>
      <c r="E800" s="83">
        <v>1.470832364952358E-2</v>
      </c>
      <c r="F800" s="83">
        <v>792</v>
      </c>
      <c r="G800" s="83">
        <f t="shared" ca="1" si="29"/>
        <v>2.4724781432238989E-2</v>
      </c>
    </row>
    <row r="801" spans="2:7" x14ac:dyDescent="0.2">
      <c r="B801" s="167">
        <v>40878</v>
      </c>
      <c r="C801" s="28">
        <v>135.01</v>
      </c>
      <c r="D801" s="83">
        <f t="shared" si="28"/>
        <v>-0.70096128289182247</v>
      </c>
      <c r="E801" s="83">
        <v>1.465504283781744E-2</v>
      </c>
      <c r="F801" s="83">
        <v>793</v>
      </c>
      <c r="G801" s="83">
        <f t="shared" ca="1" si="29"/>
        <v>1.9659976770233451E-3</v>
      </c>
    </row>
    <row r="802" spans="2:7" x14ac:dyDescent="0.2">
      <c r="B802" s="167">
        <v>45294</v>
      </c>
      <c r="C802" s="28">
        <v>451.48</v>
      </c>
      <c r="D802" s="83">
        <f t="shared" si="28"/>
        <v>1.2317350469599604</v>
      </c>
      <c r="E802" s="83">
        <v>1.4653002517080274E-2</v>
      </c>
      <c r="F802" s="83">
        <v>794</v>
      </c>
      <c r="G802" s="83">
        <f t="shared" ca="1" si="29"/>
        <v>1.320248658864061E-2</v>
      </c>
    </row>
    <row r="803" spans="2:7" x14ac:dyDescent="0.2">
      <c r="B803" s="167">
        <v>41303</v>
      </c>
      <c r="C803" s="28">
        <v>202.3</v>
      </c>
      <c r="D803" s="83">
        <f t="shared" si="28"/>
        <v>-0.21299358101536664</v>
      </c>
      <c r="E803" s="83">
        <v>1.4645400742301213E-2</v>
      </c>
      <c r="F803" s="83">
        <v>795</v>
      </c>
      <c r="G803" s="83">
        <f t="shared" ca="1" si="29"/>
        <v>3.0106198861793664E-3</v>
      </c>
    </row>
    <row r="804" spans="2:7" x14ac:dyDescent="0.2">
      <c r="B804" s="167">
        <v>44648</v>
      </c>
      <c r="C804" s="28">
        <v>257.05</v>
      </c>
      <c r="D804" s="83">
        <f t="shared" si="28"/>
        <v>1.4830950540958272</v>
      </c>
      <c r="E804" s="83">
        <v>1.4604302348529769E-2</v>
      </c>
      <c r="F804" s="83">
        <v>796</v>
      </c>
      <c r="G804" s="83">
        <f t="shared" ca="1" si="29"/>
        <v>3.1147435484245391E-2</v>
      </c>
    </row>
    <row r="805" spans="2:7" x14ac:dyDescent="0.2">
      <c r="B805" s="167">
        <v>40584</v>
      </c>
      <c r="C805" s="28">
        <v>103.52</v>
      </c>
      <c r="D805" s="83">
        <f t="shared" si="28"/>
        <v>0.65446699696340094</v>
      </c>
      <c r="E805" s="83">
        <v>1.4603547976085415E-2</v>
      </c>
      <c r="F805" s="83">
        <v>797</v>
      </c>
      <c r="G805" s="83">
        <f t="shared" ca="1" si="29"/>
        <v>1.0389233673825618E-2</v>
      </c>
    </row>
    <row r="806" spans="2:7" x14ac:dyDescent="0.2">
      <c r="B806" s="167">
        <v>39003</v>
      </c>
      <c r="C806" s="28">
        <v>62.57</v>
      </c>
      <c r="D806" s="83">
        <f t="shared" si="28"/>
        <v>-0.69537487828627076</v>
      </c>
      <c r="E806" s="83">
        <v>1.4593805740230234E-2</v>
      </c>
      <c r="F806" s="83">
        <v>798</v>
      </c>
      <c r="G806" s="83">
        <f t="shared" ca="1" si="29"/>
        <v>-1.9678066824505874E-2</v>
      </c>
    </row>
    <row r="807" spans="2:7" x14ac:dyDescent="0.2">
      <c r="B807" s="167">
        <v>44174</v>
      </c>
      <c r="C807" s="28">
        <v>205.4</v>
      </c>
      <c r="D807" s="83">
        <f t="shared" si="28"/>
        <v>9.2553191489361739E-2</v>
      </c>
      <c r="E807" s="83">
        <v>1.457149913558912E-2</v>
      </c>
      <c r="F807" s="83">
        <v>799</v>
      </c>
      <c r="G807" s="83">
        <f t="shared" ca="1" si="29"/>
        <v>1.7533027864756648E-2</v>
      </c>
    </row>
    <row r="808" spans="2:7" x14ac:dyDescent="0.2">
      <c r="B808" s="167">
        <v>44147</v>
      </c>
      <c r="C808" s="28">
        <v>188</v>
      </c>
      <c r="D808" s="83">
        <f t="shared" si="28"/>
        <v>1.1422060164083865</v>
      </c>
      <c r="E808" s="83">
        <v>1.4570966001079268E-2</v>
      </c>
      <c r="F808" s="83">
        <v>800</v>
      </c>
      <c r="G808" s="83">
        <f t="shared" ca="1" si="29"/>
        <v>-2.6541020906102285E-2</v>
      </c>
    </row>
    <row r="809" spans="2:7" x14ac:dyDescent="0.2">
      <c r="B809" s="167">
        <v>40262</v>
      </c>
      <c r="C809" s="28">
        <v>87.76</v>
      </c>
      <c r="D809" s="83">
        <f t="shared" si="28"/>
        <v>0.41320450885668281</v>
      </c>
      <c r="E809" s="83">
        <v>1.4566473988439365E-2</v>
      </c>
      <c r="F809" s="83">
        <v>801</v>
      </c>
      <c r="G809" s="83">
        <f t="shared" ca="1" si="29"/>
        <v>2.9063337329263153E-2</v>
      </c>
    </row>
    <row r="810" spans="2:7" x14ac:dyDescent="0.2">
      <c r="B810" s="167">
        <v>38959</v>
      </c>
      <c r="C810" s="28">
        <v>62.1</v>
      </c>
      <c r="D810" s="83">
        <f t="shared" si="28"/>
        <v>-0.6983240223463687</v>
      </c>
      <c r="E810" s="83">
        <v>1.4540107825518716E-2</v>
      </c>
      <c r="F810" s="83">
        <v>802</v>
      </c>
      <c r="G810" s="83">
        <f t="shared" ca="1" si="29"/>
        <v>-8.273947869932869E-3</v>
      </c>
    </row>
    <row r="811" spans="2:7" x14ac:dyDescent="0.2">
      <c r="B811" s="167">
        <v>44014</v>
      </c>
      <c r="C811" s="28">
        <v>205.85</v>
      </c>
      <c r="D811" s="83">
        <f t="shared" si="28"/>
        <v>0.18468001841620629</v>
      </c>
      <c r="E811" s="83">
        <v>1.4539181862986637E-2</v>
      </c>
      <c r="F811" s="83">
        <v>803</v>
      </c>
      <c r="G811" s="83">
        <f t="shared" ca="1" si="29"/>
        <v>3.9374053016936743E-2</v>
      </c>
    </row>
    <row r="812" spans="2:7" x14ac:dyDescent="0.2">
      <c r="B812" s="167">
        <v>41138</v>
      </c>
      <c r="C812" s="28">
        <v>173.76</v>
      </c>
      <c r="D812" s="83">
        <f t="shared" si="28"/>
        <v>-0.2099663544603074</v>
      </c>
      <c r="E812" s="83">
        <v>1.4538448064459511E-2</v>
      </c>
      <c r="F812" s="83">
        <v>804</v>
      </c>
      <c r="G812" s="83">
        <f t="shared" ca="1" si="29"/>
        <v>-6.3821342871475898E-3</v>
      </c>
    </row>
    <row r="813" spans="2:7" x14ac:dyDescent="0.2">
      <c r="B813" s="167">
        <v>41439</v>
      </c>
      <c r="C813" s="28">
        <v>219.94</v>
      </c>
      <c r="D813" s="83">
        <f t="shared" si="28"/>
        <v>4.7832301095759845E-2</v>
      </c>
      <c r="E813" s="83">
        <v>1.453019050694223E-2</v>
      </c>
      <c r="F813" s="83">
        <v>805</v>
      </c>
      <c r="G813" s="83">
        <f t="shared" ca="1" si="29"/>
        <v>-5.1998378478486981E-3</v>
      </c>
    </row>
    <row r="814" spans="2:7" x14ac:dyDescent="0.2">
      <c r="B814" s="167">
        <v>44257</v>
      </c>
      <c r="C814" s="28">
        <v>209.9</v>
      </c>
      <c r="D814" s="83">
        <f t="shared" si="28"/>
        <v>-0.18941880671944386</v>
      </c>
      <c r="E814" s="83">
        <v>1.4499758337361043E-2</v>
      </c>
      <c r="F814" s="83">
        <v>806</v>
      </c>
      <c r="G814" s="83">
        <f t="shared" ca="1" si="29"/>
        <v>3.2533906175265394E-4</v>
      </c>
    </row>
    <row r="815" spans="2:7" x14ac:dyDescent="0.2">
      <c r="B815" s="167">
        <v>44677</v>
      </c>
      <c r="C815" s="28">
        <v>258.95</v>
      </c>
      <c r="D815" s="83">
        <f t="shared" si="28"/>
        <v>0.88739067055393595</v>
      </c>
      <c r="E815" s="83">
        <v>1.4495592556317291E-2</v>
      </c>
      <c r="F815" s="83">
        <v>807</v>
      </c>
      <c r="G815" s="83">
        <f t="shared" ca="1" si="29"/>
        <v>-9.8589703063187021E-4</v>
      </c>
    </row>
    <row r="816" spans="2:7" x14ac:dyDescent="0.2">
      <c r="B816" s="167">
        <v>40840</v>
      </c>
      <c r="C816" s="28">
        <v>137.19999999999999</v>
      </c>
      <c r="D816" s="83">
        <f t="shared" si="28"/>
        <v>-0.41778060683216639</v>
      </c>
      <c r="E816" s="83">
        <v>1.4492753623188253E-2</v>
      </c>
      <c r="F816" s="83">
        <v>808</v>
      </c>
      <c r="G816" s="83">
        <f t="shared" ca="1" si="29"/>
        <v>9.1390538386737427E-3</v>
      </c>
    </row>
    <row r="817" spans="2:7" x14ac:dyDescent="0.2">
      <c r="B817" s="167">
        <v>42717</v>
      </c>
      <c r="C817" s="28">
        <v>235.65</v>
      </c>
      <c r="D817" s="83">
        <f t="shared" si="28"/>
        <v>-0.45163242035696832</v>
      </c>
      <c r="E817" s="83">
        <v>1.4421007318123092E-2</v>
      </c>
      <c r="F817" s="83">
        <v>809</v>
      </c>
      <c r="G817" s="83">
        <f t="shared" ca="1" si="29"/>
        <v>-4.2692059410864749E-2</v>
      </c>
    </row>
    <row r="818" spans="2:7" x14ac:dyDescent="0.2">
      <c r="B818" s="167">
        <v>45160</v>
      </c>
      <c r="C818" s="28">
        <v>429.73</v>
      </c>
      <c r="D818" s="83">
        <f t="shared" si="28"/>
        <v>0.56095168906647297</v>
      </c>
      <c r="E818" s="83">
        <v>1.4399357930269393E-2</v>
      </c>
      <c r="F818" s="83">
        <v>810</v>
      </c>
      <c r="G818" s="83">
        <f t="shared" ca="1" si="29"/>
        <v>6.4115011378027024E-3</v>
      </c>
    </row>
    <row r="819" spans="2:7" x14ac:dyDescent="0.2">
      <c r="B819" s="167">
        <v>43132</v>
      </c>
      <c r="C819" s="28">
        <v>275.3</v>
      </c>
      <c r="D819" s="83">
        <f t="shared" si="28"/>
        <v>0.27814661776312749</v>
      </c>
      <c r="E819" s="83">
        <v>1.4369933677229309E-2</v>
      </c>
      <c r="F819" s="83">
        <v>811</v>
      </c>
      <c r="G819" s="83">
        <f t="shared" ca="1" si="29"/>
        <v>-5.8659785773786381E-2</v>
      </c>
    </row>
    <row r="820" spans="2:7" x14ac:dyDescent="0.2">
      <c r="B820" s="167">
        <v>41674</v>
      </c>
      <c r="C820" s="28">
        <v>215.39</v>
      </c>
      <c r="D820" s="83">
        <f t="shared" si="28"/>
        <v>-0.13152695455828398</v>
      </c>
      <c r="E820" s="83">
        <v>1.4363756239992384E-2</v>
      </c>
      <c r="F820" s="83">
        <v>812</v>
      </c>
      <c r="G820" s="83">
        <f t="shared" ca="1" si="29"/>
        <v>1.3950990169788728E-2</v>
      </c>
    </row>
    <row r="821" spans="2:7" x14ac:dyDescent="0.2">
      <c r="B821" s="167">
        <v>41995</v>
      </c>
      <c r="C821" s="28">
        <v>248.01</v>
      </c>
      <c r="D821" s="83">
        <f t="shared" si="28"/>
        <v>-0.18404342819542688</v>
      </c>
      <c r="E821" s="83">
        <v>1.4355828220858858E-2</v>
      </c>
      <c r="F821" s="83">
        <v>813</v>
      </c>
      <c r="G821" s="83">
        <f t="shared" ca="1" si="29"/>
        <v>-7.5049585740938054E-3</v>
      </c>
    </row>
    <row r="822" spans="2:7" x14ac:dyDescent="0.2">
      <c r="B822" s="167">
        <v>43364</v>
      </c>
      <c r="C822" s="28">
        <v>303.95</v>
      </c>
      <c r="D822" s="83">
        <f t="shared" si="28"/>
        <v>0.32267188859878143</v>
      </c>
      <c r="E822" s="83">
        <v>1.4350075087602242E-2</v>
      </c>
      <c r="F822" s="83">
        <v>814</v>
      </c>
      <c r="G822" s="83">
        <f t="shared" ca="1" si="29"/>
        <v>-9.9254702092552161E-3</v>
      </c>
    </row>
    <row r="823" spans="2:7" x14ac:dyDescent="0.2">
      <c r="B823" s="167">
        <v>44508</v>
      </c>
      <c r="C823" s="28">
        <v>229.8</v>
      </c>
      <c r="D823" s="83">
        <f t="shared" si="28"/>
        <v>2.692159383033419</v>
      </c>
      <c r="E823" s="83">
        <v>1.4345619068638269E-2</v>
      </c>
      <c r="F823" s="83">
        <v>815</v>
      </c>
      <c r="G823" s="83">
        <f t="shared" ca="1" si="29"/>
        <v>9.3379918168378458E-4</v>
      </c>
    </row>
    <row r="824" spans="2:7" x14ac:dyDescent="0.2">
      <c r="B824" s="167">
        <v>39052</v>
      </c>
      <c r="C824" s="28">
        <v>62.24</v>
      </c>
      <c r="D824" s="83">
        <f t="shared" si="28"/>
        <v>-0.72672989111345265</v>
      </c>
      <c r="E824" s="83">
        <v>1.4341590612777096E-2</v>
      </c>
      <c r="F824" s="83">
        <v>816</v>
      </c>
      <c r="G824" s="83">
        <f t="shared" ca="1" si="29"/>
        <v>2.4830511939522498E-2</v>
      </c>
    </row>
    <row r="825" spans="2:7" x14ac:dyDescent="0.2">
      <c r="B825" s="167">
        <v>41535</v>
      </c>
      <c r="C825" s="28">
        <v>227.76</v>
      </c>
      <c r="D825" s="83">
        <f t="shared" si="28"/>
        <v>-8.0129240710823932E-2</v>
      </c>
      <c r="E825" s="83">
        <v>1.4340429322169765E-2</v>
      </c>
      <c r="F825" s="83">
        <v>817</v>
      </c>
      <c r="G825" s="83">
        <f t="shared" ca="1" si="29"/>
        <v>6.0839663987480785E-3</v>
      </c>
    </row>
    <row r="826" spans="2:7" x14ac:dyDescent="0.2">
      <c r="B826" s="167">
        <v>43753</v>
      </c>
      <c r="C826" s="28">
        <v>247.6</v>
      </c>
      <c r="D826" s="83">
        <f t="shared" si="28"/>
        <v>1.4972264246091778</v>
      </c>
      <c r="E826" s="83">
        <v>1.4338385907414994E-2</v>
      </c>
      <c r="F826" s="83">
        <v>818</v>
      </c>
      <c r="G826" s="83">
        <f t="shared" ca="1" si="29"/>
        <v>2.6407091053256338E-3</v>
      </c>
    </row>
    <row r="827" spans="2:7" x14ac:dyDescent="0.2">
      <c r="B827" s="167">
        <v>40350</v>
      </c>
      <c r="C827" s="28">
        <v>99.15</v>
      </c>
      <c r="D827" s="83">
        <f t="shared" si="28"/>
        <v>-0.55162121828788491</v>
      </c>
      <c r="E827" s="83">
        <v>1.4322250639386247E-2</v>
      </c>
      <c r="F827" s="83">
        <v>819</v>
      </c>
      <c r="G827" s="83">
        <f t="shared" ca="1" si="29"/>
        <v>2.5482305549397812E-2</v>
      </c>
    </row>
    <row r="828" spans="2:7" x14ac:dyDescent="0.2">
      <c r="B828" s="167">
        <v>41396</v>
      </c>
      <c r="C828" s="28">
        <v>221.13</v>
      </c>
      <c r="D828" s="83">
        <f t="shared" si="28"/>
        <v>0.64923926014319788</v>
      </c>
      <c r="E828" s="83">
        <v>1.4311270125223634E-2</v>
      </c>
      <c r="F828" s="83">
        <v>820</v>
      </c>
      <c r="G828" s="83">
        <f t="shared" ca="1" si="29"/>
        <v>1.2364575144687681E-2</v>
      </c>
    </row>
    <row r="829" spans="2:7" x14ac:dyDescent="0.2">
      <c r="B829" s="167">
        <v>40898</v>
      </c>
      <c r="C829" s="28">
        <v>134.08000000000001</v>
      </c>
      <c r="D829" s="83">
        <f t="shared" si="28"/>
        <v>-0.32521389028686454</v>
      </c>
      <c r="E829" s="83">
        <v>1.4297601936606511E-2</v>
      </c>
      <c r="F829" s="83">
        <v>821</v>
      </c>
      <c r="G829" s="83">
        <f t="shared" ca="1" si="29"/>
        <v>1.2628330068041463E-2</v>
      </c>
    </row>
    <row r="830" spans="2:7" x14ac:dyDescent="0.2">
      <c r="B830" s="167">
        <v>44027</v>
      </c>
      <c r="C830" s="28">
        <v>198.7</v>
      </c>
      <c r="D830" s="83">
        <f t="shared" si="28"/>
        <v>-7.5433744028164794E-4</v>
      </c>
      <c r="E830" s="83">
        <v>1.4293006636038708E-2</v>
      </c>
      <c r="F830" s="83">
        <v>822</v>
      </c>
      <c r="G830" s="83">
        <f t="shared" ca="1" si="29"/>
        <v>3.9489487434441709E-2</v>
      </c>
    </row>
    <row r="831" spans="2:7" x14ac:dyDescent="0.2">
      <c r="B831" s="167">
        <v>44053</v>
      </c>
      <c r="C831" s="28">
        <v>198.85</v>
      </c>
      <c r="D831" s="83">
        <f t="shared" si="28"/>
        <v>1.9441812259401834</v>
      </c>
      <c r="E831" s="83">
        <v>1.4282070900280453E-2</v>
      </c>
      <c r="F831" s="83">
        <v>823</v>
      </c>
      <c r="G831" s="83">
        <f t="shared" ca="1" si="29"/>
        <v>-1.4358700776424434E-2</v>
      </c>
    </row>
    <row r="832" spans="2:7" x14ac:dyDescent="0.2">
      <c r="B832" s="167">
        <v>38836</v>
      </c>
      <c r="C832" s="28">
        <v>67.540000000000006</v>
      </c>
      <c r="D832" s="83">
        <f t="shared" si="28"/>
        <v>0.21671770852098737</v>
      </c>
      <c r="E832" s="83">
        <v>1.4266406367322463E-2</v>
      </c>
      <c r="F832" s="83">
        <v>824</v>
      </c>
      <c r="G832" s="83">
        <f t="shared" ca="1" si="29"/>
        <v>2.710432177262383E-2</v>
      </c>
    </row>
    <row r="833" spans="2:7" x14ac:dyDescent="0.2">
      <c r="B833" s="167">
        <v>39322</v>
      </c>
      <c r="C833" s="28">
        <v>55.51</v>
      </c>
      <c r="D833" s="83">
        <f t="shared" si="28"/>
        <v>-0.8025960170697013</v>
      </c>
      <c r="E833" s="83">
        <v>1.4251781472684107E-2</v>
      </c>
      <c r="F833" s="83">
        <v>825</v>
      </c>
      <c r="G833" s="83">
        <f t="shared" ca="1" si="29"/>
        <v>1.7479676985813018E-3</v>
      </c>
    </row>
    <row r="834" spans="2:7" x14ac:dyDescent="0.2">
      <c r="B834" s="167">
        <v>42859</v>
      </c>
      <c r="C834" s="28">
        <v>281.2</v>
      </c>
      <c r="D834" s="83">
        <f t="shared" si="28"/>
        <v>0.2523381134764407</v>
      </c>
      <c r="E834" s="83">
        <v>1.4247069431920608E-2</v>
      </c>
      <c r="F834" s="83">
        <v>826</v>
      </c>
      <c r="G834" s="83">
        <f t="shared" ca="1" si="29"/>
        <v>-2.13550531217685E-2</v>
      </c>
    </row>
    <row r="835" spans="2:7" x14ac:dyDescent="0.2">
      <c r="B835" s="167">
        <v>41534</v>
      </c>
      <c r="C835" s="28">
        <v>224.54</v>
      </c>
      <c r="D835" s="83">
        <f t="shared" si="28"/>
        <v>4.2916860195076546E-2</v>
      </c>
      <c r="E835" s="83">
        <v>1.4228284927051835E-2</v>
      </c>
      <c r="F835" s="83">
        <v>827</v>
      </c>
      <c r="G835" s="83">
        <f t="shared" ca="1" si="29"/>
        <v>-1.2782979943013759E-3</v>
      </c>
    </row>
    <row r="836" spans="2:7" x14ac:dyDescent="0.2">
      <c r="B836" s="167">
        <v>42401</v>
      </c>
      <c r="C836" s="28">
        <v>215.3</v>
      </c>
      <c r="D836" s="83">
        <f t="shared" si="28"/>
        <v>2.5110893672537511</v>
      </c>
      <c r="E836" s="83">
        <v>1.4226493310721736E-2</v>
      </c>
      <c r="F836" s="83">
        <v>828</v>
      </c>
      <c r="G836" s="83">
        <f t="shared" ca="1" si="29"/>
        <v>1.8001676444881771E-2</v>
      </c>
    </row>
    <row r="837" spans="2:7" x14ac:dyDescent="0.2">
      <c r="B837" s="167">
        <v>38901</v>
      </c>
      <c r="C837" s="28">
        <v>61.32</v>
      </c>
      <c r="D837" s="83">
        <f t="shared" si="28"/>
        <v>-0.68274006622516559</v>
      </c>
      <c r="E837" s="83">
        <v>1.4224280516043656E-2</v>
      </c>
      <c r="F837" s="83">
        <v>829</v>
      </c>
      <c r="G837" s="83">
        <f t="shared" ca="1" si="29"/>
        <v>3.597964614258093E-2</v>
      </c>
    </row>
    <row r="838" spans="2:7" x14ac:dyDescent="0.2">
      <c r="B838" s="167">
        <v>41295</v>
      </c>
      <c r="C838" s="28">
        <v>193.28</v>
      </c>
      <c r="D838" s="83">
        <f t="shared" si="28"/>
        <v>-0.32384117544166524</v>
      </c>
      <c r="E838" s="83">
        <v>1.4220496405520323E-2</v>
      </c>
      <c r="F838" s="83">
        <v>830</v>
      </c>
      <c r="G838" s="83">
        <f t="shared" ca="1" si="29"/>
        <v>-2.4991457935103142E-3</v>
      </c>
    </row>
    <row r="839" spans="2:7" x14ac:dyDescent="0.2">
      <c r="B839" s="167">
        <v>43236</v>
      </c>
      <c r="C839" s="28">
        <v>285.85000000000002</v>
      </c>
      <c r="D839" s="83">
        <f t="shared" si="28"/>
        <v>8.0922669691813331E-2</v>
      </c>
      <c r="E839" s="83">
        <v>1.419194607060493E-2</v>
      </c>
      <c r="F839" s="83">
        <v>831</v>
      </c>
      <c r="G839" s="83">
        <f t="shared" ca="1" si="29"/>
        <v>3.4229180652535482E-2</v>
      </c>
    </row>
    <row r="840" spans="2:7" x14ac:dyDescent="0.2">
      <c r="B840" s="167">
        <v>43206</v>
      </c>
      <c r="C840" s="28">
        <v>264.45</v>
      </c>
      <c r="D840" s="83">
        <f t="shared" si="28"/>
        <v>0.98744927100556124</v>
      </c>
      <c r="E840" s="83">
        <v>1.4189837008628912E-2</v>
      </c>
      <c r="F840" s="83">
        <v>832</v>
      </c>
      <c r="G840" s="83">
        <f t="shared" ca="1" si="29"/>
        <v>3.2546553909267827E-3</v>
      </c>
    </row>
    <row r="841" spans="2:7" x14ac:dyDescent="0.2">
      <c r="B841" s="167">
        <v>40877</v>
      </c>
      <c r="C841" s="28">
        <v>133.06</v>
      </c>
      <c r="D841" s="83">
        <f t="shared" ref="D841:D904" si="30">(C841-C842)/C842</f>
        <v>-0.49077688480673559</v>
      </c>
      <c r="E841" s="83">
        <v>1.4176829268292787E-2</v>
      </c>
      <c r="F841" s="83">
        <v>833</v>
      </c>
      <c r="G841" s="83">
        <f t="shared" ref="G841:G904" ca="1" si="31">_xlfn.NORM.INV(RAND(),$M$10,$M$11)</f>
        <v>-7.8808028451430971E-3</v>
      </c>
    </row>
    <row r="842" spans="2:7" x14ac:dyDescent="0.2">
      <c r="B842" s="167">
        <v>43770</v>
      </c>
      <c r="C842" s="28">
        <v>261.3</v>
      </c>
      <c r="D842" s="83">
        <f t="shared" si="30"/>
        <v>5.7894736842105311E-2</v>
      </c>
      <c r="E842" s="83">
        <v>1.416650494857378E-2</v>
      </c>
      <c r="F842" s="83">
        <v>834</v>
      </c>
      <c r="G842" s="83">
        <f t="shared" ca="1" si="31"/>
        <v>1.0263329090464039E-2</v>
      </c>
    </row>
    <row r="843" spans="2:7" x14ac:dyDescent="0.2">
      <c r="B843" s="167">
        <v>42558</v>
      </c>
      <c r="C843" s="28">
        <v>247</v>
      </c>
      <c r="D843" s="83">
        <f t="shared" si="30"/>
        <v>-0.11548791405550582</v>
      </c>
      <c r="E843" s="83">
        <v>1.4165469102853576E-2</v>
      </c>
      <c r="F843" s="83">
        <v>835</v>
      </c>
      <c r="G843" s="83">
        <f t="shared" ca="1" si="31"/>
        <v>-5.6492410774452231E-3</v>
      </c>
    </row>
    <row r="844" spans="2:7" x14ac:dyDescent="0.2">
      <c r="B844" s="167">
        <v>43136</v>
      </c>
      <c r="C844" s="28">
        <v>279.25</v>
      </c>
      <c r="D844" s="83">
        <f t="shared" si="30"/>
        <v>0.18819674921283289</v>
      </c>
      <c r="E844" s="83">
        <v>1.4163791538042408E-2</v>
      </c>
      <c r="F844" s="83">
        <v>836</v>
      </c>
      <c r="G844" s="83">
        <f t="shared" ca="1" si="31"/>
        <v>7.9394800881399542E-3</v>
      </c>
    </row>
    <row r="845" spans="2:7" x14ac:dyDescent="0.2">
      <c r="B845" s="167">
        <v>41855</v>
      </c>
      <c r="C845" s="28">
        <v>235.02</v>
      </c>
      <c r="D845" s="83">
        <f t="shared" si="30"/>
        <v>1.1425836448172122</v>
      </c>
      <c r="E845" s="83">
        <v>1.4153793043928544E-2</v>
      </c>
      <c r="F845" s="83">
        <v>837</v>
      </c>
      <c r="G845" s="83">
        <f t="shared" ca="1" si="31"/>
        <v>-1.306219151325105E-2</v>
      </c>
    </row>
    <row r="846" spans="2:7" x14ac:dyDescent="0.2">
      <c r="B846" s="167">
        <v>40423</v>
      </c>
      <c r="C846" s="28">
        <v>109.69</v>
      </c>
      <c r="D846" s="83">
        <f t="shared" si="30"/>
        <v>-0.53658639628221372</v>
      </c>
      <c r="E846" s="83">
        <v>1.4145710059171609E-2</v>
      </c>
      <c r="F846" s="83">
        <v>838</v>
      </c>
      <c r="G846" s="83">
        <f t="shared" ca="1" si="31"/>
        <v>4.2107031897770184E-3</v>
      </c>
    </row>
    <row r="847" spans="2:7" x14ac:dyDescent="0.2">
      <c r="B847" s="167">
        <v>44495</v>
      </c>
      <c r="C847" s="28">
        <v>236.7</v>
      </c>
      <c r="D847" s="83">
        <f t="shared" si="30"/>
        <v>0.42076830732292914</v>
      </c>
      <c r="E847" s="83">
        <v>1.4138817480719721E-2</v>
      </c>
      <c r="F847" s="83">
        <v>839</v>
      </c>
      <c r="G847" s="83">
        <f t="shared" ca="1" si="31"/>
        <v>-8.747664666083111E-3</v>
      </c>
    </row>
    <row r="848" spans="2:7" x14ac:dyDescent="0.2">
      <c r="B848" s="167">
        <v>41088</v>
      </c>
      <c r="C848" s="28">
        <v>166.6</v>
      </c>
      <c r="D848" s="83">
        <f t="shared" si="30"/>
        <v>0.12385321100917421</v>
      </c>
      <c r="E848" s="83">
        <v>1.4122230338446513E-2</v>
      </c>
      <c r="F848" s="83">
        <v>840</v>
      </c>
      <c r="G848" s="83">
        <f t="shared" ca="1" si="31"/>
        <v>2.9622396212999934E-3</v>
      </c>
    </row>
    <row r="849" spans="2:7" x14ac:dyDescent="0.2">
      <c r="B849" s="167">
        <v>40988</v>
      </c>
      <c r="C849" s="28">
        <v>148.24</v>
      </c>
      <c r="D849" s="83">
        <f t="shared" si="30"/>
        <v>0.10692951015531678</v>
      </c>
      <c r="E849" s="83">
        <v>1.4092215077301972E-2</v>
      </c>
      <c r="F849" s="83">
        <v>841</v>
      </c>
      <c r="G849" s="83">
        <f t="shared" ca="1" si="31"/>
        <v>8.769964475530324E-4</v>
      </c>
    </row>
    <row r="850" spans="2:7" x14ac:dyDescent="0.2">
      <c r="B850" s="167">
        <v>40777</v>
      </c>
      <c r="C850" s="28">
        <v>133.91999999999999</v>
      </c>
      <c r="D850" s="83">
        <f t="shared" si="30"/>
        <v>0.89769023664446645</v>
      </c>
      <c r="E850" s="83">
        <v>1.4084507042253409E-2</v>
      </c>
      <c r="F850" s="83">
        <v>842</v>
      </c>
      <c r="G850" s="83">
        <f t="shared" ca="1" si="31"/>
        <v>-1.1347079788101195E-2</v>
      </c>
    </row>
    <row r="851" spans="2:7" x14ac:dyDescent="0.2">
      <c r="B851" s="167">
        <v>39563</v>
      </c>
      <c r="C851" s="28">
        <v>70.569999999999993</v>
      </c>
      <c r="D851" s="83">
        <f t="shared" si="30"/>
        <v>-0.8243740978547609</v>
      </c>
      <c r="E851" s="83">
        <v>1.4082483115389994E-2</v>
      </c>
      <c r="F851" s="83">
        <v>843</v>
      </c>
      <c r="G851" s="83">
        <f t="shared" ca="1" si="31"/>
        <v>4.1907641533162438E-3</v>
      </c>
    </row>
    <row r="852" spans="2:7" x14ac:dyDescent="0.2">
      <c r="B852" s="167">
        <v>45401</v>
      </c>
      <c r="C852" s="28">
        <v>401.82</v>
      </c>
      <c r="D852" s="83">
        <f t="shared" si="30"/>
        <v>6.6188850967007955</v>
      </c>
      <c r="E852" s="83">
        <v>1.4082374318594751E-2</v>
      </c>
      <c r="F852" s="83">
        <v>844</v>
      </c>
      <c r="G852" s="83">
        <f t="shared" ca="1" si="31"/>
        <v>-1.3570215612162465E-2</v>
      </c>
    </row>
    <row r="853" spans="2:7" x14ac:dyDescent="0.2">
      <c r="B853" s="167">
        <v>39191</v>
      </c>
      <c r="C853" s="28">
        <v>52.74</v>
      </c>
      <c r="D853" s="83">
        <f t="shared" si="30"/>
        <v>-0.24038600028805995</v>
      </c>
      <c r="E853" s="83">
        <v>1.4035762353393655E-2</v>
      </c>
      <c r="F853" s="83">
        <v>845</v>
      </c>
      <c r="G853" s="83">
        <f t="shared" ca="1" si="31"/>
        <v>-9.0306432156689199E-3</v>
      </c>
    </row>
    <row r="854" spans="2:7" x14ac:dyDescent="0.2">
      <c r="B854" s="167">
        <v>39447</v>
      </c>
      <c r="C854" s="28">
        <v>69.430000000000007</v>
      </c>
      <c r="D854" s="83">
        <f t="shared" si="30"/>
        <v>-0.70205552933098736</v>
      </c>
      <c r="E854" s="83">
        <v>1.4020739009785423E-2</v>
      </c>
      <c r="F854" s="83">
        <v>846</v>
      </c>
      <c r="G854" s="83">
        <f t="shared" ca="1" si="31"/>
        <v>1.4595642614801589E-4</v>
      </c>
    </row>
    <row r="855" spans="2:7" x14ac:dyDescent="0.2">
      <c r="B855" s="167">
        <v>42107</v>
      </c>
      <c r="C855" s="28">
        <v>233.03</v>
      </c>
      <c r="D855" s="83">
        <f t="shared" si="30"/>
        <v>0.70219138056975894</v>
      </c>
      <c r="E855" s="83">
        <v>1.4011574779165393E-2</v>
      </c>
      <c r="F855" s="83">
        <v>847</v>
      </c>
      <c r="G855" s="83">
        <f t="shared" ca="1" si="31"/>
        <v>-1.7270177681101891E-2</v>
      </c>
    </row>
    <row r="856" spans="2:7" x14ac:dyDescent="0.2">
      <c r="B856" s="167">
        <v>40879</v>
      </c>
      <c r="C856" s="28">
        <v>136.9</v>
      </c>
      <c r="D856" s="83">
        <f t="shared" si="30"/>
        <v>-0.27083888149134483</v>
      </c>
      <c r="E856" s="83">
        <v>1.3998963039774942E-2</v>
      </c>
      <c r="F856" s="83">
        <v>848</v>
      </c>
      <c r="G856" s="83">
        <f t="shared" ca="1" si="31"/>
        <v>3.8450295338644572E-3</v>
      </c>
    </row>
    <row r="857" spans="2:7" x14ac:dyDescent="0.2">
      <c r="B857" s="167">
        <v>41215</v>
      </c>
      <c r="C857" s="28">
        <v>187.75</v>
      </c>
      <c r="D857" s="83">
        <f t="shared" si="30"/>
        <v>-0.5511379936884383</v>
      </c>
      <c r="E857" s="83">
        <v>1.398790235472026E-2</v>
      </c>
      <c r="F857" s="83">
        <v>849</v>
      </c>
      <c r="G857" s="83">
        <f t="shared" ca="1" si="31"/>
        <v>-1.3373437182852693E-2</v>
      </c>
    </row>
    <row r="858" spans="2:7" x14ac:dyDescent="0.2">
      <c r="B858" s="167">
        <v>45205</v>
      </c>
      <c r="C858" s="28">
        <v>418.28</v>
      </c>
      <c r="D858" s="83">
        <f t="shared" si="30"/>
        <v>1.0236090953072086</v>
      </c>
      <c r="E858" s="83">
        <v>1.3987539696007325E-2</v>
      </c>
      <c r="F858" s="83">
        <v>850</v>
      </c>
      <c r="G858" s="83">
        <f t="shared" ca="1" si="31"/>
        <v>-1.1087333184546409E-2</v>
      </c>
    </row>
    <row r="859" spans="2:7" x14ac:dyDescent="0.2">
      <c r="B859" s="167">
        <v>43880</v>
      </c>
      <c r="C859" s="28">
        <v>206.7</v>
      </c>
      <c r="D859" s="83">
        <f t="shared" si="30"/>
        <v>-0.20834929145921113</v>
      </c>
      <c r="E859" s="83">
        <v>1.398086828550402E-2</v>
      </c>
      <c r="F859" s="83">
        <v>851</v>
      </c>
      <c r="G859" s="83">
        <f t="shared" ca="1" si="31"/>
        <v>1.6803580408945064E-2</v>
      </c>
    </row>
    <row r="860" spans="2:7" x14ac:dyDescent="0.2">
      <c r="B860" s="167">
        <v>44679</v>
      </c>
      <c r="C860" s="28">
        <v>261.10000000000002</v>
      </c>
      <c r="D860" s="83">
        <f t="shared" si="30"/>
        <v>0.19990808823529424</v>
      </c>
      <c r="E860" s="83">
        <v>1.3980582524271933E-2</v>
      </c>
      <c r="F860" s="83">
        <v>852</v>
      </c>
      <c r="G860" s="83">
        <f t="shared" ca="1" si="31"/>
        <v>1.7099017466512444E-2</v>
      </c>
    </row>
    <row r="861" spans="2:7" x14ac:dyDescent="0.2">
      <c r="B861" s="167">
        <v>44589</v>
      </c>
      <c r="C861" s="28">
        <v>217.6</v>
      </c>
      <c r="D861" s="83">
        <f t="shared" si="30"/>
        <v>-0.44379121721793369</v>
      </c>
      <c r="E861" s="83">
        <v>1.3979496738117428E-2</v>
      </c>
      <c r="F861" s="83">
        <v>853</v>
      </c>
      <c r="G861" s="83">
        <f t="shared" ca="1" si="31"/>
        <v>-5.1297831206419668E-2</v>
      </c>
    </row>
    <row r="862" spans="2:7" x14ac:dyDescent="0.2">
      <c r="B862" s="167">
        <v>45358</v>
      </c>
      <c r="C862" s="28">
        <v>391.22</v>
      </c>
      <c r="D862" s="83">
        <f t="shared" si="30"/>
        <v>5.2665385231459236</v>
      </c>
      <c r="E862" s="83">
        <v>1.3969883109141445E-2</v>
      </c>
      <c r="F862" s="83">
        <v>854</v>
      </c>
      <c r="G862" s="83">
        <f t="shared" ca="1" si="31"/>
        <v>1.585026073575108E-2</v>
      </c>
    </row>
    <row r="863" spans="2:7" x14ac:dyDescent="0.2">
      <c r="B863" s="167">
        <v>39416</v>
      </c>
      <c r="C863" s="28">
        <v>62.43</v>
      </c>
      <c r="D863" s="83">
        <f t="shared" si="30"/>
        <v>-0.54530225782957031</v>
      </c>
      <c r="E863" s="83">
        <v>1.3967841481240854E-2</v>
      </c>
      <c r="F863" s="83">
        <v>855</v>
      </c>
      <c r="G863" s="83">
        <f t="shared" ca="1" si="31"/>
        <v>-4.4996112177331418E-2</v>
      </c>
    </row>
    <row r="864" spans="2:7" x14ac:dyDescent="0.2">
      <c r="B864" s="167">
        <v>40835</v>
      </c>
      <c r="C864" s="28">
        <v>137.30000000000001</v>
      </c>
      <c r="D864" s="83">
        <f t="shared" si="30"/>
        <v>-0.47661342583768529</v>
      </c>
      <c r="E864" s="83">
        <v>1.3957610220810979E-2</v>
      </c>
      <c r="F864" s="83">
        <v>856</v>
      </c>
      <c r="G864" s="83">
        <f t="shared" ca="1" si="31"/>
        <v>1.9411252717606423E-2</v>
      </c>
    </row>
    <row r="865" spans="2:7" x14ac:dyDescent="0.2">
      <c r="B865" s="167">
        <v>42059</v>
      </c>
      <c r="C865" s="28">
        <v>262.33</v>
      </c>
      <c r="D865" s="83">
        <f t="shared" si="30"/>
        <v>9.3497290537723959E-2</v>
      </c>
      <c r="E865" s="83">
        <v>1.3953308596165571E-2</v>
      </c>
      <c r="F865" s="83">
        <v>857</v>
      </c>
      <c r="G865" s="83">
        <f t="shared" ca="1" si="31"/>
        <v>-3.8551728369252102E-3</v>
      </c>
    </row>
    <row r="866" spans="2:7" x14ac:dyDescent="0.2">
      <c r="B866" s="167">
        <v>42538</v>
      </c>
      <c r="C866" s="28">
        <v>239.9</v>
      </c>
      <c r="D866" s="83">
        <f t="shared" si="30"/>
        <v>-0.4756742579883726</v>
      </c>
      <c r="E866" s="83">
        <v>1.3947590870667843E-2</v>
      </c>
      <c r="F866" s="83">
        <v>858</v>
      </c>
      <c r="G866" s="83">
        <f t="shared" ca="1" si="31"/>
        <v>2.0691062490826653E-2</v>
      </c>
    </row>
    <row r="867" spans="2:7" x14ac:dyDescent="0.2">
      <c r="B867" s="167">
        <v>45657</v>
      </c>
      <c r="C867" s="28">
        <v>457.54</v>
      </c>
      <c r="D867" s="83">
        <f t="shared" si="30"/>
        <v>8.0046266789415357E-2</v>
      </c>
      <c r="E867" s="83">
        <v>1.3939058171745197E-2</v>
      </c>
      <c r="F867" s="83">
        <v>859</v>
      </c>
      <c r="G867" s="83">
        <f t="shared" ca="1" si="31"/>
        <v>2.4848042893915078E-2</v>
      </c>
    </row>
    <row r="868" spans="2:7" x14ac:dyDescent="0.2">
      <c r="B868" s="167">
        <v>45159</v>
      </c>
      <c r="C868" s="28">
        <v>423.63</v>
      </c>
      <c r="D868" s="83">
        <f t="shared" si="30"/>
        <v>-2.3646546359676394E-2</v>
      </c>
      <c r="E868" s="83">
        <v>1.3929776692755063E-2</v>
      </c>
      <c r="F868" s="83">
        <v>860</v>
      </c>
      <c r="G868" s="83">
        <f t="shared" ca="1" si="31"/>
        <v>-6.6281180117414061E-3</v>
      </c>
    </row>
    <row r="869" spans="2:7" x14ac:dyDescent="0.2">
      <c r="B869" s="167">
        <v>45147</v>
      </c>
      <c r="C869" s="28">
        <v>433.89</v>
      </c>
      <c r="D869" s="83">
        <f t="shared" si="30"/>
        <v>11.160594170403588</v>
      </c>
      <c r="E869" s="83">
        <v>1.3927511508891594E-2</v>
      </c>
      <c r="F869" s="83">
        <v>861</v>
      </c>
      <c r="G869" s="83">
        <f t="shared" ca="1" si="31"/>
        <v>5.0097087623212737E-3</v>
      </c>
    </row>
    <row r="870" spans="2:7" x14ac:dyDescent="0.2">
      <c r="B870" s="167">
        <v>38532</v>
      </c>
      <c r="C870" s="28">
        <v>35.68</v>
      </c>
      <c r="D870" s="83">
        <f t="shared" si="30"/>
        <v>2.0303116957392075E-2</v>
      </c>
      <c r="E870" s="83">
        <v>1.3924410343847742E-2</v>
      </c>
      <c r="F870" s="83">
        <v>862</v>
      </c>
      <c r="G870" s="83">
        <f t="shared" ca="1" si="31"/>
        <v>1.6737474636862704E-2</v>
      </c>
    </row>
    <row r="871" spans="2:7" x14ac:dyDescent="0.2">
      <c r="B871" s="167">
        <v>38506</v>
      </c>
      <c r="C871" s="28">
        <v>34.97</v>
      </c>
      <c r="D871" s="83">
        <f t="shared" si="30"/>
        <v>-0.75154529307282414</v>
      </c>
      <c r="E871" s="83">
        <v>1.3917077413743022E-2</v>
      </c>
      <c r="F871" s="83">
        <v>863</v>
      </c>
      <c r="G871" s="83">
        <f t="shared" ca="1" si="31"/>
        <v>1.9489698904780948E-2</v>
      </c>
    </row>
    <row r="872" spans="2:7" x14ac:dyDescent="0.2">
      <c r="B872" s="167">
        <v>40966</v>
      </c>
      <c r="C872" s="28">
        <v>140.75</v>
      </c>
      <c r="D872" s="83">
        <f t="shared" si="30"/>
        <v>-0.46513395401862051</v>
      </c>
      <c r="E872" s="83">
        <v>1.3902895836334871E-2</v>
      </c>
      <c r="F872" s="83">
        <v>864</v>
      </c>
      <c r="G872" s="83">
        <f t="shared" ca="1" si="31"/>
        <v>2.5877667695055101E-3</v>
      </c>
    </row>
    <row r="873" spans="2:7" x14ac:dyDescent="0.2">
      <c r="B873" s="167">
        <v>44683</v>
      </c>
      <c r="C873" s="28">
        <v>263.14999999999998</v>
      </c>
      <c r="D873" s="83">
        <f t="shared" si="30"/>
        <v>-1.478846873830043E-2</v>
      </c>
      <c r="E873" s="83">
        <v>1.3870159892120846E-2</v>
      </c>
      <c r="F873" s="83">
        <v>865</v>
      </c>
      <c r="G873" s="83">
        <f t="shared" ca="1" si="31"/>
        <v>-2.3803825878648995E-3</v>
      </c>
    </row>
    <row r="874" spans="2:7" x14ac:dyDescent="0.2">
      <c r="B874" s="167">
        <v>42808</v>
      </c>
      <c r="C874" s="28">
        <v>267.10000000000002</v>
      </c>
      <c r="D874" s="83">
        <f t="shared" si="30"/>
        <v>3.5533583361745658</v>
      </c>
      <c r="E874" s="83">
        <v>1.3854621370279121E-2</v>
      </c>
      <c r="F874" s="83">
        <v>866</v>
      </c>
      <c r="G874" s="83">
        <f t="shared" ca="1" si="31"/>
        <v>1.9407832547525296E-2</v>
      </c>
    </row>
    <row r="875" spans="2:7" x14ac:dyDescent="0.2">
      <c r="B875" s="167">
        <v>39078</v>
      </c>
      <c r="C875" s="28">
        <v>58.66</v>
      </c>
      <c r="D875" s="83">
        <f t="shared" si="30"/>
        <v>-0.7839808506720678</v>
      </c>
      <c r="E875" s="83">
        <v>1.3826477704804652E-2</v>
      </c>
      <c r="F875" s="83">
        <v>867</v>
      </c>
      <c r="G875" s="83">
        <f t="shared" ca="1" si="31"/>
        <v>9.1328908147308065E-3</v>
      </c>
    </row>
    <row r="876" spans="2:7" x14ac:dyDescent="0.2">
      <c r="B876" s="167">
        <v>42998</v>
      </c>
      <c r="C876" s="28">
        <v>271.55</v>
      </c>
      <c r="D876" s="83">
        <f t="shared" si="30"/>
        <v>5.4824540463117692</v>
      </c>
      <c r="E876" s="83">
        <v>1.3813701698711923E-2</v>
      </c>
      <c r="F876" s="83">
        <v>868</v>
      </c>
      <c r="G876" s="83">
        <f t="shared" ca="1" si="31"/>
        <v>-7.5498113647344762E-3</v>
      </c>
    </row>
    <row r="877" spans="2:7" x14ac:dyDescent="0.2">
      <c r="B877" s="167">
        <v>38608</v>
      </c>
      <c r="C877" s="28">
        <v>41.89</v>
      </c>
      <c r="D877" s="83">
        <f t="shared" si="30"/>
        <v>-0.73118141564525441</v>
      </c>
      <c r="E877" s="83">
        <v>1.3794772507260413E-2</v>
      </c>
      <c r="F877" s="83">
        <v>869</v>
      </c>
      <c r="G877" s="83">
        <f t="shared" ca="1" si="31"/>
        <v>-7.9602107594025362E-3</v>
      </c>
    </row>
    <row r="878" spans="2:7" x14ac:dyDescent="0.2">
      <c r="B878" s="167">
        <v>41057</v>
      </c>
      <c r="C878" s="28">
        <v>155.83000000000001</v>
      </c>
      <c r="D878" s="83">
        <f t="shared" si="30"/>
        <v>-3.2892695339167027E-2</v>
      </c>
      <c r="E878" s="83">
        <v>1.3792206102400653E-2</v>
      </c>
      <c r="F878" s="83">
        <v>870</v>
      </c>
      <c r="G878" s="83">
        <f t="shared" ca="1" si="31"/>
        <v>-1.6744450789639334E-2</v>
      </c>
    </row>
    <row r="879" spans="2:7" x14ac:dyDescent="0.2">
      <c r="B879" s="167">
        <v>41072</v>
      </c>
      <c r="C879" s="28">
        <v>161.13</v>
      </c>
      <c r="D879" s="83">
        <f t="shared" si="30"/>
        <v>-0.41788294797687864</v>
      </c>
      <c r="E879" s="83">
        <v>1.3778784446961104E-2</v>
      </c>
      <c r="F879" s="83">
        <v>871</v>
      </c>
      <c r="G879" s="83">
        <f t="shared" ca="1" si="31"/>
        <v>3.641273506720602E-2</v>
      </c>
    </row>
    <row r="880" spans="2:7" x14ac:dyDescent="0.2">
      <c r="B880" s="167">
        <v>42772</v>
      </c>
      <c r="C880" s="28">
        <v>276.8</v>
      </c>
      <c r="D880" s="83">
        <f t="shared" si="30"/>
        <v>0.2925519495680598</v>
      </c>
      <c r="E880" s="83">
        <v>1.3733748397729353E-2</v>
      </c>
      <c r="F880" s="83">
        <v>872</v>
      </c>
      <c r="G880" s="83">
        <f t="shared" ca="1" si="31"/>
        <v>8.44737399241661E-3</v>
      </c>
    </row>
    <row r="881" spans="2:7" x14ac:dyDescent="0.2">
      <c r="B881" s="167">
        <v>44210</v>
      </c>
      <c r="C881" s="28">
        <v>214.15</v>
      </c>
      <c r="D881" s="83">
        <f t="shared" si="30"/>
        <v>-3.7311755450662995E-2</v>
      </c>
      <c r="E881" s="83">
        <v>1.3727810650887601E-2</v>
      </c>
      <c r="F881" s="83">
        <v>873</v>
      </c>
      <c r="G881" s="83">
        <f t="shared" ca="1" si="31"/>
        <v>-1.3875285219974307E-2</v>
      </c>
    </row>
    <row r="882" spans="2:7" x14ac:dyDescent="0.2">
      <c r="B882" s="167">
        <v>41416</v>
      </c>
      <c r="C882" s="28">
        <v>222.45</v>
      </c>
      <c r="D882" s="83">
        <f t="shared" si="30"/>
        <v>-1.3131626813362354E-2</v>
      </c>
      <c r="E882" s="83">
        <v>1.371673350346332E-2</v>
      </c>
      <c r="F882" s="83">
        <v>874</v>
      </c>
      <c r="G882" s="83">
        <f t="shared" ca="1" si="31"/>
        <v>-1.0190967116319593E-2</v>
      </c>
    </row>
    <row r="883" spans="2:7" x14ac:dyDescent="0.2">
      <c r="B883" s="167">
        <v>42080</v>
      </c>
      <c r="C883" s="28">
        <v>225.41</v>
      </c>
      <c r="D883" s="83">
        <f t="shared" si="30"/>
        <v>7.0068834559696133E-2</v>
      </c>
      <c r="E883" s="83">
        <v>1.3716495772620898E-2</v>
      </c>
      <c r="F883" s="83">
        <v>875</v>
      </c>
      <c r="G883" s="83">
        <f t="shared" ca="1" si="31"/>
        <v>1.5266908975086395E-3</v>
      </c>
    </row>
    <row r="884" spans="2:7" x14ac:dyDescent="0.2">
      <c r="B884" s="167">
        <v>44223</v>
      </c>
      <c r="C884" s="28">
        <v>210.65</v>
      </c>
      <c r="D884" s="83">
        <f t="shared" si="30"/>
        <v>0.2435799043627134</v>
      </c>
      <c r="E884" s="83">
        <v>1.3715110683349347E-2</v>
      </c>
      <c r="F884" s="83">
        <v>876</v>
      </c>
      <c r="G884" s="83">
        <f t="shared" ca="1" si="31"/>
        <v>9.5727780664024223E-3</v>
      </c>
    </row>
    <row r="885" spans="2:7" x14ac:dyDescent="0.2">
      <c r="B885" s="167">
        <v>41107</v>
      </c>
      <c r="C885" s="28">
        <v>169.39</v>
      </c>
      <c r="D885" s="83">
        <f t="shared" si="30"/>
        <v>-0.29214375261178444</v>
      </c>
      <c r="E885" s="83">
        <v>1.370436864153197E-2</v>
      </c>
      <c r="F885" s="83">
        <v>877</v>
      </c>
      <c r="G885" s="83">
        <f t="shared" ca="1" si="31"/>
        <v>8.1403474894675438E-3</v>
      </c>
    </row>
    <row r="886" spans="2:7" x14ac:dyDescent="0.2">
      <c r="B886" s="167">
        <v>42548</v>
      </c>
      <c r="C886" s="28">
        <v>239.3</v>
      </c>
      <c r="D886" s="83">
        <f t="shared" si="30"/>
        <v>5.8849557522123945E-2</v>
      </c>
      <c r="E886" s="83">
        <v>1.3682382344220012E-2</v>
      </c>
      <c r="F886" s="83">
        <v>878</v>
      </c>
      <c r="G886" s="83">
        <f t="shared" ca="1" si="31"/>
        <v>-6.1743577977871984E-3</v>
      </c>
    </row>
    <row r="887" spans="2:7" x14ac:dyDescent="0.2">
      <c r="B887" s="167">
        <v>44277</v>
      </c>
      <c r="C887" s="28">
        <v>226</v>
      </c>
      <c r="D887" s="83">
        <f t="shared" si="30"/>
        <v>5.7705808021715793E-2</v>
      </c>
      <c r="E887" s="83">
        <v>1.3680197353666794E-2</v>
      </c>
      <c r="F887" s="83">
        <v>879</v>
      </c>
      <c r="G887" s="83">
        <f t="shared" ca="1" si="31"/>
        <v>1.1260798811194453E-2</v>
      </c>
    </row>
    <row r="888" spans="2:7" x14ac:dyDescent="0.2">
      <c r="B888" s="167">
        <v>42202</v>
      </c>
      <c r="C888" s="28">
        <v>213.67</v>
      </c>
      <c r="D888" s="83">
        <f t="shared" si="30"/>
        <v>-0.11450476585163706</v>
      </c>
      <c r="E888" s="83">
        <v>1.3662887233739721E-2</v>
      </c>
      <c r="F888" s="83">
        <v>880</v>
      </c>
      <c r="G888" s="83">
        <f t="shared" ca="1" si="31"/>
        <v>-1.2845086689973802E-2</v>
      </c>
    </row>
    <row r="889" spans="2:7" x14ac:dyDescent="0.2">
      <c r="B889" s="167">
        <v>44481</v>
      </c>
      <c r="C889" s="28">
        <v>241.3</v>
      </c>
      <c r="D889" s="83">
        <f t="shared" si="30"/>
        <v>-0.4228515391422899</v>
      </c>
      <c r="E889" s="83">
        <v>1.3652593992858642E-2</v>
      </c>
      <c r="F889" s="83">
        <v>881</v>
      </c>
      <c r="G889" s="83">
        <f t="shared" ca="1" si="31"/>
        <v>5.2517021913054823E-3</v>
      </c>
    </row>
    <row r="890" spans="2:7" x14ac:dyDescent="0.2">
      <c r="B890" s="167">
        <v>45245</v>
      </c>
      <c r="C890" s="28">
        <v>418.09</v>
      </c>
      <c r="D890" s="83">
        <f t="shared" si="30"/>
        <v>0.99318268497330275</v>
      </c>
      <c r="E890" s="83">
        <v>1.3649808466275507E-2</v>
      </c>
      <c r="F890" s="83">
        <v>882</v>
      </c>
      <c r="G890" s="83">
        <f t="shared" ca="1" si="31"/>
        <v>8.0766361093279025E-3</v>
      </c>
    </row>
    <row r="891" spans="2:7" x14ac:dyDescent="0.2">
      <c r="B891" s="167">
        <v>41523</v>
      </c>
      <c r="C891" s="28">
        <v>209.76</v>
      </c>
      <c r="D891" s="83">
        <f t="shared" si="30"/>
        <v>7.3270568972574668E-2</v>
      </c>
      <c r="E891" s="83">
        <v>1.3627138300956767E-2</v>
      </c>
      <c r="F891" s="83">
        <v>883</v>
      </c>
      <c r="G891" s="83">
        <f t="shared" ca="1" si="31"/>
        <v>-1.1451162780897006E-2</v>
      </c>
    </row>
    <row r="892" spans="2:7" x14ac:dyDescent="0.2">
      <c r="B892" s="167">
        <v>41332</v>
      </c>
      <c r="C892" s="28">
        <v>195.44</v>
      </c>
      <c r="D892" s="83">
        <f t="shared" si="30"/>
        <v>0.13826441467676184</v>
      </c>
      <c r="E892" s="83">
        <v>1.3587802095218362E-2</v>
      </c>
      <c r="F892" s="83">
        <v>884</v>
      </c>
      <c r="G892" s="83">
        <f t="shared" ca="1" si="31"/>
        <v>3.0311553731509868E-2</v>
      </c>
    </row>
    <row r="893" spans="2:7" x14ac:dyDescent="0.2">
      <c r="B893" s="167">
        <v>44104</v>
      </c>
      <c r="C893" s="28">
        <v>171.7</v>
      </c>
      <c r="D893" s="83">
        <f t="shared" si="30"/>
        <v>2.2292646229076545</v>
      </c>
      <c r="E893" s="83">
        <v>1.357733175914984E-2</v>
      </c>
      <c r="F893" s="83">
        <v>885</v>
      </c>
      <c r="G893" s="83">
        <f t="shared" ca="1" si="31"/>
        <v>1.85800341095274E-2</v>
      </c>
    </row>
    <row r="894" spans="2:7" x14ac:dyDescent="0.2">
      <c r="B894" s="167">
        <v>39317</v>
      </c>
      <c r="C894" s="28">
        <v>53.17</v>
      </c>
      <c r="D894" s="83">
        <f t="shared" si="30"/>
        <v>-0.75611210494931413</v>
      </c>
      <c r="E894" s="83">
        <v>1.3534121235226855E-2</v>
      </c>
      <c r="F894" s="83">
        <v>886</v>
      </c>
      <c r="G894" s="83">
        <f t="shared" ca="1" si="31"/>
        <v>-1.5497000904879224E-2</v>
      </c>
    </row>
    <row r="895" spans="2:7" x14ac:dyDescent="0.2">
      <c r="B895" s="167">
        <v>41654</v>
      </c>
      <c r="C895" s="28">
        <v>218.01</v>
      </c>
      <c r="D895" s="83">
        <f t="shared" si="30"/>
        <v>2.4615751032073674</v>
      </c>
      <c r="E895" s="83">
        <v>1.352859135285912E-2</v>
      </c>
      <c r="F895" s="83">
        <v>887</v>
      </c>
      <c r="G895" s="83">
        <f t="shared" ca="1" si="31"/>
        <v>-2.6976696817262075E-2</v>
      </c>
    </row>
    <row r="896" spans="2:7" x14ac:dyDescent="0.2">
      <c r="B896" s="167">
        <v>39021</v>
      </c>
      <c r="C896" s="28">
        <v>62.98</v>
      </c>
      <c r="D896" s="83">
        <f t="shared" si="30"/>
        <v>0.10375043813529608</v>
      </c>
      <c r="E896" s="83">
        <v>1.3517862890247768E-2</v>
      </c>
      <c r="F896" s="83">
        <v>888</v>
      </c>
      <c r="G896" s="83">
        <f t="shared" ca="1" si="31"/>
        <v>-1.4072040220773539E-2</v>
      </c>
    </row>
    <row r="897" spans="2:7" x14ac:dyDescent="0.2">
      <c r="B897" s="167">
        <v>39776</v>
      </c>
      <c r="C897" s="28">
        <v>57.06</v>
      </c>
      <c r="D897" s="83">
        <f t="shared" si="30"/>
        <v>-0.79507990662596517</v>
      </c>
      <c r="E897" s="83">
        <v>1.3499111900532951E-2</v>
      </c>
      <c r="F897" s="83">
        <v>889</v>
      </c>
      <c r="G897" s="83">
        <f t="shared" ca="1" si="31"/>
        <v>5.2724439846503933E-3</v>
      </c>
    </row>
    <row r="898" spans="2:7" x14ac:dyDescent="0.2">
      <c r="B898" s="167">
        <v>43494</v>
      </c>
      <c r="C898" s="28">
        <v>278.45</v>
      </c>
      <c r="D898" s="83">
        <f t="shared" si="30"/>
        <v>-0.3853200883002208</v>
      </c>
      <c r="E898" s="83">
        <v>1.3466787989080941E-2</v>
      </c>
      <c r="F898" s="83">
        <v>890</v>
      </c>
      <c r="G898" s="83">
        <f t="shared" ca="1" si="31"/>
        <v>-1.6355657559989797E-2</v>
      </c>
    </row>
    <row r="899" spans="2:7" x14ac:dyDescent="0.2">
      <c r="B899" s="167">
        <v>45126</v>
      </c>
      <c r="C899" s="28">
        <v>453</v>
      </c>
      <c r="D899" s="83">
        <f t="shared" si="30"/>
        <v>0.58142782335486132</v>
      </c>
      <c r="E899" s="83">
        <v>1.344549095058053E-2</v>
      </c>
      <c r="F899" s="83">
        <v>891</v>
      </c>
      <c r="G899" s="83">
        <f t="shared" ca="1" si="31"/>
        <v>5.7077205516093557E-3</v>
      </c>
    </row>
    <row r="900" spans="2:7" x14ac:dyDescent="0.2">
      <c r="B900" s="167">
        <v>43390</v>
      </c>
      <c r="C900" s="28">
        <v>286.45</v>
      </c>
      <c r="D900" s="83">
        <f t="shared" si="30"/>
        <v>0.74229061492609938</v>
      </c>
      <c r="E900" s="83">
        <v>1.34441889262339E-2</v>
      </c>
      <c r="F900" s="83">
        <v>892</v>
      </c>
      <c r="G900" s="83">
        <f t="shared" ca="1" si="31"/>
        <v>-1.5025097011920924E-4</v>
      </c>
    </row>
    <row r="901" spans="2:7" x14ac:dyDescent="0.2">
      <c r="B901" s="167">
        <v>41075</v>
      </c>
      <c r="C901" s="28">
        <v>164.41</v>
      </c>
      <c r="D901" s="83">
        <f t="shared" si="30"/>
        <v>-0.34011639574553487</v>
      </c>
      <c r="E901" s="83">
        <v>1.343771189052584E-2</v>
      </c>
      <c r="F901" s="83">
        <v>893</v>
      </c>
      <c r="G901" s="83">
        <f t="shared" ca="1" si="31"/>
        <v>-9.7046640638259636E-3</v>
      </c>
    </row>
    <row r="902" spans="2:7" x14ac:dyDescent="0.2">
      <c r="B902" s="167">
        <v>42562</v>
      </c>
      <c r="C902" s="28">
        <v>249.15</v>
      </c>
      <c r="D902" s="83">
        <f t="shared" si="30"/>
        <v>3.8444487653120745</v>
      </c>
      <c r="E902" s="83">
        <v>1.3422818791946355E-2</v>
      </c>
      <c r="F902" s="83">
        <v>894</v>
      </c>
      <c r="G902" s="83">
        <f t="shared" ca="1" si="31"/>
        <v>2.9069439604044078E-2</v>
      </c>
    </row>
    <row r="903" spans="2:7" x14ac:dyDescent="0.2">
      <c r="B903" s="167">
        <v>39752</v>
      </c>
      <c r="C903" s="28">
        <v>51.43</v>
      </c>
      <c r="D903" s="83">
        <f t="shared" si="30"/>
        <v>-0.75336881983407655</v>
      </c>
      <c r="E903" s="83">
        <v>1.3399014778325117E-2</v>
      </c>
      <c r="F903" s="83">
        <v>895</v>
      </c>
      <c r="G903" s="83">
        <f t="shared" ca="1" si="31"/>
        <v>1.4604849342338556E-2</v>
      </c>
    </row>
    <row r="904" spans="2:7" x14ac:dyDescent="0.2">
      <c r="B904" s="167">
        <v>42178</v>
      </c>
      <c r="C904" s="28">
        <v>208.53</v>
      </c>
      <c r="D904" s="83">
        <f t="shared" si="30"/>
        <v>-0.32926986169186229</v>
      </c>
      <c r="E904" s="83">
        <v>1.336378656817961E-2</v>
      </c>
      <c r="F904" s="83">
        <v>896</v>
      </c>
      <c r="G904" s="83">
        <f t="shared" ca="1" si="31"/>
        <v>-1.9246317126734639E-2</v>
      </c>
    </row>
    <row r="905" spans="2:7" x14ac:dyDescent="0.2">
      <c r="B905" s="167">
        <v>42905</v>
      </c>
      <c r="C905" s="28">
        <v>310.89999999999998</v>
      </c>
      <c r="D905" s="83">
        <f t="shared" ref="D905:D968" si="32">(C905-C906)/C906</f>
        <v>3.553976856598799</v>
      </c>
      <c r="E905" s="83">
        <v>1.3363754889178507E-2</v>
      </c>
      <c r="F905" s="83">
        <v>897</v>
      </c>
      <c r="G905" s="83">
        <f t="shared" ref="G905:G968" ca="1" si="33">_xlfn.NORM.INV(RAND(),$M$10,$M$11)</f>
        <v>-2.7099843693717363E-2</v>
      </c>
    </row>
    <row r="906" spans="2:7" x14ac:dyDescent="0.2">
      <c r="B906" s="167">
        <v>39617</v>
      </c>
      <c r="C906" s="28">
        <v>68.27</v>
      </c>
      <c r="D906" s="83">
        <f t="shared" si="32"/>
        <v>-0.82868685854809165</v>
      </c>
      <c r="E906" s="83">
        <v>1.3359061896986662E-2</v>
      </c>
      <c r="F906" s="83">
        <v>898</v>
      </c>
      <c r="G906" s="83">
        <f t="shared" ca="1" si="33"/>
        <v>-2.9546587969558787E-3</v>
      </c>
    </row>
    <row r="907" spans="2:7" x14ac:dyDescent="0.2">
      <c r="B907" s="167">
        <v>45372</v>
      </c>
      <c r="C907" s="28">
        <v>398.51</v>
      </c>
      <c r="D907" s="83">
        <f t="shared" si="32"/>
        <v>0.6439503320820098</v>
      </c>
      <c r="E907" s="83">
        <v>1.3349946600213599E-2</v>
      </c>
      <c r="F907" s="83">
        <v>899</v>
      </c>
      <c r="G907" s="83">
        <f t="shared" ca="1" si="33"/>
        <v>-5.3430185403150886E-4</v>
      </c>
    </row>
    <row r="908" spans="2:7" x14ac:dyDescent="0.2">
      <c r="B908" s="167">
        <v>41773</v>
      </c>
      <c r="C908" s="28">
        <v>242.41</v>
      </c>
      <c r="D908" s="83">
        <f t="shared" si="32"/>
        <v>1.4243424342434245</v>
      </c>
      <c r="E908" s="83">
        <v>1.3292647243238753E-2</v>
      </c>
      <c r="F908" s="83">
        <v>900</v>
      </c>
      <c r="G908" s="83">
        <f t="shared" ca="1" si="33"/>
        <v>2.0498055186158586E-2</v>
      </c>
    </row>
    <row r="909" spans="2:7" x14ac:dyDescent="0.2">
      <c r="B909" s="167">
        <v>40382</v>
      </c>
      <c r="C909" s="28">
        <v>99.99</v>
      </c>
      <c r="D909" s="83">
        <f t="shared" si="32"/>
        <v>-0.61527510580992684</v>
      </c>
      <c r="E909" s="83">
        <v>1.3275233076611147E-2</v>
      </c>
      <c r="F909" s="83">
        <v>901</v>
      </c>
      <c r="G909" s="83">
        <f t="shared" ca="1" si="33"/>
        <v>3.1183587385340564E-2</v>
      </c>
    </row>
    <row r="910" spans="2:7" x14ac:dyDescent="0.2">
      <c r="B910" s="167">
        <v>43166</v>
      </c>
      <c r="C910" s="28">
        <v>259.89999999999998</v>
      </c>
      <c r="D910" s="83">
        <f t="shared" si="32"/>
        <v>5.7912202769793559</v>
      </c>
      <c r="E910" s="83">
        <v>1.3255360623781588E-2</v>
      </c>
      <c r="F910" s="83">
        <v>902</v>
      </c>
      <c r="G910" s="83">
        <f t="shared" ca="1" si="33"/>
        <v>2.750532906221774E-2</v>
      </c>
    </row>
    <row r="911" spans="2:7" x14ac:dyDescent="0.2">
      <c r="B911" s="167">
        <v>38595</v>
      </c>
      <c r="C911" s="28">
        <v>38.270000000000003</v>
      </c>
      <c r="D911" s="83">
        <f t="shared" si="32"/>
        <v>-0.5328369140625</v>
      </c>
      <c r="E911" s="83">
        <v>1.3238019592268996E-2</v>
      </c>
      <c r="F911" s="83">
        <v>903</v>
      </c>
      <c r="G911" s="83">
        <f t="shared" ca="1" si="33"/>
        <v>-1.9819903623331424E-2</v>
      </c>
    </row>
    <row r="912" spans="2:7" x14ac:dyDescent="0.2">
      <c r="B912" s="167">
        <v>40220</v>
      </c>
      <c r="C912" s="28">
        <v>81.92</v>
      </c>
      <c r="D912" s="83">
        <f t="shared" si="32"/>
        <v>-0.61101614434947771</v>
      </c>
      <c r="E912" s="83">
        <v>1.3234384662956183E-2</v>
      </c>
      <c r="F912" s="83">
        <v>904</v>
      </c>
      <c r="G912" s="83">
        <f t="shared" ca="1" si="33"/>
        <v>-8.6030584006738606E-3</v>
      </c>
    </row>
    <row r="913" spans="2:7" x14ac:dyDescent="0.2">
      <c r="B913" s="167">
        <v>44272</v>
      </c>
      <c r="C913" s="28">
        <v>210.6</v>
      </c>
      <c r="D913" s="83">
        <f t="shared" si="32"/>
        <v>7.8065011517788593E-2</v>
      </c>
      <c r="E913" s="83">
        <v>1.3230695212893915E-2</v>
      </c>
      <c r="F913" s="83">
        <v>905</v>
      </c>
      <c r="G913" s="83">
        <f t="shared" ca="1" si="33"/>
        <v>3.0189262061142502E-2</v>
      </c>
    </row>
    <row r="914" spans="2:7" x14ac:dyDescent="0.2">
      <c r="B914" s="167">
        <v>44049</v>
      </c>
      <c r="C914" s="28">
        <v>195.35</v>
      </c>
      <c r="D914" s="83">
        <f t="shared" si="32"/>
        <v>-0.59526374673683347</v>
      </c>
      <c r="E914" s="83">
        <v>1.3226141078838086E-2</v>
      </c>
      <c r="F914" s="83">
        <v>906</v>
      </c>
      <c r="G914" s="83">
        <f t="shared" ca="1" si="33"/>
        <v>-2.2692078162062868E-2</v>
      </c>
    </row>
    <row r="915" spans="2:7" x14ac:dyDescent="0.2">
      <c r="B915" s="167">
        <v>45572</v>
      </c>
      <c r="C915" s="28">
        <v>482.66</v>
      </c>
      <c r="D915" s="83">
        <f t="shared" si="32"/>
        <v>9.5166384304867322E-3</v>
      </c>
      <c r="E915" s="83">
        <v>1.3225291796120605E-2</v>
      </c>
      <c r="F915" s="83">
        <v>907</v>
      </c>
      <c r="G915" s="83">
        <f t="shared" ca="1" si="33"/>
        <v>7.0478743726462472E-3</v>
      </c>
    </row>
    <row r="916" spans="2:7" x14ac:dyDescent="0.2">
      <c r="B916" s="167">
        <v>45525</v>
      </c>
      <c r="C916" s="28">
        <v>478.11</v>
      </c>
      <c r="D916" s="83">
        <f t="shared" si="32"/>
        <v>1.2358305274971941</v>
      </c>
      <c r="E916" s="83">
        <v>1.3223981181257569E-2</v>
      </c>
      <c r="F916" s="83">
        <v>908</v>
      </c>
      <c r="G916" s="83">
        <f t="shared" ca="1" si="33"/>
        <v>-2.6263480099138096E-2</v>
      </c>
    </row>
    <row r="917" spans="2:7" x14ac:dyDescent="0.2">
      <c r="B917" s="167">
        <v>42131</v>
      </c>
      <c r="C917" s="28">
        <v>213.84</v>
      </c>
      <c r="D917" s="83">
        <f t="shared" si="32"/>
        <v>-7.6564321803342356E-2</v>
      </c>
      <c r="E917" s="83">
        <v>1.3219616204690794E-2</v>
      </c>
      <c r="F917" s="83">
        <v>909</v>
      </c>
      <c r="G917" s="83">
        <f t="shared" ca="1" si="33"/>
        <v>-2.2432229274254527E-2</v>
      </c>
    </row>
    <row r="918" spans="2:7" x14ac:dyDescent="0.2">
      <c r="B918" s="167">
        <v>41543</v>
      </c>
      <c r="C918" s="28">
        <v>231.57</v>
      </c>
      <c r="D918" s="83">
        <f t="shared" si="32"/>
        <v>5.2909535452322736</v>
      </c>
      <c r="E918" s="83">
        <v>1.3213738788011296E-2</v>
      </c>
      <c r="F918" s="83">
        <v>910</v>
      </c>
      <c r="G918" s="83">
        <f t="shared" ca="1" si="33"/>
        <v>1.2274115229726374E-2</v>
      </c>
    </row>
    <row r="919" spans="2:7" x14ac:dyDescent="0.2">
      <c r="B919" s="167">
        <v>38558</v>
      </c>
      <c r="C919" s="28">
        <v>36.81</v>
      </c>
      <c r="D919" s="83">
        <f t="shared" si="32"/>
        <v>-0.28385214007782095</v>
      </c>
      <c r="E919" s="83">
        <v>1.3212221304706964E-2</v>
      </c>
      <c r="F919" s="83">
        <v>911</v>
      </c>
      <c r="G919" s="83">
        <f t="shared" ca="1" si="33"/>
        <v>-2.5742893607321168E-2</v>
      </c>
    </row>
    <row r="920" spans="2:7" x14ac:dyDescent="0.2">
      <c r="B920" s="167">
        <v>39253</v>
      </c>
      <c r="C920" s="28">
        <v>51.4</v>
      </c>
      <c r="D920" s="83">
        <f t="shared" si="32"/>
        <v>-0.87490873691895843</v>
      </c>
      <c r="E920" s="83">
        <v>1.3207175241474507E-2</v>
      </c>
      <c r="F920" s="83">
        <v>912</v>
      </c>
      <c r="G920" s="83">
        <f t="shared" ca="1" si="33"/>
        <v>3.0285372211622166E-3</v>
      </c>
    </row>
    <row r="921" spans="2:7" x14ac:dyDescent="0.2">
      <c r="B921" s="167">
        <v>45740</v>
      </c>
      <c r="C921" s="28">
        <v>410.9</v>
      </c>
      <c r="D921" s="83">
        <f t="shared" si="32"/>
        <v>2.9627736522326162</v>
      </c>
      <c r="E921" s="83">
        <v>1.3191961533719555E-2</v>
      </c>
      <c r="F921" s="83">
        <v>913</v>
      </c>
      <c r="G921" s="83">
        <f t="shared" ca="1" si="33"/>
        <v>-1.0550103030688218E-2</v>
      </c>
    </row>
    <row r="922" spans="2:7" x14ac:dyDescent="0.2">
      <c r="B922" s="167">
        <v>40392</v>
      </c>
      <c r="C922" s="28">
        <v>103.69</v>
      </c>
      <c r="D922" s="83">
        <f t="shared" si="32"/>
        <v>-0.59201259098957315</v>
      </c>
      <c r="E922" s="83">
        <v>1.3191323040844189E-2</v>
      </c>
      <c r="F922" s="83">
        <v>914</v>
      </c>
      <c r="G922" s="83">
        <f t="shared" ca="1" si="33"/>
        <v>3.1176681403532129E-2</v>
      </c>
    </row>
    <row r="923" spans="2:7" x14ac:dyDescent="0.2">
      <c r="B923" s="167">
        <v>42754</v>
      </c>
      <c r="C923" s="28">
        <v>254.15</v>
      </c>
      <c r="D923" s="83">
        <f t="shared" si="32"/>
        <v>3.3281675749318804</v>
      </c>
      <c r="E923" s="83">
        <v>1.3155272074945231E-2</v>
      </c>
      <c r="F923" s="83">
        <v>915</v>
      </c>
      <c r="G923" s="83">
        <f t="shared" ca="1" si="33"/>
        <v>-2.0286295714891534E-3</v>
      </c>
    </row>
    <row r="924" spans="2:7" x14ac:dyDescent="0.2">
      <c r="B924" s="167">
        <v>39115</v>
      </c>
      <c r="C924" s="28">
        <v>58.72</v>
      </c>
      <c r="D924" s="83">
        <f t="shared" si="32"/>
        <v>-0.71761084928344721</v>
      </c>
      <c r="E924" s="83">
        <v>1.3112491373360903E-2</v>
      </c>
      <c r="F924" s="83">
        <v>916</v>
      </c>
      <c r="G924" s="83">
        <f t="shared" ca="1" si="33"/>
        <v>1.236213319731273E-3</v>
      </c>
    </row>
    <row r="925" spans="2:7" x14ac:dyDescent="0.2">
      <c r="B925" s="167">
        <v>42377</v>
      </c>
      <c r="C925" s="28">
        <v>207.94</v>
      </c>
      <c r="D925" s="83">
        <f t="shared" si="32"/>
        <v>-0.31054376657824939</v>
      </c>
      <c r="E925" s="83">
        <v>1.3105968331303277E-2</v>
      </c>
      <c r="F925" s="83">
        <v>917</v>
      </c>
      <c r="G925" s="83">
        <f t="shared" ca="1" si="33"/>
        <v>-8.6991798356468118E-3</v>
      </c>
    </row>
    <row r="926" spans="2:7" x14ac:dyDescent="0.2">
      <c r="B926" s="167">
        <v>43313</v>
      </c>
      <c r="C926" s="28">
        <v>301.60000000000002</v>
      </c>
      <c r="D926" s="83">
        <f t="shared" si="32"/>
        <v>3.4774346793349169</v>
      </c>
      <c r="E926" s="83">
        <v>1.3100436681222823E-2</v>
      </c>
      <c r="F926" s="83">
        <v>918</v>
      </c>
      <c r="G926" s="83">
        <f t="shared" ca="1" si="33"/>
        <v>9.2147176852806559E-3</v>
      </c>
    </row>
    <row r="927" spans="2:7" x14ac:dyDescent="0.2">
      <c r="B927" s="167">
        <v>39986</v>
      </c>
      <c r="C927" s="28">
        <v>67.36</v>
      </c>
      <c r="D927" s="83">
        <f t="shared" si="32"/>
        <v>-0.70523367757745503</v>
      </c>
      <c r="E927" s="83">
        <v>1.3084674387125954E-2</v>
      </c>
      <c r="F927" s="83">
        <v>919</v>
      </c>
      <c r="G927" s="83">
        <f t="shared" ca="1" si="33"/>
        <v>8.4346324114482254E-3</v>
      </c>
    </row>
    <row r="928" spans="2:7" x14ac:dyDescent="0.2">
      <c r="B928" s="167">
        <v>41764</v>
      </c>
      <c r="C928" s="28">
        <v>228.52</v>
      </c>
      <c r="D928" s="83">
        <f t="shared" si="32"/>
        <v>0.12516001969473173</v>
      </c>
      <c r="E928" s="83">
        <v>1.3077980227867258E-2</v>
      </c>
      <c r="F928" s="83">
        <v>920</v>
      </c>
      <c r="G928" s="83">
        <f t="shared" ca="1" si="33"/>
        <v>2.7503476007969943E-2</v>
      </c>
    </row>
    <row r="929" spans="2:7" x14ac:dyDescent="0.2">
      <c r="B929" s="167">
        <v>41359</v>
      </c>
      <c r="C929" s="28">
        <v>203.1</v>
      </c>
      <c r="D929" s="83">
        <f t="shared" si="32"/>
        <v>2.3553609780274241</v>
      </c>
      <c r="E929" s="83">
        <v>1.306863527533921E-2</v>
      </c>
      <c r="F929" s="83">
        <v>921</v>
      </c>
      <c r="G929" s="83">
        <f t="shared" ca="1" si="33"/>
        <v>1.1301361994647149E-2</v>
      </c>
    </row>
    <row r="930" spans="2:7" x14ac:dyDescent="0.2">
      <c r="B930" s="167">
        <v>39384</v>
      </c>
      <c r="C930" s="28">
        <v>60.53</v>
      </c>
      <c r="D930" s="83">
        <f t="shared" si="32"/>
        <v>-0.64550512445095165</v>
      </c>
      <c r="E930" s="83">
        <v>1.305439330543935E-2</v>
      </c>
      <c r="F930" s="83">
        <v>922</v>
      </c>
      <c r="G930" s="83">
        <f t="shared" ca="1" si="33"/>
        <v>-1.9602513150121027E-4</v>
      </c>
    </row>
    <row r="931" spans="2:7" x14ac:dyDescent="0.2">
      <c r="B931" s="167">
        <v>44127</v>
      </c>
      <c r="C931" s="28">
        <v>170.75</v>
      </c>
      <c r="D931" s="83">
        <f t="shared" si="32"/>
        <v>-0.63362300182383868</v>
      </c>
      <c r="E931" s="83">
        <v>1.3052506674577209E-2</v>
      </c>
      <c r="F931" s="83">
        <v>923</v>
      </c>
      <c r="G931" s="83">
        <f t="shared" ca="1" si="33"/>
        <v>2.1257393950812112E-2</v>
      </c>
    </row>
    <row r="932" spans="2:7" x14ac:dyDescent="0.2">
      <c r="B932" s="167">
        <v>45511</v>
      </c>
      <c r="C932" s="28">
        <v>466.05</v>
      </c>
      <c r="D932" s="83">
        <f t="shared" si="32"/>
        <v>6.7726817878585726</v>
      </c>
      <c r="E932" s="83">
        <v>1.3042060645582002E-2</v>
      </c>
      <c r="F932" s="83">
        <v>924</v>
      </c>
      <c r="G932" s="83">
        <f t="shared" ca="1" si="33"/>
        <v>-1.5407034490795439E-2</v>
      </c>
    </row>
    <row r="933" spans="2:7" x14ac:dyDescent="0.2">
      <c r="B933" s="167">
        <v>38945</v>
      </c>
      <c r="C933" s="28">
        <v>59.96</v>
      </c>
      <c r="D933" s="83">
        <f t="shared" si="32"/>
        <v>-0.49697986577181208</v>
      </c>
      <c r="E933" s="83">
        <v>1.3008954215239114E-2</v>
      </c>
      <c r="F933" s="83">
        <v>925</v>
      </c>
      <c r="G933" s="83">
        <f t="shared" ca="1" si="33"/>
        <v>5.4975709330036034E-3</v>
      </c>
    </row>
    <row r="934" spans="2:7" x14ac:dyDescent="0.2">
      <c r="B934" s="167">
        <v>40548</v>
      </c>
      <c r="C934" s="28">
        <v>119.2</v>
      </c>
      <c r="D934" s="83">
        <f t="shared" si="32"/>
        <v>-0.6426322890121422</v>
      </c>
      <c r="E934" s="83">
        <v>1.3002464519418723E-2</v>
      </c>
      <c r="F934" s="83">
        <v>926</v>
      </c>
      <c r="G934" s="83">
        <f t="shared" ca="1" si="33"/>
        <v>-1.4519343325444944E-2</v>
      </c>
    </row>
    <row r="935" spans="2:7" x14ac:dyDescent="0.2">
      <c r="B935" s="167">
        <v>44823</v>
      </c>
      <c r="C935" s="28">
        <v>333.55</v>
      </c>
      <c r="D935" s="83">
        <f t="shared" si="32"/>
        <v>0.45053272450532739</v>
      </c>
      <c r="E935" s="83">
        <v>1.2998451119142435E-2</v>
      </c>
      <c r="F935" s="83">
        <v>927</v>
      </c>
      <c r="G935" s="83">
        <f t="shared" ca="1" si="33"/>
        <v>-4.2017310034871178E-2</v>
      </c>
    </row>
    <row r="936" spans="2:7" x14ac:dyDescent="0.2">
      <c r="B936" s="167">
        <v>42724</v>
      </c>
      <c r="C936" s="28">
        <v>229.95</v>
      </c>
      <c r="D936" s="83">
        <f t="shared" si="32"/>
        <v>-6.4673581452104972E-2</v>
      </c>
      <c r="E936" s="83">
        <v>1.2995594713656338E-2</v>
      </c>
      <c r="F936" s="83">
        <v>928</v>
      </c>
      <c r="G936" s="83">
        <f t="shared" ca="1" si="33"/>
        <v>1.5585055270483313E-2</v>
      </c>
    </row>
    <row r="937" spans="2:7" x14ac:dyDescent="0.2">
      <c r="B937" s="167">
        <v>42744</v>
      </c>
      <c r="C937" s="28">
        <v>245.85</v>
      </c>
      <c r="D937" s="83">
        <f t="shared" si="32"/>
        <v>4.4259545354226439</v>
      </c>
      <c r="E937" s="83">
        <v>1.2978986402966649E-2</v>
      </c>
      <c r="F937" s="83">
        <v>929</v>
      </c>
      <c r="G937" s="83">
        <f t="shared" ca="1" si="33"/>
        <v>-1.1822222805342735E-5</v>
      </c>
    </row>
    <row r="938" spans="2:7" x14ac:dyDescent="0.2">
      <c r="B938" s="167">
        <v>38681</v>
      </c>
      <c r="C938" s="28">
        <v>45.31</v>
      </c>
      <c r="D938" s="83">
        <f t="shared" si="32"/>
        <v>-0.83683831472812387</v>
      </c>
      <c r="E938" s="83">
        <v>1.2966689023027172E-2</v>
      </c>
      <c r="F938" s="83">
        <v>930</v>
      </c>
      <c r="G938" s="83">
        <f t="shared" ca="1" si="33"/>
        <v>-6.5091391035892046E-3</v>
      </c>
    </row>
    <row r="939" spans="2:7" x14ac:dyDescent="0.2">
      <c r="B939" s="167">
        <v>43502</v>
      </c>
      <c r="C939" s="28">
        <v>277.7</v>
      </c>
      <c r="D939" s="83">
        <f t="shared" si="32"/>
        <v>0.31331283991487352</v>
      </c>
      <c r="E939" s="83">
        <v>1.2949115447747626E-2</v>
      </c>
      <c r="F939" s="83">
        <v>931</v>
      </c>
      <c r="G939" s="83">
        <f t="shared" ca="1" si="33"/>
        <v>2.6229723400197812E-2</v>
      </c>
    </row>
    <row r="940" spans="2:7" x14ac:dyDescent="0.2">
      <c r="B940" s="167">
        <v>44354</v>
      </c>
      <c r="C940" s="28">
        <v>211.45</v>
      </c>
      <c r="D940" s="83">
        <f t="shared" si="32"/>
        <v>-3.009036282739325E-2</v>
      </c>
      <c r="E940" s="83">
        <v>1.2934131736526891E-2</v>
      </c>
      <c r="F940" s="83">
        <v>932</v>
      </c>
      <c r="G940" s="83">
        <f t="shared" ca="1" si="33"/>
        <v>3.2478216666098243E-2</v>
      </c>
    </row>
    <row r="941" spans="2:7" x14ac:dyDescent="0.2">
      <c r="B941" s="167">
        <v>41394</v>
      </c>
      <c r="C941" s="28">
        <v>218.01</v>
      </c>
      <c r="D941" s="83">
        <f t="shared" si="32"/>
        <v>0.46168286959436799</v>
      </c>
      <c r="E941" s="83">
        <v>1.291641499790922E-2</v>
      </c>
      <c r="F941" s="83">
        <v>933</v>
      </c>
      <c r="G941" s="83">
        <f t="shared" ca="1" si="33"/>
        <v>-2.9585138512503883E-2</v>
      </c>
    </row>
    <row r="942" spans="2:7" x14ac:dyDescent="0.2">
      <c r="B942" s="167">
        <v>43907</v>
      </c>
      <c r="C942" s="28">
        <v>149.15</v>
      </c>
      <c r="D942" s="83">
        <f t="shared" si="32"/>
        <v>-0.66562044613832527</v>
      </c>
      <c r="E942" s="83">
        <v>1.2903225806451651E-2</v>
      </c>
      <c r="F942" s="83">
        <v>934</v>
      </c>
      <c r="G942" s="83">
        <f t="shared" ca="1" si="33"/>
        <v>1.0599526657557645E-2</v>
      </c>
    </row>
    <row r="943" spans="2:7" x14ac:dyDescent="0.2">
      <c r="B943" s="167">
        <v>45310</v>
      </c>
      <c r="C943" s="28">
        <v>446.05</v>
      </c>
      <c r="D943" s="83">
        <f t="shared" si="32"/>
        <v>2.6397388820889431</v>
      </c>
      <c r="E943" s="83">
        <v>1.2898244657901325E-2</v>
      </c>
      <c r="F943" s="83">
        <v>935</v>
      </c>
      <c r="G943" s="83">
        <f t="shared" ca="1" si="33"/>
        <v>-1.4768081838752936E-2</v>
      </c>
    </row>
    <row r="944" spans="2:7" x14ac:dyDescent="0.2">
      <c r="B944" s="167">
        <v>40637</v>
      </c>
      <c r="C944" s="28">
        <v>122.55</v>
      </c>
      <c r="D944" s="83">
        <f t="shared" si="32"/>
        <v>-0.70581881031254501</v>
      </c>
      <c r="E944" s="83">
        <v>1.2893627572526675E-2</v>
      </c>
      <c r="F944" s="83">
        <v>936</v>
      </c>
      <c r="G944" s="83">
        <f t="shared" ca="1" si="33"/>
        <v>1.5982527696369972E-2</v>
      </c>
    </row>
    <row r="945" spans="2:7" x14ac:dyDescent="0.2">
      <c r="B945" s="167">
        <v>45419</v>
      </c>
      <c r="C945" s="28">
        <v>416.58</v>
      </c>
      <c r="D945" s="83">
        <f t="shared" si="32"/>
        <v>-5.9171597633136071E-2</v>
      </c>
      <c r="E945" s="83">
        <v>1.2886597938144359E-2</v>
      </c>
      <c r="F945" s="83">
        <v>937</v>
      </c>
      <c r="G945" s="83">
        <f t="shared" ca="1" si="33"/>
        <v>-1.3007097312735581E-2</v>
      </c>
    </row>
    <row r="946" spans="2:7" x14ac:dyDescent="0.2">
      <c r="B946" s="167">
        <v>45292</v>
      </c>
      <c r="C946" s="28">
        <v>442.78</v>
      </c>
      <c r="D946" s="83">
        <f t="shared" si="32"/>
        <v>1.3415124272871495</v>
      </c>
      <c r="E946" s="83">
        <v>1.2878874528193973E-2</v>
      </c>
      <c r="F946" s="83">
        <v>938</v>
      </c>
      <c r="G946" s="83">
        <f t="shared" ca="1" si="33"/>
        <v>-3.1304747809561113E-2</v>
      </c>
    </row>
    <row r="947" spans="2:7" x14ac:dyDescent="0.2">
      <c r="B947" s="167">
        <v>44081</v>
      </c>
      <c r="C947" s="28">
        <v>189.1</v>
      </c>
      <c r="D947" s="83">
        <f t="shared" si="32"/>
        <v>-0.17857608270709358</v>
      </c>
      <c r="E947" s="83">
        <v>1.2854847348687765E-2</v>
      </c>
      <c r="F947" s="83">
        <v>939</v>
      </c>
      <c r="G947" s="83">
        <f t="shared" ca="1" si="33"/>
        <v>-8.3193759571817509E-3</v>
      </c>
    </row>
    <row r="948" spans="2:7" x14ac:dyDescent="0.2">
      <c r="B948" s="167">
        <v>42284</v>
      </c>
      <c r="C948" s="28">
        <v>230.21</v>
      </c>
      <c r="D948" s="83">
        <f t="shared" si="32"/>
        <v>1.0419549405712261</v>
      </c>
      <c r="E948" s="83">
        <v>1.284702362620448E-2</v>
      </c>
      <c r="F948" s="83">
        <v>940</v>
      </c>
      <c r="G948" s="83">
        <f t="shared" ca="1" si="33"/>
        <v>-1.5215741025207865E-2</v>
      </c>
    </row>
    <row r="949" spans="2:7" x14ac:dyDescent="0.2">
      <c r="B949" s="167">
        <v>40624</v>
      </c>
      <c r="C949" s="28">
        <v>112.74</v>
      </c>
      <c r="D949" s="83">
        <f t="shared" si="32"/>
        <v>-0.45098612125639154</v>
      </c>
      <c r="E949" s="83">
        <v>1.2847003863085011E-2</v>
      </c>
      <c r="F949" s="83">
        <v>941</v>
      </c>
      <c r="G949" s="83">
        <f t="shared" ca="1" si="33"/>
        <v>-9.9410352718053378E-3</v>
      </c>
    </row>
    <row r="950" spans="2:7" x14ac:dyDescent="0.2">
      <c r="B950" s="167">
        <v>44323</v>
      </c>
      <c r="C950" s="28">
        <v>205.35</v>
      </c>
      <c r="D950" s="83">
        <f t="shared" si="32"/>
        <v>-9.8115859282357609E-2</v>
      </c>
      <c r="E950" s="83">
        <v>1.2823674475955582E-2</v>
      </c>
      <c r="F950" s="83">
        <v>942</v>
      </c>
      <c r="G950" s="83">
        <f t="shared" ca="1" si="33"/>
        <v>2.0795383298027201E-2</v>
      </c>
    </row>
    <row r="951" spans="2:7" x14ac:dyDescent="0.2">
      <c r="B951" s="167">
        <v>42286</v>
      </c>
      <c r="C951" s="28">
        <v>227.69</v>
      </c>
      <c r="D951" s="83">
        <f t="shared" si="32"/>
        <v>-0.45682045899136409</v>
      </c>
      <c r="E951" s="83">
        <v>1.2810818024109227E-2</v>
      </c>
      <c r="F951" s="83">
        <v>943</v>
      </c>
      <c r="G951" s="83">
        <f t="shared" ca="1" si="33"/>
        <v>-4.6881967648847575E-3</v>
      </c>
    </row>
    <row r="952" spans="2:7" x14ac:dyDescent="0.2">
      <c r="B952" s="167">
        <v>45174</v>
      </c>
      <c r="C952" s="28">
        <v>419.18</v>
      </c>
      <c r="D952" s="83">
        <f t="shared" si="32"/>
        <v>0.65389623199842184</v>
      </c>
      <c r="E952" s="83">
        <v>1.2805644148062267E-2</v>
      </c>
      <c r="F952" s="83">
        <v>944</v>
      </c>
      <c r="G952" s="83">
        <f t="shared" ca="1" si="33"/>
        <v>1.51723808889435E-2</v>
      </c>
    </row>
    <row r="953" spans="2:7" x14ac:dyDescent="0.2">
      <c r="B953" s="167">
        <v>42607</v>
      </c>
      <c r="C953" s="28">
        <v>253.45</v>
      </c>
      <c r="D953" s="83">
        <f t="shared" si="32"/>
        <v>4.9048013245033092E-2</v>
      </c>
      <c r="E953" s="83">
        <v>1.2787212787212742E-2</v>
      </c>
      <c r="F953" s="83">
        <v>945</v>
      </c>
      <c r="G953" s="83">
        <f t="shared" ca="1" si="33"/>
        <v>-7.0503647383683213E-3</v>
      </c>
    </row>
    <row r="954" spans="2:7" x14ac:dyDescent="0.2">
      <c r="B954" s="167">
        <v>43812</v>
      </c>
      <c r="C954" s="28">
        <v>241.6</v>
      </c>
      <c r="D954" s="83">
        <f t="shared" si="32"/>
        <v>0.41137983409276774</v>
      </c>
      <c r="E954" s="83">
        <v>1.278557954307266E-2</v>
      </c>
      <c r="F954" s="83">
        <v>946</v>
      </c>
      <c r="G954" s="83">
        <f t="shared" ca="1" si="33"/>
        <v>-1.4421025661677139E-2</v>
      </c>
    </row>
    <row r="955" spans="2:7" x14ac:dyDescent="0.2">
      <c r="B955" s="167">
        <v>41120</v>
      </c>
      <c r="C955" s="28">
        <v>171.18</v>
      </c>
      <c r="D955" s="83">
        <f t="shared" si="32"/>
        <v>-0.13352905446446647</v>
      </c>
      <c r="E955" s="83">
        <v>1.2779552715654931E-2</v>
      </c>
      <c r="F955" s="83">
        <v>947</v>
      </c>
      <c r="G955" s="83">
        <f t="shared" ca="1" si="33"/>
        <v>-1.550298927624225E-2</v>
      </c>
    </row>
    <row r="956" spans="2:7" x14ac:dyDescent="0.2">
      <c r="B956" s="167">
        <v>41242</v>
      </c>
      <c r="C956" s="28">
        <v>197.56</v>
      </c>
      <c r="D956" s="83">
        <f t="shared" si="32"/>
        <v>-9.5172666483466159E-2</v>
      </c>
      <c r="E956" s="83">
        <v>1.2764648587686519E-2</v>
      </c>
      <c r="F956" s="83">
        <v>948</v>
      </c>
      <c r="G956" s="83">
        <f t="shared" ca="1" si="33"/>
        <v>2.0329064002803029E-2</v>
      </c>
    </row>
    <row r="957" spans="2:7" x14ac:dyDescent="0.2">
      <c r="B957" s="167">
        <v>41822</v>
      </c>
      <c r="C957" s="28">
        <v>218.34</v>
      </c>
      <c r="D957" s="83">
        <f t="shared" si="32"/>
        <v>0.69676717438607394</v>
      </c>
      <c r="E957" s="83">
        <v>1.2755693677814369E-2</v>
      </c>
      <c r="F957" s="83">
        <v>949</v>
      </c>
      <c r="G957" s="83">
        <f t="shared" ca="1" si="33"/>
        <v>2.5173319799169255E-2</v>
      </c>
    </row>
    <row r="958" spans="2:7" x14ac:dyDescent="0.2">
      <c r="B958" s="167">
        <v>40821</v>
      </c>
      <c r="C958" s="28">
        <v>128.68</v>
      </c>
      <c r="D958" s="83">
        <f t="shared" si="32"/>
        <v>0.22657515966066163</v>
      </c>
      <c r="E958" s="83">
        <v>1.2749881945537576E-2</v>
      </c>
      <c r="F958" s="83">
        <v>950</v>
      </c>
      <c r="G958" s="83">
        <f t="shared" ca="1" si="33"/>
        <v>-7.8518129968929394E-3</v>
      </c>
    </row>
    <row r="959" spans="2:7" x14ac:dyDescent="0.2">
      <c r="B959" s="167">
        <v>40406</v>
      </c>
      <c r="C959" s="28">
        <v>104.91</v>
      </c>
      <c r="D959" s="83">
        <f t="shared" si="32"/>
        <v>0.24477930707166581</v>
      </c>
      <c r="E959" s="83">
        <v>1.2742542716478358E-2</v>
      </c>
      <c r="F959" s="83">
        <v>951</v>
      </c>
      <c r="G959" s="83">
        <f t="shared" ca="1" si="33"/>
        <v>1.871862657124513E-3</v>
      </c>
    </row>
    <row r="960" spans="2:7" x14ac:dyDescent="0.2">
      <c r="B960" s="167">
        <v>40247</v>
      </c>
      <c r="C960" s="28">
        <v>84.28</v>
      </c>
      <c r="D960" s="83">
        <f t="shared" si="32"/>
        <v>0.30788330229671018</v>
      </c>
      <c r="E960" s="83">
        <v>1.2737322758952202E-2</v>
      </c>
      <c r="F960" s="83">
        <v>952</v>
      </c>
      <c r="G960" s="83">
        <f t="shared" ca="1" si="33"/>
        <v>-2.9332215487170972E-2</v>
      </c>
    </row>
    <row r="961" spans="2:7" x14ac:dyDescent="0.2">
      <c r="B961" s="167">
        <v>39693</v>
      </c>
      <c r="C961" s="28">
        <v>64.44</v>
      </c>
      <c r="D961" s="83">
        <f t="shared" si="32"/>
        <v>-0.69549191947831024</v>
      </c>
      <c r="E961" s="83">
        <v>1.2729844413012654E-2</v>
      </c>
      <c r="F961" s="83">
        <v>953</v>
      </c>
      <c r="G961" s="83">
        <f t="shared" ca="1" si="33"/>
        <v>8.2902414305702915E-3</v>
      </c>
    </row>
    <row r="962" spans="2:7" x14ac:dyDescent="0.2">
      <c r="B962" s="167">
        <v>41631</v>
      </c>
      <c r="C962" s="28">
        <v>211.62</v>
      </c>
      <c r="D962" s="83">
        <f t="shared" si="32"/>
        <v>1.4564132327336041</v>
      </c>
      <c r="E962" s="83">
        <v>1.2729709035222036E-2</v>
      </c>
      <c r="F962" s="83">
        <v>954</v>
      </c>
      <c r="G962" s="83">
        <f t="shared" ca="1" si="33"/>
        <v>9.2318346190603702E-3</v>
      </c>
    </row>
    <row r="963" spans="2:7" x14ac:dyDescent="0.2">
      <c r="B963" s="167">
        <v>40137</v>
      </c>
      <c r="C963" s="28">
        <v>86.15</v>
      </c>
      <c r="D963" s="83">
        <f t="shared" si="32"/>
        <v>-0.34976224620726093</v>
      </c>
      <c r="E963" s="83">
        <v>1.2695427295168833E-2</v>
      </c>
      <c r="F963" s="83">
        <v>955</v>
      </c>
      <c r="G963" s="83">
        <f t="shared" ca="1" si="33"/>
        <v>-1.4455787642315074E-3</v>
      </c>
    </row>
    <row r="964" spans="2:7" x14ac:dyDescent="0.2">
      <c r="B964" s="167">
        <v>40891</v>
      </c>
      <c r="C964" s="28">
        <v>132.49</v>
      </c>
      <c r="D964" s="83">
        <f t="shared" si="32"/>
        <v>2.1886883273164868</v>
      </c>
      <c r="E964" s="83">
        <v>1.2688221355958085E-2</v>
      </c>
      <c r="F964" s="83">
        <v>956</v>
      </c>
      <c r="G964" s="83">
        <f t="shared" ca="1" si="33"/>
        <v>-1.9106701973473667E-2</v>
      </c>
    </row>
    <row r="965" spans="2:7" x14ac:dyDescent="0.2">
      <c r="B965" s="167">
        <v>38610</v>
      </c>
      <c r="C965" s="28">
        <v>41.55</v>
      </c>
      <c r="D965" s="83">
        <f t="shared" si="32"/>
        <v>-0.82377640173042677</v>
      </c>
      <c r="E965" s="83">
        <v>1.2673653424323568E-2</v>
      </c>
      <c r="F965" s="83">
        <v>957</v>
      </c>
      <c r="G965" s="83">
        <f t="shared" ca="1" si="33"/>
        <v>-1.0799811748937571E-2</v>
      </c>
    </row>
    <row r="966" spans="2:7" x14ac:dyDescent="0.2">
      <c r="B966" s="167">
        <v>41894</v>
      </c>
      <c r="C966" s="28">
        <v>235.78</v>
      </c>
      <c r="D966" s="83">
        <f t="shared" si="32"/>
        <v>4.1728828433523475</v>
      </c>
      <c r="E966" s="83">
        <v>1.2670188549585485E-2</v>
      </c>
      <c r="F966" s="83">
        <v>958</v>
      </c>
      <c r="G966" s="83">
        <f t="shared" ca="1" si="33"/>
        <v>-2.8973898714726365E-3</v>
      </c>
    </row>
    <row r="967" spans="2:7" x14ac:dyDescent="0.2">
      <c r="B967" s="167">
        <v>38688</v>
      </c>
      <c r="C967" s="28">
        <v>45.58</v>
      </c>
      <c r="D967" s="83">
        <f t="shared" si="32"/>
        <v>-0.81909108950188536</v>
      </c>
      <c r="E967" s="83">
        <v>1.266385247722729E-2</v>
      </c>
      <c r="F967" s="83">
        <v>959</v>
      </c>
      <c r="G967" s="83">
        <f t="shared" ca="1" si="33"/>
        <v>1.5717512705425901E-2</v>
      </c>
    </row>
    <row r="968" spans="2:7" x14ac:dyDescent="0.2">
      <c r="B968" s="167">
        <v>42752</v>
      </c>
      <c r="C968" s="28">
        <v>251.95</v>
      </c>
      <c r="D968" s="83">
        <f t="shared" si="32"/>
        <v>0.20228096965069664</v>
      </c>
      <c r="E968" s="83">
        <v>1.2660771704179972E-2</v>
      </c>
      <c r="F968" s="83">
        <v>960</v>
      </c>
      <c r="G968" s="83">
        <f t="shared" ca="1" si="33"/>
        <v>-5.4707604367863162E-3</v>
      </c>
    </row>
    <row r="969" spans="2:7" x14ac:dyDescent="0.2">
      <c r="B969" s="167">
        <v>42270</v>
      </c>
      <c r="C969" s="28">
        <v>209.56</v>
      </c>
      <c r="D969" s="83">
        <f t="shared" ref="D969:D1032" si="34">(C969-C970)/C970</f>
        <v>-0.12792342904702458</v>
      </c>
      <c r="E969" s="83">
        <v>1.2660674591669105E-2</v>
      </c>
      <c r="F969" s="83">
        <v>961</v>
      </c>
      <c r="G969" s="83">
        <f t="shared" ref="G969:G1032" ca="1" si="35">_xlfn.NORM.INV(RAND(),$M$10,$M$11)</f>
        <v>-5.0401915379148302E-2</v>
      </c>
    </row>
    <row r="970" spans="2:7" x14ac:dyDescent="0.2">
      <c r="B970" s="167">
        <v>42677</v>
      </c>
      <c r="C970" s="28">
        <v>240.3</v>
      </c>
      <c r="D970" s="83">
        <f t="shared" si="34"/>
        <v>0.45539337411422681</v>
      </c>
      <c r="E970" s="83">
        <v>1.2642225031605562E-2</v>
      </c>
      <c r="F970" s="83">
        <v>962</v>
      </c>
      <c r="G970" s="83">
        <f t="shared" ca="1" si="35"/>
        <v>-2.2930462095405956E-2</v>
      </c>
    </row>
    <row r="971" spans="2:7" x14ac:dyDescent="0.2">
      <c r="B971" s="167">
        <v>41025</v>
      </c>
      <c r="C971" s="28">
        <v>165.11</v>
      </c>
      <c r="D971" s="83">
        <f t="shared" si="34"/>
        <v>-0.25171085429413093</v>
      </c>
      <c r="E971" s="83">
        <v>1.263416130021467E-2</v>
      </c>
      <c r="F971" s="83">
        <v>963</v>
      </c>
      <c r="G971" s="83">
        <f t="shared" ca="1" si="35"/>
        <v>-2.3951427362902821E-3</v>
      </c>
    </row>
    <row r="972" spans="2:7" x14ac:dyDescent="0.2">
      <c r="B972" s="167">
        <v>44537</v>
      </c>
      <c r="C972" s="28">
        <v>220.65</v>
      </c>
      <c r="D972" s="83">
        <f t="shared" si="34"/>
        <v>-0.1136774452701345</v>
      </c>
      <c r="E972" s="83">
        <v>1.2620468104635154E-2</v>
      </c>
      <c r="F972" s="83">
        <v>964</v>
      </c>
      <c r="G972" s="83">
        <f t="shared" ca="1" si="35"/>
        <v>-1.2982441913356801E-2</v>
      </c>
    </row>
    <row r="973" spans="2:7" x14ac:dyDescent="0.2">
      <c r="B973" s="167">
        <v>42745</v>
      </c>
      <c r="C973" s="28">
        <v>248.95</v>
      </c>
      <c r="D973" s="83">
        <f t="shared" si="34"/>
        <v>6.8913696865607485E-2</v>
      </c>
      <c r="E973" s="83">
        <v>1.2609314622737419E-2</v>
      </c>
      <c r="F973" s="83">
        <v>965</v>
      </c>
      <c r="G973" s="83">
        <f t="shared" ca="1" si="35"/>
        <v>1.4057772678776836E-2</v>
      </c>
    </row>
    <row r="974" spans="2:7" x14ac:dyDescent="0.2">
      <c r="B974" s="167">
        <v>44512</v>
      </c>
      <c r="C974" s="28">
        <v>232.9</v>
      </c>
      <c r="D974" s="83">
        <f t="shared" si="34"/>
        <v>0.1048911238673562</v>
      </c>
      <c r="E974" s="83">
        <v>1.2608695652173938E-2</v>
      </c>
      <c r="F974" s="83">
        <v>966</v>
      </c>
      <c r="G974" s="83">
        <f t="shared" ca="1" si="35"/>
        <v>-4.1213964442122543E-4</v>
      </c>
    </row>
    <row r="975" spans="2:7" x14ac:dyDescent="0.2">
      <c r="B975" s="167">
        <v>42201</v>
      </c>
      <c r="C975" s="28">
        <v>210.79</v>
      </c>
      <c r="D975" s="83">
        <f t="shared" si="34"/>
        <v>0.58584110743304252</v>
      </c>
      <c r="E975" s="83">
        <v>1.2585867319978886E-2</v>
      </c>
      <c r="F975" s="83">
        <v>967</v>
      </c>
      <c r="G975" s="83">
        <f t="shared" ca="1" si="35"/>
        <v>2.7867066354312318E-2</v>
      </c>
    </row>
    <row r="976" spans="2:7" x14ac:dyDescent="0.2">
      <c r="B976" s="167">
        <v>40771</v>
      </c>
      <c r="C976" s="28">
        <v>132.91999999999999</v>
      </c>
      <c r="D976" s="83">
        <f t="shared" si="34"/>
        <v>-0.40223061701744928</v>
      </c>
      <c r="E976" s="83">
        <v>1.256951321703342E-2</v>
      </c>
      <c r="F976" s="83">
        <v>968</v>
      </c>
      <c r="G976" s="83">
        <f t="shared" ca="1" si="35"/>
        <v>1.4045803382124897E-2</v>
      </c>
    </row>
    <row r="977" spans="2:7" x14ac:dyDescent="0.2">
      <c r="B977" s="167">
        <v>42478</v>
      </c>
      <c r="C977" s="28">
        <v>222.36</v>
      </c>
      <c r="D977" s="83">
        <f t="shared" si="34"/>
        <v>-0.12491145218417939</v>
      </c>
      <c r="E977" s="83">
        <v>1.2568306010929051E-2</v>
      </c>
      <c r="F977" s="83">
        <v>969</v>
      </c>
      <c r="G977" s="83">
        <f t="shared" ca="1" si="35"/>
        <v>1.1865363576073939E-2</v>
      </c>
    </row>
    <row r="978" spans="2:7" x14ac:dyDescent="0.2">
      <c r="B978" s="167">
        <v>42604</v>
      </c>
      <c r="C978" s="28">
        <v>254.1</v>
      </c>
      <c r="D978" s="83">
        <f t="shared" si="34"/>
        <v>0.21057646498332533</v>
      </c>
      <c r="E978" s="83">
        <v>1.255230125523015E-2</v>
      </c>
      <c r="F978" s="83">
        <v>970</v>
      </c>
      <c r="G978" s="83">
        <f t="shared" ca="1" si="35"/>
        <v>-2.1017610927052587E-2</v>
      </c>
    </row>
    <row r="979" spans="2:7" x14ac:dyDescent="0.2">
      <c r="B979" s="167">
        <v>44411</v>
      </c>
      <c r="C979" s="28">
        <v>209.9</v>
      </c>
      <c r="D979" s="83">
        <f t="shared" si="34"/>
        <v>2.3301602411550055</v>
      </c>
      <c r="E979" s="83">
        <v>1.2542209358417725E-2</v>
      </c>
      <c r="F979" s="83">
        <v>971</v>
      </c>
      <c r="G979" s="83">
        <f t="shared" ca="1" si="35"/>
        <v>7.5562466391817101E-3</v>
      </c>
    </row>
    <row r="980" spans="2:7" x14ac:dyDescent="0.2">
      <c r="B980" s="167">
        <v>39665</v>
      </c>
      <c r="C980" s="28">
        <v>63.03</v>
      </c>
      <c r="D980" s="83">
        <f t="shared" si="34"/>
        <v>-0.57259103546484025</v>
      </c>
      <c r="E980" s="83">
        <v>1.2530120481927729E-2</v>
      </c>
      <c r="F980" s="83">
        <v>972</v>
      </c>
      <c r="G980" s="83">
        <f t="shared" ca="1" si="35"/>
        <v>-2.0777290903650519E-2</v>
      </c>
    </row>
    <row r="981" spans="2:7" x14ac:dyDescent="0.2">
      <c r="B981" s="167">
        <v>40991</v>
      </c>
      <c r="C981" s="28">
        <v>147.47</v>
      </c>
      <c r="D981" s="83">
        <f t="shared" si="34"/>
        <v>-0.48009871320289083</v>
      </c>
      <c r="E981" s="83">
        <v>1.2495708891177433E-2</v>
      </c>
      <c r="F981" s="83">
        <v>973</v>
      </c>
      <c r="G981" s="83">
        <f t="shared" ca="1" si="35"/>
        <v>-2.7453882386846987E-2</v>
      </c>
    </row>
    <row r="982" spans="2:7" x14ac:dyDescent="0.2">
      <c r="B982" s="167">
        <v>43231</v>
      </c>
      <c r="C982" s="28">
        <v>283.64999999999998</v>
      </c>
      <c r="D982" s="83">
        <f t="shared" si="34"/>
        <v>0.14555147207301788</v>
      </c>
      <c r="E982" s="83">
        <v>1.2493307156880244E-2</v>
      </c>
      <c r="F982" s="83">
        <v>974</v>
      </c>
      <c r="G982" s="83">
        <f t="shared" ca="1" si="35"/>
        <v>3.7516245052142912E-2</v>
      </c>
    </row>
    <row r="983" spans="2:7" x14ac:dyDescent="0.2">
      <c r="B983" s="167">
        <v>42041</v>
      </c>
      <c r="C983" s="28">
        <v>247.61</v>
      </c>
      <c r="D983" s="83">
        <f t="shared" si="34"/>
        <v>0.27581409727947237</v>
      </c>
      <c r="E983" s="83">
        <v>1.2471377167157391E-2</v>
      </c>
      <c r="F983" s="83">
        <v>975</v>
      </c>
      <c r="G983" s="83">
        <f t="shared" ca="1" si="35"/>
        <v>9.0420435271788124E-3</v>
      </c>
    </row>
    <row r="984" spans="2:7" x14ac:dyDescent="0.2">
      <c r="B984" s="167">
        <v>41297</v>
      </c>
      <c r="C984" s="28">
        <v>194.08</v>
      </c>
      <c r="D984" s="83">
        <f t="shared" si="34"/>
        <v>-0.54036708111308462</v>
      </c>
      <c r="E984" s="83">
        <v>1.2468047368146563E-2</v>
      </c>
      <c r="F984" s="83">
        <v>976</v>
      </c>
      <c r="G984" s="83">
        <f t="shared" ca="1" si="35"/>
        <v>-2.188258404018234E-4</v>
      </c>
    </row>
    <row r="985" spans="2:7" x14ac:dyDescent="0.2">
      <c r="B985" s="167">
        <v>45075</v>
      </c>
      <c r="C985" s="28">
        <v>422.25</v>
      </c>
      <c r="D985" s="83">
        <f t="shared" si="34"/>
        <v>7.902593295382669</v>
      </c>
      <c r="E985" s="83">
        <v>1.2395703462165571E-2</v>
      </c>
      <c r="F985" s="83">
        <v>977</v>
      </c>
      <c r="G985" s="83">
        <f t="shared" ca="1" si="35"/>
        <v>-6.554568955408467E-3</v>
      </c>
    </row>
    <row r="986" spans="2:7" x14ac:dyDescent="0.2">
      <c r="B986" s="167">
        <v>38736</v>
      </c>
      <c r="C986" s="28">
        <v>47.43</v>
      </c>
      <c r="D986" s="83">
        <f t="shared" si="34"/>
        <v>-0.8068024439918533</v>
      </c>
      <c r="E986" s="83">
        <v>1.2379935965848415E-2</v>
      </c>
      <c r="F986" s="83">
        <v>978</v>
      </c>
      <c r="G986" s="83">
        <f t="shared" ca="1" si="35"/>
        <v>1.6319676159560981E-2</v>
      </c>
    </row>
    <row r="987" spans="2:7" x14ac:dyDescent="0.2">
      <c r="B987" s="167">
        <v>43704</v>
      </c>
      <c r="C987" s="28">
        <v>245.5</v>
      </c>
      <c r="D987" s="83">
        <f t="shared" si="34"/>
        <v>1.1094689809245575</v>
      </c>
      <c r="E987" s="83">
        <v>1.2371134020618556E-2</v>
      </c>
      <c r="F987" s="83">
        <v>979</v>
      </c>
      <c r="G987" s="83">
        <f t="shared" ca="1" si="35"/>
        <v>2.0148429808713141E-2</v>
      </c>
    </row>
    <row r="988" spans="2:7" x14ac:dyDescent="0.2">
      <c r="B988" s="167">
        <v>40485</v>
      </c>
      <c r="C988" s="28">
        <v>116.38</v>
      </c>
      <c r="D988" s="83">
        <f t="shared" si="34"/>
        <v>0.33800873764083689</v>
      </c>
      <c r="E988" s="83">
        <v>1.2352122477383454E-2</v>
      </c>
      <c r="F988" s="83">
        <v>980</v>
      </c>
      <c r="G988" s="83">
        <f t="shared" ca="1" si="35"/>
        <v>2.8479742870199592E-2</v>
      </c>
    </row>
    <row r="989" spans="2:7" x14ac:dyDescent="0.2">
      <c r="B989" s="167">
        <v>40318</v>
      </c>
      <c r="C989" s="28">
        <v>86.98</v>
      </c>
      <c r="D989" s="83">
        <f t="shared" si="34"/>
        <v>0.53593501677556066</v>
      </c>
      <c r="E989" s="83">
        <v>1.2337057728119208E-2</v>
      </c>
      <c r="F989" s="83">
        <v>981</v>
      </c>
      <c r="G989" s="83">
        <f t="shared" ca="1" si="35"/>
        <v>4.5361187830863119E-2</v>
      </c>
    </row>
    <row r="990" spans="2:7" x14ac:dyDescent="0.2">
      <c r="B990" s="167">
        <v>38890</v>
      </c>
      <c r="C990" s="28">
        <v>56.63</v>
      </c>
      <c r="D990" s="83">
        <f t="shared" si="34"/>
        <v>-9.4354709739325096E-2</v>
      </c>
      <c r="E990" s="83">
        <v>1.2334644261709061E-2</v>
      </c>
      <c r="F990" s="83">
        <v>982</v>
      </c>
      <c r="G990" s="83">
        <f t="shared" ca="1" si="35"/>
        <v>3.0567329006335952E-4</v>
      </c>
    </row>
    <row r="991" spans="2:7" x14ac:dyDescent="0.2">
      <c r="B991" s="167">
        <v>39011</v>
      </c>
      <c r="C991" s="28">
        <v>62.53</v>
      </c>
      <c r="D991" s="83">
        <f t="shared" si="34"/>
        <v>-0.429054054054054</v>
      </c>
      <c r="E991" s="83">
        <v>1.2303707301278905E-2</v>
      </c>
      <c r="F991" s="83">
        <v>983</v>
      </c>
      <c r="G991" s="83">
        <f t="shared" ca="1" si="35"/>
        <v>-1.3449625382132731E-2</v>
      </c>
    </row>
    <row r="992" spans="2:7" x14ac:dyDescent="0.2">
      <c r="B992" s="167">
        <v>40435</v>
      </c>
      <c r="C992" s="28">
        <v>109.52</v>
      </c>
      <c r="D992" s="83">
        <f t="shared" si="34"/>
        <v>-0.53391778023661585</v>
      </c>
      <c r="E992" s="83">
        <v>1.229318791015804E-2</v>
      </c>
      <c r="F992" s="83">
        <v>984</v>
      </c>
      <c r="G992" s="83">
        <f t="shared" ca="1" si="35"/>
        <v>-4.2359933395559525E-4</v>
      </c>
    </row>
    <row r="993" spans="2:7" x14ac:dyDescent="0.2">
      <c r="B993" s="167">
        <v>41941</v>
      </c>
      <c r="C993" s="28">
        <v>234.98</v>
      </c>
      <c r="D993" s="83">
        <f t="shared" si="34"/>
        <v>3.9025662424368868</v>
      </c>
      <c r="E993" s="83">
        <v>1.2277603067246777E-2</v>
      </c>
      <c r="F993" s="83">
        <v>985</v>
      </c>
      <c r="G993" s="83">
        <f t="shared" ca="1" si="35"/>
        <v>2.2426791127288046E-3</v>
      </c>
    </row>
    <row r="994" spans="2:7" x14ac:dyDescent="0.2">
      <c r="B994" s="167">
        <v>38729</v>
      </c>
      <c r="C994" s="28">
        <v>47.93</v>
      </c>
      <c r="D994" s="83">
        <f t="shared" si="34"/>
        <v>-0.82943060498220633</v>
      </c>
      <c r="E994" s="83">
        <v>1.2249208025343152E-2</v>
      </c>
      <c r="F994" s="83">
        <v>986</v>
      </c>
      <c r="G994" s="83">
        <f t="shared" ca="1" si="35"/>
        <v>1.8274577035832972E-2</v>
      </c>
    </row>
    <row r="995" spans="2:7" x14ac:dyDescent="0.2">
      <c r="B995" s="167">
        <v>42818</v>
      </c>
      <c r="C995" s="28">
        <v>281</v>
      </c>
      <c r="D995" s="83">
        <f t="shared" si="34"/>
        <v>1.4436907557178884</v>
      </c>
      <c r="E995" s="83">
        <v>1.2247838616714614E-2</v>
      </c>
      <c r="F995" s="83">
        <v>987</v>
      </c>
      <c r="G995" s="83">
        <f t="shared" ca="1" si="35"/>
        <v>-1.7518936581483423E-2</v>
      </c>
    </row>
    <row r="996" spans="2:7" x14ac:dyDescent="0.2">
      <c r="B996" s="167">
        <v>40616</v>
      </c>
      <c r="C996" s="28">
        <v>114.99</v>
      </c>
      <c r="D996" s="83">
        <f t="shared" si="34"/>
        <v>-0.51306373067965283</v>
      </c>
      <c r="E996" s="83">
        <v>1.2235915492957753E-2</v>
      </c>
      <c r="F996" s="83">
        <v>988</v>
      </c>
      <c r="G996" s="83">
        <f t="shared" ca="1" si="35"/>
        <v>1.9783528544975944E-2</v>
      </c>
    </row>
    <row r="997" spans="2:7" x14ac:dyDescent="0.2">
      <c r="B997" s="167">
        <v>42713</v>
      </c>
      <c r="C997" s="28">
        <v>236.15</v>
      </c>
      <c r="D997" s="83">
        <f t="shared" si="34"/>
        <v>0.11681248522109254</v>
      </c>
      <c r="E997" s="83">
        <v>1.2216030861551624E-2</v>
      </c>
      <c r="F997" s="83">
        <v>989</v>
      </c>
      <c r="G997" s="83">
        <f t="shared" ca="1" si="35"/>
        <v>-1.0351281462882717E-2</v>
      </c>
    </row>
    <row r="998" spans="2:7" x14ac:dyDescent="0.2">
      <c r="B998" s="167">
        <v>44421</v>
      </c>
      <c r="C998" s="28">
        <v>211.45</v>
      </c>
      <c r="D998" s="83">
        <f t="shared" si="34"/>
        <v>0.79392551115635857</v>
      </c>
      <c r="E998" s="83">
        <v>1.2206797510770622E-2</v>
      </c>
      <c r="F998" s="83">
        <v>990</v>
      </c>
      <c r="G998" s="83">
        <f t="shared" ca="1" si="35"/>
        <v>-1.4293589116287132E-2</v>
      </c>
    </row>
    <row r="999" spans="2:7" x14ac:dyDescent="0.2">
      <c r="B999" s="167">
        <v>40491</v>
      </c>
      <c r="C999" s="28">
        <v>117.87</v>
      </c>
      <c r="D999" s="83">
        <f t="shared" si="34"/>
        <v>-0.60228768093936635</v>
      </c>
      <c r="E999" s="83">
        <v>1.2194074710176056E-2</v>
      </c>
      <c r="F999" s="83">
        <v>991</v>
      </c>
      <c r="G999" s="83">
        <f t="shared" ca="1" si="35"/>
        <v>1.050313236760618E-2</v>
      </c>
    </row>
    <row r="1000" spans="2:7" x14ac:dyDescent="0.2">
      <c r="B1000" s="167">
        <v>44762</v>
      </c>
      <c r="C1000" s="28">
        <v>296.37</v>
      </c>
      <c r="D1000" s="83">
        <f t="shared" si="34"/>
        <v>1.2413219390456025</v>
      </c>
      <c r="E1000" s="83">
        <v>1.2192622950819649E-2</v>
      </c>
      <c r="F1000" s="83">
        <v>992</v>
      </c>
      <c r="G1000" s="83">
        <f t="shared" ca="1" si="35"/>
        <v>-1.463093285653617E-3</v>
      </c>
    </row>
    <row r="1001" spans="2:7" x14ac:dyDescent="0.2">
      <c r="B1001" s="167">
        <v>40800</v>
      </c>
      <c r="C1001" s="28">
        <v>132.22999999999999</v>
      </c>
      <c r="D1001" s="83">
        <f t="shared" si="34"/>
        <v>-0.42320610687022903</v>
      </c>
      <c r="E1001" s="83">
        <v>1.2170851194121276E-2</v>
      </c>
      <c r="F1001" s="83">
        <v>993</v>
      </c>
      <c r="G1001" s="83">
        <f t="shared" ca="1" si="35"/>
        <v>1.6506771693117955E-2</v>
      </c>
    </row>
    <row r="1002" spans="2:7" x14ac:dyDescent="0.2">
      <c r="B1002" s="167">
        <v>41781</v>
      </c>
      <c r="C1002" s="28">
        <v>229.25</v>
      </c>
      <c r="D1002" s="83">
        <f t="shared" si="34"/>
        <v>-0.226290921363483</v>
      </c>
      <c r="E1002" s="83">
        <v>1.2141280353200883E-2</v>
      </c>
      <c r="F1002" s="83">
        <v>994</v>
      </c>
      <c r="G1002" s="83">
        <f t="shared" ca="1" si="35"/>
        <v>-1.3008975816005248E-2</v>
      </c>
    </row>
    <row r="1003" spans="2:7" x14ac:dyDescent="0.2">
      <c r="B1003" s="167">
        <v>43564</v>
      </c>
      <c r="C1003" s="28">
        <v>296.3</v>
      </c>
      <c r="D1003" s="83">
        <f t="shared" si="34"/>
        <v>0.39127576653988833</v>
      </c>
      <c r="E1003" s="83">
        <v>1.2126387702818143E-2</v>
      </c>
      <c r="F1003" s="83">
        <v>995</v>
      </c>
      <c r="G1003" s="83">
        <f t="shared" ca="1" si="35"/>
        <v>-1.3368042916408081E-2</v>
      </c>
    </row>
    <row r="1004" spans="2:7" x14ac:dyDescent="0.2">
      <c r="B1004" s="167">
        <v>42348</v>
      </c>
      <c r="C1004" s="28">
        <v>212.97</v>
      </c>
      <c r="D1004" s="83">
        <f t="shared" si="34"/>
        <v>0.57394131993200792</v>
      </c>
      <c r="E1004" s="83">
        <v>1.2118619903051096E-2</v>
      </c>
      <c r="F1004" s="83">
        <v>996</v>
      </c>
      <c r="G1004" s="83">
        <f t="shared" ca="1" si="35"/>
        <v>-1.1607526039316514E-2</v>
      </c>
    </row>
    <row r="1005" spans="2:7" x14ac:dyDescent="0.2">
      <c r="B1005" s="167">
        <v>40743</v>
      </c>
      <c r="C1005" s="28">
        <v>135.31</v>
      </c>
      <c r="D1005" s="83">
        <f t="shared" si="34"/>
        <v>-0.38873328514636796</v>
      </c>
      <c r="E1005" s="83">
        <v>1.2117585458897484E-2</v>
      </c>
      <c r="F1005" s="83">
        <v>997</v>
      </c>
      <c r="G1005" s="83">
        <f t="shared" ca="1" si="35"/>
        <v>4.1581908435495273E-2</v>
      </c>
    </row>
    <row r="1006" spans="2:7" x14ac:dyDescent="0.2">
      <c r="B1006" s="167">
        <v>41421</v>
      </c>
      <c r="C1006" s="28">
        <v>221.36</v>
      </c>
      <c r="D1006" s="83">
        <f t="shared" si="34"/>
        <v>-0.27422950819672126</v>
      </c>
      <c r="E1006" s="83">
        <v>1.2116501303095448E-2</v>
      </c>
      <c r="F1006" s="83">
        <v>998</v>
      </c>
      <c r="G1006" s="83">
        <f t="shared" ca="1" si="35"/>
        <v>-1.3019023074752783E-2</v>
      </c>
    </row>
    <row r="1007" spans="2:7" x14ac:dyDescent="0.2">
      <c r="B1007" s="167">
        <v>43587</v>
      </c>
      <c r="C1007" s="28">
        <v>305</v>
      </c>
      <c r="D1007" s="83">
        <f t="shared" si="34"/>
        <v>-0.3732404496229168</v>
      </c>
      <c r="E1007" s="83">
        <v>1.2112161937945834E-2</v>
      </c>
      <c r="F1007" s="83">
        <v>999</v>
      </c>
      <c r="G1007" s="83">
        <f t="shared" ca="1" si="35"/>
        <v>1.156786508917069E-2</v>
      </c>
    </row>
    <row r="1008" spans="2:7" x14ac:dyDescent="0.2">
      <c r="B1008" s="167">
        <v>45555</v>
      </c>
      <c r="C1008" s="28">
        <v>486.63</v>
      </c>
      <c r="D1008" s="83">
        <f t="shared" si="34"/>
        <v>2.0686719636776387</v>
      </c>
      <c r="E1008" s="83">
        <v>1.2104573532164459E-2</v>
      </c>
      <c r="F1008" s="83">
        <v>1000</v>
      </c>
      <c r="G1008" s="83">
        <f t="shared" ca="1" si="35"/>
        <v>2.7856471411023855E-2</v>
      </c>
    </row>
    <row r="1009" spans="2:7" x14ac:dyDescent="0.2">
      <c r="B1009" s="167">
        <v>41068</v>
      </c>
      <c r="C1009" s="28">
        <v>158.58000000000001</v>
      </c>
      <c r="D1009" s="83">
        <f t="shared" si="34"/>
        <v>1.8629716555334901</v>
      </c>
      <c r="E1009" s="83">
        <v>1.2062033314187343E-2</v>
      </c>
      <c r="F1009" s="83">
        <v>1001</v>
      </c>
      <c r="G1009" s="83">
        <f t="shared" ca="1" si="35"/>
        <v>8.2564293699735562E-3</v>
      </c>
    </row>
    <row r="1010" spans="2:7" x14ac:dyDescent="0.2">
      <c r="B1010" s="167">
        <v>39220</v>
      </c>
      <c r="C1010" s="28">
        <v>55.39</v>
      </c>
      <c r="D1010" s="83">
        <f t="shared" si="34"/>
        <v>-0.76267192253309912</v>
      </c>
      <c r="E1010" s="83">
        <v>1.2059199707655833E-2</v>
      </c>
      <c r="F1010" s="83">
        <v>1002</v>
      </c>
      <c r="G1010" s="83">
        <f t="shared" ca="1" si="35"/>
        <v>3.5593052518814436E-2</v>
      </c>
    </row>
    <row r="1011" spans="2:7" x14ac:dyDescent="0.2">
      <c r="B1011" s="167">
        <v>42327</v>
      </c>
      <c r="C1011" s="28">
        <v>233.39</v>
      </c>
      <c r="D1011" s="83">
        <f t="shared" si="34"/>
        <v>-0.31944363445500673</v>
      </c>
      <c r="E1011" s="83">
        <v>1.2054984606044719E-2</v>
      </c>
      <c r="F1011" s="83">
        <v>1003</v>
      </c>
      <c r="G1011" s="83">
        <f t="shared" ca="1" si="35"/>
        <v>-6.4861633603465153E-3</v>
      </c>
    </row>
    <row r="1012" spans="2:7" x14ac:dyDescent="0.2">
      <c r="B1012" s="167">
        <v>44826</v>
      </c>
      <c r="C1012" s="28">
        <v>342.94</v>
      </c>
      <c r="D1012" s="83">
        <f t="shared" si="34"/>
        <v>0.78067397061114285</v>
      </c>
      <c r="E1012" s="83">
        <v>1.2040370654547553E-2</v>
      </c>
      <c r="F1012" s="83">
        <v>1004</v>
      </c>
      <c r="G1012" s="83">
        <f t="shared" ca="1" si="35"/>
        <v>1.3047172690186716E-2</v>
      </c>
    </row>
    <row r="1013" spans="2:7" x14ac:dyDescent="0.2">
      <c r="B1013" s="167">
        <v>41269</v>
      </c>
      <c r="C1013" s="28">
        <v>192.59</v>
      </c>
      <c r="D1013" s="83">
        <f t="shared" si="34"/>
        <v>-0.18899229376342272</v>
      </c>
      <c r="E1013" s="83">
        <v>1.2033631108775575E-2</v>
      </c>
      <c r="F1013" s="83">
        <v>1005</v>
      </c>
      <c r="G1013" s="83">
        <f t="shared" ca="1" si="35"/>
        <v>6.2220524576790314E-3</v>
      </c>
    </row>
    <row r="1014" spans="2:7" x14ac:dyDescent="0.2">
      <c r="B1014" s="167">
        <v>41891</v>
      </c>
      <c r="C1014" s="28">
        <v>237.47</v>
      </c>
      <c r="D1014" s="83">
        <f t="shared" si="34"/>
        <v>0.17944770040727126</v>
      </c>
      <c r="E1014" s="83">
        <v>1.2017898998508388E-2</v>
      </c>
      <c r="F1014" s="83">
        <v>1006</v>
      </c>
      <c r="G1014" s="83">
        <f t="shared" ca="1" si="35"/>
        <v>-2.2710770011582864E-3</v>
      </c>
    </row>
    <row r="1015" spans="2:7" x14ac:dyDescent="0.2">
      <c r="B1015" s="167">
        <v>42415</v>
      </c>
      <c r="C1015" s="28">
        <v>201.34</v>
      </c>
      <c r="D1015" s="83">
        <f t="shared" si="34"/>
        <v>1.2541424093148232</v>
      </c>
      <c r="E1015" s="83">
        <v>1.2013068610203645E-2</v>
      </c>
      <c r="F1015" s="83">
        <v>1007</v>
      </c>
      <c r="G1015" s="83">
        <f t="shared" ca="1" si="35"/>
        <v>1.4316747618683137E-2</v>
      </c>
    </row>
    <row r="1016" spans="2:7" x14ac:dyDescent="0.2">
      <c r="B1016" s="167">
        <v>40275</v>
      </c>
      <c r="C1016" s="28">
        <v>89.32</v>
      </c>
      <c r="D1016" s="83">
        <f t="shared" si="34"/>
        <v>-0.68359900814736096</v>
      </c>
      <c r="E1016" s="83">
        <v>1.2009970541581554E-2</v>
      </c>
      <c r="F1016" s="83">
        <v>1008</v>
      </c>
      <c r="G1016" s="83">
        <f t="shared" ca="1" si="35"/>
        <v>2.1287825196921906E-2</v>
      </c>
    </row>
    <row r="1017" spans="2:7" x14ac:dyDescent="0.2">
      <c r="B1017" s="167">
        <v>43238</v>
      </c>
      <c r="C1017" s="28">
        <v>282.3</v>
      </c>
      <c r="D1017" s="83">
        <f t="shared" si="34"/>
        <v>7.9954093343534954E-2</v>
      </c>
      <c r="E1017" s="83">
        <v>1.2009320666786245E-2</v>
      </c>
      <c r="F1017" s="83">
        <v>1009</v>
      </c>
      <c r="G1017" s="83">
        <f t="shared" ca="1" si="35"/>
        <v>-1.5885465714424493E-2</v>
      </c>
    </row>
    <row r="1018" spans="2:7" x14ac:dyDescent="0.2">
      <c r="B1018" s="167">
        <v>43011</v>
      </c>
      <c r="C1018" s="28">
        <v>261.39999999999998</v>
      </c>
      <c r="D1018" s="83">
        <f t="shared" si="34"/>
        <v>0.12672413793103438</v>
      </c>
      <c r="E1018" s="83">
        <v>1.2001548586914308E-2</v>
      </c>
      <c r="F1018" s="83">
        <v>1010</v>
      </c>
      <c r="G1018" s="83">
        <f t="shared" ca="1" si="35"/>
        <v>-3.9188549696666042E-3</v>
      </c>
    </row>
    <row r="1019" spans="2:7" x14ac:dyDescent="0.2">
      <c r="B1019" s="167">
        <v>44630</v>
      </c>
      <c r="C1019" s="28">
        <v>232</v>
      </c>
      <c r="D1019" s="83">
        <f t="shared" si="34"/>
        <v>9.353926473787277E-3</v>
      </c>
      <c r="E1019" s="83">
        <v>1.1995637949836423E-2</v>
      </c>
      <c r="F1019" s="83">
        <v>1011</v>
      </c>
      <c r="G1019" s="83">
        <f t="shared" ca="1" si="35"/>
        <v>2.8608215593908446E-2</v>
      </c>
    </row>
    <row r="1020" spans="2:7" x14ac:dyDescent="0.2">
      <c r="B1020" s="167">
        <v>41463</v>
      </c>
      <c r="C1020" s="28">
        <v>229.85</v>
      </c>
      <c r="D1020" s="83">
        <f t="shared" si="34"/>
        <v>0.15647798742138361</v>
      </c>
      <c r="E1020" s="83">
        <v>1.1975520626953721E-2</v>
      </c>
      <c r="F1020" s="83">
        <v>1012</v>
      </c>
      <c r="G1020" s="83">
        <f t="shared" ca="1" si="35"/>
        <v>1.4077604044256987E-2</v>
      </c>
    </row>
    <row r="1021" spans="2:7" x14ac:dyDescent="0.2">
      <c r="B1021" s="167">
        <v>44060</v>
      </c>
      <c r="C1021" s="28">
        <v>198.75</v>
      </c>
      <c r="D1021" s="83">
        <f t="shared" si="34"/>
        <v>0.12300824951971981</v>
      </c>
      <c r="E1021" s="83">
        <v>1.1965376782077364E-2</v>
      </c>
      <c r="F1021" s="83">
        <v>1013</v>
      </c>
      <c r="G1021" s="83">
        <f t="shared" ca="1" si="35"/>
        <v>-7.3813472320828051E-3</v>
      </c>
    </row>
    <row r="1022" spans="2:7" x14ac:dyDescent="0.2">
      <c r="B1022" s="167">
        <v>41179</v>
      </c>
      <c r="C1022" s="28">
        <v>176.98</v>
      </c>
      <c r="D1022" s="83">
        <f t="shared" si="34"/>
        <v>-0.19627611262488648</v>
      </c>
      <c r="E1022" s="83">
        <v>1.1950368803247777E-2</v>
      </c>
      <c r="F1022" s="83">
        <v>1014</v>
      </c>
      <c r="G1022" s="83">
        <f t="shared" ca="1" si="35"/>
        <v>3.5676223143845311E-2</v>
      </c>
    </row>
    <row r="1023" spans="2:7" x14ac:dyDescent="0.2">
      <c r="B1023" s="167">
        <v>44592</v>
      </c>
      <c r="C1023" s="28">
        <v>220.2</v>
      </c>
      <c r="D1023" s="83">
        <f t="shared" si="34"/>
        <v>4.6478471628172237E-2</v>
      </c>
      <c r="E1023" s="83">
        <v>1.1948529411764681E-2</v>
      </c>
      <c r="F1023" s="83">
        <v>1015</v>
      </c>
      <c r="G1023" s="83">
        <f t="shared" ca="1" si="35"/>
        <v>6.3928707138409752E-3</v>
      </c>
    </row>
    <row r="1024" spans="2:7" x14ac:dyDescent="0.2">
      <c r="B1024" s="167">
        <v>42262</v>
      </c>
      <c r="C1024" s="28">
        <v>210.42</v>
      </c>
      <c r="D1024" s="83">
        <f t="shared" si="34"/>
        <v>-0.21367713004484315</v>
      </c>
      <c r="E1024" s="83">
        <v>1.1926517264595508E-2</v>
      </c>
      <c r="F1024" s="83">
        <v>1016</v>
      </c>
      <c r="G1024" s="83">
        <f t="shared" ca="1" si="35"/>
        <v>2.5964257706041897E-3</v>
      </c>
    </row>
    <row r="1025" spans="2:7" x14ac:dyDescent="0.2">
      <c r="B1025" s="167">
        <v>43207</v>
      </c>
      <c r="C1025" s="28">
        <v>267.60000000000002</v>
      </c>
      <c r="D1025" s="83">
        <f t="shared" si="34"/>
        <v>1.3104817820756349</v>
      </c>
      <c r="E1025" s="83">
        <v>1.1911514463981979E-2</v>
      </c>
      <c r="F1025" s="83">
        <v>1017</v>
      </c>
      <c r="G1025" s="83">
        <f t="shared" ca="1" si="35"/>
        <v>2.2881017615038489E-2</v>
      </c>
    </row>
    <row r="1026" spans="2:7" x14ac:dyDescent="0.2">
      <c r="B1026" s="167">
        <v>40443</v>
      </c>
      <c r="C1026" s="28">
        <v>115.82</v>
      </c>
      <c r="D1026" s="83">
        <f t="shared" si="34"/>
        <v>1.1519881085098476</v>
      </c>
      <c r="E1026" s="83">
        <v>1.1881880132797479E-2</v>
      </c>
      <c r="F1026" s="83">
        <v>1018</v>
      </c>
      <c r="G1026" s="83">
        <f t="shared" ca="1" si="35"/>
        <v>-9.2796160298489472E-3</v>
      </c>
    </row>
    <row r="1027" spans="2:7" x14ac:dyDescent="0.2">
      <c r="B1027" s="167">
        <v>39645</v>
      </c>
      <c r="C1027" s="28">
        <v>53.82</v>
      </c>
      <c r="D1027" s="83">
        <f t="shared" si="34"/>
        <v>-0.86933404549758431</v>
      </c>
      <c r="E1027" s="83">
        <v>1.1844331641286005E-2</v>
      </c>
      <c r="F1027" s="83">
        <v>1019</v>
      </c>
      <c r="G1027" s="83">
        <f t="shared" ca="1" si="35"/>
        <v>-7.4771921874992901E-3</v>
      </c>
    </row>
    <row r="1028" spans="2:7" x14ac:dyDescent="0.2">
      <c r="B1028" s="167">
        <v>45449</v>
      </c>
      <c r="C1028" s="28">
        <v>411.89</v>
      </c>
      <c r="D1028" s="83">
        <f t="shared" si="34"/>
        <v>0.75160535828194763</v>
      </c>
      <c r="E1028" s="83">
        <v>1.1840715356081248E-2</v>
      </c>
      <c r="F1028" s="83">
        <v>1020</v>
      </c>
      <c r="G1028" s="83">
        <f t="shared" ca="1" si="35"/>
        <v>-3.0481853805595905E-3</v>
      </c>
    </row>
    <row r="1029" spans="2:7" x14ac:dyDescent="0.2">
      <c r="B1029" s="167">
        <v>41884</v>
      </c>
      <c r="C1029" s="28">
        <v>235.15</v>
      </c>
      <c r="D1029" s="83">
        <f t="shared" si="34"/>
        <v>3.163420679886686</v>
      </c>
      <c r="E1029" s="83">
        <v>1.1833046471600689E-2</v>
      </c>
      <c r="F1029" s="83">
        <v>1021</v>
      </c>
      <c r="G1029" s="83">
        <f t="shared" ca="1" si="35"/>
        <v>2.1469007791501116E-2</v>
      </c>
    </row>
    <row r="1030" spans="2:7" x14ac:dyDescent="0.2">
      <c r="B1030" s="167">
        <v>39071</v>
      </c>
      <c r="C1030" s="28">
        <v>56.48</v>
      </c>
      <c r="D1030" s="83">
        <f t="shared" si="34"/>
        <v>-0.73497254938764023</v>
      </c>
      <c r="E1030" s="83">
        <v>1.1823719097097753E-2</v>
      </c>
      <c r="F1030" s="83">
        <v>1022</v>
      </c>
      <c r="G1030" s="83">
        <f t="shared" ca="1" si="35"/>
        <v>-2.1067105826964083E-2</v>
      </c>
    </row>
    <row r="1031" spans="2:7" x14ac:dyDescent="0.2">
      <c r="B1031" s="167">
        <v>42152</v>
      </c>
      <c r="C1031" s="28">
        <v>213.11</v>
      </c>
      <c r="D1031" s="83">
        <f t="shared" si="34"/>
        <v>0.86938596491228082</v>
      </c>
      <c r="E1031" s="83">
        <v>1.1822239103598942E-2</v>
      </c>
      <c r="F1031" s="83">
        <v>1023</v>
      </c>
      <c r="G1031" s="83">
        <f t="shared" ca="1" si="35"/>
        <v>1.6895996159850508E-2</v>
      </c>
    </row>
    <row r="1032" spans="2:7" x14ac:dyDescent="0.2">
      <c r="B1032" s="167">
        <v>40500</v>
      </c>
      <c r="C1032" s="28">
        <v>114</v>
      </c>
      <c r="D1032" s="83">
        <f t="shared" si="34"/>
        <v>-0.46803546430237986</v>
      </c>
      <c r="E1032" s="83">
        <v>1.180438448566609E-2</v>
      </c>
      <c r="F1032" s="83">
        <v>1024</v>
      </c>
      <c r="G1032" s="83">
        <f t="shared" ca="1" si="35"/>
        <v>-1.070940523697966E-2</v>
      </c>
    </row>
    <row r="1033" spans="2:7" x14ac:dyDescent="0.2">
      <c r="B1033" s="167">
        <v>44586</v>
      </c>
      <c r="C1033" s="28">
        <v>214.3</v>
      </c>
      <c r="D1033" s="83">
        <f t="shared" ref="D1033:D1096" si="36">(C1033-C1034)/C1034</f>
        <v>2.7875574407917996</v>
      </c>
      <c r="E1033" s="83">
        <v>1.1803588290840415E-2</v>
      </c>
      <c r="F1033" s="83">
        <v>1025</v>
      </c>
      <c r="G1033" s="83">
        <f t="shared" ref="G1033:G1096" ca="1" si="37">_xlfn.NORM.INV(RAND(),$M$10,$M$11)</f>
        <v>-2.1958974049153279E-3</v>
      </c>
    </row>
    <row r="1034" spans="2:7" x14ac:dyDescent="0.2">
      <c r="B1034" s="167">
        <v>39827</v>
      </c>
      <c r="C1034" s="28">
        <v>56.58</v>
      </c>
      <c r="D1034" s="83">
        <f t="shared" si="36"/>
        <v>-0.78367424966545596</v>
      </c>
      <c r="E1034" s="83">
        <v>1.1802575107296076E-2</v>
      </c>
      <c r="F1034" s="83">
        <v>1026</v>
      </c>
      <c r="G1034" s="83">
        <f t="shared" ca="1" si="37"/>
        <v>3.0154247563269256E-2</v>
      </c>
    </row>
    <row r="1035" spans="2:7" x14ac:dyDescent="0.2">
      <c r="B1035" s="167">
        <v>43006</v>
      </c>
      <c r="C1035" s="28">
        <v>261.55</v>
      </c>
      <c r="D1035" s="83">
        <f t="shared" si="36"/>
        <v>-0.32820486476767774</v>
      </c>
      <c r="E1035" s="83">
        <v>1.179883945841397E-2</v>
      </c>
      <c r="F1035" s="83">
        <v>1027</v>
      </c>
      <c r="G1035" s="83">
        <f t="shared" ca="1" si="37"/>
        <v>-2.5853105030838597E-3</v>
      </c>
    </row>
    <row r="1036" spans="2:7" x14ac:dyDescent="0.2">
      <c r="B1036" s="167">
        <v>45336</v>
      </c>
      <c r="C1036" s="28">
        <v>389.33</v>
      </c>
      <c r="D1036" s="83">
        <f t="shared" si="36"/>
        <v>5.3814128831339128</v>
      </c>
      <c r="E1036" s="83">
        <v>1.1798643415889092E-2</v>
      </c>
      <c r="F1036" s="83">
        <v>1028</v>
      </c>
      <c r="G1036" s="83">
        <f t="shared" ca="1" si="37"/>
        <v>-8.6680746661562148E-3</v>
      </c>
    </row>
    <row r="1037" spans="2:7" x14ac:dyDescent="0.2">
      <c r="B1037" s="167">
        <v>39870</v>
      </c>
      <c r="C1037" s="28">
        <v>61.01</v>
      </c>
      <c r="D1037" s="83">
        <f t="shared" si="36"/>
        <v>-0.71033140252587601</v>
      </c>
      <c r="E1037" s="83">
        <v>1.1774461028192386E-2</v>
      </c>
      <c r="F1037" s="83">
        <v>1029</v>
      </c>
      <c r="G1037" s="83">
        <f t="shared" ca="1" si="37"/>
        <v>1.5760539248504093E-2</v>
      </c>
    </row>
    <row r="1038" spans="2:7" x14ac:dyDescent="0.2">
      <c r="B1038" s="167">
        <v>42151</v>
      </c>
      <c r="C1038" s="28">
        <v>210.62</v>
      </c>
      <c r="D1038" s="83">
        <f t="shared" si="36"/>
        <v>2.2155725190839695</v>
      </c>
      <c r="E1038" s="83">
        <v>1.1769227074026119E-2</v>
      </c>
      <c r="F1038" s="83">
        <v>1030</v>
      </c>
      <c r="G1038" s="83">
        <f t="shared" ca="1" si="37"/>
        <v>-1.5785136607708375E-2</v>
      </c>
    </row>
    <row r="1039" spans="2:7" x14ac:dyDescent="0.2">
      <c r="B1039" s="167">
        <v>39975</v>
      </c>
      <c r="C1039" s="28">
        <v>65.5</v>
      </c>
      <c r="D1039" s="83">
        <f t="shared" si="36"/>
        <v>-0.24824974176517842</v>
      </c>
      <c r="E1039" s="83">
        <v>1.1739264751313023E-2</v>
      </c>
      <c r="F1039" s="83">
        <v>1031</v>
      </c>
      <c r="G1039" s="83">
        <f t="shared" ca="1" si="37"/>
        <v>-1.3821943837672001E-2</v>
      </c>
    </row>
    <row r="1040" spans="2:7" x14ac:dyDescent="0.2">
      <c r="B1040" s="167">
        <v>40254</v>
      </c>
      <c r="C1040" s="28">
        <v>87.13</v>
      </c>
      <c r="D1040" s="83">
        <f t="shared" si="36"/>
        <v>-0.58803782505910163</v>
      </c>
      <c r="E1040" s="83">
        <v>1.1727821644217266E-2</v>
      </c>
      <c r="F1040" s="83">
        <v>1032</v>
      </c>
      <c r="G1040" s="83">
        <f t="shared" ca="1" si="37"/>
        <v>7.3760221041333186E-3</v>
      </c>
    </row>
    <row r="1041" spans="2:7" x14ac:dyDescent="0.2">
      <c r="B1041" s="167">
        <v>44340</v>
      </c>
      <c r="C1041" s="28">
        <v>211.5</v>
      </c>
      <c r="D1041" s="83">
        <f t="shared" si="36"/>
        <v>-0.49176979454523606</v>
      </c>
      <c r="E1041" s="83">
        <v>1.1719684286055913E-2</v>
      </c>
      <c r="F1041" s="83">
        <v>1033</v>
      </c>
      <c r="G1041" s="83">
        <f t="shared" ca="1" si="37"/>
        <v>1.6591600956491443E-2</v>
      </c>
    </row>
    <row r="1042" spans="2:7" x14ac:dyDescent="0.2">
      <c r="B1042" s="167">
        <v>45434</v>
      </c>
      <c r="C1042" s="28">
        <v>416.15</v>
      </c>
      <c r="D1042" s="83">
        <f t="shared" si="36"/>
        <v>0.96528925619834705</v>
      </c>
      <c r="E1042" s="83">
        <v>1.1718085235698814E-2</v>
      </c>
      <c r="F1042" s="83">
        <v>1034</v>
      </c>
      <c r="G1042" s="83">
        <f t="shared" ca="1" si="37"/>
        <v>3.2452244924170447E-2</v>
      </c>
    </row>
    <row r="1043" spans="2:7" x14ac:dyDescent="0.2">
      <c r="B1043" s="167">
        <v>44446</v>
      </c>
      <c r="C1043" s="28">
        <v>211.75</v>
      </c>
      <c r="D1043" s="83">
        <f t="shared" si="36"/>
        <v>-0.15654252141007771</v>
      </c>
      <c r="E1043" s="83">
        <v>1.1705685618729042E-2</v>
      </c>
      <c r="F1043" s="83">
        <v>1035</v>
      </c>
      <c r="G1043" s="83">
        <f t="shared" ca="1" si="37"/>
        <v>9.1158831388992462E-3</v>
      </c>
    </row>
    <row r="1044" spans="2:7" x14ac:dyDescent="0.2">
      <c r="B1044" s="167">
        <v>42684</v>
      </c>
      <c r="C1044" s="28">
        <v>251.05</v>
      </c>
      <c r="D1044" s="83">
        <f t="shared" si="36"/>
        <v>3.4615247911853562</v>
      </c>
      <c r="E1044" s="83">
        <v>1.1686479951642174E-2</v>
      </c>
      <c r="F1044" s="83">
        <v>1036</v>
      </c>
      <c r="G1044" s="83">
        <f t="shared" ca="1" si="37"/>
        <v>7.4262710610502238E-4</v>
      </c>
    </row>
    <row r="1045" spans="2:7" x14ac:dyDescent="0.2">
      <c r="B1045" s="167">
        <v>39297</v>
      </c>
      <c r="C1045" s="28">
        <v>56.27</v>
      </c>
      <c r="D1045" s="83">
        <f t="shared" si="36"/>
        <v>0.22619307038570499</v>
      </c>
      <c r="E1045" s="83">
        <v>1.1686443725278779E-2</v>
      </c>
      <c r="F1045" s="83">
        <v>1037</v>
      </c>
      <c r="G1045" s="83">
        <f t="shared" ca="1" si="37"/>
        <v>2.4432293430970965E-2</v>
      </c>
    </row>
    <row r="1046" spans="2:7" x14ac:dyDescent="0.2">
      <c r="B1046" s="167">
        <v>38698</v>
      </c>
      <c r="C1046" s="28">
        <v>45.89</v>
      </c>
      <c r="D1046" s="83">
        <f t="shared" si="36"/>
        <v>-0.77921578061101748</v>
      </c>
      <c r="E1046" s="83">
        <v>1.1684303350970043E-2</v>
      </c>
      <c r="F1046" s="83">
        <v>1038</v>
      </c>
      <c r="G1046" s="83">
        <f t="shared" ca="1" si="37"/>
        <v>-3.2001731178324916E-2</v>
      </c>
    </row>
    <row r="1047" spans="2:7" x14ac:dyDescent="0.2">
      <c r="B1047" s="167">
        <v>44271</v>
      </c>
      <c r="C1047" s="28">
        <v>207.85</v>
      </c>
      <c r="D1047" s="83">
        <f t="shared" si="36"/>
        <v>-0.47954226762820518</v>
      </c>
      <c r="E1047" s="83">
        <v>1.1681674373326872E-2</v>
      </c>
      <c r="F1047" s="83">
        <v>1039</v>
      </c>
      <c r="G1047" s="83">
        <f t="shared" ca="1" si="37"/>
        <v>1.5017727463452068E-2</v>
      </c>
    </row>
    <row r="1048" spans="2:7" x14ac:dyDescent="0.2">
      <c r="B1048" s="167">
        <v>45068</v>
      </c>
      <c r="C1048" s="28">
        <v>399.36</v>
      </c>
      <c r="D1048" s="83">
        <f t="shared" si="36"/>
        <v>0.21800658777601567</v>
      </c>
      <c r="E1048" s="83">
        <v>1.1678277390753677E-2</v>
      </c>
      <c r="F1048" s="83">
        <v>1040</v>
      </c>
      <c r="G1048" s="83">
        <f t="shared" ca="1" si="37"/>
        <v>7.3961099037615158E-3</v>
      </c>
    </row>
    <row r="1049" spans="2:7" x14ac:dyDescent="0.2">
      <c r="B1049" s="167">
        <v>44812</v>
      </c>
      <c r="C1049" s="28">
        <v>327.88</v>
      </c>
      <c r="D1049" s="83">
        <f t="shared" si="36"/>
        <v>-6.096074128261053E-4</v>
      </c>
      <c r="E1049" s="83">
        <v>1.1663066954643543E-2</v>
      </c>
      <c r="F1049" s="83">
        <v>1041</v>
      </c>
      <c r="G1049" s="83">
        <f t="shared" ca="1" si="37"/>
        <v>-1.6918319797907228E-2</v>
      </c>
    </row>
    <row r="1050" spans="2:7" x14ac:dyDescent="0.2">
      <c r="B1050" s="167">
        <v>44846</v>
      </c>
      <c r="C1050" s="28">
        <v>328.08</v>
      </c>
      <c r="D1050" s="83">
        <f t="shared" si="36"/>
        <v>0.52248364193234009</v>
      </c>
      <c r="E1050" s="83">
        <v>1.1655874190564209E-2</v>
      </c>
      <c r="F1050" s="83">
        <v>1042</v>
      </c>
      <c r="G1050" s="83">
        <f t="shared" ca="1" si="37"/>
        <v>-5.982071460945676E-3</v>
      </c>
    </row>
    <row r="1051" spans="2:7" x14ac:dyDescent="0.2">
      <c r="B1051" s="167">
        <v>42443</v>
      </c>
      <c r="C1051" s="28">
        <v>215.49</v>
      </c>
      <c r="D1051" s="83">
        <f t="shared" si="36"/>
        <v>0.11468032278088153</v>
      </c>
      <c r="E1051" s="83">
        <v>1.1642645885169797E-2</v>
      </c>
      <c r="F1051" s="83">
        <v>1043</v>
      </c>
      <c r="G1051" s="83">
        <f t="shared" ca="1" si="37"/>
        <v>-4.6056303031757773E-3</v>
      </c>
    </row>
    <row r="1052" spans="2:7" x14ac:dyDescent="0.2">
      <c r="B1052" s="167">
        <v>41200</v>
      </c>
      <c r="C1052" s="28">
        <v>193.32</v>
      </c>
      <c r="D1052" s="83">
        <f t="shared" si="36"/>
        <v>-0.28492694655076761</v>
      </c>
      <c r="E1052" s="83">
        <v>1.1616954474097326E-2</v>
      </c>
      <c r="F1052" s="83">
        <v>1044</v>
      </c>
      <c r="G1052" s="83">
        <f t="shared" ca="1" si="37"/>
        <v>2.0876169888966414E-2</v>
      </c>
    </row>
    <row r="1053" spans="2:7" x14ac:dyDescent="0.2">
      <c r="B1053" s="167">
        <v>43026</v>
      </c>
      <c r="C1053" s="28">
        <v>270.35000000000002</v>
      </c>
      <c r="D1053" s="83">
        <f t="shared" si="36"/>
        <v>0.35323856241866064</v>
      </c>
      <c r="E1053" s="83">
        <v>1.1599625818522068E-2</v>
      </c>
      <c r="F1053" s="83">
        <v>1045</v>
      </c>
      <c r="G1053" s="83">
        <f t="shared" ca="1" si="37"/>
        <v>6.0317258668199265E-3</v>
      </c>
    </row>
    <row r="1054" spans="2:7" x14ac:dyDescent="0.2">
      <c r="B1054" s="167">
        <v>41249</v>
      </c>
      <c r="C1054" s="28">
        <v>199.78</v>
      </c>
      <c r="D1054" s="83">
        <f t="shared" si="36"/>
        <v>0.47722567287784667</v>
      </c>
      <c r="E1054" s="83">
        <v>1.1595523823991047E-2</v>
      </c>
      <c r="F1054" s="83">
        <v>1046</v>
      </c>
      <c r="G1054" s="83">
        <f t="shared" ca="1" si="37"/>
        <v>1.0918921041728234E-2</v>
      </c>
    </row>
    <row r="1055" spans="2:7" x14ac:dyDescent="0.2">
      <c r="B1055" s="167">
        <v>40737</v>
      </c>
      <c r="C1055" s="28">
        <v>135.24</v>
      </c>
      <c r="D1055" s="83">
        <f t="shared" si="36"/>
        <v>1.1795326349717972</v>
      </c>
      <c r="E1055" s="83">
        <v>1.1593986087216781E-2</v>
      </c>
      <c r="F1055" s="83">
        <v>1047</v>
      </c>
      <c r="G1055" s="83">
        <f t="shared" ca="1" si="37"/>
        <v>-1.6127104311929215E-2</v>
      </c>
    </row>
    <row r="1056" spans="2:7" x14ac:dyDescent="0.2">
      <c r="B1056" s="167">
        <v>38995</v>
      </c>
      <c r="C1056" s="28">
        <v>62.05</v>
      </c>
      <c r="D1056" s="83">
        <f t="shared" si="36"/>
        <v>-0.69864011656143765</v>
      </c>
      <c r="E1056" s="83">
        <v>1.1574828822953924E-2</v>
      </c>
      <c r="F1056" s="83">
        <v>1048</v>
      </c>
      <c r="G1056" s="83">
        <f t="shared" ca="1" si="37"/>
        <v>-8.0616897630929833E-3</v>
      </c>
    </row>
    <row r="1057" spans="2:7" x14ac:dyDescent="0.2">
      <c r="B1057" s="167">
        <v>44308</v>
      </c>
      <c r="C1057" s="28">
        <v>205.9</v>
      </c>
      <c r="D1057" s="83">
        <f t="shared" si="36"/>
        <v>0.64233867751455687</v>
      </c>
      <c r="E1057" s="83">
        <v>1.1545074920167006E-2</v>
      </c>
      <c r="F1057" s="83">
        <v>1049</v>
      </c>
      <c r="G1057" s="83">
        <f t="shared" ca="1" si="37"/>
        <v>3.5443524480755419E-2</v>
      </c>
    </row>
    <row r="1058" spans="2:7" x14ac:dyDescent="0.2">
      <c r="B1058" s="167">
        <v>40688</v>
      </c>
      <c r="C1058" s="28">
        <v>125.37</v>
      </c>
      <c r="D1058" s="83">
        <f t="shared" si="36"/>
        <v>-0.49932108626198085</v>
      </c>
      <c r="E1058" s="83">
        <v>1.1537840890753645E-2</v>
      </c>
      <c r="F1058" s="83">
        <v>1050</v>
      </c>
      <c r="G1058" s="83">
        <f t="shared" ca="1" si="37"/>
        <v>1.1962916587167388E-2</v>
      </c>
    </row>
    <row r="1059" spans="2:7" x14ac:dyDescent="0.2">
      <c r="B1059" s="167">
        <v>43734</v>
      </c>
      <c r="C1059" s="28">
        <v>250.4</v>
      </c>
      <c r="D1059" s="83">
        <f t="shared" si="36"/>
        <v>0.43175710446566429</v>
      </c>
      <c r="E1059" s="83">
        <v>1.1512825691779416E-2</v>
      </c>
      <c r="F1059" s="83">
        <v>1051</v>
      </c>
      <c r="G1059" s="83">
        <f t="shared" ca="1" si="37"/>
        <v>1.3618001156936092E-3</v>
      </c>
    </row>
    <row r="1060" spans="2:7" x14ac:dyDescent="0.2">
      <c r="B1060" s="167">
        <v>41178</v>
      </c>
      <c r="C1060" s="28">
        <v>174.89</v>
      </c>
      <c r="D1060" s="83">
        <f t="shared" si="36"/>
        <v>-0.53515137017250092</v>
      </c>
      <c r="E1060" s="83">
        <v>1.1509543088490344E-2</v>
      </c>
      <c r="F1060" s="83">
        <v>1052</v>
      </c>
      <c r="G1060" s="83">
        <f t="shared" ca="1" si="37"/>
        <v>-1.4913721625041241E-2</v>
      </c>
    </row>
    <row r="1061" spans="2:7" x14ac:dyDescent="0.2">
      <c r="B1061" s="167">
        <v>45033</v>
      </c>
      <c r="C1061" s="28">
        <v>376.23</v>
      </c>
      <c r="D1061" s="83">
        <f t="shared" si="36"/>
        <v>-2.8231222233701843E-2</v>
      </c>
      <c r="E1061" s="83">
        <v>1.1506922973518026E-2</v>
      </c>
      <c r="F1061" s="83">
        <v>1053</v>
      </c>
      <c r="G1061" s="83">
        <f t="shared" ca="1" si="37"/>
        <v>1.1476164318582961E-2</v>
      </c>
    </row>
    <row r="1062" spans="2:7" x14ac:dyDescent="0.2">
      <c r="B1062" s="167">
        <v>45341</v>
      </c>
      <c r="C1062" s="28">
        <v>387.16</v>
      </c>
      <c r="D1062" s="83">
        <f t="shared" si="36"/>
        <v>0.75941831401954107</v>
      </c>
      <c r="E1062" s="83">
        <v>1.1495454070435871E-2</v>
      </c>
      <c r="F1062" s="83">
        <v>1054</v>
      </c>
      <c r="G1062" s="83">
        <f t="shared" ca="1" si="37"/>
        <v>-7.2872767887740631E-3</v>
      </c>
    </row>
    <row r="1063" spans="2:7" x14ac:dyDescent="0.2">
      <c r="B1063" s="167">
        <v>44558</v>
      </c>
      <c r="C1063" s="28">
        <v>220.05</v>
      </c>
      <c r="D1063" s="83">
        <f t="shared" si="36"/>
        <v>0.64240931482310815</v>
      </c>
      <c r="E1063" s="83">
        <v>1.1491611123879567E-2</v>
      </c>
      <c r="F1063" s="83">
        <v>1055</v>
      </c>
      <c r="G1063" s="83">
        <f t="shared" ca="1" si="37"/>
        <v>-1.673318179077158E-2</v>
      </c>
    </row>
    <row r="1064" spans="2:7" x14ac:dyDescent="0.2">
      <c r="B1064" s="167">
        <v>40914</v>
      </c>
      <c r="C1064" s="28">
        <v>133.97999999999999</v>
      </c>
      <c r="D1064" s="83">
        <f t="shared" si="36"/>
        <v>-0.35369030390738071</v>
      </c>
      <c r="E1064" s="83">
        <v>1.1475162313151002E-2</v>
      </c>
      <c r="F1064" s="83">
        <v>1056</v>
      </c>
      <c r="G1064" s="83">
        <f t="shared" ca="1" si="37"/>
        <v>1.5324790408128333E-2</v>
      </c>
    </row>
    <row r="1065" spans="2:7" x14ac:dyDescent="0.2">
      <c r="B1065" s="167">
        <v>44410</v>
      </c>
      <c r="C1065" s="28">
        <v>207.3</v>
      </c>
      <c r="D1065" s="83">
        <f t="shared" si="36"/>
        <v>-8.1939557526383331E-4</v>
      </c>
      <c r="E1065" s="83">
        <v>1.1466211271041828E-2</v>
      </c>
      <c r="F1065" s="83">
        <v>1057</v>
      </c>
      <c r="G1065" s="83">
        <f t="shared" ca="1" si="37"/>
        <v>-3.5119354351628336E-3</v>
      </c>
    </row>
    <row r="1066" spans="2:7" x14ac:dyDescent="0.2">
      <c r="B1066" s="167">
        <v>42396</v>
      </c>
      <c r="C1066" s="28">
        <v>207.47</v>
      </c>
      <c r="D1066" s="83">
        <f t="shared" si="36"/>
        <v>9.1372961599158364E-2</v>
      </c>
      <c r="E1066" s="83">
        <v>1.1456708268330706E-2</v>
      </c>
      <c r="F1066" s="83">
        <v>1058</v>
      </c>
      <c r="G1066" s="83">
        <f t="shared" ca="1" si="37"/>
        <v>1.3989614108220147E-2</v>
      </c>
    </row>
    <row r="1067" spans="2:7" x14ac:dyDescent="0.2">
      <c r="B1067" s="167">
        <v>41197</v>
      </c>
      <c r="C1067" s="28">
        <v>190.1</v>
      </c>
      <c r="D1067" s="83">
        <f t="shared" si="36"/>
        <v>-0.31778216400502418</v>
      </c>
      <c r="E1067" s="83">
        <v>1.1439212556531023E-2</v>
      </c>
      <c r="F1067" s="83">
        <v>1059</v>
      </c>
      <c r="G1067" s="83">
        <f t="shared" ca="1" si="37"/>
        <v>5.7894834458224976E-3</v>
      </c>
    </row>
    <row r="1068" spans="2:7" x14ac:dyDescent="0.2">
      <c r="B1068" s="167">
        <v>43496</v>
      </c>
      <c r="C1068" s="28">
        <v>278.64999999999998</v>
      </c>
      <c r="D1068" s="83">
        <f t="shared" si="36"/>
        <v>2.314105613701237</v>
      </c>
      <c r="E1068" s="83">
        <v>1.143375680580754E-2</v>
      </c>
      <c r="F1068" s="83">
        <v>1060</v>
      </c>
      <c r="G1068" s="83">
        <f t="shared" ca="1" si="37"/>
        <v>-1.9724504917736006E-2</v>
      </c>
    </row>
    <row r="1069" spans="2:7" x14ac:dyDescent="0.2">
      <c r="B1069" s="167">
        <v>40182</v>
      </c>
      <c r="C1069" s="28">
        <v>84.08</v>
      </c>
      <c r="D1069" s="83">
        <f t="shared" si="36"/>
        <v>-0.74870737320302461</v>
      </c>
      <c r="E1069" s="83">
        <v>1.1427884037050438E-2</v>
      </c>
      <c r="F1069" s="83">
        <v>1061</v>
      </c>
      <c r="G1069" s="83">
        <f t="shared" ca="1" si="37"/>
        <v>-1.7573857155544697E-2</v>
      </c>
    </row>
    <row r="1070" spans="2:7" x14ac:dyDescent="0.2">
      <c r="B1070" s="167">
        <v>44840</v>
      </c>
      <c r="C1070" s="28">
        <v>334.59</v>
      </c>
      <c r="D1070" s="83">
        <f t="shared" si="36"/>
        <v>0.32118460019743328</v>
      </c>
      <c r="E1070" s="83">
        <v>1.1426498594359217E-2</v>
      </c>
      <c r="F1070" s="83">
        <v>1062</v>
      </c>
      <c r="G1070" s="83">
        <f t="shared" ca="1" si="37"/>
        <v>-2.5811175735908621E-2</v>
      </c>
    </row>
    <row r="1071" spans="2:7" x14ac:dyDescent="0.2">
      <c r="B1071" s="167">
        <v>43767</v>
      </c>
      <c r="C1071" s="28">
        <v>253.25</v>
      </c>
      <c r="D1071" s="83">
        <f t="shared" si="36"/>
        <v>5.9180259305729843E-2</v>
      </c>
      <c r="E1071" s="83">
        <v>1.138178913738017E-2</v>
      </c>
      <c r="F1071" s="83">
        <v>1063</v>
      </c>
      <c r="G1071" s="83">
        <f t="shared" ca="1" si="37"/>
        <v>8.0616678866461851E-3</v>
      </c>
    </row>
    <row r="1072" spans="2:7" x14ac:dyDescent="0.2">
      <c r="B1072" s="167">
        <v>41722</v>
      </c>
      <c r="C1072" s="28">
        <v>239.1</v>
      </c>
      <c r="D1072" s="83">
        <f t="shared" si="36"/>
        <v>4.2711640211640214</v>
      </c>
      <c r="E1072" s="83">
        <v>1.1378537286916788E-2</v>
      </c>
      <c r="F1072" s="83">
        <v>1064</v>
      </c>
      <c r="G1072" s="83">
        <f t="shared" ca="1" si="37"/>
        <v>1.3028512766934992E-2</v>
      </c>
    </row>
    <row r="1073" spans="2:7" x14ac:dyDescent="0.2">
      <c r="B1073" s="167">
        <v>38695</v>
      </c>
      <c r="C1073" s="28">
        <v>45.36</v>
      </c>
      <c r="D1073" s="83">
        <f t="shared" si="36"/>
        <v>-0.82418604651162786</v>
      </c>
      <c r="E1073" s="83">
        <v>1.1371237458193935E-2</v>
      </c>
      <c r="F1073" s="83">
        <v>1065</v>
      </c>
      <c r="G1073" s="83">
        <f t="shared" ca="1" si="37"/>
        <v>2.6282660002705054E-2</v>
      </c>
    </row>
    <row r="1074" spans="2:7" x14ac:dyDescent="0.2">
      <c r="B1074" s="167">
        <v>43056</v>
      </c>
      <c r="C1074" s="28">
        <v>258</v>
      </c>
      <c r="D1074" s="83">
        <f t="shared" si="36"/>
        <v>0.26495391253186895</v>
      </c>
      <c r="E1074" s="83">
        <v>1.136809094472758E-2</v>
      </c>
      <c r="F1074" s="83">
        <v>1066</v>
      </c>
      <c r="G1074" s="83">
        <f t="shared" ca="1" si="37"/>
        <v>5.2879855607952048E-3</v>
      </c>
    </row>
    <row r="1075" spans="2:7" x14ac:dyDescent="0.2">
      <c r="B1075" s="167">
        <v>41305</v>
      </c>
      <c r="C1075" s="28">
        <v>203.96</v>
      </c>
      <c r="D1075" s="83">
        <f t="shared" si="36"/>
        <v>-0.49573515959156428</v>
      </c>
      <c r="E1075" s="83">
        <v>1.1355184211831312E-2</v>
      </c>
      <c r="F1075" s="83">
        <v>1067</v>
      </c>
      <c r="G1075" s="83">
        <f t="shared" ca="1" si="37"/>
        <v>-1.5827934199208792E-3</v>
      </c>
    </row>
    <row r="1076" spans="2:7" x14ac:dyDescent="0.2">
      <c r="B1076" s="167">
        <v>45387</v>
      </c>
      <c r="C1076" s="28">
        <v>404.47</v>
      </c>
      <c r="D1076" s="83">
        <f t="shared" si="36"/>
        <v>0.41546806649168866</v>
      </c>
      <c r="E1076" s="83">
        <v>1.1351986597654641E-2</v>
      </c>
      <c r="F1076" s="83">
        <v>1068</v>
      </c>
      <c r="G1076" s="83">
        <f t="shared" ca="1" si="37"/>
        <v>4.3994655651986431E-3</v>
      </c>
    </row>
    <row r="1077" spans="2:7" x14ac:dyDescent="0.2">
      <c r="B1077" s="167">
        <v>43530</v>
      </c>
      <c r="C1077" s="28">
        <v>285.75</v>
      </c>
      <c r="D1077" s="83">
        <f t="shared" si="36"/>
        <v>0.12124779281930551</v>
      </c>
      <c r="E1077" s="83">
        <v>1.1325429127587997E-2</v>
      </c>
      <c r="F1077" s="83">
        <v>1069</v>
      </c>
      <c r="G1077" s="83">
        <f t="shared" ca="1" si="37"/>
        <v>-1.6785123628128337E-2</v>
      </c>
    </row>
    <row r="1078" spans="2:7" x14ac:dyDescent="0.2">
      <c r="B1078" s="167">
        <v>44644</v>
      </c>
      <c r="C1078" s="28">
        <v>254.85</v>
      </c>
      <c r="D1078" s="83">
        <f t="shared" si="36"/>
        <v>3.379618491149682</v>
      </c>
      <c r="E1078" s="83">
        <v>1.1309523809523787E-2</v>
      </c>
      <c r="F1078" s="83">
        <v>1070</v>
      </c>
      <c r="G1078" s="83">
        <f t="shared" ca="1" si="37"/>
        <v>-2.2392959760584159E-2</v>
      </c>
    </row>
    <row r="1079" spans="2:7" x14ac:dyDescent="0.2">
      <c r="B1079" s="167">
        <v>38793</v>
      </c>
      <c r="C1079" s="28">
        <v>58.19</v>
      </c>
      <c r="D1079" s="83">
        <f t="shared" si="36"/>
        <v>-7.4144789180588755E-2</v>
      </c>
      <c r="E1079" s="83">
        <v>1.1296489398679155E-2</v>
      </c>
      <c r="F1079" s="83">
        <v>1071</v>
      </c>
      <c r="G1079" s="83">
        <f t="shared" ca="1" si="37"/>
        <v>-5.5812383850267256E-4</v>
      </c>
    </row>
    <row r="1080" spans="2:7" x14ac:dyDescent="0.2">
      <c r="B1080" s="167">
        <v>39428</v>
      </c>
      <c r="C1080" s="28">
        <v>62.85</v>
      </c>
      <c r="D1080" s="83">
        <f t="shared" si="36"/>
        <v>5.9865092748735318E-2</v>
      </c>
      <c r="E1080" s="83">
        <v>1.126307320997591E-2</v>
      </c>
      <c r="F1080" s="83">
        <v>1072</v>
      </c>
      <c r="G1080" s="83">
        <f t="shared" ca="1" si="37"/>
        <v>1.9476455078118102E-2</v>
      </c>
    </row>
    <row r="1081" spans="2:7" x14ac:dyDescent="0.2">
      <c r="B1081" s="167">
        <v>38799</v>
      </c>
      <c r="C1081" s="28">
        <v>59.3</v>
      </c>
      <c r="D1081" s="83">
        <f t="shared" si="36"/>
        <v>-0.10813656188900583</v>
      </c>
      <c r="E1081" s="83">
        <v>1.125511596180076E-2</v>
      </c>
      <c r="F1081" s="83">
        <v>1073</v>
      </c>
      <c r="G1081" s="83">
        <f t="shared" ca="1" si="37"/>
        <v>1.205546309787333E-2</v>
      </c>
    </row>
    <row r="1082" spans="2:7" x14ac:dyDescent="0.2">
      <c r="B1082" s="167">
        <v>38827</v>
      </c>
      <c r="C1082" s="28">
        <v>66.489999999999995</v>
      </c>
      <c r="D1082" s="83">
        <f t="shared" si="36"/>
        <v>-0.71555080213903743</v>
      </c>
      <c r="E1082" s="83">
        <v>1.1254752851710948E-2</v>
      </c>
      <c r="F1082" s="83">
        <v>1074</v>
      </c>
      <c r="G1082" s="83">
        <f t="shared" ca="1" si="37"/>
        <v>-2.712665226545732E-2</v>
      </c>
    </row>
    <row r="1083" spans="2:7" x14ac:dyDescent="0.2">
      <c r="B1083" s="167">
        <v>44459</v>
      </c>
      <c r="C1083" s="28">
        <v>233.75</v>
      </c>
      <c r="D1083" s="83">
        <f t="shared" si="36"/>
        <v>3.1211212976022567</v>
      </c>
      <c r="E1083" s="83">
        <v>1.1248107289638739E-2</v>
      </c>
      <c r="F1083" s="83">
        <v>1075</v>
      </c>
      <c r="G1083" s="83">
        <f t="shared" ca="1" si="37"/>
        <v>3.2572337274739292E-3</v>
      </c>
    </row>
    <row r="1084" spans="2:7" x14ac:dyDescent="0.2">
      <c r="B1084" s="167">
        <v>39094</v>
      </c>
      <c r="C1084" s="28">
        <v>56.72</v>
      </c>
      <c r="D1084" s="83">
        <f t="shared" si="36"/>
        <v>-5.2863436123350019E-4</v>
      </c>
      <c r="E1084" s="83">
        <v>1.1231948653948928E-2</v>
      </c>
      <c r="F1084" s="83">
        <v>1076</v>
      </c>
      <c r="G1084" s="83">
        <f t="shared" ca="1" si="37"/>
        <v>-4.0274550416909193E-4</v>
      </c>
    </row>
    <row r="1085" spans="2:7" x14ac:dyDescent="0.2">
      <c r="B1085" s="167">
        <v>39633</v>
      </c>
      <c r="C1085" s="28">
        <v>56.75</v>
      </c>
      <c r="D1085" s="83">
        <f t="shared" si="36"/>
        <v>-0.86250423995735814</v>
      </c>
      <c r="E1085" s="83">
        <v>1.1225944404846804E-2</v>
      </c>
      <c r="F1085" s="83">
        <v>1077</v>
      </c>
      <c r="G1085" s="83">
        <f t="shared" ca="1" si="37"/>
        <v>-3.4029023951685907E-3</v>
      </c>
    </row>
    <row r="1086" spans="2:7" x14ac:dyDescent="0.2">
      <c r="B1086" s="167">
        <v>45429</v>
      </c>
      <c r="C1086" s="28">
        <v>412.74</v>
      </c>
      <c r="D1086" s="83">
        <f t="shared" si="36"/>
        <v>0.72694560669456065</v>
      </c>
      <c r="E1086" s="83">
        <v>1.122108976871811E-2</v>
      </c>
      <c r="F1086" s="83">
        <v>1078</v>
      </c>
      <c r="G1086" s="83">
        <f t="shared" ca="1" si="37"/>
        <v>2.5028969028681781E-2</v>
      </c>
    </row>
    <row r="1087" spans="2:7" x14ac:dyDescent="0.2">
      <c r="B1087" s="167">
        <v>44634</v>
      </c>
      <c r="C1087" s="28">
        <v>239</v>
      </c>
      <c r="D1087" s="83">
        <f t="shared" si="36"/>
        <v>0.37966864861744509</v>
      </c>
      <c r="E1087" s="83">
        <v>1.1212185318383777E-2</v>
      </c>
      <c r="F1087" s="83">
        <v>1079</v>
      </c>
      <c r="G1087" s="83">
        <f t="shared" ca="1" si="37"/>
        <v>-2.4744102008937386E-2</v>
      </c>
    </row>
    <row r="1088" spans="2:7" x14ac:dyDescent="0.2">
      <c r="B1088" s="167">
        <v>41128</v>
      </c>
      <c r="C1088" s="28">
        <v>173.23</v>
      </c>
      <c r="D1088" s="83">
        <f t="shared" si="36"/>
        <v>-0.2941775659047387</v>
      </c>
      <c r="E1088" s="83">
        <v>1.1207752028486296E-2</v>
      </c>
      <c r="F1088" s="83">
        <v>1080</v>
      </c>
      <c r="G1088" s="83">
        <f t="shared" ca="1" si="37"/>
        <v>8.7310854345761194E-3</v>
      </c>
    </row>
    <row r="1089" spans="2:7" x14ac:dyDescent="0.2">
      <c r="B1089" s="167">
        <v>41912</v>
      </c>
      <c r="C1089" s="28">
        <v>245.43</v>
      </c>
      <c r="D1089" s="83">
        <f t="shared" si="36"/>
        <v>1.1528947368421054</v>
      </c>
      <c r="E1089" s="83">
        <v>1.1206789996291867E-2</v>
      </c>
      <c r="F1089" s="83">
        <v>1081</v>
      </c>
      <c r="G1089" s="83">
        <f t="shared" ca="1" si="37"/>
        <v>1.0537496413143091E-2</v>
      </c>
    </row>
    <row r="1090" spans="2:7" x14ac:dyDescent="0.2">
      <c r="B1090" s="167">
        <v>40625</v>
      </c>
      <c r="C1090" s="28">
        <v>114</v>
      </c>
      <c r="D1090" s="83">
        <f t="shared" si="36"/>
        <v>-0.73404255319148937</v>
      </c>
      <c r="E1090" s="83">
        <v>1.117615753060143E-2</v>
      </c>
      <c r="F1090" s="83">
        <v>1082</v>
      </c>
      <c r="G1090" s="83">
        <f t="shared" ca="1" si="37"/>
        <v>1.3983175579682264E-2</v>
      </c>
    </row>
    <row r="1091" spans="2:7" x14ac:dyDescent="0.2">
      <c r="B1091" s="167">
        <v>45093</v>
      </c>
      <c r="C1091" s="28">
        <v>428.64</v>
      </c>
      <c r="D1091" s="83">
        <f t="shared" si="36"/>
        <v>1.1001469867711906</v>
      </c>
      <c r="E1091" s="83">
        <v>1.1158028826873537E-2</v>
      </c>
      <c r="F1091" s="83">
        <v>1083</v>
      </c>
      <c r="G1091" s="83">
        <f t="shared" ca="1" si="37"/>
        <v>3.3237217658944065E-2</v>
      </c>
    </row>
    <row r="1092" spans="2:7" x14ac:dyDescent="0.2">
      <c r="B1092" s="167">
        <v>44391</v>
      </c>
      <c r="C1092" s="28">
        <v>204.1</v>
      </c>
      <c r="D1092" s="83">
        <f t="shared" si="36"/>
        <v>-0.14171572750210268</v>
      </c>
      <c r="E1092" s="83">
        <v>1.1146891255883081E-2</v>
      </c>
      <c r="F1092" s="83">
        <v>1084</v>
      </c>
      <c r="G1092" s="83">
        <f t="shared" ca="1" si="37"/>
        <v>-3.3844954109450147E-2</v>
      </c>
    </row>
    <row r="1093" spans="2:7" x14ac:dyDescent="0.2">
      <c r="B1093" s="167">
        <v>41900</v>
      </c>
      <c r="C1093" s="28">
        <v>237.8</v>
      </c>
      <c r="D1093" s="83">
        <f t="shared" si="36"/>
        <v>-0.49254177247604619</v>
      </c>
      <c r="E1093" s="83">
        <v>1.1140403095501338E-2</v>
      </c>
      <c r="F1093" s="83">
        <v>1085</v>
      </c>
      <c r="G1093" s="83">
        <f t="shared" ca="1" si="37"/>
        <v>1.7195773183285606E-2</v>
      </c>
    </row>
    <row r="1094" spans="2:7" x14ac:dyDescent="0.2">
      <c r="B1094" s="167">
        <v>45504</v>
      </c>
      <c r="C1094" s="28">
        <v>468.61</v>
      </c>
      <c r="D1094" s="83">
        <f t="shared" si="36"/>
        <v>1.1560156429721649</v>
      </c>
      <c r="E1094" s="83">
        <v>1.11338871507175E-2</v>
      </c>
      <c r="F1094" s="83">
        <v>1086</v>
      </c>
      <c r="G1094" s="83">
        <f t="shared" ca="1" si="37"/>
        <v>-2.4885446720959832E-2</v>
      </c>
    </row>
    <row r="1095" spans="2:7" x14ac:dyDescent="0.2">
      <c r="B1095" s="167">
        <v>42137</v>
      </c>
      <c r="C1095" s="28">
        <v>217.35</v>
      </c>
      <c r="D1095" s="83">
        <f t="shared" si="36"/>
        <v>-4.3059041077796865E-2</v>
      </c>
      <c r="E1095" s="83">
        <v>1.1118347599553342E-2</v>
      </c>
      <c r="F1095" s="83">
        <v>1087</v>
      </c>
      <c r="G1095" s="83">
        <f t="shared" ca="1" si="37"/>
        <v>-3.2131389627740738E-2</v>
      </c>
    </row>
    <row r="1096" spans="2:7" x14ac:dyDescent="0.2">
      <c r="B1096" s="167">
        <v>41460</v>
      </c>
      <c r="C1096" s="28">
        <v>227.13</v>
      </c>
      <c r="D1096" s="83">
        <f t="shared" si="36"/>
        <v>-1.32504996090017E-2</v>
      </c>
      <c r="E1096" s="83">
        <v>1.108440170940175E-2</v>
      </c>
      <c r="F1096" s="83">
        <v>1088</v>
      </c>
      <c r="G1096" s="83">
        <f t="shared" ca="1" si="37"/>
        <v>3.1347309253514567E-2</v>
      </c>
    </row>
    <row r="1097" spans="2:7" x14ac:dyDescent="0.2">
      <c r="B1097" s="167">
        <v>41712</v>
      </c>
      <c r="C1097" s="28">
        <v>230.18</v>
      </c>
      <c r="D1097" s="83">
        <f t="shared" ref="D1097:D1160" si="38">(C1097-C1098)/C1098</f>
        <v>8.5857156335503435E-2</v>
      </c>
      <c r="E1097" s="83">
        <v>1.1069138188526796E-2</v>
      </c>
      <c r="F1097" s="83">
        <v>1089</v>
      </c>
      <c r="G1097" s="83">
        <f t="shared" ref="G1097:G1160" ca="1" si="39">_xlfn.NORM.INV(RAND(),$M$10,$M$11)</f>
        <v>-4.8057879158501637E-3</v>
      </c>
    </row>
    <row r="1098" spans="2:7" x14ac:dyDescent="0.2">
      <c r="B1098" s="167">
        <v>41817</v>
      </c>
      <c r="C1098" s="28">
        <v>211.98</v>
      </c>
      <c r="D1098" s="83">
        <f t="shared" si="38"/>
        <v>2.9981139192757444</v>
      </c>
      <c r="E1098" s="83">
        <v>1.1065534675188367E-2</v>
      </c>
      <c r="F1098" s="83">
        <v>1090</v>
      </c>
      <c r="G1098" s="83">
        <f t="shared" ca="1" si="39"/>
        <v>-1.1732208862393593E-2</v>
      </c>
    </row>
    <row r="1099" spans="2:7" x14ac:dyDescent="0.2">
      <c r="B1099" s="167">
        <v>39149</v>
      </c>
      <c r="C1099" s="28">
        <v>53.02</v>
      </c>
      <c r="D1099" s="83">
        <f t="shared" si="38"/>
        <v>-0.51764919941775833</v>
      </c>
      <c r="E1099" s="83">
        <v>1.1060259344012308E-2</v>
      </c>
      <c r="F1099" s="83">
        <v>1091</v>
      </c>
      <c r="G1099" s="83">
        <f t="shared" ca="1" si="39"/>
        <v>2.6701587244727824E-2</v>
      </c>
    </row>
    <row r="1100" spans="2:7" x14ac:dyDescent="0.2">
      <c r="B1100" s="167">
        <v>40427</v>
      </c>
      <c r="C1100" s="28">
        <v>109.92</v>
      </c>
      <c r="D1100" s="83">
        <f t="shared" si="38"/>
        <v>-0.60072648020341446</v>
      </c>
      <c r="E1100" s="83">
        <v>1.1037527593819011E-2</v>
      </c>
      <c r="F1100" s="83">
        <v>1092</v>
      </c>
      <c r="G1100" s="83">
        <f t="shared" ca="1" si="39"/>
        <v>-1.4469796925146598E-2</v>
      </c>
    </row>
    <row r="1101" spans="2:7" x14ac:dyDescent="0.2">
      <c r="B1101" s="167">
        <v>43248</v>
      </c>
      <c r="C1101" s="28">
        <v>275.3</v>
      </c>
      <c r="D1101" s="83">
        <f t="shared" si="38"/>
        <v>2.2697722798023751E-2</v>
      </c>
      <c r="E1101" s="83">
        <v>1.1017260374586852E-2</v>
      </c>
      <c r="F1101" s="83">
        <v>1093</v>
      </c>
      <c r="G1101" s="83">
        <f t="shared" ca="1" si="39"/>
        <v>6.6139291389456251E-3</v>
      </c>
    </row>
    <row r="1102" spans="2:7" x14ac:dyDescent="0.2">
      <c r="B1102" s="167">
        <v>44721</v>
      </c>
      <c r="C1102" s="28">
        <v>269.19</v>
      </c>
      <c r="D1102" s="83">
        <f t="shared" si="38"/>
        <v>3.0663141993957703</v>
      </c>
      <c r="E1102" s="83">
        <v>1.1004281529332258E-2</v>
      </c>
      <c r="F1102" s="83">
        <v>1094</v>
      </c>
      <c r="G1102" s="83">
        <f t="shared" ca="1" si="39"/>
        <v>-1.2462192013315944E-2</v>
      </c>
    </row>
    <row r="1103" spans="2:7" x14ac:dyDescent="0.2">
      <c r="B1103" s="167">
        <v>39435</v>
      </c>
      <c r="C1103" s="28">
        <v>66.2</v>
      </c>
      <c r="D1103" s="83">
        <f t="shared" si="38"/>
        <v>0.18003565062388593</v>
      </c>
      <c r="E1103" s="83">
        <v>1.0995723885155755E-2</v>
      </c>
      <c r="F1103" s="83">
        <v>1095</v>
      </c>
      <c r="G1103" s="83">
        <f t="shared" ca="1" si="39"/>
        <v>-1.8089629806642936E-2</v>
      </c>
    </row>
    <row r="1104" spans="2:7" x14ac:dyDescent="0.2">
      <c r="B1104" s="167">
        <v>38930</v>
      </c>
      <c r="C1104" s="28">
        <v>56.1</v>
      </c>
      <c r="D1104" s="83">
        <f t="shared" si="38"/>
        <v>-0.75536368393511255</v>
      </c>
      <c r="E1104" s="83">
        <v>1.0992971706613794E-2</v>
      </c>
      <c r="F1104" s="83">
        <v>1096</v>
      </c>
      <c r="G1104" s="83">
        <f t="shared" ca="1" si="39"/>
        <v>2.7536745870996263E-2</v>
      </c>
    </row>
    <row r="1105" spans="2:7" x14ac:dyDescent="0.2">
      <c r="B1105" s="167">
        <v>41831</v>
      </c>
      <c r="C1105" s="28">
        <v>229.32</v>
      </c>
      <c r="D1105" s="83">
        <f t="shared" si="38"/>
        <v>1.6767830045523517</v>
      </c>
      <c r="E1105" s="83">
        <v>1.0977383943922676E-2</v>
      </c>
      <c r="F1105" s="83">
        <v>1097</v>
      </c>
      <c r="G1105" s="83">
        <f t="shared" ca="1" si="39"/>
        <v>2.6217634026726545E-2</v>
      </c>
    </row>
    <row r="1106" spans="2:7" x14ac:dyDescent="0.2">
      <c r="B1106" s="167">
        <v>40249</v>
      </c>
      <c r="C1106" s="28">
        <v>85.67</v>
      </c>
      <c r="D1106" s="83">
        <f t="shared" si="38"/>
        <v>-0.58865895232150578</v>
      </c>
      <c r="E1106" s="83">
        <v>1.0974746282747309E-2</v>
      </c>
      <c r="F1106" s="83">
        <v>1098</v>
      </c>
      <c r="G1106" s="83">
        <f t="shared" ca="1" si="39"/>
        <v>-4.3452583614833323E-3</v>
      </c>
    </row>
    <row r="1107" spans="2:7" x14ac:dyDescent="0.2">
      <c r="B1107" s="167">
        <v>41605</v>
      </c>
      <c r="C1107" s="28">
        <v>208.27</v>
      </c>
      <c r="D1107" s="83">
        <f t="shared" si="38"/>
        <v>2.4723241080360125</v>
      </c>
      <c r="E1107" s="83">
        <v>1.0970341245570697E-2</v>
      </c>
      <c r="F1107" s="83">
        <v>1099</v>
      </c>
      <c r="G1107" s="83">
        <f t="shared" ca="1" si="39"/>
        <v>1.721866025550475E-2</v>
      </c>
    </row>
    <row r="1108" spans="2:7" x14ac:dyDescent="0.2">
      <c r="B1108" s="167">
        <v>39339</v>
      </c>
      <c r="C1108" s="28">
        <v>59.98</v>
      </c>
      <c r="D1108" s="83">
        <f t="shared" si="38"/>
        <v>-0.78334838360122816</v>
      </c>
      <c r="E1108" s="83">
        <v>1.0955671666947558E-2</v>
      </c>
      <c r="F1108" s="83">
        <v>1100</v>
      </c>
      <c r="G1108" s="83">
        <f t="shared" ca="1" si="39"/>
        <v>6.7051634170405159E-3</v>
      </c>
    </row>
    <row r="1109" spans="2:7" x14ac:dyDescent="0.2">
      <c r="B1109" s="167">
        <v>43417</v>
      </c>
      <c r="C1109" s="28">
        <v>276.85000000000002</v>
      </c>
      <c r="D1109" s="83">
        <f t="shared" si="38"/>
        <v>4.1622226365840014</v>
      </c>
      <c r="E1109" s="83">
        <v>1.0954902318787657E-2</v>
      </c>
      <c r="F1109" s="83">
        <v>1101</v>
      </c>
      <c r="G1109" s="83">
        <f t="shared" ca="1" si="39"/>
        <v>4.7107014922057157E-3</v>
      </c>
    </row>
    <row r="1110" spans="2:7" x14ac:dyDescent="0.2">
      <c r="B1110" s="167">
        <v>39205</v>
      </c>
      <c r="C1110" s="28">
        <v>53.63</v>
      </c>
      <c r="D1110" s="83">
        <f t="shared" si="38"/>
        <v>-0.85463761045156394</v>
      </c>
      <c r="E1110" s="83">
        <v>1.0933081998115088E-2</v>
      </c>
      <c r="F1110" s="83">
        <v>1102</v>
      </c>
      <c r="G1110" s="83">
        <f t="shared" ca="1" si="39"/>
        <v>8.3094370203203646E-3</v>
      </c>
    </row>
    <row r="1111" spans="2:7" x14ac:dyDescent="0.2">
      <c r="B1111" s="167">
        <v>44993</v>
      </c>
      <c r="C1111" s="28">
        <v>368.94</v>
      </c>
      <c r="D1111" s="83">
        <f t="shared" si="38"/>
        <v>5.6368051807879116</v>
      </c>
      <c r="E1111" s="83">
        <v>1.0933004521167309E-2</v>
      </c>
      <c r="F1111" s="83">
        <v>1103</v>
      </c>
      <c r="G1111" s="83">
        <f t="shared" ca="1" si="39"/>
        <v>-1.7482095530065963E-2</v>
      </c>
    </row>
    <row r="1112" spans="2:7" x14ac:dyDescent="0.2">
      <c r="B1112" s="167">
        <v>39289</v>
      </c>
      <c r="C1112" s="28">
        <v>55.59</v>
      </c>
      <c r="D1112" s="83">
        <f t="shared" si="38"/>
        <v>-0.79999999999999993</v>
      </c>
      <c r="E1112" s="83">
        <v>1.0911074740862E-2</v>
      </c>
      <c r="F1112" s="83">
        <v>1104</v>
      </c>
      <c r="G1112" s="83">
        <f t="shared" ca="1" si="39"/>
        <v>1.1935871979392682E-2</v>
      </c>
    </row>
    <row r="1113" spans="2:7" x14ac:dyDescent="0.2">
      <c r="B1113" s="167">
        <v>42870</v>
      </c>
      <c r="C1113" s="28">
        <v>277.95</v>
      </c>
      <c r="D1113" s="83">
        <f t="shared" si="38"/>
        <v>0.11002396166134178</v>
      </c>
      <c r="E1113" s="83">
        <v>1.0911074740861976E-2</v>
      </c>
      <c r="F1113" s="83">
        <v>1105</v>
      </c>
      <c r="G1113" s="83">
        <f t="shared" ca="1" si="39"/>
        <v>2.1241726622797118E-2</v>
      </c>
    </row>
    <row r="1114" spans="2:7" x14ac:dyDescent="0.2">
      <c r="B1114" s="167">
        <v>43765</v>
      </c>
      <c r="C1114" s="28">
        <v>250.4</v>
      </c>
      <c r="D1114" s="83">
        <f t="shared" si="38"/>
        <v>0.80676816509127647</v>
      </c>
      <c r="E1114" s="83">
        <v>1.0900282599919327E-2</v>
      </c>
      <c r="F1114" s="83">
        <v>1106</v>
      </c>
      <c r="G1114" s="83">
        <f t="shared" ca="1" si="39"/>
        <v>-2.034995383546474E-2</v>
      </c>
    </row>
    <row r="1115" spans="2:7" x14ac:dyDescent="0.2">
      <c r="B1115" s="167">
        <v>40981</v>
      </c>
      <c r="C1115" s="28">
        <v>138.59</v>
      </c>
      <c r="D1115" s="83">
        <f t="shared" si="38"/>
        <v>-0.48746301775147921</v>
      </c>
      <c r="E1115" s="83">
        <v>1.0867979576951197E-2</v>
      </c>
      <c r="F1115" s="83">
        <v>1107</v>
      </c>
      <c r="G1115" s="83">
        <f t="shared" ca="1" si="39"/>
        <v>1.6702675770823264E-3</v>
      </c>
    </row>
    <row r="1116" spans="2:7" x14ac:dyDescent="0.2">
      <c r="B1116" s="167">
        <v>43257</v>
      </c>
      <c r="C1116" s="28">
        <v>270.39999999999998</v>
      </c>
      <c r="D1116" s="83">
        <f t="shared" si="38"/>
        <v>0.21315447081520031</v>
      </c>
      <c r="E1116" s="83">
        <v>1.0841121495327018E-2</v>
      </c>
      <c r="F1116" s="83">
        <v>1108</v>
      </c>
      <c r="G1116" s="83">
        <f t="shared" ca="1" si="39"/>
        <v>1.81356207716394E-2</v>
      </c>
    </row>
    <row r="1117" spans="2:7" x14ac:dyDescent="0.2">
      <c r="B1117" s="167">
        <v>41806</v>
      </c>
      <c r="C1117" s="28">
        <v>222.89</v>
      </c>
      <c r="D1117" s="83">
        <f t="shared" si="38"/>
        <v>1.9467213114754098</v>
      </c>
      <c r="E1117" s="83">
        <v>1.0839002267573634E-2</v>
      </c>
      <c r="F1117" s="83">
        <v>1109</v>
      </c>
      <c r="G1117" s="83">
        <f t="shared" ca="1" si="39"/>
        <v>-4.4176499705757407E-4</v>
      </c>
    </row>
    <row r="1118" spans="2:7" x14ac:dyDescent="0.2">
      <c r="B1118" s="167">
        <v>39589</v>
      </c>
      <c r="C1118" s="28">
        <v>75.64</v>
      </c>
      <c r="D1118" s="83">
        <f t="shared" si="38"/>
        <v>0.1887474461731887</v>
      </c>
      <c r="E1118" s="83">
        <v>1.0824535614058564E-2</v>
      </c>
      <c r="F1118" s="83">
        <v>1110</v>
      </c>
      <c r="G1118" s="83">
        <f t="shared" ca="1" si="39"/>
        <v>3.3003078168347176E-3</v>
      </c>
    </row>
    <row r="1119" spans="2:7" x14ac:dyDescent="0.2">
      <c r="B1119" s="167">
        <v>39667</v>
      </c>
      <c r="C1119" s="28">
        <v>63.63</v>
      </c>
      <c r="D1119" s="83">
        <f t="shared" si="38"/>
        <v>-0.7228054890002179</v>
      </c>
      <c r="E1119" s="83">
        <v>1.0802223987291497E-2</v>
      </c>
      <c r="F1119" s="83">
        <v>1111</v>
      </c>
      <c r="G1119" s="83">
        <f t="shared" ca="1" si="39"/>
        <v>-1.4445623240279093E-2</v>
      </c>
    </row>
    <row r="1120" spans="2:7" x14ac:dyDescent="0.2">
      <c r="B1120" s="167">
        <v>42339</v>
      </c>
      <c r="C1120" s="28">
        <v>229.55</v>
      </c>
      <c r="D1120" s="83">
        <f t="shared" si="38"/>
        <v>-0.1701012292118583</v>
      </c>
      <c r="E1120" s="83">
        <v>1.0788199031263835E-2</v>
      </c>
      <c r="F1120" s="83">
        <v>1112</v>
      </c>
      <c r="G1120" s="83">
        <f t="shared" ca="1" si="39"/>
        <v>3.5062065600312254E-3</v>
      </c>
    </row>
    <row r="1121" spans="2:7" x14ac:dyDescent="0.2">
      <c r="B1121" s="167">
        <v>43123</v>
      </c>
      <c r="C1121" s="28">
        <v>276.60000000000002</v>
      </c>
      <c r="D1121" s="83">
        <f t="shared" si="38"/>
        <v>0.23382995806940857</v>
      </c>
      <c r="E1121" s="83">
        <v>1.0780193678056079E-2</v>
      </c>
      <c r="F1121" s="83">
        <v>1113</v>
      </c>
      <c r="G1121" s="83">
        <f t="shared" ca="1" si="39"/>
        <v>-7.0772636048663058E-3</v>
      </c>
    </row>
    <row r="1122" spans="2:7" x14ac:dyDescent="0.2">
      <c r="B1122" s="167">
        <v>41705</v>
      </c>
      <c r="C1122" s="28">
        <v>224.18</v>
      </c>
      <c r="D1122" s="83">
        <f t="shared" si="38"/>
        <v>-0.13192642787996126</v>
      </c>
      <c r="E1122" s="83">
        <v>1.0775959240723273E-2</v>
      </c>
      <c r="F1122" s="83">
        <v>1114</v>
      </c>
      <c r="G1122" s="83">
        <f t="shared" ca="1" si="39"/>
        <v>-6.4289939352010607E-3</v>
      </c>
    </row>
    <row r="1123" spans="2:7" x14ac:dyDescent="0.2">
      <c r="B1123" s="167">
        <v>43192</v>
      </c>
      <c r="C1123" s="28">
        <v>258.25</v>
      </c>
      <c r="D1123" s="83">
        <f t="shared" si="38"/>
        <v>-0.14245392661464379</v>
      </c>
      <c r="E1123" s="83">
        <v>1.0763209393346379E-2</v>
      </c>
      <c r="F1123" s="83">
        <v>1115</v>
      </c>
      <c r="G1123" s="83">
        <f t="shared" ca="1" si="39"/>
        <v>2.8160039414637791E-2</v>
      </c>
    </row>
    <row r="1124" spans="2:7" x14ac:dyDescent="0.2">
      <c r="B1124" s="167">
        <v>43368</v>
      </c>
      <c r="C1124" s="28">
        <v>301.14999999999998</v>
      </c>
      <c r="D1124" s="83">
        <f t="shared" si="38"/>
        <v>-0.26591751170046807</v>
      </c>
      <c r="E1124" s="83">
        <v>1.0740057056553075E-2</v>
      </c>
      <c r="F1124" s="83">
        <v>1116</v>
      </c>
      <c r="G1124" s="83">
        <f t="shared" ca="1" si="39"/>
        <v>-8.0018188632289943E-3</v>
      </c>
    </row>
    <row r="1125" spans="2:7" x14ac:dyDescent="0.2">
      <c r="B1125" s="167">
        <v>45478</v>
      </c>
      <c r="C1125" s="28">
        <v>410.24</v>
      </c>
      <c r="D1125" s="83">
        <f t="shared" si="38"/>
        <v>5.584911717495987</v>
      </c>
      <c r="E1125" s="83">
        <v>1.0717189386286982E-2</v>
      </c>
      <c r="F1125" s="83">
        <v>1117</v>
      </c>
      <c r="G1125" s="83">
        <f t="shared" ca="1" si="39"/>
        <v>1.7385366052474448E-2</v>
      </c>
    </row>
    <row r="1126" spans="2:7" x14ac:dyDescent="0.2">
      <c r="B1126" s="167">
        <v>38968</v>
      </c>
      <c r="C1126" s="28">
        <v>62.3</v>
      </c>
      <c r="D1126" s="83">
        <f t="shared" si="38"/>
        <v>-0.76043068640646028</v>
      </c>
      <c r="E1126" s="83">
        <v>1.0707332900713767E-2</v>
      </c>
      <c r="F1126" s="83">
        <v>1118</v>
      </c>
      <c r="G1126" s="83">
        <f t="shared" ca="1" si="39"/>
        <v>4.120207889224161E-2</v>
      </c>
    </row>
    <row r="1127" spans="2:7" x14ac:dyDescent="0.2">
      <c r="B1127" s="167">
        <v>42613</v>
      </c>
      <c r="C1127" s="28">
        <v>260.05</v>
      </c>
      <c r="D1127" s="83">
        <f t="shared" si="38"/>
        <v>9.0493563131630872E-2</v>
      </c>
      <c r="E1127" s="83">
        <v>1.0687912942090944E-2</v>
      </c>
      <c r="F1127" s="83">
        <v>1119</v>
      </c>
      <c r="G1127" s="83">
        <f t="shared" ca="1" si="39"/>
        <v>1.7632916153795166E-2</v>
      </c>
    </row>
    <row r="1128" spans="2:7" x14ac:dyDescent="0.2">
      <c r="B1128" s="167">
        <v>41717</v>
      </c>
      <c r="C1128" s="28">
        <v>238.47</v>
      </c>
      <c r="D1128" s="83">
        <f t="shared" si="38"/>
        <v>2.0982200857476938</v>
      </c>
      <c r="E1128" s="83">
        <v>1.0680228862047088E-2</v>
      </c>
      <c r="F1128" s="83">
        <v>1120</v>
      </c>
      <c r="G1128" s="83">
        <f t="shared" ca="1" si="39"/>
        <v>-7.7570548496220968E-3</v>
      </c>
    </row>
    <row r="1129" spans="2:7" x14ac:dyDescent="0.2">
      <c r="B1129" s="167">
        <v>40018</v>
      </c>
      <c r="C1129" s="28">
        <v>76.97</v>
      </c>
      <c r="D1129" s="83">
        <f t="shared" si="38"/>
        <v>-0.76840680006017759</v>
      </c>
      <c r="E1129" s="83">
        <v>1.0635504201680702E-2</v>
      </c>
      <c r="F1129" s="83">
        <v>1121</v>
      </c>
      <c r="G1129" s="83">
        <f t="shared" ca="1" si="39"/>
        <v>3.5104202257214656E-3</v>
      </c>
    </row>
    <row r="1130" spans="2:7" x14ac:dyDescent="0.2">
      <c r="B1130" s="167">
        <v>44817</v>
      </c>
      <c r="C1130" s="28">
        <v>332.35</v>
      </c>
      <c r="D1130" s="83">
        <f t="shared" si="38"/>
        <v>0.31208053691275173</v>
      </c>
      <c r="E1130" s="83">
        <v>1.0581688813208923E-2</v>
      </c>
      <c r="F1130" s="83">
        <v>1122</v>
      </c>
      <c r="G1130" s="83">
        <f t="shared" ca="1" si="39"/>
        <v>1.4484010244274797E-2</v>
      </c>
    </row>
    <row r="1131" spans="2:7" x14ac:dyDescent="0.2">
      <c r="B1131" s="167">
        <v>44652</v>
      </c>
      <c r="C1131" s="28">
        <v>253.3</v>
      </c>
      <c r="D1131" s="83">
        <f t="shared" si="38"/>
        <v>0.29037187977585327</v>
      </c>
      <c r="E1131" s="83">
        <v>1.0572511470177562E-2</v>
      </c>
      <c r="F1131" s="83">
        <v>1123</v>
      </c>
      <c r="G1131" s="83">
        <f t="shared" ca="1" si="39"/>
        <v>-1.4487335273215059E-2</v>
      </c>
    </row>
    <row r="1132" spans="2:7" x14ac:dyDescent="0.2">
      <c r="B1132" s="167">
        <v>44020</v>
      </c>
      <c r="C1132" s="28">
        <v>196.3</v>
      </c>
      <c r="D1132" s="83">
        <f t="shared" si="38"/>
        <v>-0.57570517669944876</v>
      </c>
      <c r="E1132" s="83">
        <v>1.0553410553410612E-2</v>
      </c>
      <c r="F1132" s="83">
        <v>1124</v>
      </c>
      <c r="G1132" s="83">
        <f t="shared" ca="1" si="39"/>
        <v>-8.2698084620436048E-3</v>
      </c>
    </row>
    <row r="1133" spans="2:7" x14ac:dyDescent="0.2">
      <c r="B1133" s="167">
        <v>45659</v>
      </c>
      <c r="C1133" s="28">
        <v>462.65</v>
      </c>
      <c r="D1133" s="83">
        <f t="shared" si="38"/>
        <v>0.48475609756097543</v>
      </c>
      <c r="E1133" s="83">
        <v>1.0549997815735407E-2</v>
      </c>
      <c r="F1133" s="83">
        <v>1125</v>
      </c>
      <c r="G1133" s="83">
        <f t="shared" ca="1" si="39"/>
        <v>-2.3086696310356657E-2</v>
      </c>
    </row>
    <row r="1134" spans="2:7" x14ac:dyDescent="0.2">
      <c r="B1134" s="167">
        <v>42915</v>
      </c>
      <c r="C1134" s="28">
        <v>311.60000000000002</v>
      </c>
      <c r="D1134" s="83">
        <f t="shared" si="38"/>
        <v>0.5107878787878789</v>
      </c>
      <c r="E1134" s="83">
        <v>1.0539970812388519E-2</v>
      </c>
      <c r="F1134" s="83">
        <v>1126</v>
      </c>
      <c r="G1134" s="83">
        <f t="shared" ca="1" si="39"/>
        <v>4.6843804304459438E-3</v>
      </c>
    </row>
    <row r="1135" spans="2:7" x14ac:dyDescent="0.2">
      <c r="B1135" s="167">
        <v>44392</v>
      </c>
      <c r="C1135" s="28">
        <v>206.25</v>
      </c>
      <c r="D1135" s="83">
        <f t="shared" si="38"/>
        <v>2.7684999086424269</v>
      </c>
      <c r="E1135" s="83">
        <v>1.0534051935325849E-2</v>
      </c>
      <c r="F1135" s="83">
        <v>1127</v>
      </c>
      <c r="G1135" s="83">
        <f t="shared" ca="1" si="39"/>
        <v>1.4307279021674267E-2</v>
      </c>
    </row>
    <row r="1136" spans="2:7" x14ac:dyDescent="0.2">
      <c r="B1136" s="167">
        <v>39219</v>
      </c>
      <c r="C1136" s="28">
        <v>54.73</v>
      </c>
      <c r="D1136" s="83">
        <f t="shared" si="38"/>
        <v>-0.69213028069978066</v>
      </c>
      <c r="E1136" s="83">
        <v>1.0524372230428366E-2</v>
      </c>
      <c r="F1136" s="83">
        <v>1128</v>
      </c>
      <c r="G1136" s="83">
        <f t="shared" ca="1" si="39"/>
        <v>-2.1864145507885305E-3</v>
      </c>
    </row>
    <row r="1137" spans="2:7" x14ac:dyDescent="0.2">
      <c r="B1137" s="167">
        <v>41149</v>
      </c>
      <c r="C1137" s="28">
        <v>177.77</v>
      </c>
      <c r="D1137" s="83">
        <f t="shared" si="38"/>
        <v>1.282028241335045</v>
      </c>
      <c r="E1137" s="83">
        <v>1.0516143701682712E-2</v>
      </c>
      <c r="F1137" s="83">
        <v>1129</v>
      </c>
      <c r="G1137" s="83">
        <f t="shared" ca="1" si="39"/>
        <v>-4.9367993143977105E-3</v>
      </c>
    </row>
    <row r="1138" spans="2:7" x14ac:dyDescent="0.2">
      <c r="B1138" s="167">
        <v>40081</v>
      </c>
      <c r="C1138" s="28">
        <v>77.900000000000006</v>
      </c>
      <c r="D1138" s="83">
        <f t="shared" si="38"/>
        <v>-0.60506970849176167</v>
      </c>
      <c r="E1138" s="83">
        <v>1.0507199377351176E-2</v>
      </c>
      <c r="F1138" s="83">
        <v>1130</v>
      </c>
      <c r="G1138" s="83">
        <f t="shared" ca="1" si="39"/>
        <v>2.6875199004017473E-2</v>
      </c>
    </row>
    <row r="1139" spans="2:7" x14ac:dyDescent="0.2">
      <c r="B1139" s="167">
        <v>44011</v>
      </c>
      <c r="C1139" s="28">
        <v>197.25</v>
      </c>
      <c r="D1139" s="83">
        <f t="shared" si="38"/>
        <v>-0.40239949101705696</v>
      </c>
      <c r="E1139" s="83">
        <v>1.0502049180327927E-2</v>
      </c>
      <c r="F1139" s="83">
        <v>1131</v>
      </c>
      <c r="G1139" s="83">
        <f t="shared" ca="1" si="39"/>
        <v>1.5915216038768713E-2</v>
      </c>
    </row>
    <row r="1140" spans="2:7" x14ac:dyDescent="0.2">
      <c r="B1140" s="167">
        <v>44848</v>
      </c>
      <c r="C1140" s="28">
        <v>330.07</v>
      </c>
      <c r="D1140" s="83">
        <f t="shared" si="38"/>
        <v>1.6348686836433306</v>
      </c>
      <c r="E1140" s="83">
        <v>1.0500857212833722E-2</v>
      </c>
      <c r="F1140" s="83">
        <v>1132</v>
      </c>
      <c r="G1140" s="83">
        <f t="shared" ca="1" si="39"/>
        <v>-6.3354454324497118E-3</v>
      </c>
    </row>
    <row r="1141" spans="2:7" x14ac:dyDescent="0.2">
      <c r="B1141" s="167">
        <v>40690</v>
      </c>
      <c r="C1141" s="28">
        <v>125.27</v>
      </c>
      <c r="D1141" s="83">
        <f t="shared" si="38"/>
        <v>-0.56721368111936432</v>
      </c>
      <c r="E1141" s="83">
        <v>1.048640800193593E-2</v>
      </c>
      <c r="F1141" s="83">
        <v>1133</v>
      </c>
      <c r="G1141" s="83">
        <f t="shared" ca="1" si="39"/>
        <v>-8.3703884360394557E-3</v>
      </c>
    </row>
    <row r="1142" spans="2:7" x14ac:dyDescent="0.2">
      <c r="B1142" s="167">
        <v>43392</v>
      </c>
      <c r="C1142" s="28">
        <v>289.45</v>
      </c>
      <c r="D1142" s="83">
        <f t="shared" si="38"/>
        <v>7.5509601181683896</v>
      </c>
      <c r="E1142" s="83">
        <v>1.0473031942747426E-2</v>
      </c>
      <c r="F1142" s="83">
        <v>1134</v>
      </c>
      <c r="G1142" s="83">
        <f t="shared" ca="1" si="39"/>
        <v>2.2938294065484768E-2</v>
      </c>
    </row>
    <row r="1143" spans="2:7" x14ac:dyDescent="0.2">
      <c r="B1143" s="167">
        <v>38498</v>
      </c>
      <c r="C1143" s="28">
        <v>33.85</v>
      </c>
      <c r="D1143" s="83">
        <f t="shared" si="38"/>
        <v>-0.43630308076602825</v>
      </c>
      <c r="E1143" s="83">
        <v>1.0447761194029893E-2</v>
      </c>
      <c r="F1143" s="83">
        <v>1135</v>
      </c>
      <c r="G1143" s="83">
        <f t="shared" ca="1" si="39"/>
        <v>-6.3690039325225486E-3</v>
      </c>
    </row>
    <row r="1144" spans="2:7" x14ac:dyDescent="0.2">
      <c r="B1144" s="167">
        <v>39860</v>
      </c>
      <c r="C1144" s="28">
        <v>60.05</v>
      </c>
      <c r="D1144" s="83">
        <f t="shared" si="38"/>
        <v>-0.72479376718606781</v>
      </c>
      <c r="E1144" s="83">
        <v>1.0432441527847846E-2</v>
      </c>
      <c r="F1144" s="83">
        <v>1136</v>
      </c>
      <c r="G1144" s="83">
        <f t="shared" ca="1" si="39"/>
        <v>-7.2054525818129522E-3</v>
      </c>
    </row>
    <row r="1145" spans="2:7" x14ac:dyDescent="0.2">
      <c r="B1145" s="167">
        <v>44229</v>
      </c>
      <c r="C1145" s="28">
        <v>218.2</v>
      </c>
      <c r="D1145" s="83">
        <f t="shared" si="38"/>
        <v>0.45060497274298633</v>
      </c>
      <c r="E1145" s="83">
        <v>1.0419078490391295E-2</v>
      </c>
      <c r="F1145" s="83">
        <v>1137</v>
      </c>
      <c r="G1145" s="83">
        <f t="shared" ca="1" si="39"/>
        <v>2.0229178723469021E-2</v>
      </c>
    </row>
    <row r="1146" spans="2:7" x14ac:dyDescent="0.2">
      <c r="B1146" s="167">
        <v>40998</v>
      </c>
      <c r="C1146" s="28">
        <v>150.41999999999999</v>
      </c>
      <c r="D1146" s="83">
        <f t="shared" si="38"/>
        <v>-0.4563787495482472</v>
      </c>
      <c r="E1146" s="83">
        <v>1.0411768657217591E-2</v>
      </c>
      <c r="F1146" s="83">
        <v>1138</v>
      </c>
      <c r="G1146" s="83">
        <f t="shared" ca="1" si="39"/>
        <v>1.88023115532251E-2</v>
      </c>
    </row>
    <row r="1147" spans="2:7" x14ac:dyDescent="0.2">
      <c r="B1147" s="167">
        <v>43649</v>
      </c>
      <c r="C1147" s="28">
        <v>276.7</v>
      </c>
      <c r="D1147" s="83">
        <f t="shared" si="38"/>
        <v>0.29510882284109519</v>
      </c>
      <c r="E1147" s="83">
        <v>1.040715720284815E-2</v>
      </c>
      <c r="F1147" s="83">
        <v>1139</v>
      </c>
      <c r="G1147" s="83">
        <f t="shared" ca="1" si="39"/>
        <v>2.4205702881471319E-3</v>
      </c>
    </row>
    <row r="1148" spans="2:7" x14ac:dyDescent="0.2">
      <c r="B1148" s="167">
        <v>44355</v>
      </c>
      <c r="C1148" s="28">
        <v>213.65</v>
      </c>
      <c r="D1148" s="83">
        <f t="shared" si="38"/>
        <v>-0.26719259132224321</v>
      </c>
      <c r="E1148" s="83">
        <v>1.0404350910380786E-2</v>
      </c>
      <c r="F1148" s="83">
        <v>1140</v>
      </c>
      <c r="G1148" s="83">
        <f t="shared" ca="1" si="39"/>
        <v>1.2453276011256257E-3</v>
      </c>
    </row>
    <row r="1149" spans="2:7" x14ac:dyDescent="0.2">
      <c r="B1149" s="167">
        <v>42944</v>
      </c>
      <c r="C1149" s="28">
        <v>291.55</v>
      </c>
      <c r="D1149" s="83">
        <f t="shared" si="38"/>
        <v>0.22448551028979427</v>
      </c>
      <c r="E1149" s="83">
        <v>1.0396811644429042E-2</v>
      </c>
      <c r="F1149" s="83">
        <v>1141</v>
      </c>
      <c r="G1149" s="83">
        <f t="shared" ca="1" si="39"/>
        <v>-1.2233093209096359E-2</v>
      </c>
    </row>
    <row r="1150" spans="2:7" x14ac:dyDescent="0.2">
      <c r="B1150" s="167">
        <v>41948</v>
      </c>
      <c r="C1150" s="28">
        <v>238.1</v>
      </c>
      <c r="D1150" s="83">
        <f t="shared" si="38"/>
        <v>0.57996018579960196</v>
      </c>
      <c r="E1150" s="83">
        <v>1.0396774877996982E-2</v>
      </c>
      <c r="F1150" s="83">
        <v>1142</v>
      </c>
      <c r="G1150" s="83">
        <f t="shared" ca="1" si="39"/>
        <v>1.8854996098324736E-2</v>
      </c>
    </row>
    <row r="1151" spans="2:7" x14ac:dyDescent="0.2">
      <c r="B1151" s="167">
        <v>43908</v>
      </c>
      <c r="C1151" s="28">
        <v>150.69999999999999</v>
      </c>
      <c r="D1151" s="83">
        <f t="shared" si="38"/>
        <v>0.17385885651970706</v>
      </c>
      <c r="E1151" s="83">
        <v>1.0392222594703205E-2</v>
      </c>
      <c r="F1151" s="83">
        <v>1143</v>
      </c>
      <c r="G1151" s="83">
        <f t="shared" ca="1" si="39"/>
        <v>2.687780210454788E-2</v>
      </c>
    </row>
    <row r="1152" spans="2:7" x14ac:dyDescent="0.2">
      <c r="B1152" s="167">
        <v>40660</v>
      </c>
      <c r="C1152" s="28">
        <v>128.38</v>
      </c>
      <c r="D1152" s="83">
        <f t="shared" si="38"/>
        <v>-0.5376193048802449</v>
      </c>
      <c r="E1152" s="83">
        <v>1.0388792696363868E-2</v>
      </c>
      <c r="F1152" s="83">
        <v>1144</v>
      </c>
      <c r="G1152" s="83">
        <f t="shared" ca="1" si="39"/>
        <v>1.5964642683870635E-2</v>
      </c>
    </row>
    <row r="1153" spans="2:7" x14ac:dyDescent="0.2">
      <c r="B1153" s="167">
        <v>42775</v>
      </c>
      <c r="C1153" s="28">
        <v>277.64999999999998</v>
      </c>
      <c r="D1153" s="83">
        <f t="shared" si="38"/>
        <v>-0.31189591078066919</v>
      </c>
      <c r="E1153" s="83">
        <v>1.0371179039301185E-2</v>
      </c>
      <c r="F1153" s="83">
        <v>1145</v>
      </c>
      <c r="G1153" s="83">
        <f t="shared" ca="1" si="39"/>
        <v>-2.2959132980381624E-3</v>
      </c>
    </row>
    <row r="1154" spans="2:7" x14ac:dyDescent="0.2">
      <c r="B1154" s="167">
        <v>45069</v>
      </c>
      <c r="C1154" s="28">
        <v>403.5</v>
      </c>
      <c r="D1154" s="83">
        <f t="shared" si="38"/>
        <v>0.76008724100327152</v>
      </c>
      <c r="E1154" s="83">
        <v>1.0366586538461503E-2</v>
      </c>
      <c r="F1154" s="83">
        <v>1146</v>
      </c>
      <c r="G1154" s="83">
        <f t="shared" ca="1" si="39"/>
        <v>2.3417983759255936E-2</v>
      </c>
    </row>
    <row r="1155" spans="2:7" x14ac:dyDescent="0.2">
      <c r="B1155" s="167">
        <v>44629</v>
      </c>
      <c r="C1155" s="28">
        <v>229.25</v>
      </c>
      <c r="D1155" s="83">
        <f t="shared" si="38"/>
        <v>3.0482076637824473</v>
      </c>
      <c r="E1155" s="83">
        <v>1.0356985456148058E-2</v>
      </c>
      <c r="F1155" s="83">
        <v>1147</v>
      </c>
      <c r="G1155" s="83">
        <f t="shared" ca="1" si="39"/>
        <v>-8.9473739718065812E-3</v>
      </c>
    </row>
    <row r="1156" spans="2:7" x14ac:dyDescent="0.2">
      <c r="B1156" s="167">
        <v>39743</v>
      </c>
      <c r="C1156" s="28">
        <v>56.63</v>
      </c>
      <c r="D1156" s="83">
        <f t="shared" si="38"/>
        <v>-7.978550536236588E-2</v>
      </c>
      <c r="E1156" s="83">
        <v>1.0347903657448804E-2</v>
      </c>
      <c r="F1156" s="83">
        <v>1148</v>
      </c>
      <c r="G1156" s="83">
        <f t="shared" ca="1" si="39"/>
        <v>1.9272066807189941E-2</v>
      </c>
    </row>
    <row r="1157" spans="2:7" x14ac:dyDescent="0.2">
      <c r="B1157" s="167">
        <v>38987</v>
      </c>
      <c r="C1157" s="28">
        <v>61.54</v>
      </c>
      <c r="D1157" s="83">
        <f t="shared" si="38"/>
        <v>-0.55168645734683475</v>
      </c>
      <c r="E1157" s="83">
        <v>1.0343129207026803E-2</v>
      </c>
      <c r="F1157" s="83">
        <v>1149</v>
      </c>
      <c r="G1157" s="83">
        <f t="shared" ca="1" si="39"/>
        <v>1.8867798498989539E-2</v>
      </c>
    </row>
    <row r="1158" spans="2:7" x14ac:dyDescent="0.2">
      <c r="B1158" s="167">
        <v>40921</v>
      </c>
      <c r="C1158" s="28">
        <v>137.27000000000001</v>
      </c>
      <c r="D1158" s="83">
        <f t="shared" si="38"/>
        <v>-0.67553065758993991</v>
      </c>
      <c r="E1158" s="83">
        <v>1.0303967027305554E-2</v>
      </c>
      <c r="F1158" s="83">
        <v>1150</v>
      </c>
      <c r="G1158" s="83">
        <f t="shared" ca="1" si="39"/>
        <v>1.005763062182962E-2</v>
      </c>
    </row>
    <row r="1159" spans="2:7" x14ac:dyDescent="0.2">
      <c r="B1159" s="167">
        <v>45180</v>
      </c>
      <c r="C1159" s="28">
        <v>423.06</v>
      </c>
      <c r="D1159" s="83">
        <f t="shared" si="38"/>
        <v>4.6687659118317031</v>
      </c>
      <c r="E1159" s="83">
        <v>1.0292537313432841E-2</v>
      </c>
      <c r="F1159" s="83">
        <v>1151</v>
      </c>
      <c r="G1159" s="83">
        <f t="shared" ca="1" si="39"/>
        <v>-1.59941171198884E-2</v>
      </c>
    </row>
    <row r="1160" spans="2:7" x14ac:dyDescent="0.2">
      <c r="B1160" s="167">
        <v>40045</v>
      </c>
      <c r="C1160" s="28">
        <v>74.63</v>
      </c>
      <c r="D1160" s="83">
        <f t="shared" si="38"/>
        <v>-0.156627867555656</v>
      </c>
      <c r="E1160" s="83">
        <v>1.0288344388790996E-2</v>
      </c>
      <c r="F1160" s="83">
        <v>1152</v>
      </c>
      <c r="G1160" s="83">
        <f t="shared" ca="1" si="39"/>
        <v>-7.7848681502545294E-4</v>
      </c>
    </row>
    <row r="1161" spans="2:7" x14ac:dyDescent="0.2">
      <c r="B1161" s="167">
        <v>40291</v>
      </c>
      <c r="C1161" s="28">
        <v>88.49</v>
      </c>
      <c r="D1161" s="83">
        <f t="shared" ref="D1161:D1224" si="40">(C1161-C1162)/C1162</f>
        <v>-0.2437398512947612</v>
      </c>
      <c r="E1161" s="83">
        <v>1.0275145564562067E-2</v>
      </c>
      <c r="F1161" s="83">
        <v>1153</v>
      </c>
      <c r="G1161" s="83">
        <f t="shared" ref="G1161:G1224" ca="1" si="41">_xlfn.NORM.INV(RAND(),$M$10,$M$11)</f>
        <v>-3.1748738075690383E-2</v>
      </c>
    </row>
    <row r="1162" spans="2:7" x14ac:dyDescent="0.2">
      <c r="B1162" s="167">
        <v>40444</v>
      </c>
      <c r="C1162" s="28">
        <v>117.01</v>
      </c>
      <c r="D1162" s="83">
        <f t="shared" si="40"/>
        <v>-0.55945030120481931</v>
      </c>
      <c r="E1162" s="83">
        <v>1.0274563978587567E-2</v>
      </c>
      <c r="F1162" s="83">
        <v>1154</v>
      </c>
      <c r="G1162" s="83">
        <f t="shared" ca="1" si="41"/>
        <v>-1.4150779996469975E-2</v>
      </c>
    </row>
    <row r="1163" spans="2:7" x14ac:dyDescent="0.2">
      <c r="B1163" s="167">
        <v>43108</v>
      </c>
      <c r="C1163" s="28">
        <v>265.60000000000002</v>
      </c>
      <c r="D1163" s="83">
        <f t="shared" si="40"/>
        <v>0.2978255558270218</v>
      </c>
      <c r="E1163" s="83">
        <v>1.0270064663370276E-2</v>
      </c>
      <c r="F1163" s="83">
        <v>1155</v>
      </c>
      <c r="G1163" s="83">
        <f t="shared" ca="1" si="41"/>
        <v>2.4569097103791834E-2</v>
      </c>
    </row>
    <row r="1164" spans="2:7" x14ac:dyDescent="0.2">
      <c r="B1164" s="167">
        <v>41516</v>
      </c>
      <c r="C1164" s="28">
        <v>204.65</v>
      </c>
      <c r="D1164" s="83">
        <f t="shared" si="40"/>
        <v>1.1006980086224594</v>
      </c>
      <c r="E1164" s="83">
        <v>1.0268055486992214E-2</v>
      </c>
      <c r="F1164" s="83">
        <v>1156</v>
      </c>
      <c r="G1164" s="83">
        <f t="shared" ca="1" si="41"/>
        <v>1.9091375605005526E-2</v>
      </c>
    </row>
    <row r="1165" spans="2:7" x14ac:dyDescent="0.2">
      <c r="B1165" s="167">
        <v>40346</v>
      </c>
      <c r="C1165" s="28">
        <v>97.42</v>
      </c>
      <c r="D1165" s="83">
        <f t="shared" si="40"/>
        <v>0.12260889605899977</v>
      </c>
      <c r="E1165" s="83">
        <v>1.0266514570154463E-2</v>
      </c>
      <c r="F1165" s="83">
        <v>1157</v>
      </c>
      <c r="G1165" s="83">
        <f t="shared" ca="1" si="41"/>
        <v>2.7141964620851219E-2</v>
      </c>
    </row>
    <row r="1166" spans="2:7" x14ac:dyDescent="0.2">
      <c r="B1166" s="167">
        <v>40308</v>
      </c>
      <c r="C1166" s="28">
        <v>86.78</v>
      </c>
      <c r="D1166" s="83">
        <f t="shared" si="40"/>
        <v>-0.57082096933728976</v>
      </c>
      <c r="E1166" s="83">
        <v>1.0244470314318922E-2</v>
      </c>
      <c r="F1166" s="83">
        <v>1158</v>
      </c>
      <c r="G1166" s="83">
        <f t="shared" ca="1" si="41"/>
        <v>5.4640342315530992E-3</v>
      </c>
    </row>
    <row r="1167" spans="2:7" x14ac:dyDescent="0.2">
      <c r="B1167" s="167">
        <v>42174</v>
      </c>
      <c r="C1167" s="28">
        <v>202.2</v>
      </c>
      <c r="D1167" s="83">
        <f t="shared" si="40"/>
        <v>-4.6586193889098564E-2</v>
      </c>
      <c r="E1167" s="83">
        <v>1.0242318261303937E-2</v>
      </c>
      <c r="F1167" s="83">
        <v>1159</v>
      </c>
      <c r="G1167" s="83">
        <f t="shared" ca="1" si="41"/>
        <v>-1.6574005319045976E-2</v>
      </c>
    </row>
    <row r="1168" spans="2:7" x14ac:dyDescent="0.2">
      <c r="B1168" s="167">
        <v>41590</v>
      </c>
      <c r="C1168" s="28">
        <v>212.08</v>
      </c>
      <c r="D1168" s="83">
        <f t="shared" si="40"/>
        <v>0.54656165682199387</v>
      </c>
      <c r="E1168" s="83">
        <v>1.0241509074453417E-2</v>
      </c>
      <c r="F1168" s="83">
        <v>1160</v>
      </c>
      <c r="G1168" s="83">
        <f t="shared" ca="1" si="41"/>
        <v>1.1362287531677052E-2</v>
      </c>
    </row>
    <row r="1169" spans="2:7" x14ac:dyDescent="0.2">
      <c r="B1169" s="167">
        <v>40758</v>
      </c>
      <c r="C1169" s="28">
        <v>137.13</v>
      </c>
      <c r="D1169" s="83">
        <f t="shared" si="40"/>
        <v>-7.2395569391153266E-3</v>
      </c>
      <c r="E1169" s="83">
        <v>1.0240165021364272E-2</v>
      </c>
      <c r="F1169" s="83">
        <v>1161</v>
      </c>
      <c r="G1169" s="83">
        <f t="shared" ca="1" si="41"/>
        <v>-4.2029569332855461E-2</v>
      </c>
    </row>
    <row r="1170" spans="2:7" x14ac:dyDescent="0.2">
      <c r="B1170" s="167">
        <v>40753</v>
      </c>
      <c r="C1170" s="28">
        <v>138.13</v>
      </c>
      <c r="D1170" s="83">
        <f t="shared" si="40"/>
        <v>2.6815031982942426</v>
      </c>
      <c r="E1170" s="83">
        <v>1.0239157463614465E-2</v>
      </c>
      <c r="F1170" s="83">
        <v>1162</v>
      </c>
      <c r="G1170" s="83">
        <f t="shared" ca="1" si="41"/>
        <v>-1.1933187219102279E-2</v>
      </c>
    </row>
    <row r="1171" spans="2:7" x14ac:dyDescent="0.2">
      <c r="B1171" s="167">
        <v>38541</v>
      </c>
      <c r="C1171" s="28">
        <v>37.520000000000003</v>
      </c>
      <c r="D1171" s="83">
        <f t="shared" si="40"/>
        <v>-0.28342245989304804</v>
      </c>
      <c r="E1171" s="83">
        <v>1.0231556273559574E-2</v>
      </c>
      <c r="F1171" s="83">
        <v>1163</v>
      </c>
      <c r="G1171" s="83">
        <f t="shared" ca="1" si="41"/>
        <v>6.9172399999967889E-3</v>
      </c>
    </row>
    <row r="1172" spans="2:7" x14ac:dyDescent="0.2">
      <c r="B1172" s="167">
        <v>39267</v>
      </c>
      <c r="C1172" s="28">
        <v>52.36</v>
      </c>
      <c r="D1172" s="83">
        <f t="shared" si="40"/>
        <v>-0.48606203376521395</v>
      </c>
      <c r="E1172" s="83">
        <v>1.0225737989581346E-2</v>
      </c>
      <c r="F1172" s="83">
        <v>1164</v>
      </c>
      <c r="G1172" s="83">
        <f t="shared" ca="1" si="41"/>
        <v>-4.1994079386811958E-3</v>
      </c>
    </row>
    <row r="1173" spans="2:7" x14ac:dyDescent="0.2">
      <c r="B1173" s="167">
        <v>40387</v>
      </c>
      <c r="C1173" s="28">
        <v>101.88</v>
      </c>
      <c r="D1173" s="83">
        <f t="shared" si="40"/>
        <v>-0.51019230769230772</v>
      </c>
      <c r="E1173" s="83">
        <v>1.0213187902825991E-2</v>
      </c>
      <c r="F1173" s="83">
        <v>1165</v>
      </c>
      <c r="G1173" s="83">
        <f t="shared" ca="1" si="41"/>
        <v>9.3888623654494758E-3</v>
      </c>
    </row>
    <row r="1174" spans="2:7" x14ac:dyDescent="0.2">
      <c r="B1174" s="167">
        <v>44438</v>
      </c>
      <c r="C1174" s="28">
        <v>208</v>
      </c>
      <c r="D1174" s="83">
        <f t="shared" si="40"/>
        <v>4.9445005045408739E-2</v>
      </c>
      <c r="E1174" s="83">
        <v>1.019912578921804E-2</v>
      </c>
      <c r="F1174" s="83">
        <v>1166</v>
      </c>
      <c r="G1174" s="83">
        <f t="shared" ca="1" si="41"/>
        <v>-1.7965219592655506E-2</v>
      </c>
    </row>
    <row r="1175" spans="2:7" x14ac:dyDescent="0.2">
      <c r="B1175" s="167">
        <v>44169</v>
      </c>
      <c r="C1175" s="28">
        <v>198.2</v>
      </c>
      <c r="D1175" s="83">
        <f t="shared" si="40"/>
        <v>-0.21644593793239772</v>
      </c>
      <c r="E1175" s="83">
        <v>1.0193679918450561E-2</v>
      </c>
      <c r="F1175" s="83">
        <v>1167</v>
      </c>
      <c r="G1175" s="83">
        <f t="shared" ca="1" si="41"/>
        <v>-1.5707088671569235E-2</v>
      </c>
    </row>
    <row r="1176" spans="2:7" x14ac:dyDescent="0.2">
      <c r="B1176" s="167">
        <v>43735</v>
      </c>
      <c r="C1176" s="28">
        <v>252.95</v>
      </c>
      <c r="D1176" s="83">
        <f t="shared" si="40"/>
        <v>2.6338169803189193</v>
      </c>
      <c r="E1176" s="83">
        <v>1.0183706070287471E-2</v>
      </c>
      <c r="F1176" s="83">
        <v>1168</v>
      </c>
      <c r="G1176" s="83">
        <f t="shared" ca="1" si="41"/>
        <v>1.8941568641728378E-2</v>
      </c>
    </row>
    <row r="1177" spans="2:7" x14ac:dyDescent="0.2">
      <c r="B1177" s="167">
        <v>39554</v>
      </c>
      <c r="C1177" s="28">
        <v>69.61</v>
      </c>
      <c r="D1177" s="83">
        <f t="shared" si="40"/>
        <v>-0.48172139081229992</v>
      </c>
      <c r="E1177" s="83">
        <v>1.0158177332752908E-2</v>
      </c>
      <c r="F1177" s="83">
        <v>1169</v>
      </c>
      <c r="G1177" s="83">
        <f t="shared" ca="1" si="41"/>
        <v>-1.6124190914114201E-2</v>
      </c>
    </row>
    <row r="1178" spans="2:7" x14ac:dyDescent="0.2">
      <c r="B1178" s="167">
        <v>40735</v>
      </c>
      <c r="C1178" s="28">
        <v>134.31</v>
      </c>
      <c r="D1178" s="83">
        <f t="shared" si="40"/>
        <v>-0.54277446808510632</v>
      </c>
      <c r="E1178" s="83">
        <v>1.0153429602888044E-2</v>
      </c>
      <c r="F1178" s="83">
        <v>1170</v>
      </c>
      <c r="G1178" s="83">
        <f t="shared" ca="1" si="41"/>
        <v>1.69815451623745E-2</v>
      </c>
    </row>
    <row r="1179" spans="2:7" x14ac:dyDescent="0.2">
      <c r="B1179" s="167">
        <v>43542</v>
      </c>
      <c r="C1179" s="28">
        <v>293.75</v>
      </c>
      <c r="D1179" s="83">
        <f t="shared" si="40"/>
        <v>0.37202241943017283</v>
      </c>
      <c r="E1179" s="83">
        <v>1.0144429160935312E-2</v>
      </c>
      <c r="F1179" s="83">
        <v>1171</v>
      </c>
      <c r="G1179" s="83">
        <f t="shared" ca="1" si="41"/>
        <v>-1.7747186449950589E-2</v>
      </c>
    </row>
    <row r="1180" spans="2:7" x14ac:dyDescent="0.2">
      <c r="B1180" s="167">
        <v>41451</v>
      </c>
      <c r="C1180" s="28">
        <v>214.1</v>
      </c>
      <c r="D1180" s="83">
        <f t="shared" si="40"/>
        <v>-0.47471724036409135</v>
      </c>
      <c r="E1180" s="83">
        <v>1.0143901863647114E-2</v>
      </c>
      <c r="F1180" s="83">
        <v>1172</v>
      </c>
      <c r="G1180" s="83">
        <f t="shared" ca="1" si="41"/>
        <v>2.0824092129158141E-2</v>
      </c>
    </row>
    <row r="1181" spans="2:7" x14ac:dyDescent="0.2">
      <c r="B1181" s="167">
        <v>45070</v>
      </c>
      <c r="C1181" s="28">
        <v>407.59</v>
      </c>
      <c r="D1181" s="83">
        <f t="shared" si="40"/>
        <v>1.1274074847330235</v>
      </c>
      <c r="E1181" s="83">
        <v>1.0136307311028438E-2</v>
      </c>
      <c r="F1181" s="83">
        <v>1173</v>
      </c>
      <c r="G1181" s="83">
        <f t="shared" ca="1" si="41"/>
        <v>-2.2659501084115456E-2</v>
      </c>
    </row>
    <row r="1182" spans="2:7" x14ac:dyDescent="0.2">
      <c r="B1182" s="167">
        <v>41235</v>
      </c>
      <c r="C1182" s="28">
        <v>191.59</v>
      </c>
      <c r="D1182" s="83">
        <f t="shared" si="40"/>
        <v>1.6277602523659307</v>
      </c>
      <c r="E1182" s="83">
        <v>1.0122844941213771E-2</v>
      </c>
      <c r="F1182" s="83">
        <v>1174</v>
      </c>
      <c r="G1182" s="83">
        <f t="shared" ca="1" si="41"/>
        <v>1.9913939386497014E-2</v>
      </c>
    </row>
    <row r="1183" spans="2:7" x14ac:dyDescent="0.2">
      <c r="B1183" s="167">
        <v>39601</v>
      </c>
      <c r="C1183" s="28">
        <v>72.91</v>
      </c>
      <c r="D1183" s="83">
        <f t="shared" si="40"/>
        <v>-0.72484715827609636</v>
      </c>
      <c r="E1183" s="83">
        <v>1.0113604876697003E-2</v>
      </c>
      <c r="F1183" s="83">
        <v>1175</v>
      </c>
      <c r="G1183" s="83">
        <f t="shared" ca="1" si="41"/>
        <v>8.3129761989367938E-3</v>
      </c>
    </row>
    <row r="1184" spans="2:7" x14ac:dyDescent="0.2">
      <c r="B1184" s="167">
        <v>42060</v>
      </c>
      <c r="C1184" s="28">
        <v>264.98</v>
      </c>
      <c r="D1184" s="83">
        <f t="shared" si="40"/>
        <v>0.29164026322203274</v>
      </c>
      <c r="E1184" s="83">
        <v>1.0101780200510937E-2</v>
      </c>
      <c r="F1184" s="83">
        <v>1176</v>
      </c>
      <c r="G1184" s="83">
        <f t="shared" ca="1" si="41"/>
        <v>1.7903437787729303E-2</v>
      </c>
    </row>
    <row r="1185" spans="2:7" x14ac:dyDescent="0.2">
      <c r="B1185" s="167">
        <v>41361</v>
      </c>
      <c r="C1185" s="28">
        <v>205.15</v>
      </c>
      <c r="D1185" s="83">
        <f t="shared" si="40"/>
        <v>-0.5388436811581172</v>
      </c>
      <c r="E1185" s="83">
        <v>1.0093549975381642E-2</v>
      </c>
      <c r="F1185" s="83">
        <v>1177</v>
      </c>
      <c r="G1185" s="83">
        <f t="shared" ca="1" si="41"/>
        <v>-5.785966558012212E-3</v>
      </c>
    </row>
    <row r="1186" spans="2:7" x14ac:dyDescent="0.2">
      <c r="B1186" s="167">
        <v>45491</v>
      </c>
      <c r="C1186" s="28">
        <v>444.86</v>
      </c>
      <c r="D1186" s="83">
        <f t="shared" si="40"/>
        <v>0.70607861936721006</v>
      </c>
      <c r="E1186" s="83">
        <v>1.0081286045138726E-2</v>
      </c>
      <c r="F1186" s="83">
        <v>1178</v>
      </c>
      <c r="G1186" s="83">
        <f t="shared" ca="1" si="41"/>
        <v>-9.7701574384239723E-3</v>
      </c>
    </row>
    <row r="1187" spans="2:7" x14ac:dyDescent="0.2">
      <c r="B1187" s="167">
        <v>43063</v>
      </c>
      <c r="C1187" s="28">
        <v>260.75</v>
      </c>
      <c r="D1187" s="83">
        <f t="shared" si="40"/>
        <v>0.2089109369929065</v>
      </c>
      <c r="E1187" s="83">
        <v>1.0071663761379131E-2</v>
      </c>
      <c r="F1187" s="83">
        <v>1179</v>
      </c>
      <c r="G1187" s="83">
        <f t="shared" ca="1" si="41"/>
        <v>2.0041605911877213E-2</v>
      </c>
    </row>
    <row r="1188" spans="2:7" x14ac:dyDescent="0.2">
      <c r="B1188" s="167">
        <v>41494</v>
      </c>
      <c r="C1188" s="28">
        <v>215.69</v>
      </c>
      <c r="D1188" s="83">
        <f t="shared" si="40"/>
        <v>-0.29616576929352256</v>
      </c>
      <c r="E1188" s="83">
        <v>1.0068371265336731E-2</v>
      </c>
      <c r="F1188" s="83">
        <v>1180</v>
      </c>
      <c r="G1188" s="83">
        <f t="shared" ca="1" si="41"/>
        <v>1.0652737494595605E-2</v>
      </c>
    </row>
    <row r="1189" spans="2:7" x14ac:dyDescent="0.2">
      <c r="B1189" s="167">
        <v>43579</v>
      </c>
      <c r="C1189" s="28">
        <v>306.45</v>
      </c>
      <c r="D1189" s="83">
        <f t="shared" si="40"/>
        <v>-0.38032070855155398</v>
      </c>
      <c r="E1189" s="83">
        <v>1.0052735662491798E-2</v>
      </c>
      <c r="F1189" s="83">
        <v>1181</v>
      </c>
      <c r="G1189" s="83">
        <f t="shared" ca="1" si="41"/>
        <v>2.7702343864474992E-2</v>
      </c>
    </row>
    <row r="1190" spans="2:7" x14ac:dyDescent="0.2">
      <c r="B1190" s="167">
        <v>45561</v>
      </c>
      <c r="C1190" s="28">
        <v>494.53</v>
      </c>
      <c r="D1190" s="83">
        <f t="shared" si="40"/>
        <v>0.10682632050134279</v>
      </c>
      <c r="E1190" s="83">
        <v>1.0048814362451664E-2</v>
      </c>
      <c r="F1190" s="83">
        <v>1182</v>
      </c>
      <c r="G1190" s="83">
        <f t="shared" ca="1" si="41"/>
        <v>4.4605621246306083E-3</v>
      </c>
    </row>
    <row r="1191" spans="2:7" x14ac:dyDescent="0.2">
      <c r="B1191" s="167">
        <v>45307</v>
      </c>
      <c r="C1191" s="28">
        <v>446.8</v>
      </c>
      <c r="D1191" s="83">
        <f t="shared" si="40"/>
        <v>1.5213024095705661</v>
      </c>
      <c r="E1191" s="83">
        <v>1.0037073876480689E-2</v>
      </c>
      <c r="F1191" s="83">
        <v>1183</v>
      </c>
      <c r="G1191" s="83">
        <f t="shared" ca="1" si="41"/>
        <v>1.2158545358873315E-2</v>
      </c>
    </row>
    <row r="1192" spans="2:7" x14ac:dyDescent="0.2">
      <c r="B1192" s="167">
        <v>41163</v>
      </c>
      <c r="C1192" s="28">
        <v>177.21</v>
      </c>
      <c r="D1192" s="83">
        <f t="shared" si="40"/>
        <v>-0.58689418840478358</v>
      </c>
      <c r="E1192" s="83">
        <v>1.0031347962382557E-2</v>
      </c>
      <c r="F1192" s="83">
        <v>1184</v>
      </c>
      <c r="G1192" s="83">
        <f t="shared" ca="1" si="41"/>
        <v>2.0155601216367766E-2</v>
      </c>
    </row>
    <row r="1193" spans="2:7" x14ac:dyDescent="0.2">
      <c r="B1193" s="167">
        <v>45216</v>
      </c>
      <c r="C1193" s="28">
        <v>428.97</v>
      </c>
      <c r="D1193" s="83">
        <f t="shared" si="40"/>
        <v>-0.12713399125038144</v>
      </c>
      <c r="E1193" s="83">
        <v>1.0030373666737416E-2</v>
      </c>
      <c r="F1193" s="83">
        <v>1185</v>
      </c>
      <c r="G1193" s="83">
        <f t="shared" ca="1" si="41"/>
        <v>-3.7763876441610528E-2</v>
      </c>
    </row>
    <row r="1194" spans="2:7" x14ac:dyDescent="0.2">
      <c r="B1194" s="167">
        <v>45547</v>
      </c>
      <c r="C1194" s="28">
        <v>491.45</v>
      </c>
      <c r="D1194" s="83">
        <f t="shared" si="40"/>
        <v>11.811522419186652</v>
      </c>
      <c r="E1194" s="83">
        <v>1.000863167413376E-2</v>
      </c>
      <c r="F1194" s="83">
        <v>1186</v>
      </c>
      <c r="G1194" s="83">
        <f t="shared" ca="1" si="41"/>
        <v>-2.3053537365569161E-2</v>
      </c>
    </row>
    <row r="1195" spans="2:7" x14ac:dyDescent="0.2">
      <c r="B1195" s="167">
        <v>38568</v>
      </c>
      <c r="C1195" s="28">
        <v>38.36</v>
      </c>
      <c r="D1195" s="83">
        <f t="shared" si="40"/>
        <v>-0.85341434521762383</v>
      </c>
      <c r="E1195" s="83">
        <v>1.0005265929436614E-2</v>
      </c>
      <c r="F1195" s="83">
        <v>1187</v>
      </c>
      <c r="G1195" s="83">
        <f t="shared" ca="1" si="41"/>
        <v>4.6872019346749115E-3</v>
      </c>
    </row>
    <row r="1196" spans="2:7" x14ac:dyDescent="0.2">
      <c r="B1196" s="167">
        <v>44729</v>
      </c>
      <c r="C1196" s="28">
        <v>261.69</v>
      </c>
      <c r="D1196" s="83">
        <f t="shared" si="40"/>
        <v>3.3090729458257866</v>
      </c>
      <c r="E1196" s="83">
        <v>9.9961404862986287E-3</v>
      </c>
      <c r="F1196" s="83">
        <v>1188</v>
      </c>
      <c r="G1196" s="83">
        <f t="shared" ca="1" si="41"/>
        <v>2.7594845572123168E-2</v>
      </c>
    </row>
    <row r="1197" spans="2:7" x14ac:dyDescent="0.2">
      <c r="B1197" s="167">
        <v>38863</v>
      </c>
      <c r="C1197" s="28">
        <v>60.73</v>
      </c>
      <c r="D1197" s="83">
        <f t="shared" si="40"/>
        <v>-0.65334779382384844</v>
      </c>
      <c r="E1197" s="83">
        <v>9.9783801762846208E-3</v>
      </c>
      <c r="F1197" s="83">
        <v>1189</v>
      </c>
      <c r="G1197" s="83">
        <f t="shared" ca="1" si="41"/>
        <v>-8.9472289219409019E-3</v>
      </c>
    </row>
    <row r="1198" spans="2:7" x14ac:dyDescent="0.2">
      <c r="B1198" s="167">
        <v>41144</v>
      </c>
      <c r="C1198" s="28">
        <v>175.19</v>
      </c>
      <c r="D1198" s="83">
        <f t="shared" si="40"/>
        <v>-0.28009040476679681</v>
      </c>
      <c r="E1198" s="83">
        <v>9.9734809177907859E-3</v>
      </c>
      <c r="F1198" s="83">
        <v>1190</v>
      </c>
      <c r="G1198" s="83">
        <f t="shared" ca="1" si="41"/>
        <v>9.6869163037138269E-3</v>
      </c>
    </row>
    <row r="1199" spans="2:7" x14ac:dyDescent="0.2">
      <c r="B1199" s="167">
        <v>42738</v>
      </c>
      <c r="C1199" s="28">
        <v>243.35</v>
      </c>
      <c r="D1199" s="83">
        <f t="shared" si="40"/>
        <v>-2.1708542713567862E-2</v>
      </c>
      <c r="E1199" s="83">
        <v>9.9605727329321672E-3</v>
      </c>
      <c r="F1199" s="83">
        <v>1191</v>
      </c>
      <c r="G1199" s="83">
        <f t="shared" ca="1" si="41"/>
        <v>-1.4211132944603836E-2</v>
      </c>
    </row>
    <row r="1200" spans="2:7" x14ac:dyDescent="0.2">
      <c r="B1200" s="167">
        <v>43691</v>
      </c>
      <c r="C1200" s="28">
        <v>248.75</v>
      </c>
      <c r="D1200" s="83">
        <f t="shared" si="40"/>
        <v>0.11587116454333399</v>
      </c>
      <c r="E1200" s="83">
        <v>9.9472188388144075E-3</v>
      </c>
      <c r="F1200" s="83">
        <v>1192</v>
      </c>
      <c r="G1200" s="83">
        <f t="shared" ca="1" si="41"/>
        <v>1.0885721018390076E-3</v>
      </c>
    </row>
    <row r="1201" spans="2:7" x14ac:dyDescent="0.2">
      <c r="B1201" s="167">
        <v>41809</v>
      </c>
      <c r="C1201" s="28">
        <v>222.92</v>
      </c>
      <c r="D1201" s="83">
        <f t="shared" si="40"/>
        <v>-2.6890169373144861E-2</v>
      </c>
      <c r="E1201" s="83">
        <v>9.9216237031667549E-3</v>
      </c>
      <c r="F1201" s="83">
        <v>1193</v>
      </c>
      <c r="G1201" s="83">
        <f t="shared" ca="1" si="41"/>
        <v>-4.3212634742569988E-3</v>
      </c>
    </row>
    <row r="1202" spans="2:7" x14ac:dyDescent="0.2">
      <c r="B1202" s="167">
        <v>41768</v>
      </c>
      <c r="C1202" s="28">
        <v>229.08</v>
      </c>
      <c r="D1202" s="83">
        <f t="shared" si="40"/>
        <v>-0.18200321371183717</v>
      </c>
      <c r="E1202" s="83">
        <v>9.9193228408940605E-3</v>
      </c>
      <c r="F1202" s="83">
        <v>1194</v>
      </c>
      <c r="G1202" s="83">
        <f t="shared" ca="1" si="41"/>
        <v>2.4325656711977957E-2</v>
      </c>
    </row>
    <row r="1203" spans="2:7" x14ac:dyDescent="0.2">
      <c r="B1203" s="167">
        <v>43411</v>
      </c>
      <c r="C1203" s="28">
        <v>280.05</v>
      </c>
      <c r="D1203" s="83">
        <f t="shared" si="40"/>
        <v>3.4346793349168649</v>
      </c>
      <c r="E1203" s="83">
        <v>9.9170573386224304E-3</v>
      </c>
      <c r="F1203" s="83">
        <v>1195</v>
      </c>
      <c r="G1203" s="83">
        <f t="shared" ca="1" si="41"/>
        <v>-5.1976129922339347E-2</v>
      </c>
    </row>
    <row r="1204" spans="2:7" x14ac:dyDescent="0.2">
      <c r="B1204" s="167">
        <v>39925</v>
      </c>
      <c r="C1204" s="28">
        <v>63.15</v>
      </c>
      <c r="D1204" s="83">
        <f t="shared" si="40"/>
        <v>-0.7987058523524162</v>
      </c>
      <c r="E1204" s="83">
        <v>9.9152406844714124E-3</v>
      </c>
      <c r="F1204" s="83">
        <v>1196</v>
      </c>
      <c r="G1204" s="83">
        <f t="shared" ca="1" si="41"/>
        <v>-3.266132841228997E-4</v>
      </c>
    </row>
    <row r="1205" spans="2:7" x14ac:dyDescent="0.2">
      <c r="B1205" s="167">
        <v>44791</v>
      </c>
      <c r="C1205" s="28">
        <v>313.72000000000003</v>
      </c>
      <c r="D1205" s="83">
        <f t="shared" si="40"/>
        <v>0.33811047131584576</v>
      </c>
      <c r="E1205" s="83">
        <v>9.9150141643060807E-3</v>
      </c>
      <c r="F1205" s="83">
        <v>1197</v>
      </c>
      <c r="G1205" s="83">
        <f t="shared" ca="1" si="41"/>
        <v>-3.1490495850374972E-2</v>
      </c>
    </row>
    <row r="1206" spans="2:7" x14ac:dyDescent="0.2">
      <c r="B1206" s="167">
        <v>44595</v>
      </c>
      <c r="C1206" s="28">
        <v>234.45</v>
      </c>
      <c r="D1206" s="83">
        <f t="shared" si="40"/>
        <v>0.12150203300645766</v>
      </c>
      <c r="E1206" s="83">
        <v>9.9073874650010031E-3</v>
      </c>
      <c r="F1206" s="83">
        <v>1198</v>
      </c>
      <c r="G1206" s="83">
        <f t="shared" ca="1" si="41"/>
        <v>-2.9705406430127521E-2</v>
      </c>
    </row>
    <row r="1207" spans="2:7" x14ac:dyDescent="0.2">
      <c r="B1207" s="167">
        <v>44337</v>
      </c>
      <c r="C1207" s="28">
        <v>209.05</v>
      </c>
      <c r="D1207" s="83">
        <f t="shared" si="40"/>
        <v>0.99000475963826762</v>
      </c>
      <c r="E1207" s="83">
        <v>9.9033816425121331E-3</v>
      </c>
      <c r="F1207" s="83">
        <v>1199</v>
      </c>
      <c r="G1207" s="83">
        <f t="shared" ca="1" si="41"/>
        <v>6.8980220262710437E-3</v>
      </c>
    </row>
    <row r="1208" spans="2:7" x14ac:dyDescent="0.2">
      <c r="B1208" s="167">
        <v>40591</v>
      </c>
      <c r="C1208" s="28">
        <v>105.05</v>
      </c>
      <c r="D1208" s="83">
        <f t="shared" si="40"/>
        <v>0.23719232128135675</v>
      </c>
      <c r="E1208" s="83">
        <v>9.9019419342434266E-3</v>
      </c>
      <c r="F1208" s="83">
        <v>1200</v>
      </c>
      <c r="G1208" s="83">
        <f t="shared" ca="1" si="41"/>
        <v>2.515741607823765E-3</v>
      </c>
    </row>
    <row r="1209" spans="2:7" x14ac:dyDescent="0.2">
      <c r="B1209" s="167">
        <v>40183</v>
      </c>
      <c r="C1209" s="28">
        <v>84.91</v>
      </c>
      <c r="D1209" s="83">
        <f t="shared" si="40"/>
        <v>-0.69307789625881078</v>
      </c>
      <c r="E1209" s="83">
        <v>9.8715509039010267E-3</v>
      </c>
      <c r="F1209" s="83">
        <v>1201</v>
      </c>
      <c r="G1209" s="83">
        <f t="shared" ca="1" si="41"/>
        <v>-2.2508286246530045E-2</v>
      </c>
    </row>
    <row r="1210" spans="2:7" x14ac:dyDescent="0.2">
      <c r="B1210" s="167">
        <v>42866</v>
      </c>
      <c r="C1210" s="28">
        <v>276.64999999999998</v>
      </c>
      <c r="D1210" s="83">
        <f t="shared" si="40"/>
        <v>-0.35883470844535098</v>
      </c>
      <c r="E1210" s="83">
        <v>9.8558131045810866E-3</v>
      </c>
      <c r="F1210" s="83">
        <v>1202</v>
      </c>
      <c r="G1210" s="83">
        <f t="shared" ca="1" si="41"/>
        <v>3.5267200493144947E-2</v>
      </c>
    </row>
    <row r="1211" spans="2:7" x14ac:dyDescent="0.2">
      <c r="B1211" s="167">
        <v>45279</v>
      </c>
      <c r="C1211" s="28">
        <v>431.48</v>
      </c>
      <c r="D1211" s="83">
        <f t="shared" si="40"/>
        <v>2.1126821526475257</v>
      </c>
      <c r="E1211" s="83">
        <v>9.8532543824748665E-3</v>
      </c>
      <c r="F1211" s="83">
        <v>1203</v>
      </c>
      <c r="G1211" s="83">
        <f t="shared" ca="1" si="41"/>
        <v>-2.3615292851438003E-3</v>
      </c>
    </row>
    <row r="1212" spans="2:7" x14ac:dyDescent="0.2">
      <c r="B1212" s="167">
        <v>40924</v>
      </c>
      <c r="C1212" s="28">
        <v>138.62</v>
      </c>
      <c r="D1212" s="83">
        <f t="shared" si="40"/>
        <v>-0.41092979772225052</v>
      </c>
      <c r="E1212" s="83">
        <v>9.8346324761418684E-3</v>
      </c>
      <c r="F1212" s="83">
        <v>1204</v>
      </c>
      <c r="G1212" s="83">
        <f t="shared" ca="1" si="41"/>
        <v>1.2865918250896674E-2</v>
      </c>
    </row>
    <row r="1213" spans="2:7" x14ac:dyDescent="0.2">
      <c r="B1213" s="167">
        <v>42109</v>
      </c>
      <c r="C1213" s="28">
        <v>235.32</v>
      </c>
      <c r="D1213" s="83">
        <f t="shared" si="40"/>
        <v>-0.43071414747435655</v>
      </c>
      <c r="E1213" s="83">
        <v>9.827060893447162E-3</v>
      </c>
      <c r="F1213" s="83">
        <v>1205</v>
      </c>
      <c r="G1213" s="83">
        <f t="shared" ca="1" si="41"/>
        <v>-4.0541457006563482E-2</v>
      </c>
    </row>
    <row r="1214" spans="2:7" x14ac:dyDescent="0.2">
      <c r="B1214" s="167">
        <v>45238</v>
      </c>
      <c r="C1214" s="28">
        <v>413.36</v>
      </c>
      <c r="D1214" s="83">
        <f t="shared" si="40"/>
        <v>5.3721288731308769</v>
      </c>
      <c r="E1214" s="83">
        <v>9.8206869594958685E-3</v>
      </c>
      <c r="F1214" s="83">
        <v>1206</v>
      </c>
      <c r="G1214" s="83">
        <f t="shared" ca="1" si="41"/>
        <v>7.0245226741439048E-3</v>
      </c>
    </row>
    <row r="1215" spans="2:7" x14ac:dyDescent="0.2">
      <c r="B1215" s="167">
        <v>39672</v>
      </c>
      <c r="C1215" s="28">
        <v>64.87</v>
      </c>
      <c r="D1215" s="83">
        <f t="shared" si="40"/>
        <v>-0.84674809232441117</v>
      </c>
      <c r="E1215" s="83">
        <v>9.8069738480698904E-3</v>
      </c>
      <c r="F1215" s="83">
        <v>1207</v>
      </c>
      <c r="G1215" s="83">
        <f t="shared" ca="1" si="41"/>
        <v>8.6097491354628977E-3</v>
      </c>
    </row>
    <row r="1216" spans="2:7" x14ac:dyDescent="0.2">
      <c r="B1216" s="167">
        <v>45175</v>
      </c>
      <c r="C1216" s="28">
        <v>423.29</v>
      </c>
      <c r="D1216" s="83">
        <f t="shared" si="40"/>
        <v>1.0008981328291184</v>
      </c>
      <c r="E1216" s="83">
        <v>9.804857101961004E-3</v>
      </c>
      <c r="F1216" s="83">
        <v>1208</v>
      </c>
      <c r="G1216" s="83">
        <f t="shared" ca="1" si="41"/>
        <v>-1.193703639771676E-2</v>
      </c>
    </row>
    <row r="1217" spans="2:7" x14ac:dyDescent="0.2">
      <c r="B1217" s="167">
        <v>44194</v>
      </c>
      <c r="C1217" s="28">
        <v>211.55</v>
      </c>
      <c r="D1217" s="83">
        <f t="shared" si="40"/>
        <v>-0.41950443157808082</v>
      </c>
      <c r="E1217" s="83">
        <v>9.7852028639618688E-3</v>
      </c>
      <c r="F1217" s="83">
        <v>1209</v>
      </c>
      <c r="G1217" s="83">
        <f t="shared" ca="1" si="41"/>
        <v>-2.680481854733072E-2</v>
      </c>
    </row>
    <row r="1218" spans="2:7" x14ac:dyDescent="0.2">
      <c r="B1218" s="167">
        <v>44980</v>
      </c>
      <c r="C1218" s="28">
        <v>364.43</v>
      </c>
      <c r="D1218" s="83">
        <f t="shared" si="40"/>
        <v>-0.10214590159895534</v>
      </c>
      <c r="E1218" s="83">
        <v>9.7811027985592394E-3</v>
      </c>
      <c r="F1218" s="83">
        <v>1210</v>
      </c>
      <c r="G1218" s="83">
        <f t="shared" ca="1" si="41"/>
        <v>-1.7486419433214558E-2</v>
      </c>
    </row>
    <row r="1219" spans="2:7" x14ac:dyDescent="0.2">
      <c r="B1219" s="167">
        <v>45474</v>
      </c>
      <c r="C1219" s="28">
        <v>405.89</v>
      </c>
      <c r="D1219" s="83">
        <f t="shared" si="40"/>
        <v>6.8714030561618919E-3</v>
      </c>
      <c r="E1219" s="83">
        <v>9.7770922479848924E-3</v>
      </c>
      <c r="F1219" s="83">
        <v>1211</v>
      </c>
      <c r="G1219" s="83">
        <f t="shared" ca="1" si="41"/>
        <v>5.6317429030683739E-3</v>
      </c>
    </row>
    <row r="1220" spans="2:7" x14ac:dyDescent="0.2">
      <c r="B1220" s="167">
        <v>45051</v>
      </c>
      <c r="C1220" s="28">
        <v>403.12</v>
      </c>
      <c r="D1220" s="83">
        <f t="shared" si="40"/>
        <v>-7.3840922666911696E-2</v>
      </c>
      <c r="E1220" s="83">
        <v>9.7690496468112245E-3</v>
      </c>
      <c r="F1220" s="83">
        <v>1212</v>
      </c>
      <c r="G1220" s="83">
        <f t="shared" ca="1" si="41"/>
        <v>-3.1450114425640614E-2</v>
      </c>
    </row>
    <row r="1221" spans="2:7" x14ac:dyDescent="0.2">
      <c r="B1221" s="167">
        <v>45274</v>
      </c>
      <c r="C1221" s="28">
        <v>435.26</v>
      </c>
      <c r="D1221" s="83">
        <f t="shared" si="40"/>
        <v>0.64808784551306309</v>
      </c>
      <c r="E1221" s="83">
        <v>9.766848393457787E-3</v>
      </c>
      <c r="F1221" s="83">
        <v>1213</v>
      </c>
      <c r="G1221" s="83">
        <f t="shared" ca="1" si="41"/>
        <v>1.6294818753493197E-2</v>
      </c>
    </row>
    <row r="1222" spans="2:7" x14ac:dyDescent="0.2">
      <c r="B1222" s="167">
        <v>42800</v>
      </c>
      <c r="C1222" s="28">
        <v>264.10000000000002</v>
      </c>
      <c r="D1222" s="83">
        <f t="shared" si="40"/>
        <v>0.24223894637817511</v>
      </c>
      <c r="E1222" s="83">
        <v>9.749569871917458E-3</v>
      </c>
      <c r="F1222" s="83">
        <v>1214</v>
      </c>
      <c r="G1222" s="83">
        <f t="shared" ca="1" si="41"/>
        <v>-2.2569759899962284E-2</v>
      </c>
    </row>
    <row r="1223" spans="2:7" x14ac:dyDescent="0.2">
      <c r="B1223" s="167">
        <v>43872</v>
      </c>
      <c r="C1223" s="28">
        <v>212.6</v>
      </c>
      <c r="D1223" s="83">
        <f t="shared" si="40"/>
        <v>-0.14584170349537973</v>
      </c>
      <c r="E1223" s="83">
        <v>9.7364046544762897E-3</v>
      </c>
      <c r="F1223" s="83">
        <v>1215</v>
      </c>
      <c r="G1223" s="83">
        <f t="shared" ca="1" si="41"/>
        <v>5.1205844823711578E-2</v>
      </c>
    </row>
    <row r="1224" spans="2:7" x14ac:dyDescent="0.2">
      <c r="B1224" s="167">
        <v>43760</v>
      </c>
      <c r="C1224" s="28">
        <v>248.9</v>
      </c>
      <c r="D1224" s="83">
        <f t="shared" si="40"/>
        <v>-2.0464384100747694E-2</v>
      </c>
      <c r="E1224" s="83">
        <v>9.7363083164300427E-3</v>
      </c>
      <c r="F1224" s="83">
        <v>1216</v>
      </c>
      <c r="G1224" s="83">
        <f t="shared" ca="1" si="41"/>
        <v>-9.0439292723128225E-3</v>
      </c>
    </row>
    <row r="1225" spans="2:7" x14ac:dyDescent="0.2">
      <c r="B1225" s="167">
        <v>42594</v>
      </c>
      <c r="C1225" s="28">
        <v>254.1</v>
      </c>
      <c r="D1225" s="83">
        <f t="shared" ref="D1225:D1288" si="42">(C1225-C1226)/C1226</f>
        <v>0.85163593966333906</v>
      </c>
      <c r="E1225" s="83">
        <v>9.735744089012472E-3</v>
      </c>
      <c r="F1225" s="83">
        <v>1217</v>
      </c>
      <c r="G1225" s="83">
        <f t="shared" ref="G1225:G1288" ca="1" si="43">_xlfn.NORM.INV(RAND(),$M$10,$M$11)</f>
        <v>-8.3774618493873288E-3</v>
      </c>
    </row>
    <row r="1226" spans="2:7" x14ac:dyDescent="0.2">
      <c r="B1226" s="167">
        <v>40973</v>
      </c>
      <c r="C1226" s="28">
        <v>137.22999999999999</v>
      </c>
      <c r="D1226" s="83">
        <f t="shared" si="42"/>
        <v>-0.39835152790565131</v>
      </c>
      <c r="E1226" s="83">
        <v>9.7123096166580325E-3</v>
      </c>
      <c r="F1226" s="83">
        <v>1218</v>
      </c>
      <c r="G1226" s="83">
        <f t="shared" ca="1" si="43"/>
        <v>-1.7185417657852396E-2</v>
      </c>
    </row>
    <row r="1227" spans="2:7" x14ac:dyDescent="0.2">
      <c r="B1227" s="167">
        <v>42290</v>
      </c>
      <c r="C1227" s="28">
        <v>228.09</v>
      </c>
      <c r="D1227" s="83">
        <f t="shared" si="42"/>
        <v>-3.158833269647178E-2</v>
      </c>
      <c r="E1227" s="83">
        <v>9.6945551128817965E-3</v>
      </c>
      <c r="F1227" s="83">
        <v>1219</v>
      </c>
      <c r="G1227" s="83">
        <f t="shared" ca="1" si="43"/>
        <v>1.8301511948528654E-2</v>
      </c>
    </row>
    <row r="1228" spans="2:7" x14ac:dyDescent="0.2">
      <c r="B1228" s="167">
        <v>42535</v>
      </c>
      <c r="C1228" s="28">
        <v>235.53</v>
      </c>
      <c r="D1228" s="83">
        <f t="shared" si="42"/>
        <v>-0.32233283461848317</v>
      </c>
      <c r="E1228" s="83">
        <v>9.6883439790799962E-3</v>
      </c>
      <c r="F1228" s="83">
        <v>1220</v>
      </c>
      <c r="G1228" s="83">
        <f t="shared" ca="1" si="43"/>
        <v>-3.5649607816054939E-2</v>
      </c>
    </row>
    <row r="1229" spans="2:7" x14ac:dyDescent="0.2">
      <c r="B1229" s="167">
        <v>44854</v>
      </c>
      <c r="C1229" s="28">
        <v>347.56</v>
      </c>
      <c r="D1229" s="83">
        <f t="shared" si="42"/>
        <v>0.10899808551372057</v>
      </c>
      <c r="E1229" s="83">
        <v>9.6737646341108676E-3</v>
      </c>
      <c r="F1229" s="83">
        <v>1221</v>
      </c>
      <c r="G1229" s="83">
        <f t="shared" ca="1" si="43"/>
        <v>2.0249384337053356E-2</v>
      </c>
    </row>
    <row r="1230" spans="2:7" x14ac:dyDescent="0.2">
      <c r="B1230" s="167">
        <v>43339</v>
      </c>
      <c r="C1230" s="28">
        <v>313.39999999999998</v>
      </c>
      <c r="D1230" s="83">
        <f t="shared" si="42"/>
        <v>0.1312037538350477</v>
      </c>
      <c r="E1230" s="83">
        <v>9.6649484536082478E-3</v>
      </c>
      <c r="F1230" s="83">
        <v>1222</v>
      </c>
      <c r="G1230" s="83">
        <f t="shared" ca="1" si="43"/>
        <v>-5.7540194862090556E-3</v>
      </c>
    </row>
    <row r="1231" spans="2:7" x14ac:dyDescent="0.2">
      <c r="B1231" s="167">
        <v>43291</v>
      </c>
      <c r="C1231" s="28">
        <v>277.05</v>
      </c>
      <c r="D1231" s="83">
        <f t="shared" si="42"/>
        <v>2.3968857282981855</v>
      </c>
      <c r="E1231" s="83">
        <v>9.6574344023324862E-3</v>
      </c>
      <c r="F1231" s="83">
        <v>1223</v>
      </c>
      <c r="G1231" s="83">
        <f t="shared" ca="1" si="43"/>
        <v>-2.6781035345977595E-2</v>
      </c>
    </row>
    <row r="1232" spans="2:7" x14ac:dyDescent="0.2">
      <c r="B1232" s="167">
        <v>40241</v>
      </c>
      <c r="C1232" s="28">
        <v>81.56</v>
      </c>
      <c r="D1232" s="83">
        <f t="shared" si="42"/>
        <v>0.81204176849588994</v>
      </c>
      <c r="E1232" s="83">
        <v>9.6558554097549033E-3</v>
      </c>
      <c r="F1232" s="83">
        <v>1224</v>
      </c>
      <c r="G1232" s="83">
        <f t="shared" ca="1" si="43"/>
        <v>4.6095653679986267E-3</v>
      </c>
    </row>
    <row r="1233" spans="2:7" x14ac:dyDescent="0.2">
      <c r="B1233" s="167">
        <v>38687</v>
      </c>
      <c r="C1233" s="28">
        <v>45.01</v>
      </c>
      <c r="D1233" s="83">
        <f t="shared" si="42"/>
        <v>-0.2183049670024314</v>
      </c>
      <c r="E1233" s="83">
        <v>9.6455809780170414E-3</v>
      </c>
      <c r="F1233" s="83">
        <v>1225</v>
      </c>
      <c r="G1233" s="83">
        <f t="shared" ca="1" si="43"/>
        <v>-8.8477259424105722E-3</v>
      </c>
    </row>
    <row r="1234" spans="2:7" x14ac:dyDescent="0.2">
      <c r="B1234" s="167">
        <v>39876</v>
      </c>
      <c r="C1234" s="28">
        <v>57.58</v>
      </c>
      <c r="D1234" s="83">
        <f t="shared" si="42"/>
        <v>-0.79668079096045208</v>
      </c>
      <c r="E1234" s="83">
        <v>9.6440469928107519E-3</v>
      </c>
      <c r="F1234" s="83">
        <v>1226</v>
      </c>
      <c r="G1234" s="83">
        <f t="shared" ca="1" si="43"/>
        <v>-2.2595394204807731E-2</v>
      </c>
    </row>
    <row r="1235" spans="2:7" x14ac:dyDescent="0.2">
      <c r="B1235" s="167">
        <v>42823</v>
      </c>
      <c r="C1235" s="28">
        <v>283.2</v>
      </c>
      <c r="D1235" s="83">
        <f t="shared" si="42"/>
        <v>2.8023630504833505</v>
      </c>
      <c r="E1235" s="83">
        <v>9.62566844919782E-3</v>
      </c>
      <c r="F1235" s="83">
        <v>1227</v>
      </c>
      <c r="G1235" s="83">
        <f t="shared" ca="1" si="43"/>
        <v>-3.4880105598063113E-3</v>
      </c>
    </row>
    <row r="1236" spans="2:7" x14ac:dyDescent="0.2">
      <c r="B1236" s="167">
        <v>40043</v>
      </c>
      <c r="C1236" s="28">
        <v>74.48</v>
      </c>
      <c r="D1236" s="83">
        <f t="shared" si="42"/>
        <v>-1.3901760889712659E-2</v>
      </c>
      <c r="E1236" s="83">
        <v>9.6245086078352721E-3</v>
      </c>
      <c r="F1236" s="83">
        <v>1228</v>
      </c>
      <c r="G1236" s="83">
        <f t="shared" ca="1" si="43"/>
        <v>-2.1076137419640477E-2</v>
      </c>
    </row>
    <row r="1237" spans="2:7" x14ac:dyDescent="0.2">
      <c r="B1237" s="167">
        <v>40037</v>
      </c>
      <c r="C1237" s="28">
        <v>75.53</v>
      </c>
      <c r="D1237" s="83">
        <f t="shared" si="42"/>
        <v>-0.42862546334821089</v>
      </c>
      <c r="E1237" s="83">
        <v>9.6243817671434143E-3</v>
      </c>
      <c r="F1237" s="83">
        <v>1229</v>
      </c>
      <c r="G1237" s="83">
        <f t="shared" ca="1" si="43"/>
        <v>1.0240209169890711E-2</v>
      </c>
    </row>
    <row r="1238" spans="2:7" x14ac:dyDescent="0.2">
      <c r="B1238" s="167">
        <v>40897</v>
      </c>
      <c r="C1238" s="28">
        <v>132.19</v>
      </c>
      <c r="D1238" s="83">
        <f t="shared" si="42"/>
        <v>1.5712896323672438</v>
      </c>
      <c r="E1238" s="83">
        <v>9.6234629191170162E-3</v>
      </c>
      <c r="F1238" s="83">
        <v>1230</v>
      </c>
      <c r="G1238" s="83">
        <f t="shared" ca="1" si="43"/>
        <v>-6.4123909472287455E-3</v>
      </c>
    </row>
    <row r="1239" spans="2:7" x14ac:dyDescent="0.2">
      <c r="B1239" s="167">
        <v>39261</v>
      </c>
      <c r="C1239" s="28">
        <v>51.41</v>
      </c>
      <c r="D1239" s="83">
        <f t="shared" si="42"/>
        <v>-0.15693670055755987</v>
      </c>
      <c r="E1239" s="83">
        <v>9.6229379418694989E-3</v>
      </c>
      <c r="F1239" s="83">
        <v>1231</v>
      </c>
      <c r="G1239" s="83">
        <f t="shared" ca="1" si="43"/>
        <v>-3.7364033316926492E-3</v>
      </c>
    </row>
    <row r="1240" spans="2:7" x14ac:dyDescent="0.2">
      <c r="B1240" s="167">
        <v>39685</v>
      </c>
      <c r="C1240" s="28">
        <v>60.98</v>
      </c>
      <c r="D1240" s="83">
        <f t="shared" si="42"/>
        <v>-0.77695683979517194</v>
      </c>
      <c r="E1240" s="83">
        <v>9.6026490066224886E-3</v>
      </c>
      <c r="F1240" s="83">
        <v>1232</v>
      </c>
      <c r="G1240" s="83">
        <f t="shared" ca="1" si="43"/>
        <v>-3.0089308690524437E-3</v>
      </c>
    </row>
    <row r="1241" spans="2:7" x14ac:dyDescent="0.2">
      <c r="B1241" s="167">
        <v>42781</v>
      </c>
      <c r="C1241" s="28">
        <v>273.39999999999998</v>
      </c>
      <c r="D1241" s="83">
        <f t="shared" si="42"/>
        <v>-0.43465674110835406</v>
      </c>
      <c r="E1241" s="83">
        <v>9.6011816838994304E-3</v>
      </c>
      <c r="F1241" s="83">
        <v>1233</v>
      </c>
      <c r="G1241" s="83">
        <f t="shared" ca="1" si="43"/>
        <v>5.2326315904104182E-3</v>
      </c>
    </row>
    <row r="1242" spans="2:7" x14ac:dyDescent="0.2">
      <c r="B1242" s="167">
        <v>45540</v>
      </c>
      <c r="C1242" s="28">
        <v>483.6</v>
      </c>
      <c r="D1242" s="83">
        <f t="shared" si="42"/>
        <v>3.7715836211149485</v>
      </c>
      <c r="E1242" s="83">
        <v>9.5822634183003116E-3</v>
      </c>
      <c r="F1242" s="83">
        <v>1234</v>
      </c>
      <c r="G1242" s="83">
        <f t="shared" ca="1" si="43"/>
        <v>-2.3673986336282911E-3</v>
      </c>
    </row>
    <row r="1243" spans="2:7" x14ac:dyDescent="0.2">
      <c r="B1243" s="167">
        <v>40353</v>
      </c>
      <c r="C1243" s="28">
        <v>101.35</v>
      </c>
      <c r="D1243" s="83">
        <f t="shared" si="42"/>
        <v>-0.76157990072690496</v>
      </c>
      <c r="E1243" s="83">
        <v>9.5627054487498128E-3</v>
      </c>
      <c r="F1243" s="83">
        <v>1235</v>
      </c>
      <c r="G1243" s="83">
        <f t="shared" ca="1" si="43"/>
        <v>6.9935853308672694E-3</v>
      </c>
    </row>
    <row r="1244" spans="2:7" x14ac:dyDescent="0.2">
      <c r="B1244" s="167">
        <v>45105</v>
      </c>
      <c r="C1244" s="28">
        <v>425.09</v>
      </c>
      <c r="D1244" s="83">
        <f t="shared" si="42"/>
        <v>2.0915636363636363</v>
      </c>
      <c r="E1244" s="83">
        <v>9.5471061818699545E-3</v>
      </c>
      <c r="F1244" s="83">
        <v>1236</v>
      </c>
      <c r="G1244" s="83">
        <f t="shared" ca="1" si="43"/>
        <v>1.2248572992763771E-2</v>
      </c>
    </row>
    <row r="1245" spans="2:7" x14ac:dyDescent="0.2">
      <c r="B1245" s="167">
        <v>40960</v>
      </c>
      <c r="C1245" s="28">
        <v>137.5</v>
      </c>
      <c r="D1245" s="83">
        <f t="shared" si="42"/>
        <v>2.4186971655892591</v>
      </c>
      <c r="E1245" s="83">
        <v>9.54478707782681E-3</v>
      </c>
      <c r="F1245" s="83">
        <v>1237</v>
      </c>
      <c r="G1245" s="83">
        <f t="shared" ca="1" si="43"/>
        <v>2.0302300383753438E-2</v>
      </c>
    </row>
    <row r="1246" spans="2:7" x14ac:dyDescent="0.2">
      <c r="B1246" s="167">
        <v>38657</v>
      </c>
      <c r="C1246" s="28">
        <v>40.22</v>
      </c>
      <c r="D1246" s="83">
        <f t="shared" si="42"/>
        <v>-0.85125739644970411</v>
      </c>
      <c r="E1246" s="83">
        <v>9.5381526104416515E-3</v>
      </c>
      <c r="F1246" s="83">
        <v>1238</v>
      </c>
      <c r="G1246" s="83">
        <f t="shared" ca="1" si="43"/>
        <v>8.4943410297545438E-4</v>
      </c>
    </row>
    <row r="1247" spans="2:7" x14ac:dyDescent="0.2">
      <c r="B1247" s="167">
        <v>43672</v>
      </c>
      <c r="C1247" s="28">
        <v>270.39999999999998</v>
      </c>
      <c r="D1247" s="83">
        <f t="shared" si="42"/>
        <v>0.24008254987388197</v>
      </c>
      <c r="E1247" s="83">
        <v>9.5202538734364545E-3</v>
      </c>
      <c r="F1247" s="83">
        <v>1239</v>
      </c>
      <c r="G1247" s="83">
        <f t="shared" ca="1" si="43"/>
        <v>2.0958781770380217E-2</v>
      </c>
    </row>
    <row r="1248" spans="2:7" x14ac:dyDescent="0.2">
      <c r="B1248" s="167">
        <v>44561</v>
      </c>
      <c r="C1248" s="28">
        <v>218.05</v>
      </c>
      <c r="D1248" s="83">
        <f t="shared" si="42"/>
        <v>0.34773471784411908</v>
      </c>
      <c r="E1248" s="83">
        <v>9.4907407407407926E-3</v>
      </c>
      <c r="F1248" s="83">
        <v>1240</v>
      </c>
      <c r="G1248" s="83">
        <f t="shared" ca="1" si="43"/>
        <v>-3.0342387286896727E-3</v>
      </c>
    </row>
    <row r="1249" spans="2:7" x14ac:dyDescent="0.2">
      <c r="B1249" s="167">
        <v>41018</v>
      </c>
      <c r="C1249" s="28">
        <v>161.79</v>
      </c>
      <c r="D1249" s="83">
        <f t="shared" si="42"/>
        <v>-0.33936300530828917</v>
      </c>
      <c r="E1249" s="83">
        <v>9.483995757159679E-3</v>
      </c>
      <c r="F1249" s="83">
        <v>1241</v>
      </c>
      <c r="G1249" s="83">
        <f t="shared" ca="1" si="43"/>
        <v>-1.8018175299146247E-2</v>
      </c>
    </row>
    <row r="1250" spans="2:7" x14ac:dyDescent="0.2">
      <c r="B1250" s="167">
        <v>44637</v>
      </c>
      <c r="C1250" s="28">
        <v>244.9</v>
      </c>
      <c r="D1250" s="83">
        <f t="shared" si="42"/>
        <v>-0.44135225147132623</v>
      </c>
      <c r="E1250" s="83">
        <v>9.4806265457543747E-3</v>
      </c>
      <c r="F1250" s="83">
        <v>1242</v>
      </c>
      <c r="G1250" s="83">
        <f t="shared" ca="1" si="43"/>
        <v>-2.1439655636541596E-2</v>
      </c>
    </row>
    <row r="1251" spans="2:7" x14ac:dyDescent="0.2">
      <c r="B1251" s="167">
        <v>45488</v>
      </c>
      <c r="C1251" s="28">
        <v>438.38</v>
      </c>
      <c r="D1251" s="83">
        <f t="shared" si="42"/>
        <v>5.420328060925601</v>
      </c>
      <c r="E1251" s="83">
        <v>9.4641582425680198E-3</v>
      </c>
      <c r="F1251" s="83">
        <v>1243</v>
      </c>
      <c r="G1251" s="83">
        <f t="shared" ca="1" si="43"/>
        <v>1.143850431875097E-3</v>
      </c>
    </row>
    <row r="1252" spans="2:7" x14ac:dyDescent="0.2">
      <c r="B1252" s="167">
        <v>38812</v>
      </c>
      <c r="C1252" s="28">
        <v>68.28</v>
      </c>
      <c r="D1252" s="83">
        <f t="shared" si="42"/>
        <v>-0.70400554881220734</v>
      </c>
      <c r="E1252" s="83">
        <v>9.4618568894145553E-3</v>
      </c>
      <c r="F1252" s="83">
        <v>1244</v>
      </c>
      <c r="G1252" s="83">
        <f t="shared" ca="1" si="43"/>
        <v>-1.9530902040165148E-3</v>
      </c>
    </row>
    <row r="1253" spans="2:7" x14ac:dyDescent="0.2">
      <c r="B1253" s="167">
        <v>41765</v>
      </c>
      <c r="C1253" s="28">
        <v>230.68</v>
      </c>
      <c r="D1253" s="83">
        <f t="shared" si="42"/>
        <v>2.9271365338781066</v>
      </c>
      <c r="E1253" s="83">
        <v>9.4521267285139002E-3</v>
      </c>
      <c r="F1253" s="83">
        <v>1245</v>
      </c>
      <c r="G1253" s="83">
        <f t="shared" ca="1" si="43"/>
        <v>2.036936139871726E-2</v>
      </c>
    </row>
    <row r="1254" spans="2:7" x14ac:dyDescent="0.2">
      <c r="B1254" s="167">
        <v>38796</v>
      </c>
      <c r="C1254" s="28">
        <v>58.74</v>
      </c>
      <c r="D1254" s="83">
        <f t="shared" si="42"/>
        <v>-0.86324905713088418</v>
      </c>
      <c r="E1254" s="83">
        <v>9.4517958412099028E-3</v>
      </c>
      <c r="F1254" s="83">
        <v>1246</v>
      </c>
      <c r="G1254" s="83">
        <f t="shared" ca="1" si="43"/>
        <v>-1.8644086835006651E-2</v>
      </c>
    </row>
    <row r="1255" spans="2:7" x14ac:dyDescent="0.2">
      <c r="B1255" s="167">
        <v>45264</v>
      </c>
      <c r="C1255" s="28">
        <v>429.54</v>
      </c>
      <c r="D1255" s="83">
        <f t="shared" si="42"/>
        <v>0.92256736191925537</v>
      </c>
      <c r="E1255" s="83">
        <v>9.4472645234067471E-3</v>
      </c>
      <c r="F1255" s="83">
        <v>1247</v>
      </c>
      <c r="G1255" s="83">
        <f t="shared" ca="1" si="43"/>
        <v>8.4996653280128582E-3</v>
      </c>
    </row>
    <row r="1256" spans="2:7" x14ac:dyDescent="0.2">
      <c r="B1256" s="167">
        <v>41435</v>
      </c>
      <c r="C1256" s="28">
        <v>223.42</v>
      </c>
      <c r="D1256" s="83">
        <f t="shared" si="42"/>
        <v>2.601225016118633</v>
      </c>
      <c r="E1256" s="83">
        <v>9.4429132968868873E-3</v>
      </c>
      <c r="F1256" s="83">
        <v>1248</v>
      </c>
      <c r="G1256" s="83">
        <f t="shared" ca="1" si="43"/>
        <v>1.0264907725669604E-2</v>
      </c>
    </row>
    <row r="1257" spans="2:7" x14ac:dyDescent="0.2">
      <c r="B1257" s="167">
        <v>39370</v>
      </c>
      <c r="C1257" s="28">
        <v>62.04</v>
      </c>
      <c r="D1257" s="83">
        <f t="shared" si="42"/>
        <v>-0.8046353445018265</v>
      </c>
      <c r="E1257" s="83">
        <v>9.437032216075468E-3</v>
      </c>
      <c r="F1257" s="83">
        <v>1249</v>
      </c>
      <c r="G1257" s="83">
        <f t="shared" ca="1" si="43"/>
        <v>-1.9751943591544936E-2</v>
      </c>
    </row>
    <row r="1258" spans="2:7" x14ac:dyDescent="0.2">
      <c r="B1258" s="167">
        <v>44949</v>
      </c>
      <c r="C1258" s="28">
        <v>317.56</v>
      </c>
      <c r="D1258" s="83">
        <f t="shared" si="42"/>
        <v>2.5660864682762492</v>
      </c>
      <c r="E1258" s="83">
        <v>9.4087730451366154E-3</v>
      </c>
      <c r="F1258" s="83">
        <v>1250</v>
      </c>
      <c r="G1258" s="83">
        <f t="shared" ca="1" si="43"/>
        <v>-8.3195813883138459E-3</v>
      </c>
    </row>
    <row r="1259" spans="2:7" x14ac:dyDescent="0.2">
      <c r="B1259" s="167">
        <v>40316</v>
      </c>
      <c r="C1259" s="28">
        <v>89.05</v>
      </c>
      <c r="D1259" s="83">
        <f t="shared" si="42"/>
        <v>-0.28496868475991655</v>
      </c>
      <c r="E1259" s="83">
        <v>9.4082974382226053E-3</v>
      </c>
      <c r="F1259" s="83">
        <v>1251</v>
      </c>
      <c r="G1259" s="83">
        <f t="shared" ca="1" si="43"/>
        <v>-1.1167598369654667E-2</v>
      </c>
    </row>
    <row r="1260" spans="2:7" x14ac:dyDescent="0.2">
      <c r="B1260" s="167">
        <v>40680</v>
      </c>
      <c r="C1260" s="28">
        <v>124.54</v>
      </c>
      <c r="D1260" s="83">
        <f t="shared" si="42"/>
        <v>-0.33790536948431682</v>
      </c>
      <c r="E1260" s="83">
        <v>9.4018479494246306E-3</v>
      </c>
      <c r="F1260" s="83">
        <v>1252</v>
      </c>
      <c r="G1260" s="83">
        <f t="shared" ca="1" si="43"/>
        <v>5.4446191308708406E-3</v>
      </c>
    </row>
    <row r="1261" spans="2:7" x14ac:dyDescent="0.2">
      <c r="B1261" s="167">
        <v>43938</v>
      </c>
      <c r="C1261" s="28">
        <v>188.1</v>
      </c>
      <c r="D1261" s="83">
        <f t="shared" si="42"/>
        <v>-5.9405940594059389E-2</v>
      </c>
      <c r="E1261" s="83">
        <v>9.390931043734908E-3</v>
      </c>
      <c r="F1261" s="83">
        <v>1253</v>
      </c>
      <c r="G1261" s="83">
        <f t="shared" ca="1" si="43"/>
        <v>-3.0238027042483085E-3</v>
      </c>
    </row>
    <row r="1262" spans="2:7" x14ac:dyDescent="0.2">
      <c r="B1262" s="167">
        <v>41346</v>
      </c>
      <c r="C1262" s="28">
        <v>199.98</v>
      </c>
      <c r="D1262" s="83">
        <f t="shared" si="42"/>
        <v>2.8748304592133307</v>
      </c>
      <c r="E1262" s="83">
        <v>9.3882495457297856E-3</v>
      </c>
      <c r="F1262" s="83">
        <v>1254</v>
      </c>
      <c r="G1262" s="83">
        <f t="shared" ca="1" si="43"/>
        <v>-2.3437418543697873E-2</v>
      </c>
    </row>
    <row r="1263" spans="2:7" x14ac:dyDescent="0.2">
      <c r="B1263" s="167">
        <v>39280</v>
      </c>
      <c r="C1263" s="28">
        <v>51.61</v>
      </c>
      <c r="D1263" s="83">
        <f t="shared" si="42"/>
        <v>-0.8020405814890107</v>
      </c>
      <c r="E1263" s="83">
        <v>9.3878349305690761E-3</v>
      </c>
      <c r="F1263" s="83">
        <v>1255</v>
      </c>
      <c r="G1263" s="83">
        <f t="shared" ca="1" si="43"/>
        <v>8.5807148792278656E-3</v>
      </c>
    </row>
    <row r="1264" spans="2:7" x14ac:dyDescent="0.2">
      <c r="B1264" s="167">
        <v>42053</v>
      </c>
      <c r="C1264" s="28">
        <v>260.70999999999998</v>
      </c>
      <c r="D1264" s="83">
        <f t="shared" si="42"/>
        <v>-0.40554529493581415</v>
      </c>
      <c r="E1264" s="83">
        <v>9.3693135622748037E-3</v>
      </c>
      <c r="F1264" s="83">
        <v>1256</v>
      </c>
      <c r="G1264" s="83">
        <f t="shared" ca="1" si="43"/>
        <v>-9.9031873233205777E-3</v>
      </c>
    </row>
    <row r="1265" spans="2:7" x14ac:dyDescent="0.2">
      <c r="B1265" s="167">
        <v>45315</v>
      </c>
      <c r="C1265" s="28">
        <v>438.57</v>
      </c>
      <c r="D1265" s="83">
        <f t="shared" si="42"/>
        <v>0.56464502318943977</v>
      </c>
      <c r="E1265" s="83">
        <v>9.3670886075949214E-3</v>
      </c>
      <c r="F1265" s="83">
        <v>1257</v>
      </c>
      <c r="G1265" s="83">
        <f t="shared" ca="1" si="43"/>
        <v>5.4682590669498835E-2</v>
      </c>
    </row>
    <row r="1266" spans="2:7" x14ac:dyDescent="0.2">
      <c r="B1266" s="167">
        <v>43503</v>
      </c>
      <c r="C1266" s="28">
        <v>280.3</v>
      </c>
      <c r="D1266" s="83">
        <f t="shared" si="42"/>
        <v>4.7654643991777233E-2</v>
      </c>
      <c r="E1266" s="83">
        <v>9.3626215340296103E-3</v>
      </c>
      <c r="F1266" s="83">
        <v>1258</v>
      </c>
      <c r="G1266" s="83">
        <f t="shared" ca="1" si="43"/>
        <v>1.8561518674196529E-3</v>
      </c>
    </row>
    <row r="1267" spans="2:7" x14ac:dyDescent="0.2">
      <c r="B1267" s="167">
        <v>44708</v>
      </c>
      <c r="C1267" s="28">
        <v>267.55</v>
      </c>
      <c r="D1267" s="83">
        <f t="shared" si="42"/>
        <v>7.5424648786717761</v>
      </c>
      <c r="E1267" s="83">
        <v>9.3560191647490028E-3</v>
      </c>
      <c r="F1267" s="83">
        <v>1259</v>
      </c>
      <c r="G1267" s="83">
        <f t="shared" ca="1" si="43"/>
        <v>1.5909800852848301E-2</v>
      </c>
    </row>
    <row r="1268" spans="2:7" x14ac:dyDescent="0.2">
      <c r="B1268" s="167">
        <v>38455</v>
      </c>
      <c r="C1268" s="28">
        <v>31.32</v>
      </c>
      <c r="D1268" s="83">
        <f t="shared" si="42"/>
        <v>-0.44310099573257472</v>
      </c>
      <c r="E1268" s="83">
        <v>9.345794392523336E-3</v>
      </c>
      <c r="F1268" s="83">
        <v>1260</v>
      </c>
      <c r="G1268" s="83">
        <f t="shared" ca="1" si="43"/>
        <v>-2.2242567411674234E-2</v>
      </c>
    </row>
    <row r="1269" spans="2:7" x14ac:dyDescent="0.2">
      <c r="B1269" s="167">
        <v>39822</v>
      </c>
      <c r="C1269" s="28">
        <v>56.24</v>
      </c>
      <c r="D1269" s="83">
        <f t="shared" si="42"/>
        <v>-0.76369747899159657</v>
      </c>
      <c r="E1269" s="83">
        <v>9.3323761665470763E-3</v>
      </c>
      <c r="F1269" s="83">
        <v>1261</v>
      </c>
      <c r="G1269" s="83">
        <f t="shared" ca="1" si="43"/>
        <v>1.8173620101377012E-2</v>
      </c>
    </row>
    <row r="1270" spans="2:7" x14ac:dyDescent="0.2">
      <c r="B1270" s="167">
        <v>43840</v>
      </c>
      <c r="C1270" s="28">
        <v>238</v>
      </c>
      <c r="D1270" s="83">
        <f t="shared" si="42"/>
        <v>0.20512431009165016</v>
      </c>
      <c r="E1270" s="83">
        <v>9.3299406276505029E-3</v>
      </c>
      <c r="F1270" s="83">
        <v>1262</v>
      </c>
      <c r="G1270" s="83">
        <f t="shared" ca="1" si="43"/>
        <v>4.0897454482604701E-3</v>
      </c>
    </row>
    <row r="1271" spans="2:7" x14ac:dyDescent="0.2">
      <c r="B1271" s="167">
        <v>41248</v>
      </c>
      <c r="C1271" s="28">
        <v>197.49</v>
      </c>
      <c r="D1271" s="83">
        <f t="shared" si="42"/>
        <v>-7.155281839123688E-2</v>
      </c>
      <c r="E1271" s="83">
        <v>9.3013747636327571E-3</v>
      </c>
      <c r="F1271" s="83">
        <v>1263</v>
      </c>
      <c r="G1271" s="83">
        <f t="shared" ca="1" si="43"/>
        <v>1.029158148716644E-2</v>
      </c>
    </row>
    <row r="1272" spans="2:7" x14ac:dyDescent="0.2">
      <c r="B1272" s="167">
        <v>41619</v>
      </c>
      <c r="C1272" s="28">
        <v>212.71</v>
      </c>
      <c r="D1272" s="83">
        <f t="shared" si="42"/>
        <v>2.9173112338858203</v>
      </c>
      <c r="E1272" s="83">
        <v>9.3001186239620778E-3</v>
      </c>
      <c r="F1272" s="83">
        <v>1264</v>
      </c>
      <c r="G1272" s="83">
        <f t="shared" ca="1" si="43"/>
        <v>-2.3751867454684935E-2</v>
      </c>
    </row>
    <row r="1273" spans="2:7" x14ac:dyDescent="0.2">
      <c r="B1273" s="167">
        <v>39233</v>
      </c>
      <c r="C1273" s="28">
        <v>54.3</v>
      </c>
      <c r="D1273" s="83">
        <f t="shared" si="42"/>
        <v>-0.81388174807197944</v>
      </c>
      <c r="E1273" s="83">
        <v>9.2936802973977699E-3</v>
      </c>
      <c r="F1273" s="83">
        <v>1265</v>
      </c>
      <c r="G1273" s="83">
        <f t="shared" ca="1" si="43"/>
        <v>1.376385004924392E-4</v>
      </c>
    </row>
    <row r="1274" spans="2:7" x14ac:dyDescent="0.2">
      <c r="B1274" s="167">
        <v>44757</v>
      </c>
      <c r="C1274" s="28">
        <v>291.75</v>
      </c>
      <c r="D1274" s="83">
        <f t="shared" si="42"/>
        <v>0.68320544625858182</v>
      </c>
      <c r="E1274" s="83">
        <v>9.2711108036116052E-3</v>
      </c>
      <c r="F1274" s="83">
        <v>1266</v>
      </c>
      <c r="G1274" s="83">
        <f t="shared" ca="1" si="43"/>
        <v>4.5246987659408815E-2</v>
      </c>
    </row>
    <row r="1275" spans="2:7" x14ac:dyDescent="0.2">
      <c r="B1275" s="167">
        <v>41123</v>
      </c>
      <c r="C1275" s="28">
        <v>173.33</v>
      </c>
      <c r="D1275" s="83">
        <f t="shared" si="42"/>
        <v>-0.38860670194003522</v>
      </c>
      <c r="E1275" s="83">
        <v>9.2581809712356088E-3</v>
      </c>
      <c r="F1275" s="83">
        <v>1267</v>
      </c>
      <c r="G1275" s="83">
        <f t="shared" ca="1" si="43"/>
        <v>1.0688955659401743E-2</v>
      </c>
    </row>
    <row r="1276" spans="2:7" x14ac:dyDescent="0.2">
      <c r="B1276" s="167">
        <v>43402</v>
      </c>
      <c r="C1276" s="28">
        <v>283.5</v>
      </c>
      <c r="D1276" s="83">
        <f t="shared" si="42"/>
        <v>1.0114942528735633</v>
      </c>
      <c r="E1276" s="83">
        <v>9.2559629761481774E-3</v>
      </c>
      <c r="F1276" s="83">
        <v>1268</v>
      </c>
      <c r="G1276" s="83">
        <f t="shared" ca="1" si="43"/>
        <v>-5.5839237232508602E-4</v>
      </c>
    </row>
    <row r="1277" spans="2:7" x14ac:dyDescent="0.2">
      <c r="B1277" s="167">
        <v>40863</v>
      </c>
      <c r="C1277" s="28">
        <v>140.94</v>
      </c>
      <c r="D1277" s="83">
        <f t="shared" si="42"/>
        <v>-0.50416886543535622</v>
      </c>
      <c r="E1277" s="83">
        <v>9.2373791621911342E-3</v>
      </c>
      <c r="F1277" s="83">
        <v>1269</v>
      </c>
      <c r="G1277" s="83">
        <f t="shared" ca="1" si="43"/>
        <v>4.3797731431200124E-3</v>
      </c>
    </row>
    <row r="1278" spans="2:7" x14ac:dyDescent="0.2">
      <c r="B1278" s="167">
        <v>43473</v>
      </c>
      <c r="C1278" s="28">
        <v>284.25</v>
      </c>
      <c r="D1278" s="83">
        <f t="shared" si="42"/>
        <v>3.4756731223429385</v>
      </c>
      <c r="E1278" s="83">
        <v>9.2313154624534804E-3</v>
      </c>
      <c r="F1278" s="83">
        <v>1270</v>
      </c>
      <c r="G1278" s="83">
        <f t="shared" ca="1" si="43"/>
        <v>-4.992365305474776E-6</v>
      </c>
    </row>
    <row r="1279" spans="2:7" x14ac:dyDescent="0.2">
      <c r="B1279" s="167">
        <v>39652</v>
      </c>
      <c r="C1279" s="28">
        <v>63.51</v>
      </c>
      <c r="D1279" s="83">
        <f t="shared" si="42"/>
        <v>-0.75398024404416042</v>
      </c>
      <c r="E1279" s="83">
        <v>9.2165898617511243E-3</v>
      </c>
      <c r="F1279" s="83">
        <v>1271</v>
      </c>
      <c r="G1279" s="83">
        <f t="shared" ca="1" si="43"/>
        <v>2.5299044027605969E-3</v>
      </c>
    </row>
    <row r="1280" spans="2:7" x14ac:dyDescent="0.2">
      <c r="B1280" s="167">
        <v>43061</v>
      </c>
      <c r="C1280" s="28">
        <v>258.14999999999998</v>
      </c>
      <c r="D1280" s="83">
        <f t="shared" si="42"/>
        <v>0.11825860948667959</v>
      </c>
      <c r="E1280" s="83">
        <v>9.1868647380764883E-3</v>
      </c>
      <c r="F1280" s="83">
        <v>1272</v>
      </c>
      <c r="G1280" s="83">
        <f t="shared" ca="1" si="43"/>
        <v>-1.8953192570098715E-2</v>
      </c>
    </row>
    <row r="1281" spans="2:7" x14ac:dyDescent="0.2">
      <c r="B1281" s="167">
        <v>44510</v>
      </c>
      <c r="C1281" s="28">
        <v>230.85</v>
      </c>
      <c r="D1281" s="83">
        <f t="shared" si="42"/>
        <v>-0.22285810469617914</v>
      </c>
      <c r="E1281" s="83">
        <v>9.1803278688524347E-3</v>
      </c>
      <c r="F1281" s="83">
        <v>1273</v>
      </c>
      <c r="G1281" s="83">
        <f t="shared" ca="1" si="43"/>
        <v>-3.7138637817286206E-2</v>
      </c>
    </row>
    <row r="1282" spans="2:7" x14ac:dyDescent="0.2">
      <c r="B1282" s="167">
        <v>43600</v>
      </c>
      <c r="C1282" s="28">
        <v>297.05</v>
      </c>
      <c r="D1282" s="83">
        <f t="shared" si="42"/>
        <v>-0.26840381252616796</v>
      </c>
      <c r="E1282" s="83">
        <v>9.1727535247154348E-3</v>
      </c>
      <c r="F1282" s="83">
        <v>1274</v>
      </c>
      <c r="G1282" s="83">
        <f t="shared" ca="1" si="43"/>
        <v>1.7082974024762637E-2</v>
      </c>
    </row>
    <row r="1283" spans="2:7" x14ac:dyDescent="0.2">
      <c r="B1283" s="167">
        <v>45405</v>
      </c>
      <c r="C1283" s="28">
        <v>406.03</v>
      </c>
      <c r="D1283" s="83">
        <f t="shared" si="42"/>
        <v>0.47299111191728643</v>
      </c>
      <c r="E1283" s="83">
        <v>9.1713476164437986E-3</v>
      </c>
      <c r="F1283" s="83">
        <v>1275</v>
      </c>
      <c r="G1283" s="83">
        <f t="shared" ca="1" si="43"/>
        <v>8.3265505752100587E-3</v>
      </c>
    </row>
    <row r="1284" spans="2:7" x14ac:dyDescent="0.2">
      <c r="B1284" s="167">
        <v>43657</v>
      </c>
      <c r="C1284" s="28">
        <v>275.64999999999998</v>
      </c>
      <c r="D1284" s="83">
        <f t="shared" si="42"/>
        <v>-0.38598445191900749</v>
      </c>
      <c r="E1284" s="83">
        <v>9.1524803221673078E-3</v>
      </c>
      <c r="F1284" s="83">
        <v>1276</v>
      </c>
      <c r="G1284" s="83">
        <f t="shared" ca="1" si="43"/>
        <v>-2.5105930153914834E-3</v>
      </c>
    </row>
    <row r="1285" spans="2:7" x14ac:dyDescent="0.2">
      <c r="B1285" s="167">
        <v>45492</v>
      </c>
      <c r="C1285" s="28">
        <v>448.93</v>
      </c>
      <c r="D1285" s="83">
        <f t="shared" si="42"/>
        <v>0.54718086572925273</v>
      </c>
      <c r="E1285" s="83">
        <v>9.1489457357370706E-3</v>
      </c>
      <c r="F1285" s="83">
        <v>1277</v>
      </c>
      <c r="G1285" s="83">
        <f t="shared" ca="1" si="43"/>
        <v>1.3422002770745288E-2</v>
      </c>
    </row>
    <row r="1286" spans="2:7" x14ac:dyDescent="0.2">
      <c r="B1286" s="167">
        <v>44749</v>
      </c>
      <c r="C1286" s="28">
        <v>290.16000000000003</v>
      </c>
      <c r="D1286" s="83">
        <f t="shared" si="42"/>
        <v>-0.28728630379249354</v>
      </c>
      <c r="E1286" s="83">
        <v>9.146871630786535E-3</v>
      </c>
      <c r="F1286" s="83">
        <v>1278</v>
      </c>
      <c r="G1286" s="83">
        <f t="shared" ca="1" si="43"/>
        <v>-1.0447944801515617E-3</v>
      </c>
    </row>
    <row r="1287" spans="2:7" x14ac:dyDescent="0.2">
      <c r="B1287" s="167">
        <v>45446</v>
      </c>
      <c r="C1287" s="28">
        <v>407.12</v>
      </c>
      <c r="D1287" s="83">
        <f t="shared" si="42"/>
        <v>5.1452075471698118</v>
      </c>
      <c r="E1287" s="83">
        <v>9.1465681778747192E-3</v>
      </c>
      <c r="F1287" s="83">
        <v>1279</v>
      </c>
      <c r="G1287" s="83">
        <f t="shared" ca="1" si="43"/>
        <v>-6.4481888324010748E-3</v>
      </c>
    </row>
    <row r="1288" spans="2:7" x14ac:dyDescent="0.2">
      <c r="B1288" s="167">
        <v>39442</v>
      </c>
      <c r="C1288" s="28">
        <v>66.25</v>
      </c>
      <c r="D1288" s="83">
        <f t="shared" si="42"/>
        <v>-0.68751473987076084</v>
      </c>
      <c r="E1288" s="83">
        <v>9.1393754760090515E-3</v>
      </c>
      <c r="F1288" s="83">
        <v>1280</v>
      </c>
      <c r="G1288" s="83">
        <f t="shared" ca="1" si="43"/>
        <v>-4.9896775660889488E-3</v>
      </c>
    </row>
    <row r="1289" spans="2:7" x14ac:dyDescent="0.2">
      <c r="B1289" s="167">
        <v>41684</v>
      </c>
      <c r="C1289" s="28">
        <v>212.01</v>
      </c>
      <c r="D1289" s="83">
        <f t="shared" ref="D1289:D1352" si="44">(C1289-C1290)/C1290</f>
        <v>-8.7147470398277763E-2</v>
      </c>
      <c r="E1289" s="83">
        <v>9.1389404540910442E-3</v>
      </c>
      <c r="F1289" s="83">
        <v>1281</v>
      </c>
      <c r="G1289" s="83">
        <f t="shared" ref="G1289:G1352" ca="1" si="45">_xlfn.NORM.INV(RAND(),$M$10,$M$11)</f>
        <v>-6.7133278173209287E-3</v>
      </c>
    </row>
    <row r="1290" spans="2:7" x14ac:dyDescent="0.2">
      <c r="B1290" s="167">
        <v>44602</v>
      </c>
      <c r="C1290" s="28">
        <v>232.25</v>
      </c>
      <c r="D1290" s="83">
        <f t="shared" si="44"/>
        <v>-0.1250706347711433</v>
      </c>
      <c r="E1290" s="83">
        <v>9.1244840321529196E-3</v>
      </c>
      <c r="F1290" s="83">
        <v>1282</v>
      </c>
      <c r="G1290" s="83">
        <f t="shared" ca="1" si="45"/>
        <v>-1.9536472459307723E-2</v>
      </c>
    </row>
    <row r="1291" spans="2:7" x14ac:dyDescent="0.2">
      <c r="B1291" s="167">
        <v>43284</v>
      </c>
      <c r="C1291" s="28">
        <v>265.45</v>
      </c>
      <c r="D1291" s="83">
        <f t="shared" si="44"/>
        <v>-7.7818308146604245E-2</v>
      </c>
      <c r="E1291" s="83">
        <v>9.1237407337007304E-3</v>
      </c>
      <c r="F1291" s="83">
        <v>1283</v>
      </c>
      <c r="G1291" s="83">
        <f t="shared" ca="1" si="45"/>
        <v>8.4635486607876446E-3</v>
      </c>
    </row>
    <row r="1292" spans="2:7" x14ac:dyDescent="0.2">
      <c r="B1292" s="167">
        <v>42948</v>
      </c>
      <c r="C1292" s="28">
        <v>287.85000000000002</v>
      </c>
      <c r="D1292" s="83">
        <f t="shared" si="44"/>
        <v>0.33202221193891729</v>
      </c>
      <c r="E1292" s="83">
        <v>9.1148115687993778E-3</v>
      </c>
      <c r="F1292" s="83">
        <v>1284</v>
      </c>
      <c r="G1292" s="83">
        <f t="shared" ca="1" si="45"/>
        <v>2.1258936079076311E-3</v>
      </c>
    </row>
    <row r="1293" spans="2:7" x14ac:dyDescent="0.2">
      <c r="B1293" s="167">
        <v>44453</v>
      </c>
      <c r="C1293" s="28">
        <v>216.1</v>
      </c>
      <c r="D1293" s="83">
        <f t="shared" si="44"/>
        <v>-6.7086858919012227E-2</v>
      </c>
      <c r="E1293" s="83">
        <v>9.1057669857575931E-3</v>
      </c>
      <c r="F1293" s="83">
        <v>1285</v>
      </c>
      <c r="G1293" s="83">
        <f t="shared" ca="1" si="45"/>
        <v>-1.3414174093791037E-2</v>
      </c>
    </row>
    <row r="1294" spans="2:7" x14ac:dyDescent="0.2">
      <c r="B1294" s="167">
        <v>42340</v>
      </c>
      <c r="C1294" s="28">
        <v>231.64</v>
      </c>
      <c r="D1294" s="83">
        <f t="shared" si="44"/>
        <v>1.8994867943422205</v>
      </c>
      <c r="E1294" s="83">
        <v>9.1047702025701359E-3</v>
      </c>
      <c r="F1294" s="83">
        <v>1286</v>
      </c>
      <c r="G1294" s="83">
        <f t="shared" ca="1" si="45"/>
        <v>3.9283786540168369E-3</v>
      </c>
    </row>
    <row r="1295" spans="2:7" x14ac:dyDescent="0.2">
      <c r="B1295" s="167">
        <v>40022</v>
      </c>
      <c r="C1295" s="28">
        <v>79.89</v>
      </c>
      <c r="D1295" s="83">
        <f t="shared" si="44"/>
        <v>-0.7957456600107381</v>
      </c>
      <c r="E1295" s="83">
        <v>9.094353921940114E-3</v>
      </c>
      <c r="F1295" s="83">
        <v>1287</v>
      </c>
      <c r="G1295" s="83">
        <f t="shared" ca="1" si="45"/>
        <v>-1.0770996652469892E-2</v>
      </c>
    </row>
    <row r="1296" spans="2:7" x14ac:dyDescent="0.2">
      <c r="B1296" s="167">
        <v>45043</v>
      </c>
      <c r="C1296" s="28">
        <v>391.13</v>
      </c>
      <c r="D1296" s="83">
        <f t="shared" si="44"/>
        <v>1.345607196401799</v>
      </c>
      <c r="E1296" s="83">
        <v>9.0812930522947855E-3</v>
      </c>
      <c r="F1296" s="83">
        <v>1288</v>
      </c>
      <c r="G1296" s="83">
        <f t="shared" ca="1" si="45"/>
        <v>-4.2983855035959653E-2</v>
      </c>
    </row>
    <row r="1297" spans="2:7" x14ac:dyDescent="0.2">
      <c r="B1297" s="167">
        <v>44137</v>
      </c>
      <c r="C1297" s="28">
        <v>166.75</v>
      </c>
      <c r="D1297" s="83">
        <f t="shared" si="44"/>
        <v>-0.50690481118963837</v>
      </c>
      <c r="E1297" s="83">
        <v>9.0771558245083209E-3</v>
      </c>
      <c r="F1297" s="83">
        <v>1289</v>
      </c>
      <c r="G1297" s="83">
        <f t="shared" ca="1" si="45"/>
        <v>1.8347892286465817E-2</v>
      </c>
    </row>
    <row r="1298" spans="2:7" x14ac:dyDescent="0.2">
      <c r="B1298" s="167">
        <v>44887</v>
      </c>
      <c r="C1298" s="28">
        <v>338.17</v>
      </c>
      <c r="D1298" s="83">
        <f t="shared" si="44"/>
        <v>1.9416318719554633</v>
      </c>
      <c r="E1298" s="83">
        <v>9.0409977919676237E-3</v>
      </c>
      <c r="F1298" s="83">
        <v>1290</v>
      </c>
      <c r="G1298" s="83">
        <f t="shared" ca="1" si="45"/>
        <v>-2.3397924675567405E-2</v>
      </c>
    </row>
    <row r="1299" spans="2:7" x14ac:dyDescent="0.2">
      <c r="B1299" s="167">
        <v>40484</v>
      </c>
      <c r="C1299" s="28">
        <v>114.96</v>
      </c>
      <c r="D1299" s="83">
        <f t="shared" si="44"/>
        <v>-0.62553745928338766</v>
      </c>
      <c r="E1299" s="83">
        <v>9.0406389888526891E-3</v>
      </c>
      <c r="F1299" s="83">
        <v>1291</v>
      </c>
      <c r="G1299" s="83">
        <f t="shared" ca="1" si="45"/>
        <v>-1.8558241967363453E-2</v>
      </c>
    </row>
    <row r="1300" spans="2:7" x14ac:dyDescent="0.2">
      <c r="B1300" s="167">
        <v>43591</v>
      </c>
      <c r="C1300" s="28">
        <v>307</v>
      </c>
      <c r="D1300" s="83">
        <f t="shared" si="44"/>
        <v>3.0431976820755957</v>
      </c>
      <c r="E1300" s="83">
        <v>9.0386195562859491E-3</v>
      </c>
      <c r="F1300" s="83">
        <v>1292</v>
      </c>
      <c r="G1300" s="83">
        <f t="shared" ca="1" si="45"/>
        <v>-2.6325244587202357E-2</v>
      </c>
    </row>
    <row r="1301" spans="2:7" x14ac:dyDescent="0.2">
      <c r="B1301" s="167">
        <v>40066</v>
      </c>
      <c r="C1301" s="28">
        <v>75.930000000000007</v>
      </c>
      <c r="D1301" s="83">
        <f t="shared" si="44"/>
        <v>1.2665671641791048</v>
      </c>
      <c r="E1301" s="83">
        <v>9.0365448504984291E-3</v>
      </c>
      <c r="F1301" s="83">
        <v>1293</v>
      </c>
      <c r="G1301" s="83">
        <f t="shared" ca="1" si="45"/>
        <v>4.5787884571948566E-2</v>
      </c>
    </row>
    <row r="1302" spans="2:7" x14ac:dyDescent="0.2">
      <c r="B1302" s="167">
        <v>38497</v>
      </c>
      <c r="C1302" s="28">
        <v>33.5</v>
      </c>
      <c r="D1302" s="83">
        <f t="shared" si="44"/>
        <v>-0.86373805165751472</v>
      </c>
      <c r="E1302" s="83">
        <v>9.0361445783131659E-3</v>
      </c>
      <c r="F1302" s="83">
        <v>1294</v>
      </c>
      <c r="G1302" s="83">
        <f t="shared" ca="1" si="45"/>
        <v>6.05886982674274E-3</v>
      </c>
    </row>
    <row r="1303" spans="2:7" x14ac:dyDescent="0.2">
      <c r="B1303" s="167">
        <v>43755</v>
      </c>
      <c r="C1303" s="28">
        <v>245.85</v>
      </c>
      <c r="D1303" s="83">
        <f t="shared" si="44"/>
        <v>5.216981939570315E-2</v>
      </c>
      <c r="E1303" s="83">
        <v>9.029345372460449E-3</v>
      </c>
      <c r="F1303" s="83">
        <v>1295</v>
      </c>
      <c r="G1303" s="83">
        <f t="shared" ca="1" si="45"/>
        <v>-2.7693239094946712E-2</v>
      </c>
    </row>
    <row r="1304" spans="2:7" x14ac:dyDescent="0.2">
      <c r="B1304" s="167">
        <v>41877</v>
      </c>
      <c r="C1304" s="28">
        <v>233.66</v>
      </c>
      <c r="D1304" s="83">
        <f t="shared" si="44"/>
        <v>-0.14707063332724948</v>
      </c>
      <c r="E1304" s="83">
        <v>9.0253487066545898E-3</v>
      </c>
      <c r="F1304" s="83">
        <v>1296</v>
      </c>
      <c r="G1304" s="83">
        <f t="shared" ca="1" si="45"/>
        <v>-1.1595314193827604E-2</v>
      </c>
    </row>
    <row r="1305" spans="2:7" x14ac:dyDescent="0.2">
      <c r="B1305" s="167">
        <v>42865</v>
      </c>
      <c r="C1305" s="28">
        <v>273.95</v>
      </c>
      <c r="D1305" s="83">
        <f t="shared" si="44"/>
        <v>0.36022840119165828</v>
      </c>
      <c r="E1305" s="83">
        <v>9.0239410681399214E-3</v>
      </c>
      <c r="F1305" s="83">
        <v>1297</v>
      </c>
      <c r="G1305" s="83">
        <f t="shared" ca="1" si="45"/>
        <v>1.5717187593310496E-3</v>
      </c>
    </row>
    <row r="1306" spans="2:7" x14ac:dyDescent="0.2">
      <c r="B1306" s="167">
        <v>44321</v>
      </c>
      <c r="C1306" s="28">
        <v>201.4</v>
      </c>
      <c r="D1306" s="83">
        <f t="shared" si="44"/>
        <v>-0.20079365079365077</v>
      </c>
      <c r="E1306" s="83">
        <v>9.0180360721443462E-3</v>
      </c>
      <c r="F1306" s="83">
        <v>1298</v>
      </c>
      <c r="G1306" s="83">
        <f t="shared" ca="1" si="45"/>
        <v>1.2508224641440089E-2</v>
      </c>
    </row>
    <row r="1307" spans="2:7" x14ac:dyDescent="0.2">
      <c r="B1307" s="167">
        <v>44643</v>
      </c>
      <c r="C1307" s="28">
        <v>252</v>
      </c>
      <c r="D1307" s="83">
        <f t="shared" si="44"/>
        <v>0.12199465716829923</v>
      </c>
      <c r="E1307" s="83">
        <v>9.0090090090090089E-3</v>
      </c>
      <c r="F1307" s="83">
        <v>1299</v>
      </c>
      <c r="G1307" s="83">
        <f t="shared" ca="1" si="45"/>
        <v>1.153250960096563E-2</v>
      </c>
    </row>
    <row r="1308" spans="2:7" x14ac:dyDescent="0.2">
      <c r="B1308" s="167">
        <v>44578</v>
      </c>
      <c r="C1308" s="28">
        <v>224.6</v>
      </c>
      <c r="D1308" s="83">
        <f t="shared" si="44"/>
        <v>1.2451019592163133</v>
      </c>
      <c r="E1308" s="83">
        <v>8.9847259658580418E-3</v>
      </c>
      <c r="F1308" s="83">
        <v>1300</v>
      </c>
      <c r="G1308" s="83">
        <f t="shared" ca="1" si="45"/>
        <v>-3.1881168972041091E-3</v>
      </c>
    </row>
    <row r="1309" spans="2:7" x14ac:dyDescent="0.2">
      <c r="B1309" s="167">
        <v>40351</v>
      </c>
      <c r="C1309" s="28">
        <v>100.04</v>
      </c>
      <c r="D1309" s="83">
        <f t="shared" si="44"/>
        <v>-0.76204181632216161</v>
      </c>
      <c r="E1309" s="83">
        <v>8.9762985375693438E-3</v>
      </c>
      <c r="F1309" s="83">
        <v>1301</v>
      </c>
      <c r="G1309" s="83">
        <f t="shared" ca="1" si="45"/>
        <v>-3.1627529575210901E-2</v>
      </c>
    </row>
    <row r="1310" spans="2:7" x14ac:dyDescent="0.2">
      <c r="B1310" s="167">
        <v>45209</v>
      </c>
      <c r="C1310" s="28">
        <v>420.41</v>
      </c>
      <c r="D1310" s="83">
        <f t="shared" si="44"/>
        <v>12.337880710659901</v>
      </c>
      <c r="E1310" s="83">
        <v>8.9759281925744817E-3</v>
      </c>
      <c r="F1310" s="83">
        <v>1302</v>
      </c>
      <c r="G1310" s="83">
        <f t="shared" ca="1" si="45"/>
        <v>1.9887419379603154E-2</v>
      </c>
    </row>
    <row r="1311" spans="2:7" x14ac:dyDescent="0.2">
      <c r="B1311" s="167">
        <v>38476</v>
      </c>
      <c r="C1311" s="28">
        <v>31.52</v>
      </c>
      <c r="D1311" s="83">
        <f t="shared" si="44"/>
        <v>-0.8437592941409735</v>
      </c>
      <c r="E1311" s="83">
        <v>8.9628681177977322E-3</v>
      </c>
      <c r="F1311" s="83">
        <v>1303</v>
      </c>
      <c r="G1311" s="83">
        <f t="shared" ca="1" si="45"/>
        <v>-1.1854229284571898E-3</v>
      </c>
    </row>
    <row r="1312" spans="2:7" x14ac:dyDescent="0.2">
      <c r="B1312" s="167">
        <v>42160</v>
      </c>
      <c r="C1312" s="28">
        <v>201.74</v>
      </c>
      <c r="D1312" s="83">
        <f t="shared" si="44"/>
        <v>-0.36527812735967774</v>
      </c>
      <c r="E1312" s="83">
        <v>8.952238059514981E-3</v>
      </c>
      <c r="F1312" s="83">
        <v>1304</v>
      </c>
      <c r="G1312" s="83">
        <f t="shared" ca="1" si="45"/>
        <v>-2.1349578404585994E-2</v>
      </c>
    </row>
    <row r="1313" spans="2:7" x14ac:dyDescent="0.2">
      <c r="B1313" s="167">
        <v>44935</v>
      </c>
      <c r="C1313" s="28">
        <v>317.83999999999997</v>
      </c>
      <c r="D1313" s="83">
        <f t="shared" si="44"/>
        <v>8.7169061449098137</v>
      </c>
      <c r="E1313" s="83">
        <v>8.9518125833280213E-3</v>
      </c>
      <c r="F1313" s="83">
        <v>1305</v>
      </c>
      <c r="G1313" s="83">
        <f t="shared" ca="1" si="45"/>
        <v>1.1552694214313408E-2</v>
      </c>
    </row>
    <row r="1314" spans="2:7" x14ac:dyDescent="0.2">
      <c r="B1314" s="167">
        <v>38485</v>
      </c>
      <c r="C1314" s="28">
        <v>32.71</v>
      </c>
      <c r="D1314" s="83">
        <f t="shared" si="44"/>
        <v>-0.86060089494992542</v>
      </c>
      <c r="E1314" s="83">
        <v>8.945095619987636E-3</v>
      </c>
      <c r="F1314" s="83">
        <v>1306</v>
      </c>
      <c r="G1314" s="83">
        <f t="shared" ca="1" si="45"/>
        <v>-1.4942736528992431E-2</v>
      </c>
    </row>
    <row r="1315" spans="2:7" x14ac:dyDescent="0.2">
      <c r="B1315" s="167">
        <v>41890</v>
      </c>
      <c r="C1315" s="28">
        <v>234.65</v>
      </c>
      <c r="D1315" s="83">
        <f t="shared" si="44"/>
        <v>1.2828096118299446</v>
      </c>
      <c r="E1315" s="83">
        <v>8.9435438792622116E-3</v>
      </c>
      <c r="F1315" s="83">
        <v>1307</v>
      </c>
      <c r="G1315" s="83">
        <f t="shared" ca="1" si="45"/>
        <v>2.5274352554639432E-3</v>
      </c>
    </row>
    <row r="1316" spans="2:7" x14ac:dyDescent="0.2">
      <c r="B1316" s="167">
        <v>40388</v>
      </c>
      <c r="C1316" s="28">
        <v>102.79</v>
      </c>
      <c r="D1316" s="83">
        <f t="shared" si="44"/>
        <v>0.21200330149746496</v>
      </c>
      <c r="E1316" s="83">
        <v>8.9320769532784724E-3</v>
      </c>
      <c r="F1316" s="83">
        <v>1308</v>
      </c>
      <c r="G1316" s="83">
        <f t="shared" ca="1" si="45"/>
        <v>1.1862129284891564E-2</v>
      </c>
    </row>
    <row r="1317" spans="2:7" x14ac:dyDescent="0.2">
      <c r="B1317" s="167">
        <v>40171</v>
      </c>
      <c r="C1317" s="28">
        <v>84.81</v>
      </c>
      <c r="D1317" s="83">
        <f t="shared" si="44"/>
        <v>2.6134301270417378E-2</v>
      </c>
      <c r="E1317" s="83">
        <v>8.9221984296930755E-3</v>
      </c>
      <c r="F1317" s="83">
        <v>1309</v>
      </c>
      <c r="G1317" s="83">
        <f t="shared" ca="1" si="45"/>
        <v>-1.3887100074314786E-2</v>
      </c>
    </row>
    <row r="1318" spans="2:7" x14ac:dyDescent="0.2">
      <c r="B1318" s="167">
        <v>40224</v>
      </c>
      <c r="C1318" s="28">
        <v>82.65</v>
      </c>
      <c r="D1318" s="83">
        <f t="shared" si="44"/>
        <v>-0.56025538707102951</v>
      </c>
      <c r="E1318" s="83">
        <v>8.9111328125000486E-3</v>
      </c>
      <c r="F1318" s="83">
        <v>1310</v>
      </c>
      <c r="G1318" s="83">
        <f t="shared" ca="1" si="45"/>
        <v>-1.5277893211129913E-2</v>
      </c>
    </row>
    <row r="1319" spans="2:7" x14ac:dyDescent="0.2">
      <c r="B1319" s="167">
        <v>41193</v>
      </c>
      <c r="C1319" s="28">
        <v>187.95</v>
      </c>
      <c r="D1319" s="83">
        <f t="shared" si="44"/>
        <v>-0.12213918729565626</v>
      </c>
      <c r="E1319" s="83">
        <v>8.9108379408449016E-3</v>
      </c>
      <c r="F1319" s="83">
        <v>1311</v>
      </c>
      <c r="G1319" s="83">
        <f t="shared" ca="1" si="45"/>
        <v>6.1321361456575744E-3</v>
      </c>
    </row>
    <row r="1320" spans="2:7" x14ac:dyDescent="0.2">
      <c r="B1320" s="167">
        <v>42353</v>
      </c>
      <c r="C1320" s="28">
        <v>214.1</v>
      </c>
      <c r="D1320" s="83">
        <f t="shared" si="44"/>
        <v>0.25926361604517106</v>
      </c>
      <c r="E1320" s="83">
        <v>8.9062720889684106E-3</v>
      </c>
      <c r="F1320" s="83">
        <v>1312</v>
      </c>
      <c r="G1320" s="83">
        <f t="shared" ca="1" si="45"/>
        <v>9.1815009880012635E-4</v>
      </c>
    </row>
    <row r="1321" spans="2:7" x14ac:dyDescent="0.2">
      <c r="B1321" s="167">
        <v>41172</v>
      </c>
      <c r="C1321" s="28">
        <v>170.02</v>
      </c>
      <c r="D1321" s="83">
        <f t="shared" si="44"/>
        <v>1.2054741211570892</v>
      </c>
      <c r="E1321" s="83">
        <v>8.9010206503679079E-3</v>
      </c>
      <c r="F1321" s="83">
        <v>1313</v>
      </c>
      <c r="G1321" s="83">
        <f t="shared" ca="1" si="45"/>
        <v>3.4080627093933238E-2</v>
      </c>
    </row>
    <row r="1322" spans="2:7" x14ac:dyDescent="0.2">
      <c r="B1322" s="167">
        <v>40080</v>
      </c>
      <c r="C1322" s="28">
        <v>77.09</v>
      </c>
      <c r="D1322" s="83">
        <f t="shared" si="44"/>
        <v>-0.63480032213747695</v>
      </c>
      <c r="E1322" s="83">
        <v>8.8993587226803665E-3</v>
      </c>
      <c r="F1322" s="83">
        <v>1314</v>
      </c>
      <c r="G1322" s="83">
        <f t="shared" ca="1" si="45"/>
        <v>3.5073737912145471E-2</v>
      </c>
    </row>
    <row r="1323" spans="2:7" x14ac:dyDescent="0.2">
      <c r="B1323" s="167">
        <v>42191</v>
      </c>
      <c r="C1323" s="28">
        <v>211.09</v>
      </c>
      <c r="D1323" s="83">
        <f t="shared" si="44"/>
        <v>-2.2052351169793798E-2</v>
      </c>
      <c r="E1323" s="83">
        <v>8.8897385652153792E-3</v>
      </c>
      <c r="F1323" s="83">
        <v>1315</v>
      </c>
      <c r="G1323" s="83">
        <f t="shared" ca="1" si="45"/>
        <v>5.5366768490310177E-4</v>
      </c>
    </row>
    <row r="1324" spans="2:7" x14ac:dyDescent="0.2">
      <c r="B1324" s="167">
        <v>44620</v>
      </c>
      <c r="C1324" s="28">
        <v>215.85</v>
      </c>
      <c r="D1324" s="83">
        <f t="shared" si="44"/>
        <v>-0.36385606082933014</v>
      </c>
      <c r="E1324" s="83">
        <v>8.8805795746670045E-3</v>
      </c>
      <c r="F1324" s="83">
        <v>1316</v>
      </c>
      <c r="G1324" s="83">
        <f t="shared" ca="1" si="45"/>
        <v>2.6690951520272645E-2</v>
      </c>
    </row>
    <row r="1325" spans="2:7" x14ac:dyDescent="0.2">
      <c r="B1325" s="167">
        <v>44904</v>
      </c>
      <c r="C1325" s="28">
        <v>339.31</v>
      </c>
      <c r="D1325" s="83">
        <f t="shared" si="44"/>
        <v>0.52006988621091299</v>
      </c>
      <c r="E1325" s="83">
        <v>8.860345494008914E-3</v>
      </c>
      <c r="F1325" s="83">
        <v>1317</v>
      </c>
      <c r="G1325" s="83">
        <f t="shared" ca="1" si="45"/>
        <v>-1.2587872090667545E-2</v>
      </c>
    </row>
    <row r="1326" spans="2:7" x14ac:dyDescent="0.2">
      <c r="B1326" s="167">
        <v>41796</v>
      </c>
      <c r="C1326" s="28">
        <v>223.22</v>
      </c>
      <c r="D1326" s="83">
        <f t="shared" si="44"/>
        <v>8.8612533528407644E-2</v>
      </c>
      <c r="E1326" s="83">
        <v>8.8583566844436766E-3</v>
      </c>
      <c r="F1326" s="83">
        <v>1318</v>
      </c>
      <c r="G1326" s="83">
        <f t="shared" ca="1" si="45"/>
        <v>4.6633273362223712E-3</v>
      </c>
    </row>
    <row r="1327" spans="2:7" x14ac:dyDescent="0.2">
      <c r="B1327" s="167">
        <v>44372</v>
      </c>
      <c r="C1327" s="28">
        <v>205.05</v>
      </c>
      <c r="D1327" s="83">
        <f t="shared" si="44"/>
        <v>-0.21751574127074985</v>
      </c>
      <c r="E1327" s="83">
        <v>8.8560885608856641E-3</v>
      </c>
      <c r="F1327" s="83">
        <v>1319</v>
      </c>
      <c r="G1327" s="83">
        <f t="shared" ca="1" si="45"/>
        <v>6.0597593014986677E-3</v>
      </c>
    </row>
    <row r="1328" spans="2:7" x14ac:dyDescent="0.2">
      <c r="B1328" s="167">
        <v>44686</v>
      </c>
      <c r="C1328" s="28">
        <v>262.05</v>
      </c>
      <c r="D1328" s="83">
        <f t="shared" si="44"/>
        <v>-0.42103751491317215</v>
      </c>
      <c r="E1328" s="83">
        <v>8.854667949951921E-3</v>
      </c>
      <c r="F1328" s="83">
        <v>1320</v>
      </c>
      <c r="G1328" s="83">
        <f t="shared" ca="1" si="45"/>
        <v>-2.4989758838976891E-3</v>
      </c>
    </row>
    <row r="1329" spans="2:7" x14ac:dyDescent="0.2">
      <c r="B1329" s="167">
        <v>45650</v>
      </c>
      <c r="C1329" s="28">
        <v>452.62</v>
      </c>
      <c r="D1329" s="83">
        <f t="shared" si="44"/>
        <v>6.3513074549293487</v>
      </c>
      <c r="E1329" s="83">
        <v>8.8487685278057001E-3</v>
      </c>
      <c r="F1329" s="83">
        <v>1321</v>
      </c>
      <c r="G1329" s="83">
        <f t="shared" ca="1" si="45"/>
        <v>2.6142965976783211E-2</v>
      </c>
    </row>
    <row r="1330" spans="2:7" x14ac:dyDescent="0.2">
      <c r="B1330" s="167">
        <v>39036</v>
      </c>
      <c r="C1330" s="28">
        <v>61.57</v>
      </c>
      <c r="D1330" s="83">
        <f t="shared" si="44"/>
        <v>-0.71463663329625515</v>
      </c>
      <c r="E1330" s="83">
        <v>8.848107488120583E-3</v>
      </c>
      <c r="F1330" s="83">
        <v>1322</v>
      </c>
      <c r="G1330" s="83">
        <f t="shared" ca="1" si="45"/>
        <v>-5.3492808004921939E-3</v>
      </c>
    </row>
    <row r="1331" spans="2:7" x14ac:dyDescent="0.2">
      <c r="B1331" s="167">
        <v>41652</v>
      </c>
      <c r="C1331" s="28">
        <v>215.76</v>
      </c>
      <c r="D1331" s="83">
        <f t="shared" si="44"/>
        <v>5.5144927536231885</v>
      </c>
      <c r="E1331" s="83">
        <v>8.8371440594753187E-3</v>
      </c>
      <c r="F1331" s="83">
        <v>1323</v>
      </c>
      <c r="G1331" s="83">
        <f t="shared" ca="1" si="45"/>
        <v>5.8162492568607947E-3</v>
      </c>
    </row>
    <row r="1332" spans="2:7" x14ac:dyDescent="0.2">
      <c r="B1332" s="167">
        <v>38491</v>
      </c>
      <c r="C1332" s="28">
        <v>33.119999999999997</v>
      </c>
      <c r="D1332" s="83">
        <f t="shared" si="44"/>
        <v>-0.91729304532401046</v>
      </c>
      <c r="E1332" s="83">
        <v>8.833384099908595E-3</v>
      </c>
      <c r="F1332" s="83">
        <v>1324</v>
      </c>
      <c r="G1332" s="83">
        <f t="shared" ca="1" si="45"/>
        <v>1.1770764279019807E-2</v>
      </c>
    </row>
    <row r="1333" spans="2:7" x14ac:dyDescent="0.2">
      <c r="B1333" s="167">
        <v>45467</v>
      </c>
      <c r="C1333" s="28">
        <v>400.45</v>
      </c>
      <c r="D1333" s="83">
        <f t="shared" si="44"/>
        <v>-6.171653506408311E-2</v>
      </c>
      <c r="E1333" s="83">
        <v>8.8172313893437465E-3</v>
      </c>
      <c r="F1333" s="83">
        <v>1325</v>
      </c>
      <c r="G1333" s="83">
        <f t="shared" ca="1" si="45"/>
        <v>-3.2452274034711633E-2</v>
      </c>
    </row>
    <row r="1334" spans="2:7" x14ac:dyDescent="0.2">
      <c r="B1334" s="167">
        <v>45181</v>
      </c>
      <c r="C1334" s="28">
        <v>426.79</v>
      </c>
      <c r="D1334" s="83">
        <f t="shared" si="44"/>
        <v>1.4501406510132615</v>
      </c>
      <c r="E1334" s="83">
        <v>8.8167163050158794E-3</v>
      </c>
      <c r="F1334" s="83">
        <v>1326</v>
      </c>
      <c r="G1334" s="83">
        <f t="shared" ca="1" si="45"/>
        <v>-1.5889866716073474E-2</v>
      </c>
    </row>
    <row r="1335" spans="2:7" x14ac:dyDescent="0.2">
      <c r="B1335" s="167">
        <v>41159</v>
      </c>
      <c r="C1335" s="28">
        <v>174.19</v>
      </c>
      <c r="D1335" s="83">
        <f t="shared" si="44"/>
        <v>0.87644080577399552</v>
      </c>
      <c r="E1335" s="83">
        <v>8.8029188625702807E-3</v>
      </c>
      <c r="F1335" s="83">
        <v>1327</v>
      </c>
      <c r="G1335" s="83">
        <f t="shared" ca="1" si="45"/>
        <v>-1.0067180159094146E-2</v>
      </c>
    </row>
    <row r="1336" spans="2:7" x14ac:dyDescent="0.2">
      <c r="B1336" s="167">
        <v>40339</v>
      </c>
      <c r="C1336" s="28">
        <v>92.83</v>
      </c>
      <c r="D1336" s="83">
        <f t="shared" si="44"/>
        <v>-0.54232608588473108</v>
      </c>
      <c r="E1336" s="83">
        <v>8.8024342534231935E-3</v>
      </c>
      <c r="F1336" s="83">
        <v>1328</v>
      </c>
      <c r="G1336" s="83">
        <f t="shared" ca="1" si="45"/>
        <v>-2.8007021432840296E-3</v>
      </c>
    </row>
    <row r="1337" spans="2:7" x14ac:dyDescent="0.2">
      <c r="B1337" s="167">
        <v>41255</v>
      </c>
      <c r="C1337" s="28">
        <v>202.83</v>
      </c>
      <c r="D1337" s="83">
        <f t="shared" si="44"/>
        <v>-0.54058890147225369</v>
      </c>
      <c r="E1337" s="83">
        <v>8.7531705376238094E-3</v>
      </c>
      <c r="F1337" s="83">
        <v>1329</v>
      </c>
      <c r="G1337" s="83">
        <f t="shared" ca="1" si="45"/>
        <v>-1.9177008359782519E-2</v>
      </c>
    </row>
    <row r="1338" spans="2:7" x14ac:dyDescent="0.2">
      <c r="B1338" s="167">
        <v>45303</v>
      </c>
      <c r="C1338" s="28">
        <v>441.5</v>
      </c>
      <c r="D1338" s="83">
        <f t="shared" si="44"/>
        <v>0.5955908926635346</v>
      </c>
      <c r="E1338" s="83">
        <v>8.7508853702560931E-3</v>
      </c>
      <c r="F1338" s="83">
        <v>1330</v>
      </c>
      <c r="G1338" s="83">
        <f t="shared" ca="1" si="45"/>
        <v>-5.7879873062807443E-3</v>
      </c>
    </row>
    <row r="1339" spans="2:7" x14ac:dyDescent="0.2">
      <c r="B1339" s="167">
        <v>43521</v>
      </c>
      <c r="C1339" s="28">
        <v>276.7</v>
      </c>
      <c r="D1339" s="83">
        <f t="shared" si="44"/>
        <v>-1.8066847335144125E-4</v>
      </c>
      <c r="E1339" s="83">
        <v>8.749544294567908E-3</v>
      </c>
      <c r="F1339" s="83">
        <v>1331</v>
      </c>
      <c r="G1339" s="83">
        <f t="shared" ca="1" si="45"/>
        <v>-8.1093991162339504E-4</v>
      </c>
    </row>
    <row r="1340" spans="2:7" x14ac:dyDescent="0.2">
      <c r="B1340" s="167">
        <v>42849</v>
      </c>
      <c r="C1340" s="28">
        <v>276.75</v>
      </c>
      <c r="D1340" s="83">
        <f t="shared" si="44"/>
        <v>0.25938566552901021</v>
      </c>
      <c r="E1340" s="83">
        <v>8.7479496992891453E-3</v>
      </c>
      <c r="F1340" s="83">
        <v>1332</v>
      </c>
      <c r="G1340" s="83">
        <f t="shared" ca="1" si="45"/>
        <v>-1.6611067504708279E-2</v>
      </c>
    </row>
    <row r="1341" spans="2:7" x14ac:dyDescent="0.2">
      <c r="B1341" s="167">
        <v>44214</v>
      </c>
      <c r="C1341" s="28">
        <v>219.75</v>
      </c>
      <c r="D1341" s="83">
        <f t="shared" si="44"/>
        <v>0.6377254434341928</v>
      </c>
      <c r="E1341" s="83">
        <v>8.7215974294239419E-3</v>
      </c>
      <c r="F1341" s="83">
        <v>1333</v>
      </c>
      <c r="G1341" s="83">
        <f t="shared" ca="1" si="45"/>
        <v>7.8550909842294153E-3</v>
      </c>
    </row>
    <row r="1342" spans="2:7" x14ac:dyDescent="0.2">
      <c r="B1342" s="167">
        <v>40945</v>
      </c>
      <c r="C1342" s="28">
        <v>134.18</v>
      </c>
      <c r="D1342" s="83">
        <f t="shared" si="44"/>
        <v>-0.42648315951444693</v>
      </c>
      <c r="E1342" s="83">
        <v>8.7204931589234431E-3</v>
      </c>
      <c r="F1342" s="83">
        <v>1334</v>
      </c>
      <c r="G1342" s="83">
        <f t="shared" ca="1" si="45"/>
        <v>1.5619504942483755E-2</v>
      </c>
    </row>
    <row r="1343" spans="2:7" x14ac:dyDescent="0.2">
      <c r="B1343" s="167">
        <v>41842</v>
      </c>
      <c r="C1343" s="28">
        <v>233.96</v>
      </c>
      <c r="D1343" s="83">
        <f t="shared" si="44"/>
        <v>3.2967860422405875</v>
      </c>
      <c r="E1343" s="83">
        <v>8.7091489178236191E-3</v>
      </c>
      <c r="F1343" s="83">
        <v>1335</v>
      </c>
      <c r="G1343" s="83">
        <f t="shared" ca="1" si="45"/>
        <v>1.2025660301758381E-2</v>
      </c>
    </row>
    <row r="1344" spans="2:7" x14ac:dyDescent="0.2">
      <c r="B1344" s="167">
        <v>38769</v>
      </c>
      <c r="C1344" s="28">
        <v>54.45</v>
      </c>
      <c r="D1344" s="83">
        <f t="shared" si="44"/>
        <v>-0.28907168037602821</v>
      </c>
      <c r="E1344" s="83">
        <v>8.7069284920341973E-3</v>
      </c>
      <c r="F1344" s="83">
        <v>1336</v>
      </c>
      <c r="G1344" s="83">
        <f t="shared" ca="1" si="45"/>
        <v>9.2844151267532926E-3</v>
      </c>
    </row>
    <row r="1345" spans="2:7" x14ac:dyDescent="0.2">
      <c r="B1345" s="167">
        <v>40072</v>
      </c>
      <c r="C1345" s="28">
        <v>76.59</v>
      </c>
      <c r="D1345" s="83">
        <f t="shared" si="44"/>
        <v>0.13685616743357576</v>
      </c>
      <c r="E1345" s="83">
        <v>8.6922165152113328E-3</v>
      </c>
      <c r="F1345" s="83">
        <v>1337</v>
      </c>
      <c r="G1345" s="83">
        <f t="shared" ca="1" si="45"/>
        <v>-2.1331080658902393E-2</v>
      </c>
    </row>
    <row r="1346" spans="2:7" x14ac:dyDescent="0.2">
      <c r="B1346" s="167">
        <v>39616</v>
      </c>
      <c r="C1346" s="28">
        <v>67.37</v>
      </c>
      <c r="D1346" s="83">
        <f t="shared" si="44"/>
        <v>0.23320519860882302</v>
      </c>
      <c r="E1346" s="83">
        <v>8.6839347207665549E-3</v>
      </c>
      <c r="F1346" s="83">
        <v>1338</v>
      </c>
      <c r="G1346" s="83">
        <f t="shared" ca="1" si="45"/>
        <v>1.5532559049773706E-2</v>
      </c>
    </row>
    <row r="1347" spans="2:7" x14ac:dyDescent="0.2">
      <c r="B1347" s="167">
        <v>39307</v>
      </c>
      <c r="C1347" s="28">
        <v>54.63</v>
      </c>
      <c r="D1347" s="83">
        <f t="shared" si="44"/>
        <v>-0.75923314235345973</v>
      </c>
      <c r="E1347" s="83">
        <v>8.6779911373708642E-3</v>
      </c>
      <c r="F1347" s="83">
        <v>1339</v>
      </c>
      <c r="G1347" s="83">
        <f t="shared" ca="1" si="45"/>
        <v>1.5184495615608484E-2</v>
      </c>
    </row>
    <row r="1348" spans="2:7" x14ac:dyDescent="0.2">
      <c r="B1348" s="167">
        <v>44628</v>
      </c>
      <c r="C1348" s="28">
        <v>226.9</v>
      </c>
      <c r="D1348" s="83">
        <f t="shared" si="44"/>
        <v>-0.36292677448337829</v>
      </c>
      <c r="E1348" s="83">
        <v>8.6685930206713366E-3</v>
      </c>
      <c r="F1348" s="83">
        <v>1340</v>
      </c>
      <c r="G1348" s="83">
        <f t="shared" ca="1" si="45"/>
        <v>-2.5814110622169494E-2</v>
      </c>
    </row>
    <row r="1349" spans="2:7" x14ac:dyDescent="0.2">
      <c r="B1349" s="167">
        <v>45005</v>
      </c>
      <c r="C1349" s="28">
        <v>356.16</v>
      </c>
      <c r="D1349" s="83">
        <f t="shared" si="44"/>
        <v>-0.16009904492394761</v>
      </c>
      <c r="E1349" s="83">
        <v>8.6661002548853068E-3</v>
      </c>
      <c r="F1349" s="83">
        <v>1341</v>
      </c>
      <c r="G1349" s="83">
        <f t="shared" ca="1" si="45"/>
        <v>-4.4328461085658674E-2</v>
      </c>
    </row>
    <row r="1350" spans="2:7" x14ac:dyDescent="0.2">
      <c r="B1350" s="167">
        <v>45210</v>
      </c>
      <c r="C1350" s="28">
        <v>424.05</v>
      </c>
      <c r="D1350" s="83">
        <f t="shared" si="44"/>
        <v>0.77241379310344838</v>
      </c>
      <c r="E1350" s="83">
        <v>8.658214600033267E-3</v>
      </c>
      <c r="F1350" s="83">
        <v>1342</v>
      </c>
      <c r="G1350" s="83">
        <f t="shared" ca="1" si="45"/>
        <v>-1.6423478946229624E-2</v>
      </c>
    </row>
    <row r="1351" spans="2:7" x14ac:dyDescent="0.2">
      <c r="B1351" s="167">
        <v>43726</v>
      </c>
      <c r="C1351" s="28">
        <v>239.25</v>
      </c>
      <c r="D1351" s="83">
        <f t="shared" si="44"/>
        <v>-4.700258912567222E-2</v>
      </c>
      <c r="E1351" s="83">
        <v>8.6424957841484459E-3</v>
      </c>
      <c r="F1351" s="83">
        <v>1343</v>
      </c>
      <c r="G1351" s="83">
        <f t="shared" ca="1" si="45"/>
        <v>-8.7495168862275867E-3</v>
      </c>
    </row>
    <row r="1352" spans="2:7" x14ac:dyDescent="0.2">
      <c r="B1352" s="167">
        <v>43761</v>
      </c>
      <c r="C1352" s="28">
        <v>251.05</v>
      </c>
      <c r="D1352" s="83">
        <f t="shared" si="44"/>
        <v>2.2815237319209709E-2</v>
      </c>
      <c r="E1352" s="83">
        <v>8.6380072318200298E-3</v>
      </c>
      <c r="F1352" s="83">
        <v>1344</v>
      </c>
      <c r="G1352" s="83">
        <f t="shared" ca="1" si="45"/>
        <v>-1.7597835430421836E-2</v>
      </c>
    </row>
    <row r="1353" spans="2:7" x14ac:dyDescent="0.2">
      <c r="B1353" s="167">
        <v>42739</v>
      </c>
      <c r="C1353" s="28">
        <v>245.45</v>
      </c>
      <c r="D1353" s="83">
        <f t="shared" ref="D1353:D1416" si="46">(C1353-C1354)/C1354</f>
        <v>0.87466585198197488</v>
      </c>
      <c r="E1353" s="83">
        <v>8.6295459215122022E-3</v>
      </c>
      <c r="F1353" s="83">
        <v>1345</v>
      </c>
      <c r="G1353" s="83">
        <f t="shared" ref="G1353:G1416" ca="1" si="47">_xlfn.NORM.INV(RAND(),$M$10,$M$11)</f>
        <v>2.7471788716624673E-3</v>
      </c>
    </row>
    <row r="1354" spans="2:7" x14ac:dyDescent="0.2">
      <c r="B1354" s="167">
        <v>40896</v>
      </c>
      <c r="C1354" s="28">
        <v>130.93</v>
      </c>
      <c r="D1354" s="83">
        <f t="shared" si="46"/>
        <v>1.1117741935483871</v>
      </c>
      <c r="E1354" s="83">
        <v>8.6279947615746436E-3</v>
      </c>
      <c r="F1354" s="83">
        <v>1346</v>
      </c>
      <c r="G1354" s="83">
        <f t="shared" ca="1" si="47"/>
        <v>-6.8256716068314249E-4</v>
      </c>
    </row>
    <row r="1355" spans="2:7" x14ac:dyDescent="0.2">
      <c r="B1355" s="167">
        <v>39030</v>
      </c>
      <c r="C1355" s="28">
        <v>62</v>
      </c>
      <c r="D1355" s="83">
        <f t="shared" si="46"/>
        <v>-0.8507606393221645</v>
      </c>
      <c r="E1355" s="83">
        <v>8.6220920774361665E-3</v>
      </c>
      <c r="F1355" s="83">
        <v>1347</v>
      </c>
      <c r="G1355" s="83">
        <f t="shared" ca="1" si="47"/>
        <v>-4.785652912804951E-3</v>
      </c>
    </row>
    <row r="1356" spans="2:7" x14ac:dyDescent="0.2">
      <c r="B1356" s="167">
        <v>45450</v>
      </c>
      <c r="C1356" s="28">
        <v>415.44</v>
      </c>
      <c r="D1356" s="83">
        <f t="shared" si="46"/>
        <v>3.3330016913739866E-2</v>
      </c>
      <c r="E1356" s="83">
        <v>8.618805991891066E-3</v>
      </c>
      <c r="F1356" s="83">
        <v>1348</v>
      </c>
      <c r="G1356" s="83">
        <f t="shared" ca="1" si="47"/>
        <v>-2.0631459159945912E-2</v>
      </c>
    </row>
    <row r="1357" spans="2:7" x14ac:dyDescent="0.2">
      <c r="B1357" s="167">
        <v>45063</v>
      </c>
      <c r="C1357" s="28">
        <v>402.04</v>
      </c>
      <c r="D1357" s="83">
        <f t="shared" si="46"/>
        <v>6.4231905465288035</v>
      </c>
      <c r="E1357" s="83">
        <v>8.6049020345701482E-3</v>
      </c>
      <c r="F1357" s="83">
        <v>1349</v>
      </c>
      <c r="G1357" s="83">
        <f t="shared" ca="1" si="47"/>
        <v>2.3760941708208191E-2</v>
      </c>
    </row>
    <row r="1358" spans="2:7" x14ac:dyDescent="0.2">
      <c r="B1358" s="167">
        <v>39218</v>
      </c>
      <c r="C1358" s="28">
        <v>54.16</v>
      </c>
      <c r="D1358" s="83">
        <f t="shared" si="46"/>
        <v>-0.86730693845550755</v>
      </c>
      <c r="E1358" s="83">
        <v>8.566108007448673E-3</v>
      </c>
      <c r="F1358" s="83">
        <v>1350</v>
      </c>
      <c r="G1358" s="83">
        <f t="shared" ca="1" si="47"/>
        <v>-3.337816742549065E-2</v>
      </c>
    </row>
    <row r="1359" spans="2:7" x14ac:dyDescent="0.2">
      <c r="B1359" s="167">
        <v>45428</v>
      </c>
      <c r="C1359" s="28">
        <v>408.16</v>
      </c>
      <c r="D1359" s="83">
        <f t="shared" si="46"/>
        <v>1.4359035569348295</v>
      </c>
      <c r="E1359" s="83">
        <v>8.5495428712627532E-3</v>
      </c>
      <c r="F1359" s="83">
        <v>1351</v>
      </c>
      <c r="G1359" s="83">
        <f t="shared" ca="1" si="47"/>
        <v>-2.6170927696028026E-3</v>
      </c>
    </row>
    <row r="1360" spans="2:7" x14ac:dyDescent="0.2">
      <c r="B1360" s="167">
        <v>41096</v>
      </c>
      <c r="C1360" s="28">
        <v>167.56</v>
      </c>
      <c r="D1360" s="83">
        <f t="shared" si="46"/>
        <v>1.3978819969742828E-2</v>
      </c>
      <c r="E1360" s="83">
        <v>8.5470085470086433E-3</v>
      </c>
      <c r="F1360" s="83">
        <v>1352</v>
      </c>
      <c r="G1360" s="83">
        <f t="shared" ca="1" si="47"/>
        <v>-1.8693162188924549E-2</v>
      </c>
    </row>
    <row r="1361" spans="2:7" x14ac:dyDescent="0.2">
      <c r="B1361" s="167">
        <v>44134</v>
      </c>
      <c r="C1361" s="28">
        <v>165.25</v>
      </c>
      <c r="D1361" s="83">
        <f t="shared" si="46"/>
        <v>0.45594713656387664</v>
      </c>
      <c r="E1361" s="83">
        <v>8.5444003661886217E-3</v>
      </c>
      <c r="F1361" s="83">
        <v>1353</v>
      </c>
      <c r="G1361" s="83">
        <f t="shared" ca="1" si="47"/>
        <v>2.1344147135346284E-2</v>
      </c>
    </row>
    <row r="1362" spans="2:7" x14ac:dyDescent="0.2">
      <c r="B1362" s="167">
        <v>40540</v>
      </c>
      <c r="C1362" s="28">
        <v>113.5</v>
      </c>
      <c r="D1362" s="83">
        <f t="shared" si="46"/>
        <v>0.80818862513939771</v>
      </c>
      <c r="E1362" s="83">
        <v>8.5303003376576651E-3</v>
      </c>
      <c r="F1362" s="83">
        <v>1354</v>
      </c>
      <c r="G1362" s="83">
        <f t="shared" ca="1" si="47"/>
        <v>-4.7879648040568483E-4</v>
      </c>
    </row>
    <row r="1363" spans="2:7" x14ac:dyDescent="0.2">
      <c r="B1363" s="167">
        <v>39055</v>
      </c>
      <c r="C1363" s="28">
        <v>62.77</v>
      </c>
      <c r="D1363" s="83">
        <f t="shared" si="46"/>
        <v>-0.5274055112181899</v>
      </c>
      <c r="E1363" s="83">
        <v>8.5154241645244398E-3</v>
      </c>
      <c r="F1363" s="83">
        <v>1355</v>
      </c>
      <c r="G1363" s="83">
        <f t="shared" ca="1" si="47"/>
        <v>-1.0350434563103283E-3</v>
      </c>
    </row>
    <row r="1364" spans="2:7" x14ac:dyDescent="0.2">
      <c r="B1364" s="167">
        <v>40911</v>
      </c>
      <c r="C1364" s="28">
        <v>132.82</v>
      </c>
      <c r="D1364" s="83">
        <f t="shared" si="46"/>
        <v>2.3917262512768134</v>
      </c>
      <c r="E1364" s="83">
        <v>8.5041761579347352E-3</v>
      </c>
      <c r="F1364" s="83">
        <v>1356</v>
      </c>
      <c r="G1364" s="83">
        <f t="shared" ca="1" si="47"/>
        <v>1.6350956537867712E-2</v>
      </c>
    </row>
    <row r="1365" spans="2:7" x14ac:dyDescent="0.2">
      <c r="B1365" s="167">
        <v>38650</v>
      </c>
      <c r="C1365" s="28">
        <v>39.159999999999997</v>
      </c>
      <c r="D1365" s="83">
        <f t="shared" si="46"/>
        <v>-0.83518518518518514</v>
      </c>
      <c r="E1365" s="83">
        <v>8.4985835694050549E-3</v>
      </c>
      <c r="F1365" s="83">
        <v>1357</v>
      </c>
      <c r="G1365" s="83">
        <f t="shared" ca="1" si="47"/>
        <v>-1.7002176832235188E-2</v>
      </c>
    </row>
    <row r="1366" spans="2:7" x14ac:dyDescent="0.2">
      <c r="B1366" s="167">
        <v>43810</v>
      </c>
      <c r="C1366" s="28">
        <v>237.6</v>
      </c>
      <c r="D1366" s="83">
        <f t="shared" si="46"/>
        <v>-6.9876688197298864E-2</v>
      </c>
      <c r="E1366" s="83">
        <v>8.4889643463497456E-3</v>
      </c>
      <c r="F1366" s="83">
        <v>1358</v>
      </c>
      <c r="G1366" s="83">
        <f t="shared" ca="1" si="47"/>
        <v>1.1412604459093844E-2</v>
      </c>
    </row>
    <row r="1367" spans="2:7" x14ac:dyDescent="0.2">
      <c r="B1367" s="167">
        <v>44655</v>
      </c>
      <c r="C1367" s="28">
        <v>255.45</v>
      </c>
      <c r="D1367" s="83">
        <f t="shared" si="46"/>
        <v>0.1298098186643078</v>
      </c>
      <c r="E1367" s="83">
        <v>8.4879589419659587E-3</v>
      </c>
      <c r="F1367" s="83">
        <v>1359</v>
      </c>
      <c r="G1367" s="83">
        <f t="shared" ca="1" si="47"/>
        <v>7.5093758546945812E-3</v>
      </c>
    </row>
    <row r="1368" spans="2:7" x14ac:dyDescent="0.2">
      <c r="B1368" s="167">
        <v>42696</v>
      </c>
      <c r="C1368" s="28">
        <v>226.1</v>
      </c>
      <c r="D1368" s="83">
        <f t="shared" si="46"/>
        <v>2.3791660439396205</v>
      </c>
      <c r="E1368" s="83">
        <v>8.4745762711864667E-3</v>
      </c>
      <c r="F1368" s="83">
        <v>1360</v>
      </c>
      <c r="G1368" s="83">
        <f t="shared" ca="1" si="47"/>
        <v>-1.3598981218418999E-2</v>
      </c>
    </row>
    <row r="1369" spans="2:7" x14ac:dyDescent="0.2">
      <c r="B1369" s="167">
        <v>39503</v>
      </c>
      <c r="C1369" s="28">
        <v>66.91</v>
      </c>
      <c r="D1369" s="83">
        <f t="shared" si="46"/>
        <v>-0.69759558889993678</v>
      </c>
      <c r="E1369" s="83">
        <v>8.440090429540352E-3</v>
      </c>
      <c r="F1369" s="83">
        <v>1361</v>
      </c>
      <c r="G1369" s="83">
        <f t="shared" ca="1" si="47"/>
        <v>1.1842684659935031E-2</v>
      </c>
    </row>
    <row r="1370" spans="2:7" x14ac:dyDescent="0.2">
      <c r="B1370" s="167">
        <v>41795</v>
      </c>
      <c r="C1370" s="28">
        <v>221.26</v>
      </c>
      <c r="D1370" s="83">
        <f t="shared" si="46"/>
        <v>-0.17823584029712167</v>
      </c>
      <c r="E1370" s="83">
        <v>8.4317032040471911E-3</v>
      </c>
      <c r="F1370" s="83">
        <v>1362</v>
      </c>
      <c r="G1370" s="83">
        <f t="shared" ca="1" si="47"/>
        <v>3.7987631560951293E-2</v>
      </c>
    </row>
    <row r="1371" spans="2:7" x14ac:dyDescent="0.2">
      <c r="B1371" s="167">
        <v>43033</v>
      </c>
      <c r="C1371" s="28">
        <v>269.25</v>
      </c>
      <c r="D1371" s="83">
        <f t="shared" si="46"/>
        <v>-0.35810327564010869</v>
      </c>
      <c r="E1371" s="83">
        <v>8.4269662921348312E-3</v>
      </c>
      <c r="F1371" s="83">
        <v>1363</v>
      </c>
      <c r="G1371" s="83">
        <f t="shared" ca="1" si="47"/>
        <v>-2.4221168616839032E-2</v>
      </c>
    </row>
    <row r="1372" spans="2:7" x14ac:dyDescent="0.2">
      <c r="B1372" s="167">
        <v>45079</v>
      </c>
      <c r="C1372" s="28">
        <v>419.46</v>
      </c>
      <c r="D1372" s="83">
        <f t="shared" si="46"/>
        <v>0.21031826182300831</v>
      </c>
      <c r="E1372" s="83">
        <v>8.4142706029425914E-3</v>
      </c>
      <c r="F1372" s="83">
        <v>1364</v>
      </c>
      <c r="G1372" s="83">
        <f t="shared" ca="1" si="47"/>
        <v>4.7234152405975591E-3</v>
      </c>
    </row>
    <row r="1373" spans="2:7" x14ac:dyDescent="0.2">
      <c r="B1373" s="167">
        <v>44865</v>
      </c>
      <c r="C1373" s="28">
        <v>346.57</v>
      </c>
      <c r="D1373" s="83">
        <f t="shared" si="46"/>
        <v>0.47132243684992559</v>
      </c>
      <c r="E1373" s="83">
        <v>8.4089851024208174E-3</v>
      </c>
      <c r="F1373" s="83">
        <v>1365</v>
      </c>
      <c r="G1373" s="83">
        <f t="shared" ca="1" si="47"/>
        <v>-4.0400171528617414E-3</v>
      </c>
    </row>
    <row r="1374" spans="2:7" x14ac:dyDescent="0.2">
      <c r="B1374" s="167">
        <v>41879</v>
      </c>
      <c r="C1374" s="28">
        <v>235.55</v>
      </c>
      <c r="D1374" s="83">
        <f t="shared" si="46"/>
        <v>0.23260073260073269</v>
      </c>
      <c r="E1374" s="83">
        <v>8.3907701528319195E-3</v>
      </c>
      <c r="F1374" s="83">
        <v>1366</v>
      </c>
      <c r="G1374" s="83">
        <f t="shared" ca="1" si="47"/>
        <v>5.8042441544767839E-4</v>
      </c>
    </row>
    <row r="1375" spans="2:7" x14ac:dyDescent="0.2">
      <c r="B1375" s="167">
        <v>41211</v>
      </c>
      <c r="C1375" s="28">
        <v>191.1</v>
      </c>
      <c r="D1375" s="83">
        <f t="shared" si="46"/>
        <v>-9.1816367265469032E-2</v>
      </c>
      <c r="E1375" s="83">
        <v>8.3900585721070307E-3</v>
      </c>
      <c r="F1375" s="83">
        <v>1367</v>
      </c>
      <c r="G1375" s="83">
        <f t="shared" ca="1" si="47"/>
        <v>2.2886593829856423E-2</v>
      </c>
    </row>
    <row r="1376" spans="2:7" x14ac:dyDescent="0.2">
      <c r="B1376" s="167">
        <v>42347</v>
      </c>
      <c r="C1376" s="28">
        <v>210.42</v>
      </c>
      <c r="D1376" s="83">
        <f t="shared" si="46"/>
        <v>1.9152119700748125</v>
      </c>
      <c r="E1376" s="83">
        <v>8.3864475008386449E-3</v>
      </c>
      <c r="F1376" s="83">
        <v>1368</v>
      </c>
      <c r="G1376" s="83">
        <f t="shared" ca="1" si="47"/>
        <v>3.3651741920425926E-3</v>
      </c>
    </row>
    <row r="1377" spans="2:7" x14ac:dyDescent="0.2">
      <c r="B1377" s="167">
        <v>39598</v>
      </c>
      <c r="C1377" s="28">
        <v>72.180000000000007</v>
      </c>
      <c r="D1377" s="83">
        <f t="shared" si="46"/>
        <v>-0.74896532535735394</v>
      </c>
      <c r="E1377" s="83">
        <v>8.3822296730931625E-3</v>
      </c>
      <c r="F1377" s="83">
        <v>1369</v>
      </c>
      <c r="G1377" s="83">
        <f t="shared" ca="1" si="47"/>
        <v>-1.3298059591855076E-2</v>
      </c>
    </row>
    <row r="1378" spans="2:7" x14ac:dyDescent="0.2">
      <c r="B1378" s="167">
        <v>44748</v>
      </c>
      <c r="C1378" s="28">
        <v>287.52999999999997</v>
      </c>
      <c r="D1378" s="83">
        <f t="shared" si="46"/>
        <v>8.5838368580060276E-2</v>
      </c>
      <c r="E1378" s="83">
        <v>8.3818475135020911E-3</v>
      </c>
      <c r="F1378" s="83">
        <v>1370</v>
      </c>
      <c r="G1378" s="83">
        <f t="shared" ca="1" si="47"/>
        <v>1.9342789138353116E-2</v>
      </c>
    </row>
    <row r="1379" spans="2:7" x14ac:dyDescent="0.2">
      <c r="B1379" s="167">
        <v>43277</v>
      </c>
      <c r="C1379" s="28">
        <v>264.8</v>
      </c>
      <c r="D1379" s="83">
        <f t="shared" si="46"/>
        <v>3.5805224009686905</v>
      </c>
      <c r="E1379" s="83">
        <v>8.3777608530083338E-3</v>
      </c>
      <c r="F1379" s="83">
        <v>1371</v>
      </c>
      <c r="G1379" s="83">
        <f t="shared" ca="1" si="47"/>
        <v>1.5498135401894244E-3</v>
      </c>
    </row>
    <row r="1380" spans="2:7" x14ac:dyDescent="0.2">
      <c r="B1380" s="167">
        <v>39819</v>
      </c>
      <c r="C1380" s="28">
        <v>57.81</v>
      </c>
      <c r="D1380" s="83">
        <f t="shared" si="46"/>
        <v>-0.78238283455674762</v>
      </c>
      <c r="E1380" s="83">
        <v>8.3725798011512996E-3</v>
      </c>
      <c r="F1380" s="83">
        <v>1372</v>
      </c>
      <c r="G1380" s="83">
        <f t="shared" ca="1" si="47"/>
        <v>-1.2283279704426938E-2</v>
      </c>
    </row>
    <row r="1381" spans="2:7" x14ac:dyDescent="0.2">
      <c r="B1381" s="167">
        <v>42789</v>
      </c>
      <c r="C1381" s="28">
        <v>265.64999999999998</v>
      </c>
      <c r="D1381" s="83">
        <f t="shared" si="46"/>
        <v>1.0161657559198543</v>
      </c>
      <c r="E1381" s="83">
        <v>8.3507306889352394E-3</v>
      </c>
      <c r="F1381" s="83">
        <v>1373</v>
      </c>
      <c r="G1381" s="83">
        <f t="shared" ca="1" si="47"/>
        <v>-4.3103444058180708E-3</v>
      </c>
    </row>
    <row r="1382" spans="2:7" x14ac:dyDescent="0.2">
      <c r="B1382" s="167">
        <v>40766</v>
      </c>
      <c r="C1382" s="28">
        <v>131.76</v>
      </c>
      <c r="D1382" s="83">
        <f t="shared" si="46"/>
        <v>-0.61020057984734632</v>
      </c>
      <c r="E1382" s="83">
        <v>8.3416239381648698E-3</v>
      </c>
      <c r="F1382" s="83">
        <v>1374</v>
      </c>
      <c r="G1382" s="83">
        <f t="shared" ca="1" si="47"/>
        <v>-1.1453004246409692E-2</v>
      </c>
    </row>
    <row r="1383" spans="2:7" x14ac:dyDescent="0.2">
      <c r="B1383" s="167">
        <v>44902</v>
      </c>
      <c r="C1383" s="28">
        <v>338.02</v>
      </c>
      <c r="D1383" s="83">
        <f t="shared" si="46"/>
        <v>-7.379093026441981E-2</v>
      </c>
      <c r="E1383" s="83">
        <v>8.3226441547593101E-3</v>
      </c>
      <c r="F1383" s="83">
        <v>1375</v>
      </c>
      <c r="G1383" s="83">
        <f t="shared" ca="1" si="47"/>
        <v>1.8960475023073447E-2</v>
      </c>
    </row>
    <row r="1384" spans="2:7" x14ac:dyDescent="0.2">
      <c r="B1384" s="167">
        <v>44991</v>
      </c>
      <c r="C1384" s="28">
        <v>364.95</v>
      </c>
      <c r="D1384" s="83">
        <f t="shared" si="46"/>
        <v>-0.15252072544876114</v>
      </c>
      <c r="E1384" s="83">
        <v>8.3162955185942175E-3</v>
      </c>
      <c r="F1384" s="83">
        <v>1376</v>
      </c>
      <c r="G1384" s="83">
        <f t="shared" ca="1" si="47"/>
        <v>1.2028561010428581E-3</v>
      </c>
    </row>
    <row r="1385" spans="2:7" x14ac:dyDescent="0.2">
      <c r="B1385" s="167">
        <v>45282</v>
      </c>
      <c r="C1385" s="28">
        <v>430.63</v>
      </c>
      <c r="D1385" s="83">
        <f t="shared" si="46"/>
        <v>6.3877165894664607</v>
      </c>
      <c r="E1385" s="83">
        <v>8.3122599981268423E-3</v>
      </c>
      <c r="F1385" s="83">
        <v>1377</v>
      </c>
      <c r="G1385" s="83">
        <f t="shared" ca="1" si="47"/>
        <v>5.2321894994229569E-3</v>
      </c>
    </row>
    <row r="1386" spans="2:7" x14ac:dyDescent="0.2">
      <c r="B1386" s="167">
        <v>39133</v>
      </c>
      <c r="C1386" s="28">
        <v>58.29</v>
      </c>
      <c r="D1386" s="83">
        <f t="shared" si="46"/>
        <v>-0.86134963488023597</v>
      </c>
      <c r="E1386" s="83">
        <v>8.3030617540217413E-3</v>
      </c>
      <c r="F1386" s="83">
        <v>1378</v>
      </c>
      <c r="G1386" s="83">
        <f t="shared" ca="1" si="47"/>
        <v>-1.2110404915669231E-2</v>
      </c>
    </row>
    <row r="1387" spans="2:7" x14ac:dyDescent="0.2">
      <c r="B1387" s="167">
        <v>45198</v>
      </c>
      <c r="C1387" s="28">
        <v>420.41</v>
      </c>
      <c r="D1387" s="83">
        <f t="shared" si="46"/>
        <v>0.97468294974166281</v>
      </c>
      <c r="E1387" s="83">
        <v>8.2983571171604178E-3</v>
      </c>
      <c r="F1387" s="83">
        <v>1379</v>
      </c>
      <c r="G1387" s="83">
        <f t="shared" ca="1" si="47"/>
        <v>-2.2198501160920667E-3</v>
      </c>
    </row>
    <row r="1388" spans="2:7" x14ac:dyDescent="0.2">
      <c r="B1388" s="167">
        <v>44344</v>
      </c>
      <c r="C1388" s="28">
        <v>212.9</v>
      </c>
      <c r="D1388" s="83">
        <f t="shared" si="46"/>
        <v>-0.12566735112936342</v>
      </c>
      <c r="E1388" s="83">
        <v>8.2879469571394745E-3</v>
      </c>
      <c r="F1388" s="83">
        <v>1380</v>
      </c>
      <c r="G1388" s="83">
        <f t="shared" ca="1" si="47"/>
        <v>7.7382372816891289E-3</v>
      </c>
    </row>
    <row r="1389" spans="2:7" x14ac:dyDescent="0.2">
      <c r="B1389" s="167">
        <v>44461</v>
      </c>
      <c r="C1389" s="28">
        <v>243.5</v>
      </c>
      <c r="D1389" s="83">
        <f t="shared" si="46"/>
        <v>0.17321127439171277</v>
      </c>
      <c r="E1389" s="83">
        <v>8.2815734989648039E-3</v>
      </c>
      <c r="F1389" s="83">
        <v>1381</v>
      </c>
      <c r="G1389" s="83">
        <f t="shared" ca="1" si="47"/>
        <v>-8.7475473508034883E-3</v>
      </c>
    </row>
    <row r="1390" spans="2:7" x14ac:dyDescent="0.2">
      <c r="B1390" s="167">
        <v>44015</v>
      </c>
      <c r="C1390" s="28">
        <v>207.55</v>
      </c>
      <c r="D1390" s="83">
        <f t="shared" si="46"/>
        <v>0.11790369492620928</v>
      </c>
      <c r="E1390" s="83">
        <v>8.2584406120962701E-3</v>
      </c>
      <c r="F1390" s="83">
        <v>1382</v>
      </c>
      <c r="G1390" s="83">
        <f t="shared" ca="1" si="47"/>
        <v>-5.1846703979793133E-3</v>
      </c>
    </row>
    <row r="1391" spans="2:7" x14ac:dyDescent="0.2">
      <c r="B1391" s="167">
        <v>41191</v>
      </c>
      <c r="C1391" s="28">
        <v>185.66</v>
      </c>
      <c r="D1391" s="83">
        <f t="shared" si="46"/>
        <v>-0.13658559270799425</v>
      </c>
      <c r="E1391" s="83">
        <v>8.2545888997502467E-3</v>
      </c>
      <c r="F1391" s="83">
        <v>1383</v>
      </c>
      <c r="G1391" s="83">
        <f t="shared" ca="1" si="47"/>
        <v>1.7067980092983027E-2</v>
      </c>
    </row>
    <row r="1392" spans="2:7" x14ac:dyDescent="0.2">
      <c r="B1392" s="167">
        <v>41453</v>
      </c>
      <c r="C1392" s="28">
        <v>215.03</v>
      </c>
      <c r="D1392" s="83">
        <f t="shared" si="46"/>
        <v>-0.49717051725750627</v>
      </c>
      <c r="E1392" s="83">
        <v>8.2524499460776991E-3</v>
      </c>
      <c r="F1392" s="83">
        <v>1384</v>
      </c>
      <c r="G1392" s="83">
        <f t="shared" ca="1" si="47"/>
        <v>-4.9848988917856371E-2</v>
      </c>
    </row>
    <row r="1393" spans="2:7" x14ac:dyDescent="0.2">
      <c r="B1393" s="167">
        <v>45187</v>
      </c>
      <c r="C1393" s="28">
        <v>427.64</v>
      </c>
      <c r="D1393" s="83">
        <f t="shared" si="46"/>
        <v>2.6444520197716033</v>
      </c>
      <c r="E1393" s="83">
        <v>8.2519922667043909E-3</v>
      </c>
      <c r="F1393" s="83">
        <v>1385</v>
      </c>
      <c r="G1393" s="83">
        <f t="shared" ca="1" si="47"/>
        <v>2.8408760571345164E-2</v>
      </c>
    </row>
    <row r="1394" spans="2:7" x14ac:dyDescent="0.2">
      <c r="B1394" s="167">
        <v>40486</v>
      </c>
      <c r="C1394" s="28">
        <v>117.34</v>
      </c>
      <c r="D1394" s="83">
        <f t="shared" si="46"/>
        <v>-0.55367059718524148</v>
      </c>
      <c r="E1394" s="83">
        <v>8.2488400068741023E-3</v>
      </c>
      <c r="F1394" s="83">
        <v>1386</v>
      </c>
      <c r="G1394" s="83">
        <f t="shared" ca="1" si="47"/>
        <v>2.1841097237650163E-3</v>
      </c>
    </row>
    <row r="1395" spans="2:7" x14ac:dyDescent="0.2">
      <c r="B1395" s="167">
        <v>43774</v>
      </c>
      <c r="C1395" s="28">
        <v>262.89999999999998</v>
      </c>
      <c r="D1395" s="83">
        <f t="shared" si="46"/>
        <v>1.3061403508771927</v>
      </c>
      <c r="E1395" s="83">
        <v>8.245445829338359E-3</v>
      </c>
      <c r="F1395" s="83">
        <v>1387</v>
      </c>
      <c r="G1395" s="83">
        <f t="shared" ca="1" si="47"/>
        <v>2.5831832588142777E-2</v>
      </c>
    </row>
    <row r="1396" spans="2:7" x14ac:dyDescent="0.2">
      <c r="B1396" s="167">
        <v>40560</v>
      </c>
      <c r="C1396" s="28">
        <v>114</v>
      </c>
      <c r="D1396" s="83">
        <f t="shared" si="46"/>
        <v>0.97813638729828201</v>
      </c>
      <c r="E1396" s="83">
        <v>8.2249933669408942E-3</v>
      </c>
      <c r="F1396" s="83">
        <v>1388</v>
      </c>
      <c r="G1396" s="83">
        <f t="shared" ca="1" si="47"/>
        <v>-2.7812690332928016E-2</v>
      </c>
    </row>
    <row r="1397" spans="2:7" x14ac:dyDescent="0.2">
      <c r="B1397" s="167">
        <v>38777</v>
      </c>
      <c r="C1397" s="28">
        <v>57.63</v>
      </c>
      <c r="D1397" s="83">
        <f t="shared" si="46"/>
        <v>-0.77671445176288267</v>
      </c>
      <c r="E1397" s="83">
        <v>8.222533240028097E-3</v>
      </c>
      <c r="F1397" s="83">
        <v>1389</v>
      </c>
      <c r="G1397" s="83">
        <f t="shared" ca="1" si="47"/>
        <v>-6.0620812691431058E-3</v>
      </c>
    </row>
    <row r="1398" spans="2:7" x14ac:dyDescent="0.2">
      <c r="B1398" s="167">
        <v>43185</v>
      </c>
      <c r="C1398" s="28">
        <v>258.10000000000002</v>
      </c>
      <c r="D1398" s="83">
        <f t="shared" si="46"/>
        <v>1.4402004349059283</v>
      </c>
      <c r="E1398" s="83">
        <v>8.2031250000000888E-3</v>
      </c>
      <c r="F1398" s="83">
        <v>1390</v>
      </c>
      <c r="G1398" s="83">
        <f t="shared" ca="1" si="47"/>
        <v>2.4942655813032007E-2</v>
      </c>
    </row>
    <row r="1399" spans="2:7" x14ac:dyDescent="0.2">
      <c r="B1399" s="167">
        <v>40407</v>
      </c>
      <c r="C1399" s="28">
        <v>105.77</v>
      </c>
      <c r="D1399" s="83">
        <f t="shared" si="46"/>
        <v>-0.57438332461470365</v>
      </c>
      <c r="E1399" s="83">
        <v>8.1975026212944384E-3</v>
      </c>
      <c r="F1399" s="83">
        <v>1391</v>
      </c>
      <c r="G1399" s="83">
        <f t="shared" ca="1" si="47"/>
        <v>-1.9167963472301958E-2</v>
      </c>
    </row>
    <row r="1400" spans="2:7" x14ac:dyDescent="0.2">
      <c r="B1400" s="167">
        <v>41991</v>
      </c>
      <c r="C1400" s="28">
        <v>248.51</v>
      </c>
      <c r="D1400" s="83">
        <f t="shared" si="46"/>
        <v>3.6738762460033847</v>
      </c>
      <c r="E1400" s="83">
        <v>8.1950586230677986E-3</v>
      </c>
      <c r="F1400" s="83">
        <v>1392</v>
      </c>
      <c r="G1400" s="83">
        <f t="shared" ca="1" si="47"/>
        <v>1.288421446303162E-2</v>
      </c>
    </row>
    <row r="1401" spans="2:7" x14ac:dyDescent="0.2">
      <c r="B1401" s="167">
        <v>39192</v>
      </c>
      <c r="C1401" s="28">
        <v>53.17</v>
      </c>
      <c r="D1401" s="83">
        <f t="shared" si="46"/>
        <v>-0.80908438061041288</v>
      </c>
      <c r="E1401" s="83">
        <v>8.1532043989381818E-3</v>
      </c>
      <c r="F1401" s="83">
        <v>1393</v>
      </c>
      <c r="G1401" s="83">
        <f t="shared" ca="1" si="47"/>
        <v>-1.2833063437976761E-2</v>
      </c>
    </row>
    <row r="1402" spans="2:7" x14ac:dyDescent="0.2">
      <c r="B1402" s="167">
        <v>43641</v>
      </c>
      <c r="C1402" s="28">
        <v>278.5</v>
      </c>
      <c r="D1402" s="83">
        <f t="shared" si="46"/>
        <v>4.1063439677301066</v>
      </c>
      <c r="E1402" s="83">
        <v>8.1447963800904983E-3</v>
      </c>
      <c r="F1402" s="83">
        <v>1394</v>
      </c>
      <c r="G1402" s="83">
        <f t="shared" ca="1" si="47"/>
        <v>-3.193281606565445E-2</v>
      </c>
    </row>
    <row r="1403" spans="2:7" x14ac:dyDescent="0.2">
      <c r="B1403" s="167">
        <v>38887</v>
      </c>
      <c r="C1403" s="28">
        <v>54.54</v>
      </c>
      <c r="D1403" s="83">
        <f t="shared" si="46"/>
        <v>-0.77453493178999588</v>
      </c>
      <c r="E1403" s="83">
        <v>8.1330868761552259E-3</v>
      </c>
      <c r="F1403" s="83">
        <v>1395</v>
      </c>
      <c r="G1403" s="83">
        <f t="shared" ca="1" si="47"/>
        <v>-7.5465264757320705E-3</v>
      </c>
    </row>
    <row r="1404" spans="2:7" x14ac:dyDescent="0.2">
      <c r="B1404" s="167">
        <v>43850</v>
      </c>
      <c r="C1404" s="28">
        <v>241.9</v>
      </c>
      <c r="D1404" s="83">
        <f t="shared" si="46"/>
        <v>0.36274012731677097</v>
      </c>
      <c r="E1404" s="83">
        <v>8.1266930610544574E-3</v>
      </c>
      <c r="F1404" s="83">
        <v>1396</v>
      </c>
      <c r="G1404" s="83">
        <f t="shared" ca="1" si="47"/>
        <v>1.0145628557071939E-2</v>
      </c>
    </row>
    <row r="1405" spans="2:7" x14ac:dyDescent="0.2">
      <c r="B1405" s="167">
        <v>41131</v>
      </c>
      <c r="C1405" s="28">
        <v>177.51</v>
      </c>
      <c r="D1405" s="83">
        <f t="shared" si="46"/>
        <v>-0.21445324600610705</v>
      </c>
      <c r="E1405" s="83">
        <v>8.121308496137996E-3</v>
      </c>
      <c r="F1405" s="83">
        <v>1397</v>
      </c>
      <c r="G1405" s="83">
        <f t="shared" ca="1" si="47"/>
        <v>6.6504547016117237E-3</v>
      </c>
    </row>
    <row r="1406" spans="2:7" x14ac:dyDescent="0.2">
      <c r="B1406" s="167">
        <v>41779</v>
      </c>
      <c r="C1406" s="28">
        <v>225.97</v>
      </c>
      <c r="D1406" s="83">
        <f t="shared" si="46"/>
        <v>2.6376368319381842</v>
      </c>
      <c r="E1406" s="83">
        <v>8.1195627927726655E-3</v>
      </c>
      <c r="F1406" s="83">
        <v>1398</v>
      </c>
      <c r="G1406" s="83">
        <f t="shared" ca="1" si="47"/>
        <v>6.7722906811633972E-4</v>
      </c>
    </row>
    <row r="1407" spans="2:7" x14ac:dyDescent="0.2">
      <c r="B1407" s="167">
        <v>39358</v>
      </c>
      <c r="C1407" s="28">
        <v>62.12</v>
      </c>
      <c r="D1407" s="83">
        <f t="shared" si="46"/>
        <v>-0.85345946073458989</v>
      </c>
      <c r="E1407" s="83">
        <v>8.1142486205777343E-3</v>
      </c>
      <c r="F1407" s="83">
        <v>1399</v>
      </c>
      <c r="G1407" s="83">
        <f t="shared" ca="1" si="47"/>
        <v>-1.3869202489115644E-2</v>
      </c>
    </row>
    <row r="1408" spans="2:7" x14ac:dyDescent="0.2">
      <c r="B1408" s="167">
        <v>45092</v>
      </c>
      <c r="C1408" s="28">
        <v>423.91</v>
      </c>
      <c r="D1408" s="83">
        <f t="shared" si="46"/>
        <v>0.74851509651872639</v>
      </c>
      <c r="E1408" s="83">
        <v>8.1093935790725914E-3</v>
      </c>
      <c r="F1408" s="83">
        <v>1400</v>
      </c>
      <c r="G1408" s="83">
        <f t="shared" ca="1" si="47"/>
        <v>-2.2242036370181871E-2</v>
      </c>
    </row>
    <row r="1409" spans="2:7" x14ac:dyDescent="0.2">
      <c r="B1409" s="167">
        <v>41920</v>
      </c>
      <c r="C1409" s="28">
        <v>242.44</v>
      </c>
      <c r="D1409" s="83">
        <f t="shared" si="46"/>
        <v>-0.10988728567757097</v>
      </c>
      <c r="E1409" s="83">
        <v>8.1084452575990208E-3</v>
      </c>
      <c r="F1409" s="83">
        <v>1401</v>
      </c>
      <c r="G1409" s="83">
        <f t="shared" ca="1" si="47"/>
        <v>2.0322196095760518E-2</v>
      </c>
    </row>
    <row r="1410" spans="2:7" x14ac:dyDescent="0.2">
      <c r="B1410" s="167">
        <v>44741</v>
      </c>
      <c r="C1410" s="28">
        <v>272.37</v>
      </c>
      <c r="D1410" s="83">
        <f t="shared" si="46"/>
        <v>1.0046367851622875</v>
      </c>
      <c r="E1410" s="83">
        <v>8.1057073062402764E-3</v>
      </c>
      <c r="F1410" s="83">
        <v>1402</v>
      </c>
      <c r="G1410" s="83">
        <f t="shared" ca="1" si="47"/>
        <v>3.0714108859162731E-2</v>
      </c>
    </row>
    <row r="1411" spans="2:7" x14ac:dyDescent="0.2">
      <c r="B1411" s="167">
        <v>40920</v>
      </c>
      <c r="C1411" s="28">
        <v>135.87</v>
      </c>
      <c r="D1411" s="83">
        <f t="shared" si="46"/>
        <v>-3.8856304985337327E-3</v>
      </c>
      <c r="E1411" s="83">
        <v>8.0872533016768319E-3</v>
      </c>
      <c r="F1411" s="83">
        <v>1403</v>
      </c>
      <c r="G1411" s="83">
        <f t="shared" ca="1" si="47"/>
        <v>5.1152567676360514E-3</v>
      </c>
    </row>
    <row r="1412" spans="2:7" x14ac:dyDescent="0.2">
      <c r="B1412" s="167">
        <v>40744</v>
      </c>
      <c r="C1412" s="28">
        <v>136.4</v>
      </c>
      <c r="D1412" s="83">
        <f t="shared" si="46"/>
        <v>0.81551976573938523</v>
      </c>
      <c r="E1412" s="83">
        <v>8.0555760845466215E-3</v>
      </c>
      <c r="F1412" s="83">
        <v>1404</v>
      </c>
      <c r="G1412" s="83">
        <f t="shared" ca="1" si="47"/>
        <v>3.009639239095083E-2</v>
      </c>
    </row>
    <row r="1413" spans="2:7" x14ac:dyDescent="0.2">
      <c r="B1413" s="167">
        <v>39575</v>
      </c>
      <c r="C1413" s="28">
        <v>75.13</v>
      </c>
      <c r="D1413" s="83">
        <f t="shared" si="46"/>
        <v>-0.43519771462937912</v>
      </c>
      <c r="E1413" s="83">
        <v>8.0504494834294157E-3</v>
      </c>
      <c r="F1413" s="83">
        <v>1405</v>
      </c>
      <c r="G1413" s="83">
        <f t="shared" ca="1" si="47"/>
        <v>-1.2169867131138486E-2</v>
      </c>
    </row>
    <row r="1414" spans="2:7" x14ac:dyDescent="0.2">
      <c r="B1414" s="167">
        <v>40942</v>
      </c>
      <c r="C1414" s="28">
        <v>133.02000000000001</v>
      </c>
      <c r="D1414" s="83">
        <f t="shared" si="46"/>
        <v>-0.29469777306468709</v>
      </c>
      <c r="E1414" s="83">
        <v>8.0327371930888312E-3</v>
      </c>
      <c r="F1414" s="83">
        <v>1406</v>
      </c>
      <c r="G1414" s="83">
        <f t="shared" ca="1" si="47"/>
        <v>3.2076698353737608E-3</v>
      </c>
    </row>
    <row r="1415" spans="2:7" x14ac:dyDescent="0.2">
      <c r="B1415" s="167">
        <v>44149</v>
      </c>
      <c r="C1415" s="28">
        <v>188.6</v>
      </c>
      <c r="D1415" s="83">
        <f t="shared" si="46"/>
        <v>1.1108002238388361</v>
      </c>
      <c r="E1415" s="83">
        <v>8.0171031533939081E-3</v>
      </c>
      <c r="F1415" s="83">
        <v>1407</v>
      </c>
      <c r="G1415" s="83">
        <f t="shared" ca="1" si="47"/>
        <v>2.0965963817273399E-2</v>
      </c>
    </row>
    <row r="1416" spans="2:7" x14ac:dyDescent="0.2">
      <c r="B1416" s="167">
        <v>40295</v>
      </c>
      <c r="C1416" s="28">
        <v>89.35</v>
      </c>
      <c r="D1416" s="83">
        <f t="shared" si="46"/>
        <v>-0.57254939482370959</v>
      </c>
      <c r="E1416" s="83">
        <v>8.009927797833865E-3</v>
      </c>
      <c r="F1416" s="83">
        <v>1408</v>
      </c>
      <c r="G1416" s="83">
        <f t="shared" ca="1" si="47"/>
        <v>8.6655515894510041E-3</v>
      </c>
    </row>
    <row r="1417" spans="2:7" x14ac:dyDescent="0.2">
      <c r="B1417" s="167">
        <v>41625</v>
      </c>
      <c r="C1417" s="28">
        <v>209.03</v>
      </c>
      <c r="D1417" s="83">
        <f t="shared" ref="D1417:D1480" si="48">(C1417-C1418)/C1418</f>
        <v>5.4353054353054129E-3</v>
      </c>
      <c r="E1417" s="83">
        <v>8.0050151902396512E-3</v>
      </c>
      <c r="F1417" s="83">
        <v>1409</v>
      </c>
      <c r="G1417" s="83">
        <f t="shared" ref="G1417:G1480" ca="1" si="49">_xlfn.NORM.INV(RAND(),$M$10,$M$11)</f>
        <v>3.3392143207580945E-2</v>
      </c>
    </row>
    <row r="1418" spans="2:7" x14ac:dyDescent="0.2">
      <c r="B1418" s="167">
        <v>44393</v>
      </c>
      <c r="C1418" s="28">
        <v>207.9</v>
      </c>
      <c r="D1418" s="83">
        <f t="shared" si="48"/>
        <v>-0.21517553793884475</v>
      </c>
      <c r="E1418" s="83">
        <v>8.0000000000000279E-3</v>
      </c>
      <c r="F1418" s="83">
        <v>1410</v>
      </c>
      <c r="G1418" s="83">
        <f t="shared" ca="1" si="49"/>
        <v>1.3131032500580456E-2</v>
      </c>
    </row>
    <row r="1419" spans="2:7" x14ac:dyDescent="0.2">
      <c r="B1419" s="167">
        <v>42621</v>
      </c>
      <c r="C1419" s="28">
        <v>264.89999999999998</v>
      </c>
      <c r="D1419" s="83">
        <f t="shared" si="48"/>
        <v>-0.36582796677120494</v>
      </c>
      <c r="E1419" s="83">
        <v>7.9908675799085453E-3</v>
      </c>
      <c r="F1419" s="83">
        <v>1411</v>
      </c>
      <c r="G1419" s="83">
        <f t="shared" ca="1" si="49"/>
        <v>1.1135160266516576E-2</v>
      </c>
    </row>
    <row r="1420" spans="2:7" x14ac:dyDescent="0.2">
      <c r="B1420" s="167">
        <v>45322</v>
      </c>
      <c r="C1420" s="28">
        <v>417.71</v>
      </c>
      <c r="D1420" s="83">
        <f t="shared" si="48"/>
        <v>5.609335443037974</v>
      </c>
      <c r="E1420" s="83">
        <v>7.9874517374517433E-3</v>
      </c>
      <c r="F1420" s="83">
        <v>1412</v>
      </c>
      <c r="G1420" s="83">
        <f t="shared" ca="1" si="49"/>
        <v>-2.8320572569621675E-2</v>
      </c>
    </row>
    <row r="1421" spans="2:7" x14ac:dyDescent="0.2">
      <c r="B1421" s="167">
        <v>39657</v>
      </c>
      <c r="C1421" s="28">
        <v>63.2</v>
      </c>
      <c r="D1421" s="83">
        <f t="shared" si="48"/>
        <v>-0.67746874202602714</v>
      </c>
      <c r="E1421" s="83">
        <v>7.9744816586921844E-3</v>
      </c>
      <c r="F1421" s="83">
        <v>1413</v>
      </c>
      <c r="G1421" s="83">
        <f t="shared" ca="1" si="49"/>
        <v>-1.9442080578152975E-3</v>
      </c>
    </row>
    <row r="1422" spans="2:7" x14ac:dyDescent="0.2">
      <c r="B1422" s="167">
        <v>44167</v>
      </c>
      <c r="C1422" s="28">
        <v>195.95</v>
      </c>
      <c r="D1422" s="83">
        <f t="shared" si="48"/>
        <v>-0.53960198303611295</v>
      </c>
      <c r="E1422" s="83">
        <v>7.973251028806496E-3</v>
      </c>
      <c r="F1422" s="83">
        <v>1414</v>
      </c>
      <c r="G1422" s="83">
        <f t="shared" ca="1" si="49"/>
        <v>-4.5889586483263672E-3</v>
      </c>
    </row>
    <row r="1423" spans="2:7" x14ac:dyDescent="0.2">
      <c r="B1423" s="167">
        <v>45076</v>
      </c>
      <c r="C1423" s="28">
        <v>425.61</v>
      </c>
      <c r="D1423" s="83">
        <f t="shared" si="48"/>
        <v>3.7311027123165856</v>
      </c>
      <c r="E1423" s="83">
        <v>7.9573712255772977E-3</v>
      </c>
      <c r="F1423" s="83">
        <v>1415</v>
      </c>
      <c r="G1423" s="83">
        <f t="shared" ca="1" si="49"/>
        <v>2.0074579638628756E-2</v>
      </c>
    </row>
    <row r="1424" spans="2:7" x14ac:dyDescent="0.2">
      <c r="B1424" s="167">
        <v>40280</v>
      </c>
      <c r="C1424" s="28">
        <v>89.96</v>
      </c>
      <c r="D1424" s="83">
        <f t="shared" si="48"/>
        <v>-0.70796948547313754</v>
      </c>
      <c r="E1424" s="83">
        <v>7.9551820728290621E-3</v>
      </c>
      <c r="F1424" s="83">
        <v>1416</v>
      </c>
      <c r="G1424" s="83">
        <f t="shared" ca="1" si="49"/>
        <v>2.0169241496294177E-2</v>
      </c>
    </row>
    <row r="1425" spans="2:7" x14ac:dyDescent="0.2">
      <c r="B1425" s="167">
        <v>44775</v>
      </c>
      <c r="C1425" s="28">
        <v>308.05</v>
      </c>
      <c r="D1425" s="83">
        <f t="shared" si="48"/>
        <v>4.06161682550115</v>
      </c>
      <c r="E1425" s="83">
        <v>7.9510503239317021E-3</v>
      </c>
      <c r="F1425" s="83">
        <v>1417</v>
      </c>
      <c r="G1425" s="83">
        <f t="shared" ca="1" si="49"/>
        <v>5.8628843204008928E-2</v>
      </c>
    </row>
    <row r="1426" spans="2:7" x14ac:dyDescent="0.2">
      <c r="B1426" s="167">
        <v>39955</v>
      </c>
      <c r="C1426" s="28">
        <v>60.86</v>
      </c>
      <c r="D1426" s="83">
        <f t="shared" si="48"/>
        <v>-0.75424994952554014</v>
      </c>
      <c r="E1426" s="83">
        <v>7.9496522027160798E-3</v>
      </c>
      <c r="F1426" s="83">
        <v>1418</v>
      </c>
      <c r="G1426" s="83">
        <f t="shared" ca="1" si="49"/>
        <v>1.8736062125906477E-3</v>
      </c>
    </row>
    <row r="1427" spans="2:7" x14ac:dyDescent="0.2">
      <c r="B1427" s="167">
        <v>43791</v>
      </c>
      <c r="C1427" s="28">
        <v>247.65</v>
      </c>
      <c r="D1427" s="83">
        <f t="shared" si="48"/>
        <v>-7.1776611694152948E-2</v>
      </c>
      <c r="E1427" s="83">
        <v>7.9365079365080055E-3</v>
      </c>
      <c r="F1427" s="83">
        <v>1419</v>
      </c>
      <c r="G1427" s="83">
        <f t="shared" ca="1" si="49"/>
        <v>-2.7759614224306832E-2</v>
      </c>
    </row>
    <row r="1428" spans="2:7" x14ac:dyDescent="0.2">
      <c r="B1428" s="167">
        <v>44699</v>
      </c>
      <c r="C1428" s="28">
        <v>266.8</v>
      </c>
      <c r="D1428" s="83">
        <f t="shared" si="48"/>
        <v>0.12902543269434222</v>
      </c>
      <c r="E1428" s="83">
        <v>7.9335096335474992E-3</v>
      </c>
      <c r="F1428" s="83">
        <v>1420</v>
      </c>
      <c r="G1428" s="83">
        <f t="shared" ca="1" si="49"/>
        <v>1.3608521748446395E-2</v>
      </c>
    </row>
    <row r="1429" spans="2:7" x14ac:dyDescent="0.2">
      <c r="B1429" s="167">
        <v>41844</v>
      </c>
      <c r="C1429" s="28">
        <v>236.31</v>
      </c>
      <c r="D1429" s="83">
        <f t="shared" si="48"/>
        <v>0.16927263730826328</v>
      </c>
      <c r="E1429" s="83">
        <v>7.9334612923864945E-3</v>
      </c>
      <c r="F1429" s="83">
        <v>1421</v>
      </c>
      <c r="G1429" s="83">
        <f t="shared" ca="1" si="49"/>
        <v>-1.0065097607621467E-2</v>
      </c>
    </row>
    <row r="1430" spans="2:7" x14ac:dyDescent="0.2">
      <c r="B1430" s="167">
        <v>41311</v>
      </c>
      <c r="C1430" s="28">
        <v>202.1</v>
      </c>
      <c r="D1430" s="83">
        <f t="shared" si="48"/>
        <v>-0.27847197429489479</v>
      </c>
      <c r="E1430" s="83">
        <v>7.9297790633883775E-3</v>
      </c>
      <c r="F1430" s="83">
        <v>1422</v>
      </c>
      <c r="G1430" s="83">
        <f t="shared" ca="1" si="49"/>
        <v>-8.6558591205874082E-3</v>
      </c>
    </row>
    <row r="1431" spans="2:7" x14ac:dyDescent="0.2">
      <c r="B1431" s="167">
        <v>43511</v>
      </c>
      <c r="C1431" s="28">
        <v>280.10000000000002</v>
      </c>
      <c r="D1431" s="83">
        <f t="shared" si="48"/>
        <v>0.22732451143633348</v>
      </c>
      <c r="E1431" s="83">
        <v>7.916516732637803E-3</v>
      </c>
      <c r="F1431" s="83">
        <v>1423</v>
      </c>
      <c r="G1431" s="83">
        <f t="shared" ca="1" si="49"/>
        <v>2.6747738491953828E-2</v>
      </c>
    </row>
    <row r="1432" spans="2:7" x14ac:dyDescent="0.2">
      <c r="B1432" s="167">
        <v>42067</v>
      </c>
      <c r="C1432" s="28">
        <v>228.22</v>
      </c>
      <c r="D1432" s="83">
        <f t="shared" si="48"/>
        <v>-0.45134147514184053</v>
      </c>
      <c r="E1432" s="83">
        <v>7.9053129002340326E-3</v>
      </c>
      <c r="F1432" s="83">
        <v>1424</v>
      </c>
      <c r="G1432" s="83">
        <f t="shared" ca="1" si="49"/>
        <v>6.6799750972410376E-3</v>
      </c>
    </row>
    <row r="1433" spans="2:7" x14ac:dyDescent="0.2">
      <c r="B1433" s="167">
        <v>45252</v>
      </c>
      <c r="C1433" s="28">
        <v>415.96</v>
      </c>
      <c r="D1433" s="83">
        <f t="shared" si="48"/>
        <v>0.15586183899741565</v>
      </c>
      <c r="E1433" s="83">
        <v>7.8992003876907947E-3</v>
      </c>
      <c r="F1433" s="83">
        <v>1425</v>
      </c>
      <c r="G1433" s="83">
        <f t="shared" ca="1" si="49"/>
        <v>-3.8998190916027603E-2</v>
      </c>
    </row>
    <row r="1434" spans="2:7" x14ac:dyDescent="0.2">
      <c r="B1434" s="167">
        <v>45014</v>
      </c>
      <c r="C1434" s="28">
        <v>359.87</v>
      </c>
      <c r="D1434" s="83">
        <f t="shared" si="48"/>
        <v>0.28136015666726</v>
      </c>
      <c r="E1434" s="83">
        <v>7.8980534939083972E-3</v>
      </c>
      <c r="F1434" s="83">
        <v>1426</v>
      </c>
      <c r="G1434" s="83">
        <f t="shared" ca="1" si="49"/>
        <v>-2.4170433090303006E-2</v>
      </c>
    </row>
    <row r="1435" spans="2:7" x14ac:dyDescent="0.2">
      <c r="B1435" s="167">
        <v>43497</v>
      </c>
      <c r="C1435" s="28">
        <v>280.85000000000002</v>
      </c>
      <c r="D1435" s="83">
        <f t="shared" si="48"/>
        <v>-0.2750200056790314</v>
      </c>
      <c r="E1435" s="83">
        <v>7.8952090436032497E-3</v>
      </c>
      <c r="F1435" s="83">
        <v>1427</v>
      </c>
      <c r="G1435" s="83">
        <f t="shared" ca="1" si="49"/>
        <v>3.3757676843387346E-3</v>
      </c>
    </row>
    <row r="1436" spans="2:7" x14ac:dyDescent="0.2">
      <c r="B1436" s="167">
        <v>45352</v>
      </c>
      <c r="C1436" s="28">
        <v>387.39</v>
      </c>
      <c r="D1436" s="83">
        <f t="shared" si="48"/>
        <v>-0.16078507831286157</v>
      </c>
      <c r="E1436" s="83">
        <v>7.8832344676864723E-3</v>
      </c>
      <c r="F1436" s="83">
        <v>1428</v>
      </c>
      <c r="G1436" s="83">
        <f t="shared" ca="1" si="49"/>
        <v>3.4798530425855382E-3</v>
      </c>
    </row>
    <row r="1437" spans="2:7" x14ac:dyDescent="0.2">
      <c r="B1437" s="167">
        <v>45594</v>
      </c>
      <c r="C1437" s="28">
        <v>461.61</v>
      </c>
      <c r="D1437" s="83">
        <f t="shared" si="48"/>
        <v>8.7140151515151523</v>
      </c>
      <c r="E1437" s="83">
        <v>7.8600903910395464E-3</v>
      </c>
      <c r="F1437" s="83">
        <v>1429</v>
      </c>
      <c r="G1437" s="83">
        <f t="shared" ca="1" si="49"/>
        <v>-1.8113095644602745E-2</v>
      </c>
    </row>
    <row r="1438" spans="2:7" x14ac:dyDescent="0.2">
      <c r="B1438" s="167">
        <v>39169</v>
      </c>
      <c r="C1438" s="28">
        <v>47.52</v>
      </c>
      <c r="D1438" s="83">
        <f t="shared" si="48"/>
        <v>-0.78535615881476117</v>
      </c>
      <c r="E1438" s="83">
        <v>7.8472958642630871E-3</v>
      </c>
      <c r="F1438" s="83">
        <v>1430</v>
      </c>
      <c r="G1438" s="83">
        <f t="shared" ca="1" si="49"/>
        <v>-1.1395859327400268E-2</v>
      </c>
    </row>
    <row r="1439" spans="2:7" x14ac:dyDescent="0.2">
      <c r="B1439" s="167">
        <v>41533</v>
      </c>
      <c r="C1439" s="28">
        <v>221.39</v>
      </c>
      <c r="D1439" s="83">
        <f t="shared" si="48"/>
        <v>2.3722772277227717</v>
      </c>
      <c r="E1439" s="83">
        <v>7.8299267082441795E-3</v>
      </c>
      <c r="F1439" s="83">
        <v>1431</v>
      </c>
      <c r="G1439" s="83">
        <f t="shared" ca="1" si="49"/>
        <v>-1.2398036632004481E-2</v>
      </c>
    </row>
    <row r="1440" spans="2:7" x14ac:dyDescent="0.2">
      <c r="B1440" s="167">
        <v>39440</v>
      </c>
      <c r="C1440" s="28">
        <v>65.650000000000006</v>
      </c>
      <c r="D1440" s="83">
        <f t="shared" si="48"/>
        <v>-0.74564122433165436</v>
      </c>
      <c r="E1440" s="83">
        <v>7.8292907583666742E-3</v>
      </c>
      <c r="F1440" s="83">
        <v>1432</v>
      </c>
      <c r="G1440" s="83">
        <f t="shared" ca="1" si="49"/>
        <v>-2.5401450651905595E-2</v>
      </c>
    </row>
    <row r="1441" spans="2:7" x14ac:dyDescent="0.2">
      <c r="B1441" s="167">
        <v>42766</v>
      </c>
      <c r="C1441" s="28">
        <v>258.10000000000002</v>
      </c>
      <c r="D1441" s="83">
        <f t="shared" si="48"/>
        <v>-0.11137889481838516</v>
      </c>
      <c r="E1441" s="83">
        <v>7.809449433814915E-3</v>
      </c>
      <c r="F1441" s="83">
        <v>1433</v>
      </c>
      <c r="G1441" s="83">
        <f t="shared" ca="1" si="49"/>
        <v>-1.5216038838580363E-2</v>
      </c>
    </row>
    <row r="1442" spans="2:7" x14ac:dyDescent="0.2">
      <c r="B1442" s="167">
        <v>43609</v>
      </c>
      <c r="C1442" s="28">
        <v>290.45</v>
      </c>
      <c r="D1442" s="83">
        <f t="shared" si="48"/>
        <v>-0.34834309304256128</v>
      </c>
      <c r="E1442" s="83">
        <v>7.8070784177654406E-3</v>
      </c>
      <c r="F1442" s="83">
        <v>1434</v>
      </c>
      <c r="G1442" s="83">
        <f t="shared" ca="1" si="49"/>
        <v>4.7219115592564091E-3</v>
      </c>
    </row>
    <row r="1443" spans="2:7" x14ac:dyDescent="0.2">
      <c r="B1443" s="167">
        <v>45632</v>
      </c>
      <c r="C1443" s="28">
        <v>445.71</v>
      </c>
      <c r="D1443" s="83">
        <f t="shared" si="48"/>
        <v>0.60212077641984185</v>
      </c>
      <c r="E1443" s="83">
        <v>7.8008411341744417E-3</v>
      </c>
      <c r="F1443" s="83">
        <v>1435</v>
      </c>
      <c r="G1443" s="83">
        <f t="shared" ca="1" si="49"/>
        <v>1.4137631375520715E-2</v>
      </c>
    </row>
    <row r="1444" spans="2:7" x14ac:dyDescent="0.2">
      <c r="B1444" s="167">
        <v>43525</v>
      </c>
      <c r="C1444" s="28">
        <v>278.2</v>
      </c>
      <c r="D1444" s="83">
        <f t="shared" si="48"/>
        <v>0.2693343067025597</v>
      </c>
      <c r="E1444" s="83">
        <v>7.7884441224415043E-3</v>
      </c>
      <c r="F1444" s="83">
        <v>1436</v>
      </c>
      <c r="G1444" s="83">
        <f t="shared" ca="1" si="49"/>
        <v>7.6513933138064507E-3</v>
      </c>
    </row>
    <row r="1445" spans="2:7" x14ac:dyDescent="0.2">
      <c r="B1445" s="167">
        <v>41581</v>
      </c>
      <c r="C1445" s="28">
        <v>219.17</v>
      </c>
      <c r="D1445" s="83">
        <f t="shared" si="48"/>
        <v>-3.5173446029230539E-2</v>
      </c>
      <c r="E1445" s="83">
        <v>7.7708295015633524E-3</v>
      </c>
      <c r="F1445" s="83">
        <v>1437</v>
      </c>
      <c r="G1445" s="83">
        <f t="shared" ca="1" si="49"/>
        <v>3.8550550022284732E-2</v>
      </c>
    </row>
    <row r="1446" spans="2:7" x14ac:dyDescent="0.2">
      <c r="B1446" s="167">
        <v>41423</v>
      </c>
      <c r="C1446" s="28">
        <v>227.16</v>
      </c>
      <c r="D1446" s="83">
        <f t="shared" si="48"/>
        <v>0.12622706990580074</v>
      </c>
      <c r="E1446" s="83">
        <v>7.7636307173594788E-3</v>
      </c>
      <c r="F1446" s="83">
        <v>1438</v>
      </c>
      <c r="G1446" s="83">
        <f t="shared" ca="1" si="49"/>
        <v>-1.7645096923822934E-2</v>
      </c>
    </row>
    <row r="1447" spans="2:7" x14ac:dyDescent="0.2">
      <c r="B1447" s="167">
        <v>41351</v>
      </c>
      <c r="C1447" s="28">
        <v>201.7</v>
      </c>
      <c r="D1447" s="83">
        <f t="shared" si="48"/>
        <v>-4.9392025638608811E-2</v>
      </c>
      <c r="E1447" s="83">
        <v>7.744191856107834E-3</v>
      </c>
      <c r="F1447" s="83">
        <v>1439</v>
      </c>
      <c r="G1447" s="83">
        <f t="shared" ca="1" si="49"/>
        <v>1.3561741380940658E-2</v>
      </c>
    </row>
    <row r="1448" spans="2:7" x14ac:dyDescent="0.2">
      <c r="B1448" s="167">
        <v>41694</v>
      </c>
      <c r="C1448" s="28">
        <v>212.18</v>
      </c>
      <c r="D1448" s="83">
        <f t="shared" si="48"/>
        <v>-1.8866179598631204E-2</v>
      </c>
      <c r="E1448" s="83">
        <v>7.7416290667299712E-3</v>
      </c>
      <c r="F1448" s="83">
        <v>1440</v>
      </c>
      <c r="G1448" s="83">
        <f t="shared" ca="1" si="49"/>
        <v>1.5839404104656962E-2</v>
      </c>
    </row>
    <row r="1449" spans="2:7" x14ac:dyDescent="0.2">
      <c r="B1449" s="167">
        <v>42366</v>
      </c>
      <c r="C1449" s="28">
        <v>216.26</v>
      </c>
      <c r="D1449" s="83">
        <f t="shared" si="48"/>
        <v>-0.26354503660820705</v>
      </c>
      <c r="E1449" s="83">
        <v>7.7353215284249608E-3</v>
      </c>
      <c r="F1449" s="83">
        <v>1441</v>
      </c>
      <c r="G1449" s="83">
        <f t="shared" ca="1" si="49"/>
        <v>-1.187996985373943E-2</v>
      </c>
    </row>
    <row r="1450" spans="2:7" x14ac:dyDescent="0.2">
      <c r="B1450" s="167">
        <v>42942</v>
      </c>
      <c r="C1450" s="28">
        <v>293.64999999999998</v>
      </c>
      <c r="D1450" s="83">
        <f t="shared" si="48"/>
        <v>7.516842413591085E-2</v>
      </c>
      <c r="E1450" s="83">
        <v>7.7213452299245032E-3</v>
      </c>
      <c r="F1450" s="83">
        <v>1442</v>
      </c>
      <c r="G1450" s="83">
        <f t="shared" ca="1" si="49"/>
        <v>6.0391063550374463E-3</v>
      </c>
    </row>
    <row r="1451" spans="2:7" x14ac:dyDescent="0.2">
      <c r="B1451" s="167">
        <v>44718</v>
      </c>
      <c r="C1451" s="28">
        <v>273.12</v>
      </c>
      <c r="D1451" s="83">
        <f t="shared" si="48"/>
        <v>4.0974244120940657</v>
      </c>
      <c r="E1451" s="83">
        <v>7.7113234697267167E-3</v>
      </c>
      <c r="F1451" s="83">
        <v>1443</v>
      </c>
      <c r="G1451" s="83">
        <f t="shared" ca="1" si="49"/>
        <v>3.5753063389448317E-3</v>
      </c>
    </row>
    <row r="1452" spans="2:7" x14ac:dyDescent="0.2">
      <c r="B1452" s="167">
        <v>39318</v>
      </c>
      <c r="C1452" s="28">
        <v>53.58</v>
      </c>
      <c r="D1452" s="83">
        <f t="shared" si="48"/>
        <v>0.28120516499282633</v>
      </c>
      <c r="E1452" s="83">
        <v>7.7111152905773288E-3</v>
      </c>
      <c r="F1452" s="83">
        <v>1444</v>
      </c>
      <c r="G1452" s="83">
        <f t="shared" ca="1" si="49"/>
        <v>-4.2515808744839076E-3</v>
      </c>
    </row>
    <row r="1453" spans="2:7" x14ac:dyDescent="0.2">
      <c r="B1453" s="167">
        <v>38663</v>
      </c>
      <c r="C1453" s="28">
        <v>41.82</v>
      </c>
      <c r="D1453" s="83">
        <f t="shared" si="48"/>
        <v>-0.78955314009661837</v>
      </c>
      <c r="E1453" s="83">
        <v>7.7108433734939825E-3</v>
      </c>
      <c r="F1453" s="83">
        <v>1445</v>
      </c>
      <c r="G1453" s="83">
        <f t="shared" ca="1" si="49"/>
        <v>-3.0688827050146139E-2</v>
      </c>
    </row>
    <row r="1454" spans="2:7" x14ac:dyDescent="0.2">
      <c r="B1454" s="167">
        <v>41299</v>
      </c>
      <c r="C1454" s="28">
        <v>198.72</v>
      </c>
      <c r="D1454" s="83">
        <f t="shared" si="48"/>
        <v>-0.36405529953917054</v>
      </c>
      <c r="E1454" s="83">
        <v>7.7079107505071513E-3</v>
      </c>
      <c r="F1454" s="83">
        <v>1446</v>
      </c>
      <c r="G1454" s="83">
        <f t="shared" ca="1" si="49"/>
        <v>1.0783869347291896E-2</v>
      </c>
    </row>
    <row r="1455" spans="2:7" x14ac:dyDescent="0.2">
      <c r="B1455" s="167">
        <v>44795</v>
      </c>
      <c r="C1455" s="28">
        <v>312.48</v>
      </c>
      <c r="D1455" s="83">
        <f t="shared" si="48"/>
        <v>-5.4742202418840563E-3</v>
      </c>
      <c r="E1455" s="83">
        <v>7.7074397755491743E-3</v>
      </c>
      <c r="F1455" s="83">
        <v>1447</v>
      </c>
      <c r="G1455" s="83">
        <f t="shared" ca="1" si="49"/>
        <v>2.5589964009693409E-2</v>
      </c>
    </row>
    <row r="1456" spans="2:7" x14ac:dyDescent="0.2">
      <c r="B1456" s="167">
        <v>42887</v>
      </c>
      <c r="C1456" s="28">
        <v>314.2</v>
      </c>
      <c r="D1456" s="83">
        <f t="shared" si="48"/>
        <v>-0.24343847820852402</v>
      </c>
      <c r="E1456" s="83">
        <v>7.6972418216804915E-3</v>
      </c>
      <c r="F1456" s="83">
        <v>1448</v>
      </c>
      <c r="G1456" s="83">
        <f t="shared" ca="1" si="49"/>
        <v>1.0489074655150431E-2</v>
      </c>
    </row>
    <row r="1457" spans="2:7" x14ac:dyDescent="0.2">
      <c r="B1457" s="167">
        <v>45414</v>
      </c>
      <c r="C1457" s="28">
        <v>415.3</v>
      </c>
      <c r="D1457" s="83">
        <f t="shared" si="48"/>
        <v>1.0289217841614149</v>
      </c>
      <c r="E1457" s="83">
        <v>7.6917477494965565E-3</v>
      </c>
      <c r="F1457" s="83">
        <v>1449</v>
      </c>
      <c r="G1457" s="83">
        <f t="shared" ca="1" si="49"/>
        <v>-1.2261472930855442E-2</v>
      </c>
    </row>
    <row r="1458" spans="2:7" x14ac:dyDescent="0.2">
      <c r="B1458" s="167">
        <v>42391</v>
      </c>
      <c r="C1458" s="28">
        <v>204.69</v>
      </c>
      <c r="D1458" s="83">
        <f t="shared" si="48"/>
        <v>-0.41821334167069324</v>
      </c>
      <c r="E1458" s="83">
        <v>7.6798109584994946E-3</v>
      </c>
      <c r="F1458" s="83">
        <v>1450</v>
      </c>
      <c r="G1458" s="83">
        <f t="shared" ca="1" si="49"/>
        <v>1.3340474130967228E-2</v>
      </c>
    </row>
    <row r="1459" spans="2:7" x14ac:dyDescent="0.2">
      <c r="B1459" s="167">
        <v>44970</v>
      </c>
      <c r="C1459" s="28">
        <v>351.83</v>
      </c>
      <c r="D1459" s="83">
        <f t="shared" si="48"/>
        <v>0.91066579776257206</v>
      </c>
      <c r="E1459" s="83">
        <v>7.6757840469712357E-3</v>
      </c>
      <c r="F1459" s="83">
        <v>1451</v>
      </c>
      <c r="G1459" s="83">
        <f t="shared" ca="1" si="49"/>
        <v>1.7143088394750237E-3</v>
      </c>
    </row>
    <row r="1460" spans="2:7" x14ac:dyDescent="0.2">
      <c r="B1460" s="167">
        <v>41190</v>
      </c>
      <c r="C1460" s="28">
        <v>184.14</v>
      </c>
      <c r="D1460" s="83">
        <f t="shared" si="48"/>
        <v>2.110998479472884</v>
      </c>
      <c r="E1460" s="83">
        <v>7.6611579292983319E-3</v>
      </c>
      <c r="F1460" s="83">
        <v>1452</v>
      </c>
      <c r="G1460" s="83">
        <f t="shared" ca="1" si="49"/>
        <v>-2.0660973368702401E-2</v>
      </c>
    </row>
    <row r="1461" spans="2:7" x14ac:dyDescent="0.2">
      <c r="B1461" s="167">
        <v>38797</v>
      </c>
      <c r="C1461" s="28">
        <v>59.19</v>
      </c>
      <c r="D1461" s="83">
        <f t="shared" si="48"/>
        <v>-0.83461398753807037</v>
      </c>
      <c r="E1461" s="83">
        <v>7.6608784473952288E-3</v>
      </c>
      <c r="F1461" s="83">
        <v>1453</v>
      </c>
      <c r="G1461" s="83">
        <f t="shared" ca="1" si="49"/>
        <v>2.3377020477800541E-2</v>
      </c>
    </row>
    <row r="1462" spans="2:7" x14ac:dyDescent="0.2">
      <c r="B1462" s="167">
        <v>45008</v>
      </c>
      <c r="C1462" s="28">
        <v>357.89</v>
      </c>
      <c r="D1462" s="83">
        <f t="shared" si="48"/>
        <v>1.284064075563214</v>
      </c>
      <c r="E1462" s="83">
        <v>7.6583044739138165E-3</v>
      </c>
      <c r="F1462" s="83">
        <v>1454</v>
      </c>
      <c r="G1462" s="83">
        <f t="shared" ca="1" si="49"/>
        <v>8.7362777405324173E-3</v>
      </c>
    </row>
    <row r="1463" spans="2:7" x14ac:dyDescent="0.2">
      <c r="B1463" s="167">
        <v>41067</v>
      </c>
      <c r="C1463" s="28">
        <v>156.69</v>
      </c>
      <c r="D1463" s="83">
        <f t="shared" si="48"/>
        <v>-0.25218345821600729</v>
      </c>
      <c r="E1463" s="83">
        <v>7.6527331189710467E-3</v>
      </c>
      <c r="F1463" s="83">
        <v>1455</v>
      </c>
      <c r="G1463" s="83">
        <f t="shared" ca="1" si="49"/>
        <v>-2.3914084835109119E-2</v>
      </c>
    </row>
    <row r="1464" spans="2:7" x14ac:dyDescent="0.2">
      <c r="B1464" s="167">
        <v>42380</v>
      </c>
      <c r="C1464" s="28">
        <v>209.53</v>
      </c>
      <c r="D1464" s="83">
        <f t="shared" si="48"/>
        <v>-0.29344124093744733</v>
      </c>
      <c r="E1464" s="83">
        <v>7.6464364720592645E-3</v>
      </c>
      <c r="F1464" s="83">
        <v>1456</v>
      </c>
      <c r="G1464" s="83">
        <f t="shared" ca="1" si="49"/>
        <v>1.8409186294051816E-3</v>
      </c>
    </row>
    <row r="1465" spans="2:7" x14ac:dyDescent="0.2">
      <c r="B1465" s="167">
        <v>43480</v>
      </c>
      <c r="C1465" s="28">
        <v>296.55</v>
      </c>
      <c r="D1465" s="83">
        <f t="shared" si="48"/>
        <v>6.9805194805194884E-2</v>
      </c>
      <c r="E1465" s="83">
        <v>7.6452599388379203E-3</v>
      </c>
      <c r="F1465" s="83">
        <v>1457</v>
      </c>
      <c r="G1465" s="83">
        <f t="shared" ca="1" si="49"/>
        <v>1.1074207465679923E-2</v>
      </c>
    </row>
    <row r="1466" spans="2:7" x14ac:dyDescent="0.2">
      <c r="B1466" s="167">
        <v>43635</v>
      </c>
      <c r="C1466" s="28">
        <v>277.2</v>
      </c>
      <c r="D1466" s="83">
        <f t="shared" si="48"/>
        <v>0.219050969699635</v>
      </c>
      <c r="E1466" s="83">
        <v>7.6335877862594177E-3</v>
      </c>
      <c r="F1466" s="83">
        <v>1458</v>
      </c>
      <c r="G1466" s="83">
        <f t="shared" ca="1" si="49"/>
        <v>-2.4599746875249334E-2</v>
      </c>
    </row>
    <row r="1467" spans="2:7" x14ac:dyDescent="0.2">
      <c r="B1467" s="167">
        <v>41548</v>
      </c>
      <c r="C1467" s="28">
        <v>227.39</v>
      </c>
      <c r="D1467" s="83">
        <f t="shared" si="48"/>
        <v>1.7177365242674904E-2</v>
      </c>
      <c r="E1467" s="83">
        <v>7.6217485709221379E-3</v>
      </c>
      <c r="F1467" s="83">
        <v>1459</v>
      </c>
      <c r="G1467" s="83">
        <f t="shared" ca="1" si="49"/>
        <v>1.5189410518264602E-2</v>
      </c>
    </row>
    <row r="1468" spans="2:7" x14ac:dyDescent="0.2">
      <c r="B1468" s="167">
        <v>42310</v>
      </c>
      <c r="C1468" s="28">
        <v>223.55</v>
      </c>
      <c r="D1468" s="83">
        <f t="shared" si="48"/>
        <v>-0.28188242852553808</v>
      </c>
      <c r="E1468" s="83">
        <v>7.6174163887135927E-3</v>
      </c>
      <c r="F1468" s="83">
        <v>1460</v>
      </c>
      <c r="G1468" s="83">
        <f t="shared" ca="1" si="49"/>
        <v>-2.2099079107236869E-2</v>
      </c>
    </row>
    <row r="1469" spans="2:7" x14ac:dyDescent="0.2">
      <c r="B1469" s="167">
        <v>42908</v>
      </c>
      <c r="C1469" s="28">
        <v>311.3</v>
      </c>
      <c r="D1469" s="83">
        <f t="shared" si="48"/>
        <v>0.23654419066534266</v>
      </c>
      <c r="E1469" s="83">
        <v>7.6064088040136684E-3</v>
      </c>
      <c r="F1469" s="83">
        <v>1461</v>
      </c>
      <c r="G1469" s="83">
        <f t="shared" ca="1" si="49"/>
        <v>-4.9909157081915847E-3</v>
      </c>
    </row>
    <row r="1470" spans="2:7" x14ac:dyDescent="0.2">
      <c r="B1470" s="167">
        <v>42576</v>
      </c>
      <c r="C1470" s="28">
        <v>251.75</v>
      </c>
      <c r="D1470" s="83">
        <f t="shared" si="48"/>
        <v>-0.17404855643044623</v>
      </c>
      <c r="E1470" s="83">
        <v>7.6045627376426081E-3</v>
      </c>
      <c r="F1470" s="83">
        <v>1462</v>
      </c>
      <c r="G1470" s="83">
        <f t="shared" ca="1" si="49"/>
        <v>-1.1077184381937392E-2</v>
      </c>
    </row>
    <row r="1471" spans="2:7" x14ac:dyDescent="0.2">
      <c r="B1471" s="167">
        <v>43322</v>
      </c>
      <c r="C1471" s="28">
        <v>304.8</v>
      </c>
      <c r="D1471" s="83">
        <f t="shared" si="48"/>
        <v>7.193548387096774</v>
      </c>
      <c r="E1471" s="83">
        <v>7.6033057851240043E-3</v>
      </c>
      <c r="F1471" s="83">
        <v>1463</v>
      </c>
      <c r="G1471" s="83">
        <f t="shared" ca="1" si="49"/>
        <v>-1.2432445762055039E-2</v>
      </c>
    </row>
    <row r="1472" spans="2:7" x14ac:dyDescent="0.2">
      <c r="B1472" s="167">
        <v>38537</v>
      </c>
      <c r="C1472" s="28">
        <v>37.200000000000003</v>
      </c>
      <c r="D1472" s="83">
        <f t="shared" si="48"/>
        <v>-0.80479613790208326</v>
      </c>
      <c r="E1472" s="83">
        <v>7.5839653304442343E-3</v>
      </c>
      <c r="F1472" s="83">
        <v>1464</v>
      </c>
      <c r="G1472" s="83">
        <f t="shared" ca="1" si="49"/>
        <v>-1.828484626490702E-2</v>
      </c>
    </row>
    <row r="1473" spans="2:7" x14ac:dyDescent="0.2">
      <c r="B1473" s="167">
        <v>41292</v>
      </c>
      <c r="C1473" s="28">
        <v>190.57</v>
      </c>
      <c r="D1473" s="83">
        <f t="shared" si="48"/>
        <v>0.64114708921805019</v>
      </c>
      <c r="E1473" s="83">
        <v>7.5605371682352061E-3</v>
      </c>
      <c r="F1473" s="83">
        <v>1465</v>
      </c>
      <c r="G1473" s="83">
        <f t="shared" ca="1" si="49"/>
        <v>5.4923229127984722E-5</v>
      </c>
    </row>
    <row r="1474" spans="2:7" x14ac:dyDescent="0.2">
      <c r="B1474" s="167">
        <v>40497</v>
      </c>
      <c r="C1474" s="28">
        <v>116.12</v>
      </c>
      <c r="D1474" s="83">
        <f t="shared" si="48"/>
        <v>-0.10318195860364525</v>
      </c>
      <c r="E1474" s="83">
        <v>7.5488069414317094E-3</v>
      </c>
      <c r="F1474" s="83">
        <v>1466</v>
      </c>
      <c r="G1474" s="83">
        <f t="shared" ca="1" si="49"/>
        <v>7.9506152397087961E-4</v>
      </c>
    </row>
    <row r="1475" spans="2:7" x14ac:dyDescent="0.2">
      <c r="B1475" s="167">
        <v>40696</v>
      </c>
      <c r="C1475" s="28">
        <v>129.47999999999999</v>
      </c>
      <c r="D1475" s="83">
        <f t="shared" si="48"/>
        <v>-0.40207804202262765</v>
      </c>
      <c r="E1475" s="83">
        <v>7.5480507353513264E-3</v>
      </c>
      <c r="F1475" s="83">
        <v>1467</v>
      </c>
      <c r="G1475" s="83">
        <f t="shared" ca="1" si="49"/>
        <v>-8.4114930409293718E-3</v>
      </c>
    </row>
    <row r="1476" spans="2:7" x14ac:dyDescent="0.2">
      <c r="B1476" s="167">
        <v>41667</v>
      </c>
      <c r="C1476" s="28">
        <v>216.55</v>
      </c>
      <c r="D1476" s="83">
        <f t="shared" si="48"/>
        <v>-0.22922228154475879</v>
      </c>
      <c r="E1476" s="83">
        <v>7.537337737868164E-3</v>
      </c>
      <c r="F1476" s="83">
        <v>1468</v>
      </c>
      <c r="G1476" s="83">
        <f t="shared" ca="1" si="49"/>
        <v>3.1349642020362091E-2</v>
      </c>
    </row>
    <row r="1477" spans="2:7" x14ac:dyDescent="0.2">
      <c r="B1477" s="167">
        <v>43469</v>
      </c>
      <c r="C1477" s="28">
        <v>280.95</v>
      </c>
      <c r="D1477" s="83">
        <f t="shared" si="48"/>
        <v>-8.3838779103893674E-2</v>
      </c>
      <c r="E1477" s="83">
        <v>7.5309306078535617E-3</v>
      </c>
      <c r="F1477" s="83">
        <v>1469</v>
      </c>
      <c r="G1477" s="83">
        <f t="shared" ca="1" si="49"/>
        <v>-1.7012121961514717E-2</v>
      </c>
    </row>
    <row r="1478" spans="2:7" x14ac:dyDescent="0.2">
      <c r="B1478" s="167">
        <v>44785</v>
      </c>
      <c r="C1478" s="28">
        <v>306.66000000000003</v>
      </c>
      <c r="D1478" s="83">
        <f t="shared" si="48"/>
        <v>1.7468649229666791</v>
      </c>
      <c r="E1478" s="83">
        <v>7.4906367041199474E-3</v>
      </c>
      <c r="F1478" s="83">
        <v>1470</v>
      </c>
      <c r="G1478" s="83">
        <f t="shared" ca="1" si="49"/>
        <v>-8.0037505094269195E-3</v>
      </c>
    </row>
    <row r="1479" spans="2:7" x14ac:dyDescent="0.2">
      <c r="B1479" s="167">
        <v>40526</v>
      </c>
      <c r="C1479" s="28">
        <v>111.64</v>
      </c>
      <c r="D1479" s="83">
        <f t="shared" si="48"/>
        <v>-0.59631169770385106</v>
      </c>
      <c r="E1479" s="83">
        <v>7.4902987095027372E-3</v>
      </c>
      <c r="F1479" s="83">
        <v>1471</v>
      </c>
      <c r="G1479" s="83">
        <f t="shared" ca="1" si="49"/>
        <v>7.8879623865233794E-4</v>
      </c>
    </row>
    <row r="1480" spans="2:7" x14ac:dyDescent="0.2">
      <c r="B1480" s="167">
        <v>43420</v>
      </c>
      <c r="C1480" s="28">
        <v>276.55</v>
      </c>
      <c r="D1480" s="83">
        <f t="shared" si="48"/>
        <v>1.0473053005626294</v>
      </c>
      <c r="E1480" s="83">
        <v>7.4681238615665257E-3</v>
      </c>
      <c r="F1480" s="83">
        <v>1472</v>
      </c>
      <c r="G1480" s="83">
        <f t="shared" ca="1" si="49"/>
        <v>2.2831500557816795E-3</v>
      </c>
    </row>
    <row r="1481" spans="2:7" x14ac:dyDescent="0.2">
      <c r="B1481" s="167">
        <v>40899</v>
      </c>
      <c r="C1481" s="28">
        <v>135.08000000000001</v>
      </c>
      <c r="D1481" s="83">
        <f t="shared" ref="D1481:D1544" si="50">(C1481-C1482)/C1482</f>
        <v>-0.2433764633394947</v>
      </c>
      <c r="E1481" s="83">
        <v>7.4582338902147967E-3</v>
      </c>
      <c r="F1481" s="83">
        <v>1473</v>
      </c>
      <c r="G1481" s="83">
        <f t="shared" ref="G1481:G1544" ca="1" si="51">_xlfn.NORM.INV(RAND(),$M$10,$M$11)</f>
        <v>-6.2411440526230705E-3</v>
      </c>
    </row>
    <row r="1482" spans="2:7" x14ac:dyDescent="0.2">
      <c r="B1482" s="167">
        <v>41164</v>
      </c>
      <c r="C1482" s="28">
        <v>178.53</v>
      </c>
      <c r="D1482" s="83">
        <f t="shared" si="50"/>
        <v>1.5355773327652325</v>
      </c>
      <c r="E1482" s="83">
        <v>7.4487895716945605E-3</v>
      </c>
      <c r="F1482" s="83">
        <v>1474</v>
      </c>
      <c r="G1482" s="83">
        <f t="shared" ca="1" si="51"/>
        <v>-1.219757315598289E-2</v>
      </c>
    </row>
    <row r="1483" spans="2:7" x14ac:dyDescent="0.2">
      <c r="B1483" s="167">
        <v>40008</v>
      </c>
      <c r="C1483" s="28">
        <v>70.41</v>
      </c>
      <c r="D1483" s="83">
        <f t="shared" si="50"/>
        <v>-0.65855196159255136</v>
      </c>
      <c r="E1483" s="83">
        <v>7.4402632708541428E-3</v>
      </c>
      <c r="F1483" s="83">
        <v>1475</v>
      </c>
      <c r="G1483" s="83">
        <f t="shared" ca="1" si="51"/>
        <v>1.8400642817991406E-2</v>
      </c>
    </row>
    <row r="1484" spans="2:7" x14ac:dyDescent="0.2">
      <c r="B1484" s="167">
        <v>41614</v>
      </c>
      <c r="C1484" s="28">
        <v>206.21</v>
      </c>
      <c r="D1484" s="83">
        <f t="shared" si="50"/>
        <v>3.222153972153972</v>
      </c>
      <c r="E1484" s="83">
        <v>7.4258635009038561E-3</v>
      </c>
      <c r="F1484" s="83">
        <v>1476</v>
      </c>
      <c r="G1484" s="83">
        <f t="shared" ca="1" si="51"/>
        <v>-1.0458058070494028E-2</v>
      </c>
    </row>
    <row r="1485" spans="2:7" x14ac:dyDescent="0.2">
      <c r="B1485" s="167">
        <v>38882</v>
      </c>
      <c r="C1485" s="28">
        <v>48.84</v>
      </c>
      <c r="D1485" s="83">
        <f t="shared" si="50"/>
        <v>-0.77786874061945699</v>
      </c>
      <c r="E1485" s="83">
        <v>7.4257425742575607E-3</v>
      </c>
      <c r="F1485" s="83">
        <v>1477</v>
      </c>
      <c r="G1485" s="83">
        <f t="shared" ca="1" si="51"/>
        <v>1.8854862472202218E-2</v>
      </c>
    </row>
    <row r="1486" spans="2:7" x14ac:dyDescent="0.2">
      <c r="B1486" s="167">
        <v>41702</v>
      </c>
      <c r="C1486" s="28">
        <v>219.87</v>
      </c>
      <c r="D1486" s="83">
        <f t="shared" si="50"/>
        <v>2.8472440944881892</v>
      </c>
      <c r="E1486" s="83">
        <v>7.4226804123711547E-3</v>
      </c>
      <c r="F1486" s="83">
        <v>1478</v>
      </c>
      <c r="G1486" s="83">
        <f t="shared" ca="1" si="51"/>
        <v>4.6765719795734207E-3</v>
      </c>
    </row>
    <row r="1487" spans="2:7" x14ac:dyDescent="0.2">
      <c r="B1487" s="167">
        <v>39794</v>
      </c>
      <c r="C1487" s="28">
        <v>57.15</v>
      </c>
      <c r="D1487" s="83">
        <f t="shared" si="50"/>
        <v>-0.81834075015893204</v>
      </c>
      <c r="E1487" s="83">
        <v>7.4034902168165296E-3</v>
      </c>
      <c r="F1487" s="83">
        <v>1479</v>
      </c>
      <c r="G1487" s="83">
        <f t="shared" ca="1" si="51"/>
        <v>2.1063211838039286E-3</v>
      </c>
    </row>
    <row r="1488" spans="2:7" x14ac:dyDescent="0.2">
      <c r="B1488" s="167">
        <v>44946</v>
      </c>
      <c r="C1488" s="28">
        <v>314.60000000000002</v>
      </c>
      <c r="D1488" s="83">
        <f t="shared" si="50"/>
        <v>0.31935416229817587</v>
      </c>
      <c r="E1488" s="83">
        <v>7.3969707643536525E-3</v>
      </c>
      <c r="F1488" s="83">
        <v>1480</v>
      </c>
      <c r="G1488" s="83">
        <f t="shared" ca="1" si="51"/>
        <v>5.3232587015287222E-3</v>
      </c>
    </row>
    <row r="1489" spans="2:7" x14ac:dyDescent="0.2">
      <c r="B1489" s="167">
        <v>44496</v>
      </c>
      <c r="C1489" s="28">
        <v>238.45</v>
      </c>
      <c r="D1489" s="83">
        <f t="shared" si="50"/>
        <v>2.8042437779195915</v>
      </c>
      <c r="E1489" s="83">
        <v>7.3933248838191808E-3</v>
      </c>
      <c r="F1489" s="83">
        <v>1481</v>
      </c>
      <c r="G1489" s="83">
        <f t="shared" ca="1" si="51"/>
        <v>2.9168343792021641E-3</v>
      </c>
    </row>
    <row r="1490" spans="2:7" x14ac:dyDescent="0.2">
      <c r="B1490" s="167">
        <v>38966</v>
      </c>
      <c r="C1490" s="28">
        <v>62.68</v>
      </c>
      <c r="D1490" s="83">
        <f t="shared" si="50"/>
        <v>-0.71811476884331715</v>
      </c>
      <c r="E1490" s="83">
        <v>7.393121182899403E-3</v>
      </c>
      <c r="F1490" s="83">
        <v>1482</v>
      </c>
      <c r="G1490" s="83">
        <f t="shared" ca="1" si="51"/>
        <v>1.6555766414776654E-2</v>
      </c>
    </row>
    <row r="1491" spans="2:7" x14ac:dyDescent="0.2">
      <c r="B1491" s="167">
        <v>41491</v>
      </c>
      <c r="C1491" s="28">
        <v>222.36</v>
      </c>
      <c r="D1491" s="83">
        <f t="shared" si="50"/>
        <v>-0.28554445265559231</v>
      </c>
      <c r="E1491" s="83">
        <v>7.384587505096833E-3</v>
      </c>
      <c r="F1491" s="83">
        <v>1483</v>
      </c>
      <c r="G1491" s="83">
        <f t="shared" ca="1" si="51"/>
        <v>1.9248223465183498E-2</v>
      </c>
    </row>
    <row r="1492" spans="2:7" x14ac:dyDescent="0.2">
      <c r="B1492" s="167">
        <v>44781</v>
      </c>
      <c r="C1492" s="28">
        <v>311.23</v>
      </c>
      <c r="D1492" s="83">
        <f t="shared" si="50"/>
        <v>1.4514020163831132</v>
      </c>
      <c r="E1492" s="83">
        <v>7.3798349247452006E-3</v>
      </c>
      <c r="F1492" s="83">
        <v>1484</v>
      </c>
      <c r="G1492" s="83">
        <f t="shared" ca="1" si="51"/>
        <v>-1.4058927248009475E-2</v>
      </c>
    </row>
    <row r="1493" spans="2:7" x14ac:dyDescent="0.2">
      <c r="B1493" s="167">
        <v>40648</v>
      </c>
      <c r="C1493" s="28">
        <v>126.96</v>
      </c>
      <c r="D1493" s="83">
        <f t="shared" si="50"/>
        <v>-7.8702974972460669E-4</v>
      </c>
      <c r="E1493" s="83">
        <v>7.3791954296595465E-3</v>
      </c>
      <c r="F1493" s="83">
        <v>1485</v>
      </c>
      <c r="G1493" s="83">
        <f t="shared" ca="1" si="51"/>
        <v>6.0221490294128811E-3</v>
      </c>
    </row>
    <row r="1494" spans="2:7" x14ac:dyDescent="0.2">
      <c r="B1494" s="167">
        <v>40659</v>
      </c>
      <c r="C1494" s="28">
        <v>127.06</v>
      </c>
      <c r="D1494" s="83">
        <f t="shared" si="50"/>
        <v>-3.1554878048780384E-2</v>
      </c>
      <c r="E1494" s="83">
        <v>7.373344961547664E-3</v>
      </c>
      <c r="F1494" s="83">
        <v>1486</v>
      </c>
      <c r="G1494" s="83">
        <f t="shared" ca="1" si="51"/>
        <v>-5.1870618514707366E-3</v>
      </c>
    </row>
    <row r="1495" spans="2:7" x14ac:dyDescent="0.2">
      <c r="B1495" s="167">
        <v>40876</v>
      </c>
      <c r="C1495" s="28">
        <v>131.19999999999999</v>
      </c>
      <c r="D1495" s="83">
        <f t="shared" si="50"/>
        <v>-0.71785552998860247</v>
      </c>
      <c r="E1495" s="83">
        <v>7.3710073710072134E-3</v>
      </c>
      <c r="F1495" s="83">
        <v>1487</v>
      </c>
      <c r="G1495" s="83">
        <f t="shared" ca="1" si="51"/>
        <v>1.4667660322746827E-2</v>
      </c>
    </row>
    <row r="1496" spans="2:7" x14ac:dyDescent="0.2">
      <c r="B1496" s="167">
        <v>45595</v>
      </c>
      <c r="C1496" s="28">
        <v>465.01</v>
      </c>
      <c r="D1496" s="83">
        <f t="shared" si="50"/>
        <v>0.99617943764756389</v>
      </c>
      <c r="E1496" s="83">
        <v>7.3655250102900218E-3</v>
      </c>
      <c r="F1496" s="83">
        <v>1488</v>
      </c>
      <c r="G1496" s="83">
        <f t="shared" ca="1" si="51"/>
        <v>-3.7994964685111675E-2</v>
      </c>
    </row>
    <row r="1497" spans="2:7" x14ac:dyDescent="0.2">
      <c r="B1497" s="167">
        <v>44476</v>
      </c>
      <c r="C1497" s="28">
        <v>232.95</v>
      </c>
      <c r="D1497" s="83">
        <f t="shared" si="50"/>
        <v>2.8631840796019898</v>
      </c>
      <c r="E1497" s="83">
        <v>7.3513513513513021E-3</v>
      </c>
      <c r="F1497" s="83">
        <v>1489</v>
      </c>
      <c r="G1497" s="83">
        <f t="shared" ca="1" si="51"/>
        <v>-1.1238376620620025E-2</v>
      </c>
    </row>
    <row r="1498" spans="2:7" x14ac:dyDescent="0.2">
      <c r="B1498" s="167">
        <v>39869</v>
      </c>
      <c r="C1498" s="28">
        <v>60.3</v>
      </c>
      <c r="D1498" s="83">
        <f t="shared" si="50"/>
        <v>-0.74859287054409007</v>
      </c>
      <c r="E1498" s="83">
        <v>7.3504844637487096E-3</v>
      </c>
      <c r="F1498" s="83">
        <v>1490</v>
      </c>
      <c r="G1498" s="83">
        <f t="shared" ca="1" si="51"/>
        <v>-1.0722952074798373E-2</v>
      </c>
    </row>
    <row r="1499" spans="2:7" x14ac:dyDescent="0.2">
      <c r="B1499" s="167">
        <v>43832</v>
      </c>
      <c r="C1499" s="28">
        <v>239.85</v>
      </c>
      <c r="D1499" s="83">
        <f t="shared" si="50"/>
        <v>-0.43962898929956545</v>
      </c>
      <c r="E1499" s="83">
        <v>7.3498530029399416E-3</v>
      </c>
      <c r="F1499" s="83">
        <v>1491</v>
      </c>
      <c r="G1499" s="83">
        <f t="shared" ca="1" si="51"/>
        <v>2.4780465795904164E-2</v>
      </c>
    </row>
    <row r="1500" spans="2:7" x14ac:dyDescent="0.2">
      <c r="B1500" s="167">
        <v>45271</v>
      </c>
      <c r="C1500" s="28">
        <v>428.02</v>
      </c>
      <c r="D1500" s="83">
        <f t="shared" si="50"/>
        <v>5.7231073237001252E-2</v>
      </c>
      <c r="E1500" s="83">
        <v>7.3429042127559534E-3</v>
      </c>
      <c r="F1500" s="83">
        <v>1492</v>
      </c>
      <c r="G1500" s="83">
        <f t="shared" ca="1" si="51"/>
        <v>2.3330391317071585E-3</v>
      </c>
    </row>
    <row r="1501" spans="2:7" x14ac:dyDescent="0.2">
      <c r="B1501" s="167">
        <v>45713</v>
      </c>
      <c r="C1501" s="28">
        <v>404.85</v>
      </c>
      <c r="D1501" s="83">
        <f t="shared" si="50"/>
        <v>0.43844377331675266</v>
      </c>
      <c r="E1501" s="83">
        <v>7.3401343617816514E-3</v>
      </c>
      <c r="F1501" s="83">
        <v>1493</v>
      </c>
      <c r="G1501" s="83">
        <f t="shared" ca="1" si="51"/>
        <v>-1.5877644003971875E-2</v>
      </c>
    </row>
    <row r="1502" spans="2:7" x14ac:dyDescent="0.2">
      <c r="B1502" s="167">
        <v>43220</v>
      </c>
      <c r="C1502" s="28">
        <v>281.45</v>
      </c>
      <c r="D1502" s="83">
        <f t="shared" si="50"/>
        <v>-0.36063153112221719</v>
      </c>
      <c r="E1502" s="83">
        <v>7.3371510379384806E-3</v>
      </c>
      <c r="F1502" s="83">
        <v>1494</v>
      </c>
      <c r="G1502" s="83">
        <f t="shared" ca="1" si="51"/>
        <v>1.0323806879099678E-2</v>
      </c>
    </row>
    <row r="1503" spans="2:7" x14ac:dyDescent="0.2">
      <c r="B1503" s="167">
        <v>45680</v>
      </c>
      <c r="C1503" s="28">
        <v>440.2</v>
      </c>
      <c r="D1503" s="83">
        <f t="shared" si="50"/>
        <v>2.2320117474302497</v>
      </c>
      <c r="E1503" s="83">
        <v>7.3226544622425373E-3</v>
      </c>
      <c r="F1503" s="83">
        <v>1495</v>
      </c>
      <c r="G1503" s="83">
        <f t="shared" ca="1" si="51"/>
        <v>-7.4347717693626575E-3</v>
      </c>
    </row>
    <row r="1504" spans="2:7" x14ac:dyDescent="0.2">
      <c r="B1504" s="167">
        <v>40956</v>
      </c>
      <c r="C1504" s="28">
        <v>136.19999999999999</v>
      </c>
      <c r="D1504" s="83">
        <f t="shared" si="50"/>
        <v>-0.69266179258055782</v>
      </c>
      <c r="E1504" s="83">
        <v>7.3219436432215117E-3</v>
      </c>
      <c r="F1504" s="83">
        <v>1496</v>
      </c>
      <c r="G1504" s="83">
        <f t="shared" ca="1" si="51"/>
        <v>-4.3710980456397588E-3</v>
      </c>
    </row>
    <row r="1505" spans="2:7" x14ac:dyDescent="0.2">
      <c r="B1505" s="167">
        <v>45135</v>
      </c>
      <c r="C1505" s="28">
        <v>443.16</v>
      </c>
      <c r="D1505" s="83">
        <f t="shared" si="50"/>
        <v>1.6364447617347853</v>
      </c>
      <c r="E1505" s="83">
        <v>7.31917988816663E-3</v>
      </c>
      <c r="F1505" s="83">
        <v>1497</v>
      </c>
      <c r="G1505" s="83">
        <f t="shared" ca="1" si="51"/>
        <v>-7.5708369326043167E-3</v>
      </c>
    </row>
    <row r="1506" spans="2:7" x14ac:dyDescent="0.2">
      <c r="B1506" s="167">
        <v>41103</v>
      </c>
      <c r="C1506" s="28">
        <v>168.09</v>
      </c>
      <c r="D1506" s="83">
        <f t="shared" si="50"/>
        <v>-0.37524623675896673</v>
      </c>
      <c r="E1506" s="83">
        <v>7.3110804818121823E-3</v>
      </c>
      <c r="F1506" s="83">
        <v>1498</v>
      </c>
      <c r="G1506" s="83">
        <f t="shared" ca="1" si="51"/>
        <v>-2.7303801224835247E-2</v>
      </c>
    </row>
    <row r="1507" spans="2:7" x14ac:dyDescent="0.2">
      <c r="B1507" s="167">
        <v>43154</v>
      </c>
      <c r="C1507" s="28">
        <v>269.05</v>
      </c>
      <c r="D1507" s="83">
        <f t="shared" si="50"/>
        <v>-2.6063348416289552E-2</v>
      </c>
      <c r="E1507" s="83">
        <v>7.3006364657431239E-3</v>
      </c>
      <c r="F1507" s="83">
        <v>1499</v>
      </c>
      <c r="G1507" s="83">
        <f t="shared" ca="1" si="51"/>
        <v>-1.8955643820243454E-2</v>
      </c>
    </row>
    <row r="1508" spans="2:7" x14ac:dyDescent="0.2">
      <c r="B1508" s="167">
        <v>43640</v>
      </c>
      <c r="C1508" s="28">
        <v>276.25</v>
      </c>
      <c r="D1508" s="83">
        <f t="shared" si="50"/>
        <v>5.0779764168885598E-2</v>
      </c>
      <c r="E1508" s="83">
        <v>7.2926162260711028E-3</v>
      </c>
      <c r="F1508" s="83">
        <v>1500</v>
      </c>
      <c r="G1508" s="83">
        <f t="shared" ca="1" si="51"/>
        <v>2.3244228213221842E-2</v>
      </c>
    </row>
    <row r="1509" spans="2:7" x14ac:dyDescent="0.2">
      <c r="B1509" s="167">
        <v>42615</v>
      </c>
      <c r="C1509" s="28">
        <v>262.89999999999998</v>
      </c>
      <c r="D1509" s="83">
        <f t="shared" si="50"/>
        <v>-5.2100234360915973E-2</v>
      </c>
      <c r="E1509" s="83">
        <v>7.2796934865899509E-3</v>
      </c>
      <c r="F1509" s="83">
        <v>1501</v>
      </c>
      <c r="G1509" s="83">
        <f t="shared" ca="1" si="51"/>
        <v>-3.2120516189347449E-2</v>
      </c>
    </row>
    <row r="1510" spans="2:7" x14ac:dyDescent="0.2">
      <c r="B1510" s="167">
        <v>43209</v>
      </c>
      <c r="C1510" s="28">
        <v>277.35000000000002</v>
      </c>
      <c r="D1510" s="83">
        <f t="shared" si="50"/>
        <v>0.20231489509276926</v>
      </c>
      <c r="E1510" s="83">
        <v>7.2634828400217899E-3</v>
      </c>
      <c r="F1510" s="83">
        <v>1502</v>
      </c>
      <c r="G1510" s="83">
        <f t="shared" ca="1" si="51"/>
        <v>-3.4031107339270582E-2</v>
      </c>
    </row>
    <row r="1511" spans="2:7" x14ac:dyDescent="0.2">
      <c r="B1511" s="167">
        <v>41738</v>
      </c>
      <c r="C1511" s="28">
        <v>230.68</v>
      </c>
      <c r="D1511" s="83">
        <f t="shared" si="50"/>
        <v>2.6838070903864581</v>
      </c>
      <c r="E1511" s="83">
        <v>7.2482752598026223E-3</v>
      </c>
      <c r="F1511" s="83">
        <v>1503</v>
      </c>
      <c r="G1511" s="83">
        <f t="shared" ca="1" si="51"/>
        <v>-7.9000000392808641E-3</v>
      </c>
    </row>
    <row r="1512" spans="2:7" x14ac:dyDescent="0.2">
      <c r="B1512" s="167">
        <v>39932</v>
      </c>
      <c r="C1512" s="28">
        <v>62.62</v>
      </c>
      <c r="D1512" s="83">
        <f t="shared" si="50"/>
        <v>-0.82628717265867735</v>
      </c>
      <c r="E1512" s="83">
        <v>7.2382177899307657E-3</v>
      </c>
      <c r="F1512" s="83">
        <v>1504</v>
      </c>
      <c r="G1512" s="83">
        <f t="shared" ca="1" si="51"/>
        <v>-1.0852755195480882E-2</v>
      </c>
    </row>
    <row r="1513" spans="2:7" x14ac:dyDescent="0.2">
      <c r="B1513" s="167">
        <v>44963</v>
      </c>
      <c r="C1513" s="28">
        <v>360.48</v>
      </c>
      <c r="D1513" s="83">
        <f t="shared" si="50"/>
        <v>3.4624907155236451</v>
      </c>
      <c r="E1513" s="83">
        <v>7.2368604878594875E-3</v>
      </c>
      <c r="F1513" s="83">
        <v>1505</v>
      </c>
      <c r="G1513" s="83">
        <f t="shared" ca="1" si="51"/>
        <v>7.2204367643051272E-3</v>
      </c>
    </row>
    <row r="1514" spans="2:7" x14ac:dyDescent="0.2">
      <c r="B1514" s="167">
        <v>40240</v>
      </c>
      <c r="C1514" s="28">
        <v>80.78</v>
      </c>
      <c r="D1514" s="83">
        <f t="shared" si="50"/>
        <v>0.34723148765843898</v>
      </c>
      <c r="E1514" s="83">
        <v>7.2319201995012256E-3</v>
      </c>
      <c r="F1514" s="83">
        <v>1506</v>
      </c>
      <c r="G1514" s="83">
        <f t="shared" ca="1" si="51"/>
        <v>-2.0250450316658203E-2</v>
      </c>
    </row>
    <row r="1515" spans="2:7" x14ac:dyDescent="0.2">
      <c r="B1515" s="167">
        <v>39048</v>
      </c>
      <c r="C1515" s="28">
        <v>59.96</v>
      </c>
      <c r="D1515" s="83">
        <f t="shared" si="50"/>
        <v>-0.69962929566175736</v>
      </c>
      <c r="E1515" s="83">
        <v>7.2232487821266541E-3</v>
      </c>
      <c r="F1515" s="83">
        <v>1507</v>
      </c>
      <c r="G1515" s="83">
        <f t="shared" ca="1" si="51"/>
        <v>-2.8930097017069539E-2</v>
      </c>
    </row>
    <row r="1516" spans="2:7" x14ac:dyDescent="0.2">
      <c r="B1516" s="167">
        <v>42172</v>
      </c>
      <c r="C1516" s="28">
        <v>199.62</v>
      </c>
      <c r="D1516" s="83">
        <f t="shared" si="50"/>
        <v>-0.26704608041123556</v>
      </c>
      <c r="E1516" s="83">
        <v>7.2152984509814156E-3</v>
      </c>
      <c r="F1516" s="83">
        <v>1508</v>
      </c>
      <c r="G1516" s="83">
        <f t="shared" ca="1" si="51"/>
        <v>1.2013605702880872E-2</v>
      </c>
    </row>
    <row r="1517" spans="2:7" x14ac:dyDescent="0.2">
      <c r="B1517" s="167">
        <v>42986</v>
      </c>
      <c r="C1517" s="28">
        <v>272.35000000000002</v>
      </c>
      <c r="D1517" s="83">
        <f t="shared" si="50"/>
        <v>-0.13440757691329763</v>
      </c>
      <c r="E1517" s="83">
        <v>7.2115384615386302E-3</v>
      </c>
      <c r="F1517" s="83">
        <v>1509</v>
      </c>
      <c r="G1517" s="83">
        <f t="shared" ca="1" si="51"/>
        <v>1.6272407409934478E-2</v>
      </c>
    </row>
    <row r="1518" spans="2:7" x14ac:dyDescent="0.2">
      <c r="B1518" s="167">
        <v>44944</v>
      </c>
      <c r="C1518" s="28">
        <v>314.64</v>
      </c>
      <c r="D1518" s="83">
        <f t="shared" si="50"/>
        <v>1.4345403899721445</v>
      </c>
      <c r="E1518" s="83">
        <v>7.2025352924229335E-3</v>
      </c>
      <c r="F1518" s="83">
        <v>1510</v>
      </c>
      <c r="G1518" s="83">
        <f t="shared" ca="1" si="51"/>
        <v>-2.5431490149913222E-2</v>
      </c>
    </row>
    <row r="1519" spans="2:7" x14ac:dyDescent="0.2">
      <c r="B1519" s="167">
        <v>40702</v>
      </c>
      <c r="C1519" s="28">
        <v>129.24</v>
      </c>
      <c r="D1519" s="83">
        <f t="shared" si="50"/>
        <v>-0.39052110351332231</v>
      </c>
      <c r="E1519" s="83">
        <v>7.1695760598504982E-3</v>
      </c>
      <c r="F1519" s="83">
        <v>1511</v>
      </c>
      <c r="G1519" s="83">
        <f t="shared" ca="1" si="51"/>
        <v>-8.3550554771088788E-4</v>
      </c>
    </row>
    <row r="1520" spans="2:7" x14ac:dyDescent="0.2">
      <c r="B1520" s="167">
        <v>41389</v>
      </c>
      <c r="C1520" s="28">
        <v>212.05</v>
      </c>
      <c r="D1520" s="83">
        <f t="shared" si="50"/>
        <v>-0.48010395469144579</v>
      </c>
      <c r="E1520" s="83">
        <v>7.1241985276656369E-3</v>
      </c>
      <c r="F1520" s="83">
        <v>1512</v>
      </c>
      <c r="G1520" s="83">
        <f t="shared" ca="1" si="51"/>
        <v>-8.6777415298975192E-3</v>
      </c>
    </row>
    <row r="1521" spans="2:7" x14ac:dyDescent="0.2">
      <c r="B1521" s="167">
        <v>45232</v>
      </c>
      <c r="C1521" s="28">
        <v>407.87</v>
      </c>
      <c r="D1521" s="83">
        <f t="shared" si="50"/>
        <v>0.59886319090552731</v>
      </c>
      <c r="E1521" s="83">
        <v>7.1112866984369867E-3</v>
      </c>
      <c r="F1521" s="83">
        <v>1513</v>
      </c>
      <c r="G1521" s="83">
        <f t="shared" ca="1" si="51"/>
        <v>6.8590342196043598E-3</v>
      </c>
    </row>
    <row r="1522" spans="2:7" x14ac:dyDescent="0.2">
      <c r="B1522" s="167">
        <v>43055</v>
      </c>
      <c r="C1522" s="28">
        <v>255.1</v>
      </c>
      <c r="D1522" s="83">
        <f t="shared" si="50"/>
        <v>0.64899806076276678</v>
      </c>
      <c r="E1522" s="83">
        <v>7.1061981839715075E-3</v>
      </c>
      <c r="F1522" s="83">
        <v>1514</v>
      </c>
      <c r="G1522" s="83">
        <f t="shared" ca="1" si="51"/>
        <v>1.6709056926786928E-2</v>
      </c>
    </row>
    <row r="1523" spans="2:7" x14ac:dyDescent="0.2">
      <c r="B1523" s="167">
        <v>41053</v>
      </c>
      <c r="C1523" s="28">
        <v>154.69999999999999</v>
      </c>
      <c r="D1523" s="83">
        <f t="shared" si="50"/>
        <v>-0.29697795955464679</v>
      </c>
      <c r="E1523" s="83">
        <v>7.0958921945184225E-3</v>
      </c>
      <c r="F1523" s="83">
        <v>1515</v>
      </c>
      <c r="G1523" s="83">
        <f t="shared" ca="1" si="51"/>
        <v>1.3972717989555634E-2</v>
      </c>
    </row>
    <row r="1524" spans="2:7" x14ac:dyDescent="0.2">
      <c r="B1524" s="167">
        <v>44287</v>
      </c>
      <c r="C1524" s="28">
        <v>220.05</v>
      </c>
      <c r="D1524" s="83">
        <f t="shared" si="50"/>
        <v>0.13650449333746517</v>
      </c>
      <c r="E1524" s="83">
        <v>7.0938215102975353E-3</v>
      </c>
      <c r="F1524" s="83">
        <v>1516</v>
      </c>
      <c r="G1524" s="83">
        <f t="shared" ca="1" si="51"/>
        <v>3.186728465592098E-2</v>
      </c>
    </row>
    <row r="1525" spans="2:7" x14ac:dyDescent="0.2">
      <c r="B1525" s="167">
        <v>41207</v>
      </c>
      <c r="C1525" s="28">
        <v>193.62</v>
      </c>
      <c r="D1525" s="83">
        <f t="shared" si="50"/>
        <v>-0.19576323987538938</v>
      </c>
      <c r="E1525" s="83">
        <v>7.073754291064255E-3</v>
      </c>
      <c r="F1525" s="83">
        <v>1517</v>
      </c>
      <c r="G1525" s="83">
        <f t="shared" ca="1" si="51"/>
        <v>2.0468102479713965E-2</v>
      </c>
    </row>
    <row r="1526" spans="2:7" x14ac:dyDescent="0.2">
      <c r="B1526" s="167">
        <v>41971</v>
      </c>
      <c r="C1526" s="28">
        <v>240.75</v>
      </c>
      <c r="D1526" s="83">
        <f t="shared" si="50"/>
        <v>1.0321600405165865</v>
      </c>
      <c r="E1526" s="83">
        <v>7.0693549736467734E-3</v>
      </c>
      <c r="F1526" s="83">
        <v>1518</v>
      </c>
      <c r="G1526" s="83">
        <f t="shared" ca="1" si="51"/>
        <v>2.3447251711325449E-2</v>
      </c>
    </row>
    <row r="1527" spans="2:7" x14ac:dyDescent="0.2">
      <c r="B1527" s="167">
        <v>40630</v>
      </c>
      <c r="C1527" s="28">
        <v>118.47</v>
      </c>
      <c r="D1527" s="83">
        <f t="shared" si="50"/>
        <v>-0.44678963343450856</v>
      </c>
      <c r="E1527" s="83">
        <v>7.0554233253995093E-3</v>
      </c>
      <c r="F1527" s="83">
        <v>1519</v>
      </c>
      <c r="G1527" s="83">
        <f t="shared" ca="1" si="51"/>
        <v>-1.9786395643675733E-2</v>
      </c>
    </row>
    <row r="1528" spans="2:7" x14ac:dyDescent="0.2">
      <c r="B1528" s="167">
        <v>44452</v>
      </c>
      <c r="C1528" s="28">
        <v>214.15</v>
      </c>
      <c r="D1528" s="83">
        <f t="shared" si="50"/>
        <v>-0.11963001027749227</v>
      </c>
      <c r="E1528" s="83">
        <v>7.0538443451681164E-3</v>
      </c>
      <c r="F1528" s="83">
        <v>1520</v>
      </c>
      <c r="G1528" s="83">
        <f t="shared" ca="1" si="51"/>
        <v>-1.5637779946560262E-2</v>
      </c>
    </row>
    <row r="1529" spans="2:7" x14ac:dyDescent="0.2">
      <c r="B1529" s="167">
        <v>43712</v>
      </c>
      <c r="C1529" s="28">
        <v>243.25</v>
      </c>
      <c r="D1529" s="83">
        <f t="shared" si="50"/>
        <v>0.1637085585801081</v>
      </c>
      <c r="E1529" s="83">
        <v>7.0378803560339001E-3</v>
      </c>
      <c r="F1529" s="83">
        <v>1521</v>
      </c>
      <c r="G1529" s="83">
        <f t="shared" ca="1" si="51"/>
        <v>-4.1175536679337755E-3</v>
      </c>
    </row>
    <row r="1530" spans="2:7" x14ac:dyDescent="0.2">
      <c r="B1530" s="167">
        <v>41382</v>
      </c>
      <c r="C1530" s="28">
        <v>209.03</v>
      </c>
      <c r="D1530" s="83">
        <f t="shared" si="50"/>
        <v>-8.1832557322322738E-2</v>
      </c>
      <c r="E1530" s="83">
        <v>7.0337717396541308E-3</v>
      </c>
      <c r="F1530" s="83">
        <v>1522</v>
      </c>
      <c r="G1530" s="83">
        <f t="shared" ca="1" si="51"/>
        <v>-4.8624400179353624E-3</v>
      </c>
    </row>
    <row r="1531" spans="2:7" x14ac:dyDescent="0.2">
      <c r="B1531" s="167">
        <v>41711</v>
      </c>
      <c r="C1531" s="28">
        <v>227.66</v>
      </c>
      <c r="D1531" s="83">
        <f t="shared" si="50"/>
        <v>2.0476572958500667</v>
      </c>
      <c r="E1531" s="83">
        <v>7.0332197991772611E-3</v>
      </c>
      <c r="F1531" s="83">
        <v>1523</v>
      </c>
      <c r="G1531" s="83">
        <f t="shared" ca="1" si="51"/>
        <v>2.8662576261738241E-2</v>
      </c>
    </row>
    <row r="1532" spans="2:7" x14ac:dyDescent="0.2">
      <c r="B1532" s="167">
        <v>39581</v>
      </c>
      <c r="C1532" s="28">
        <v>74.7</v>
      </c>
      <c r="D1532" s="83">
        <f t="shared" si="50"/>
        <v>-0.68098735907072083</v>
      </c>
      <c r="E1532" s="83">
        <v>7.0099757346993256E-3</v>
      </c>
      <c r="F1532" s="83">
        <v>1524</v>
      </c>
      <c r="G1532" s="83">
        <f t="shared" ca="1" si="51"/>
        <v>3.8274226332963353E-2</v>
      </c>
    </row>
    <row r="1533" spans="2:7" x14ac:dyDescent="0.2">
      <c r="B1533" s="167">
        <v>41752</v>
      </c>
      <c r="C1533" s="28">
        <v>234.16</v>
      </c>
      <c r="D1533" s="83">
        <f t="shared" si="50"/>
        <v>-0.13331852838848179</v>
      </c>
      <c r="E1533" s="83">
        <v>7.0098481916311675E-3</v>
      </c>
      <c r="F1533" s="83">
        <v>1525</v>
      </c>
      <c r="G1533" s="83">
        <f t="shared" ca="1" si="51"/>
        <v>-1.4966428691995069E-2</v>
      </c>
    </row>
    <row r="1534" spans="2:7" x14ac:dyDescent="0.2">
      <c r="B1534" s="167">
        <v>44740</v>
      </c>
      <c r="C1534" s="28">
        <v>270.18</v>
      </c>
      <c r="D1534" s="83">
        <f t="shared" si="50"/>
        <v>0.29582733812949641</v>
      </c>
      <c r="E1534" s="83">
        <v>7.0070816250465727E-3</v>
      </c>
      <c r="F1534" s="83">
        <v>1526</v>
      </c>
      <c r="G1534" s="83">
        <f t="shared" ca="1" si="51"/>
        <v>-6.6892082200952453E-3</v>
      </c>
    </row>
    <row r="1535" spans="2:7" x14ac:dyDescent="0.2">
      <c r="B1535" s="167">
        <v>44250</v>
      </c>
      <c r="C1535" s="28">
        <v>208.5</v>
      </c>
      <c r="D1535" s="83">
        <f t="shared" si="50"/>
        <v>0.81052448766932972</v>
      </c>
      <c r="E1535" s="83">
        <v>7.0031393383240209E-3</v>
      </c>
      <c r="F1535" s="83">
        <v>1527</v>
      </c>
      <c r="G1535" s="83">
        <f t="shared" ca="1" si="51"/>
        <v>-1.9098448559464274E-2</v>
      </c>
    </row>
    <row r="1536" spans="2:7" x14ac:dyDescent="0.2">
      <c r="B1536" s="167">
        <v>40506</v>
      </c>
      <c r="C1536" s="28">
        <v>115.16</v>
      </c>
      <c r="D1536" s="83">
        <f t="shared" si="50"/>
        <v>-0.66472574822405961</v>
      </c>
      <c r="E1536" s="83">
        <v>6.9954529555788488E-3</v>
      </c>
      <c r="F1536" s="83">
        <v>1528</v>
      </c>
      <c r="G1536" s="83">
        <f t="shared" ca="1" si="51"/>
        <v>1.8384386872061394E-2</v>
      </c>
    </row>
    <row r="1537" spans="2:7" x14ac:dyDescent="0.2">
      <c r="B1537" s="167">
        <v>44908</v>
      </c>
      <c r="C1537" s="28">
        <v>343.48</v>
      </c>
      <c r="D1537" s="83">
        <f t="shared" si="50"/>
        <v>9.3457831325301211</v>
      </c>
      <c r="E1537" s="83">
        <v>6.9774259747874389E-3</v>
      </c>
      <c r="F1537" s="83">
        <v>1529</v>
      </c>
      <c r="G1537" s="83">
        <f t="shared" ca="1" si="51"/>
        <v>2.2002990790979796E-2</v>
      </c>
    </row>
    <row r="1538" spans="2:7" x14ac:dyDescent="0.2">
      <c r="B1538" s="167">
        <v>38496</v>
      </c>
      <c r="C1538" s="28">
        <v>33.200000000000003</v>
      </c>
      <c r="D1538" s="83">
        <f t="shared" si="50"/>
        <v>-0.9142008011370979</v>
      </c>
      <c r="E1538" s="83">
        <v>6.9760388231727023E-3</v>
      </c>
      <c r="F1538" s="83">
        <v>1530</v>
      </c>
      <c r="G1538" s="83">
        <f t="shared" ca="1" si="51"/>
        <v>-2.8131868727626136E-3</v>
      </c>
    </row>
    <row r="1539" spans="2:7" x14ac:dyDescent="0.2">
      <c r="B1539" s="167">
        <v>45041</v>
      </c>
      <c r="C1539" s="28">
        <v>386.95</v>
      </c>
      <c r="D1539" s="83">
        <f t="shared" si="50"/>
        <v>7.3737286301666307</v>
      </c>
      <c r="E1539" s="83">
        <v>6.9742628880735081E-3</v>
      </c>
      <c r="F1539" s="83">
        <v>1531</v>
      </c>
      <c r="G1539" s="83">
        <f t="shared" ca="1" si="51"/>
        <v>2.1495693023520354E-3</v>
      </c>
    </row>
    <row r="1540" spans="2:7" x14ac:dyDescent="0.2">
      <c r="B1540" s="167">
        <v>38715</v>
      </c>
      <c r="C1540" s="28">
        <v>46.21</v>
      </c>
      <c r="D1540" s="83">
        <f t="shared" si="50"/>
        <v>-0.81760410499309255</v>
      </c>
      <c r="E1540" s="83">
        <v>6.9731967748964977E-3</v>
      </c>
      <c r="F1540" s="83">
        <v>1532</v>
      </c>
      <c r="G1540" s="83">
        <f t="shared" ca="1" si="51"/>
        <v>4.2549330330523619E-3</v>
      </c>
    </row>
    <row r="1541" spans="2:7" x14ac:dyDescent="0.2">
      <c r="B1541" s="167">
        <v>43076</v>
      </c>
      <c r="C1541" s="28">
        <v>253.35</v>
      </c>
      <c r="D1541" s="83">
        <f t="shared" si="50"/>
        <v>-5.4664179104477635E-2</v>
      </c>
      <c r="E1541" s="83">
        <v>6.9554848966613672E-3</v>
      </c>
      <c r="F1541" s="83">
        <v>1533</v>
      </c>
      <c r="G1541" s="83">
        <f t="shared" ca="1" si="51"/>
        <v>-3.866277100588985E-2</v>
      </c>
    </row>
    <row r="1542" spans="2:7" x14ac:dyDescent="0.2">
      <c r="B1542" s="167">
        <v>43017</v>
      </c>
      <c r="C1542" s="28">
        <v>268</v>
      </c>
      <c r="D1542" s="83">
        <f t="shared" si="50"/>
        <v>1.7907945433718628</v>
      </c>
      <c r="E1542" s="83">
        <v>6.9509674995304263E-3</v>
      </c>
      <c r="F1542" s="83">
        <v>1534</v>
      </c>
      <c r="G1542" s="83">
        <f t="shared" ca="1" si="51"/>
        <v>-1.7115610848744179E-2</v>
      </c>
    </row>
    <row r="1543" spans="2:7" x14ac:dyDescent="0.2">
      <c r="B1543" s="167">
        <v>40337</v>
      </c>
      <c r="C1543" s="28">
        <v>96.03</v>
      </c>
      <c r="D1543" s="83">
        <f t="shared" si="50"/>
        <v>0.60908176943699732</v>
      </c>
      <c r="E1543" s="83">
        <v>6.9204152249134586E-3</v>
      </c>
      <c r="F1543" s="83">
        <v>1535</v>
      </c>
      <c r="G1543" s="83">
        <f t="shared" ca="1" si="51"/>
        <v>-9.0730937329935035E-3</v>
      </c>
    </row>
    <row r="1544" spans="2:7" x14ac:dyDescent="0.2">
      <c r="B1544" s="167">
        <v>38953</v>
      </c>
      <c r="C1544" s="28">
        <v>59.68</v>
      </c>
      <c r="D1544" s="83">
        <f t="shared" si="50"/>
        <v>-0.14852332715080616</v>
      </c>
      <c r="E1544" s="83">
        <v>6.9174962038130007E-3</v>
      </c>
      <c r="F1544" s="83">
        <v>1536</v>
      </c>
      <c r="G1544" s="83">
        <f t="shared" ca="1" si="51"/>
        <v>-9.5675258005846579E-3</v>
      </c>
    </row>
    <row r="1545" spans="2:7" x14ac:dyDescent="0.2">
      <c r="B1545" s="167">
        <v>39555</v>
      </c>
      <c r="C1545" s="28">
        <v>70.09</v>
      </c>
      <c r="D1545" s="83">
        <f t="shared" ref="D1545:D1608" si="52">(C1545-C1546)/C1546</f>
        <v>6.3904068002428788E-2</v>
      </c>
      <c r="E1545" s="83">
        <v>6.8955609826174971E-3</v>
      </c>
      <c r="F1545" s="83">
        <v>1537</v>
      </c>
      <c r="G1545" s="83">
        <f t="shared" ref="G1545:G1608" ca="1" si="53">_xlfn.NORM.INV(RAND(),$M$10,$M$11)</f>
        <v>2.024285246601791E-2</v>
      </c>
    </row>
    <row r="1546" spans="2:7" x14ac:dyDescent="0.2">
      <c r="B1546" s="167">
        <v>39988</v>
      </c>
      <c r="C1546" s="28">
        <v>65.88</v>
      </c>
      <c r="D1546" s="83">
        <f t="shared" si="52"/>
        <v>-0.69181830939795108</v>
      </c>
      <c r="E1546" s="83">
        <v>6.8775790921593851E-3</v>
      </c>
      <c r="F1546" s="83">
        <v>1538</v>
      </c>
      <c r="G1546" s="83">
        <f t="shared" ca="1" si="53"/>
        <v>1.6701508719744551E-4</v>
      </c>
    </row>
    <row r="1547" spans="2:7" x14ac:dyDescent="0.2">
      <c r="B1547" s="167">
        <v>41635</v>
      </c>
      <c r="C1547" s="28">
        <v>213.77</v>
      </c>
      <c r="D1547" s="83">
        <f t="shared" si="52"/>
        <v>2.6361626126892332</v>
      </c>
      <c r="E1547" s="83">
        <v>6.8767368470632941E-3</v>
      </c>
      <c r="F1547" s="83">
        <v>1539</v>
      </c>
      <c r="G1547" s="83">
        <f t="shared" ca="1" si="53"/>
        <v>-1.1494812181491423E-2</v>
      </c>
    </row>
    <row r="1548" spans="2:7" x14ac:dyDescent="0.2">
      <c r="B1548" s="167">
        <v>39377</v>
      </c>
      <c r="C1548" s="28">
        <v>58.79</v>
      </c>
      <c r="D1548" s="83">
        <f t="shared" si="52"/>
        <v>-0.7260484622553588</v>
      </c>
      <c r="E1548" s="83">
        <v>6.8504880972769062E-3</v>
      </c>
      <c r="F1548" s="83">
        <v>1540</v>
      </c>
      <c r="G1548" s="83">
        <f t="shared" ca="1" si="53"/>
        <v>2.9544208909838411E-3</v>
      </c>
    </row>
    <row r="1549" spans="2:7" x14ac:dyDescent="0.2">
      <c r="B1549" s="167">
        <v>42362</v>
      </c>
      <c r="C1549" s="28">
        <v>214.6</v>
      </c>
      <c r="D1549" s="83">
        <f t="shared" si="52"/>
        <v>0.64029656806542823</v>
      </c>
      <c r="E1549" s="83">
        <v>6.8499577742329367E-3</v>
      </c>
      <c r="F1549" s="83">
        <v>1541</v>
      </c>
      <c r="G1549" s="83">
        <f t="shared" ca="1" si="53"/>
        <v>-1.748404887202069E-3</v>
      </c>
    </row>
    <row r="1550" spans="2:7" x14ac:dyDescent="0.2">
      <c r="B1550" s="167">
        <v>40890</v>
      </c>
      <c r="C1550" s="28">
        <v>130.83000000000001</v>
      </c>
      <c r="D1550" s="83">
        <f t="shared" si="52"/>
        <v>-0.46396525586921777</v>
      </c>
      <c r="E1550" s="83">
        <v>6.8493150684932648E-3</v>
      </c>
      <c r="F1550" s="83">
        <v>1542</v>
      </c>
      <c r="G1550" s="83">
        <f t="shared" ca="1" si="53"/>
        <v>-1.539242062050299E-2</v>
      </c>
    </row>
    <row r="1551" spans="2:7" x14ac:dyDescent="0.2">
      <c r="B1551" s="167">
        <v>41774</v>
      </c>
      <c r="C1551" s="28">
        <v>244.07</v>
      </c>
      <c r="D1551" s="83">
        <f t="shared" si="52"/>
        <v>-0.19155349453461407</v>
      </c>
      <c r="E1551" s="83">
        <v>6.8479023142609492E-3</v>
      </c>
      <c r="F1551" s="83">
        <v>1543</v>
      </c>
      <c r="G1551" s="83">
        <f t="shared" ca="1" si="53"/>
        <v>-2.7540159212138409E-2</v>
      </c>
    </row>
    <row r="1552" spans="2:7" x14ac:dyDescent="0.2">
      <c r="B1552" s="167">
        <v>42901</v>
      </c>
      <c r="C1552" s="28">
        <v>301.89999999999998</v>
      </c>
      <c r="D1552" s="83">
        <f t="shared" si="52"/>
        <v>0.11389883038777998</v>
      </c>
      <c r="E1552" s="83">
        <v>6.8367517091877748E-3</v>
      </c>
      <c r="F1552" s="83">
        <v>1544</v>
      </c>
      <c r="G1552" s="83">
        <f t="shared" ca="1" si="53"/>
        <v>-3.58186777814558E-3</v>
      </c>
    </row>
    <row r="1553" spans="2:7" x14ac:dyDescent="0.2">
      <c r="B1553" s="167">
        <v>44706</v>
      </c>
      <c r="C1553" s="28">
        <v>271.02999999999997</v>
      </c>
      <c r="D1553" s="83">
        <f t="shared" si="52"/>
        <v>2.9137906137184113</v>
      </c>
      <c r="E1553" s="83">
        <v>6.8353207771461606E-3</v>
      </c>
      <c r="F1553" s="83">
        <v>1545</v>
      </c>
      <c r="G1553" s="83">
        <f t="shared" ca="1" si="53"/>
        <v>-2.1218361397596266E-2</v>
      </c>
    </row>
    <row r="1554" spans="2:7" x14ac:dyDescent="0.2">
      <c r="B1554" s="167">
        <v>38840</v>
      </c>
      <c r="C1554" s="28">
        <v>69.25</v>
      </c>
      <c r="D1554" s="83">
        <f t="shared" si="52"/>
        <v>-0.70631891433418148</v>
      </c>
      <c r="E1554" s="83">
        <v>6.8333817970340051E-3</v>
      </c>
      <c r="F1554" s="83">
        <v>1546</v>
      </c>
      <c r="G1554" s="83">
        <f t="shared" ca="1" si="53"/>
        <v>-2.8961384025357373E-3</v>
      </c>
    </row>
    <row r="1555" spans="2:7" x14ac:dyDescent="0.2">
      <c r="B1555" s="167">
        <v>43839</v>
      </c>
      <c r="C1555" s="28">
        <v>235.8</v>
      </c>
      <c r="D1555" s="83">
        <f t="shared" si="52"/>
        <v>3.0980187695516168</v>
      </c>
      <c r="E1555" s="83">
        <v>6.8317677198976206E-3</v>
      </c>
      <c r="F1555" s="83">
        <v>1547</v>
      </c>
      <c r="G1555" s="83">
        <f t="shared" ca="1" si="53"/>
        <v>5.836064332307626E-3</v>
      </c>
    </row>
    <row r="1556" spans="2:7" x14ac:dyDescent="0.2">
      <c r="B1556" s="167">
        <v>39780</v>
      </c>
      <c r="C1556" s="28">
        <v>57.54</v>
      </c>
      <c r="D1556" s="83">
        <f t="shared" si="52"/>
        <v>-4.9082796232027749E-2</v>
      </c>
      <c r="E1556" s="83">
        <v>6.8241469816273069E-3</v>
      </c>
      <c r="F1556" s="83">
        <v>1548</v>
      </c>
      <c r="G1556" s="83">
        <f t="shared" ca="1" si="53"/>
        <v>3.1738985152213441E-2</v>
      </c>
    </row>
    <row r="1557" spans="2:7" x14ac:dyDescent="0.2">
      <c r="B1557" s="167">
        <v>39850</v>
      </c>
      <c r="C1557" s="28">
        <v>60.51</v>
      </c>
      <c r="D1557" s="83">
        <f t="shared" si="52"/>
        <v>-0.50664492458214438</v>
      </c>
      <c r="E1557" s="83">
        <v>6.8219633943427055E-3</v>
      </c>
      <c r="F1557" s="83">
        <v>1549</v>
      </c>
      <c r="G1557" s="83">
        <f t="shared" ca="1" si="53"/>
        <v>-2.5051891423442971E-2</v>
      </c>
    </row>
    <row r="1558" spans="2:7" x14ac:dyDescent="0.2">
      <c r="B1558" s="167">
        <v>40644</v>
      </c>
      <c r="C1558" s="28">
        <v>122.65</v>
      </c>
      <c r="D1558" s="83">
        <f t="shared" si="52"/>
        <v>-0.42820512820512818</v>
      </c>
      <c r="E1558" s="83">
        <v>6.813331144311382E-3</v>
      </c>
      <c r="F1558" s="83">
        <v>1550</v>
      </c>
      <c r="G1558" s="83">
        <f t="shared" ca="1" si="53"/>
        <v>1.1591248529916564E-2</v>
      </c>
    </row>
    <row r="1559" spans="2:7" x14ac:dyDescent="0.2">
      <c r="B1559" s="167">
        <v>44183</v>
      </c>
      <c r="C1559" s="28">
        <v>214.5</v>
      </c>
      <c r="D1559" s="83">
        <f t="shared" si="52"/>
        <v>1.4489096928873157</v>
      </c>
      <c r="E1559" s="83">
        <v>6.8059141046702114E-3</v>
      </c>
      <c r="F1559" s="83">
        <v>1551</v>
      </c>
      <c r="G1559" s="83">
        <f t="shared" ca="1" si="53"/>
        <v>-5.5872489230583678E-4</v>
      </c>
    </row>
    <row r="1560" spans="2:7" x14ac:dyDescent="0.2">
      <c r="B1560" s="167">
        <v>40290</v>
      </c>
      <c r="C1560" s="28">
        <v>87.59</v>
      </c>
      <c r="D1560" s="83">
        <f t="shared" si="52"/>
        <v>-0.73680889423076923</v>
      </c>
      <c r="E1560" s="83">
        <v>6.7816091954023385E-3</v>
      </c>
      <c r="F1560" s="83">
        <v>1552</v>
      </c>
      <c r="G1560" s="83">
        <f t="shared" ca="1" si="53"/>
        <v>6.4882186276226418E-3</v>
      </c>
    </row>
    <row r="1561" spans="2:7" x14ac:dyDescent="0.2">
      <c r="B1561" s="167">
        <v>44831</v>
      </c>
      <c r="C1561" s="28">
        <v>332.8</v>
      </c>
      <c r="D1561" s="83">
        <f t="shared" si="52"/>
        <v>0.63892445582586432</v>
      </c>
      <c r="E1561" s="83">
        <v>6.7763794772507536E-3</v>
      </c>
      <c r="F1561" s="83">
        <v>1553</v>
      </c>
      <c r="G1561" s="83">
        <f t="shared" ca="1" si="53"/>
        <v>3.4556598107521289E-3</v>
      </c>
    </row>
    <row r="1562" spans="2:7" x14ac:dyDescent="0.2">
      <c r="B1562" s="167">
        <v>41352</v>
      </c>
      <c r="C1562" s="28">
        <v>203.06</v>
      </c>
      <c r="D1562" s="83">
        <f t="shared" si="52"/>
        <v>0.45991803867999137</v>
      </c>
      <c r="E1562" s="83">
        <v>6.7426871591473167E-3</v>
      </c>
      <c r="F1562" s="83">
        <v>1554</v>
      </c>
      <c r="G1562" s="83">
        <f t="shared" ca="1" si="53"/>
        <v>-6.8549339136617649E-3</v>
      </c>
    </row>
    <row r="1563" spans="2:7" x14ac:dyDescent="0.2">
      <c r="B1563" s="167">
        <v>40926</v>
      </c>
      <c r="C1563" s="28">
        <v>139.09</v>
      </c>
      <c r="D1563" s="83">
        <f t="shared" si="52"/>
        <v>-0.31398273736128235</v>
      </c>
      <c r="E1563" s="83">
        <v>6.7313259988419716E-3</v>
      </c>
      <c r="F1563" s="83">
        <v>1555</v>
      </c>
      <c r="G1563" s="83">
        <f t="shared" ca="1" si="53"/>
        <v>-3.4721008291395093E-2</v>
      </c>
    </row>
    <row r="1564" spans="2:7" x14ac:dyDescent="0.2">
      <c r="B1564" s="167">
        <v>44322</v>
      </c>
      <c r="C1564" s="28">
        <v>202.75</v>
      </c>
      <c r="D1564" s="83">
        <f t="shared" si="52"/>
        <v>1.4540062938755749</v>
      </c>
      <c r="E1564" s="83">
        <v>6.7030784508440629E-3</v>
      </c>
      <c r="F1564" s="83">
        <v>1556</v>
      </c>
      <c r="G1564" s="83">
        <f t="shared" ca="1" si="53"/>
        <v>1.9875013424109334E-3</v>
      </c>
    </row>
    <row r="1565" spans="2:7" x14ac:dyDescent="0.2">
      <c r="B1565" s="167">
        <v>40232</v>
      </c>
      <c r="C1565" s="28">
        <v>82.62</v>
      </c>
      <c r="D1565" s="83">
        <f t="shared" si="52"/>
        <v>0.52773668639053273</v>
      </c>
      <c r="E1565" s="83">
        <v>6.7015961983673865E-3</v>
      </c>
      <c r="F1565" s="83">
        <v>1557</v>
      </c>
      <c r="G1565" s="83">
        <f t="shared" ca="1" si="53"/>
        <v>2.0414957332986868E-2</v>
      </c>
    </row>
    <row r="1566" spans="2:7" x14ac:dyDescent="0.2">
      <c r="B1566" s="167">
        <v>39092</v>
      </c>
      <c r="C1566" s="28">
        <v>54.08</v>
      </c>
      <c r="D1566" s="83">
        <f t="shared" si="52"/>
        <v>-0.72344668882638719</v>
      </c>
      <c r="E1566" s="83">
        <v>6.7014147431124242E-3</v>
      </c>
      <c r="F1566" s="83">
        <v>1558</v>
      </c>
      <c r="G1566" s="83">
        <f t="shared" ca="1" si="53"/>
        <v>1.1856486932271934E-3</v>
      </c>
    </row>
    <row r="1567" spans="2:7" x14ac:dyDescent="0.2">
      <c r="B1567" s="167">
        <v>44071</v>
      </c>
      <c r="C1567" s="28">
        <v>195.55</v>
      </c>
      <c r="D1567" s="83">
        <f t="shared" si="52"/>
        <v>-0.55674683228687349</v>
      </c>
      <c r="E1567" s="83">
        <v>6.6924066924067506E-3</v>
      </c>
      <c r="F1567" s="83">
        <v>1559</v>
      </c>
      <c r="G1567" s="83">
        <f t="shared" ca="1" si="53"/>
        <v>-4.0742643476248284E-3</v>
      </c>
    </row>
    <row r="1568" spans="2:7" x14ac:dyDescent="0.2">
      <c r="B1568" s="167">
        <v>45111</v>
      </c>
      <c r="C1568" s="28">
        <v>441.17</v>
      </c>
      <c r="D1568" s="83">
        <f t="shared" si="52"/>
        <v>10.686622516556293</v>
      </c>
      <c r="E1568" s="83">
        <v>6.6858342460752252E-3</v>
      </c>
      <c r="F1568" s="83">
        <v>1560</v>
      </c>
      <c r="G1568" s="83">
        <f t="shared" ca="1" si="53"/>
        <v>2.2365615096779583E-2</v>
      </c>
    </row>
    <row r="1569" spans="2:7" x14ac:dyDescent="0.2">
      <c r="B1569" s="167">
        <v>38589</v>
      </c>
      <c r="C1569" s="28">
        <v>37.75</v>
      </c>
      <c r="D1569" s="83">
        <f t="shared" si="52"/>
        <v>-0.82885251847486063</v>
      </c>
      <c r="E1569" s="83">
        <v>6.6666666666666671E-3</v>
      </c>
      <c r="F1569" s="83">
        <v>1561</v>
      </c>
      <c r="G1569" s="83">
        <f t="shared" ca="1" si="53"/>
        <v>1.4461868399444629E-2</v>
      </c>
    </row>
    <row r="1570" spans="2:7" x14ac:dyDescent="0.2">
      <c r="B1570" s="167">
        <v>42508</v>
      </c>
      <c r="C1570" s="28">
        <v>220.57</v>
      </c>
      <c r="D1570" s="83">
        <f t="shared" si="52"/>
        <v>2.7053455019556725E-2</v>
      </c>
      <c r="E1570" s="83">
        <v>6.663319793710828E-3</v>
      </c>
      <c r="F1570" s="83">
        <v>1562</v>
      </c>
      <c r="G1570" s="83">
        <f t="shared" ca="1" si="53"/>
        <v>2.2484735614100595E-3</v>
      </c>
    </row>
    <row r="1571" spans="2:7" x14ac:dyDescent="0.2">
      <c r="B1571" s="167">
        <v>42405</v>
      </c>
      <c r="C1571" s="28">
        <v>214.76</v>
      </c>
      <c r="D1571" s="83">
        <f t="shared" si="52"/>
        <v>9.1814946619217103E-2</v>
      </c>
      <c r="E1571" s="83">
        <v>6.6560419986874822E-3</v>
      </c>
      <c r="F1571" s="83">
        <v>1563</v>
      </c>
      <c r="G1571" s="83">
        <f t="shared" ca="1" si="53"/>
        <v>2.1697796131447244E-2</v>
      </c>
    </row>
    <row r="1572" spans="2:7" x14ac:dyDescent="0.2">
      <c r="B1572" s="167">
        <v>44041</v>
      </c>
      <c r="C1572" s="28">
        <v>196.7</v>
      </c>
      <c r="D1572" s="83">
        <f t="shared" si="52"/>
        <v>2.2453390529615569</v>
      </c>
      <c r="E1572" s="83">
        <v>6.6530194472875278E-3</v>
      </c>
      <c r="F1572" s="83">
        <v>1564</v>
      </c>
      <c r="G1572" s="83">
        <f t="shared" ca="1" si="53"/>
        <v>-4.242020594129009E-2</v>
      </c>
    </row>
    <row r="1573" spans="2:7" x14ac:dyDescent="0.2">
      <c r="B1573" s="167">
        <v>38973</v>
      </c>
      <c r="C1573" s="28">
        <v>60.61</v>
      </c>
      <c r="D1573" s="83">
        <f t="shared" si="52"/>
        <v>-0.55610077632928079</v>
      </c>
      <c r="E1573" s="83">
        <v>6.6434147151635701E-3</v>
      </c>
      <c r="F1573" s="83">
        <v>1565</v>
      </c>
      <c r="G1573" s="83">
        <f t="shared" ca="1" si="53"/>
        <v>2.2484346983275248E-2</v>
      </c>
    </row>
    <row r="1574" spans="2:7" x14ac:dyDescent="0.2">
      <c r="B1574" s="167">
        <v>40932</v>
      </c>
      <c r="C1574" s="28">
        <v>136.54</v>
      </c>
      <c r="D1574" s="83">
        <f t="shared" si="52"/>
        <v>1.1424760709242117</v>
      </c>
      <c r="E1574" s="83">
        <v>6.6352108522560139E-3</v>
      </c>
      <c r="F1574" s="83">
        <v>1566</v>
      </c>
      <c r="G1574" s="83">
        <f t="shared" ca="1" si="53"/>
        <v>1.9850792351908689E-2</v>
      </c>
    </row>
    <row r="1575" spans="2:7" x14ac:dyDescent="0.2">
      <c r="B1575" s="167">
        <v>39518</v>
      </c>
      <c r="C1575" s="28">
        <v>63.73</v>
      </c>
      <c r="D1575" s="83">
        <f t="shared" si="52"/>
        <v>-0.70030566658829063</v>
      </c>
      <c r="E1575" s="83">
        <v>6.6340230611276986E-3</v>
      </c>
      <c r="F1575" s="83">
        <v>1567</v>
      </c>
      <c r="G1575" s="83">
        <f t="shared" ca="1" si="53"/>
        <v>-3.1884718541037175E-3</v>
      </c>
    </row>
    <row r="1576" spans="2:7" x14ac:dyDescent="0.2">
      <c r="B1576" s="167">
        <v>44448</v>
      </c>
      <c r="C1576" s="28">
        <v>212.65</v>
      </c>
      <c r="D1576" s="83">
        <f t="shared" si="52"/>
        <v>-0.27470241140557317</v>
      </c>
      <c r="E1576" s="83">
        <v>6.6272189349112698E-3</v>
      </c>
      <c r="F1576" s="83">
        <v>1568</v>
      </c>
      <c r="G1576" s="83">
        <f t="shared" ca="1" si="53"/>
        <v>1.6375081055179059E-2</v>
      </c>
    </row>
    <row r="1577" spans="2:7" x14ac:dyDescent="0.2">
      <c r="B1577" s="167">
        <v>44753</v>
      </c>
      <c r="C1577" s="28">
        <v>293.19</v>
      </c>
      <c r="D1577" s="83">
        <f t="shared" si="52"/>
        <v>0.26883628337733156</v>
      </c>
      <c r="E1577" s="83">
        <v>6.6263819268008199E-3</v>
      </c>
      <c r="F1577" s="83">
        <v>1569</v>
      </c>
      <c r="G1577" s="83">
        <f t="shared" ca="1" si="53"/>
        <v>-1.3632534498481457E-2</v>
      </c>
    </row>
    <row r="1578" spans="2:7" x14ac:dyDescent="0.2">
      <c r="B1578" s="167">
        <v>41859</v>
      </c>
      <c r="C1578" s="28">
        <v>231.07</v>
      </c>
      <c r="D1578" s="83">
        <f t="shared" si="52"/>
        <v>0.8968149729108521</v>
      </c>
      <c r="E1578" s="83">
        <v>6.6216510564146448E-3</v>
      </c>
      <c r="F1578" s="83">
        <v>1570</v>
      </c>
      <c r="G1578" s="83">
        <f t="shared" ca="1" si="53"/>
        <v>3.2198286440283615E-2</v>
      </c>
    </row>
    <row r="1579" spans="2:7" x14ac:dyDescent="0.2">
      <c r="B1579" s="167">
        <v>40641</v>
      </c>
      <c r="C1579" s="28">
        <v>121.82</v>
      </c>
      <c r="D1579" s="83">
        <f t="shared" si="52"/>
        <v>-0.56778428241972689</v>
      </c>
      <c r="E1579" s="83">
        <v>6.6104776070070826E-3</v>
      </c>
      <c r="F1579" s="83">
        <v>1571</v>
      </c>
      <c r="G1579" s="83">
        <f t="shared" ca="1" si="53"/>
        <v>-1.1556655731748659E-2</v>
      </c>
    </row>
    <row r="1580" spans="2:7" x14ac:dyDescent="0.2">
      <c r="B1580" s="167">
        <v>42965</v>
      </c>
      <c r="C1580" s="28">
        <v>281.85000000000002</v>
      </c>
      <c r="D1580" s="83">
        <f t="shared" si="52"/>
        <v>1.0528040786598689</v>
      </c>
      <c r="E1580" s="83">
        <v>6.6071428571429381E-3</v>
      </c>
      <c r="F1580" s="83">
        <v>1572</v>
      </c>
      <c r="G1580" s="83">
        <f t="shared" ca="1" si="53"/>
        <v>3.3354857626446506E-3</v>
      </c>
    </row>
    <row r="1581" spans="2:7" x14ac:dyDescent="0.2">
      <c r="B1581" s="167">
        <v>40745</v>
      </c>
      <c r="C1581" s="28">
        <v>137.30000000000001</v>
      </c>
      <c r="D1581" s="83">
        <f t="shared" si="52"/>
        <v>-0.59641387419165193</v>
      </c>
      <c r="E1581" s="83">
        <v>6.5982404692082521E-3</v>
      </c>
      <c r="F1581" s="83">
        <v>1573</v>
      </c>
      <c r="G1581" s="83">
        <f t="shared" ca="1" si="53"/>
        <v>-5.3971764506489037E-3</v>
      </c>
    </row>
    <row r="1582" spans="2:7" x14ac:dyDescent="0.2">
      <c r="B1582" s="167">
        <v>44894</v>
      </c>
      <c r="C1582" s="28">
        <v>340.2</v>
      </c>
      <c r="D1582" s="83">
        <f t="shared" si="52"/>
        <v>-0.16037316748111954</v>
      </c>
      <c r="E1582" s="83">
        <v>6.5982187768143952E-3</v>
      </c>
      <c r="F1582" s="83">
        <v>1574</v>
      </c>
      <c r="G1582" s="83">
        <f t="shared" ca="1" si="53"/>
        <v>1.1585878004996183E-2</v>
      </c>
    </row>
    <row r="1583" spans="2:7" x14ac:dyDescent="0.2">
      <c r="B1583" s="167">
        <v>45476</v>
      </c>
      <c r="C1583" s="28">
        <v>405.18</v>
      </c>
      <c r="D1583" s="83">
        <f t="shared" si="52"/>
        <v>-7.1114167812929813E-2</v>
      </c>
      <c r="E1583" s="83">
        <v>6.5833602464413438E-3</v>
      </c>
      <c r="F1583" s="83">
        <v>1575</v>
      </c>
      <c r="G1583" s="83">
        <f t="shared" ca="1" si="53"/>
        <v>6.0368635378420478E-3</v>
      </c>
    </row>
    <row r="1584" spans="2:7" x14ac:dyDescent="0.2">
      <c r="B1584" s="167">
        <v>45687</v>
      </c>
      <c r="C1584" s="28">
        <v>436.2</v>
      </c>
      <c r="D1584" s="83">
        <f t="shared" si="52"/>
        <v>7.1380597014925362</v>
      </c>
      <c r="E1584" s="83">
        <v>6.5766701280719183E-3</v>
      </c>
      <c r="F1584" s="83">
        <v>1576</v>
      </c>
      <c r="G1584" s="83">
        <f t="shared" ca="1" si="53"/>
        <v>2.2750353832715609E-2</v>
      </c>
    </row>
    <row r="1585" spans="2:7" x14ac:dyDescent="0.2">
      <c r="B1585" s="167">
        <v>39737</v>
      </c>
      <c r="C1585" s="28">
        <v>53.6</v>
      </c>
      <c r="D1585" s="83">
        <f t="shared" si="52"/>
        <v>-0.78167006109979631</v>
      </c>
      <c r="E1585" s="83">
        <v>6.5727699530516697E-3</v>
      </c>
      <c r="F1585" s="83">
        <v>1577</v>
      </c>
      <c r="G1585" s="83">
        <f t="shared" ca="1" si="53"/>
        <v>-2.7763337817058409E-3</v>
      </c>
    </row>
    <row r="1586" spans="2:7" x14ac:dyDescent="0.2">
      <c r="B1586" s="167">
        <v>43717</v>
      </c>
      <c r="C1586" s="28">
        <v>245.5</v>
      </c>
      <c r="D1586" s="83">
        <f t="shared" si="52"/>
        <v>-0.15924657534246575</v>
      </c>
      <c r="E1586" s="83">
        <v>6.5600656006559828E-3</v>
      </c>
      <c r="F1586" s="83">
        <v>1578</v>
      </c>
      <c r="G1586" s="83">
        <f t="shared" ca="1" si="53"/>
        <v>-6.4719525503686894E-3</v>
      </c>
    </row>
    <row r="1587" spans="2:7" x14ac:dyDescent="0.2">
      <c r="B1587" s="167">
        <v>43532</v>
      </c>
      <c r="C1587" s="28">
        <v>292</v>
      </c>
      <c r="D1587" s="83">
        <f t="shared" si="52"/>
        <v>0.22201297342540285</v>
      </c>
      <c r="E1587" s="83">
        <v>6.5494657014821683E-3</v>
      </c>
      <c r="F1587" s="83">
        <v>1579</v>
      </c>
      <c r="G1587" s="83">
        <f t="shared" ca="1" si="53"/>
        <v>2.1141920295402791E-2</v>
      </c>
    </row>
    <row r="1588" spans="2:7" x14ac:dyDescent="0.2">
      <c r="B1588" s="167">
        <v>42650</v>
      </c>
      <c r="C1588" s="28">
        <v>238.95</v>
      </c>
      <c r="D1588" s="83">
        <f t="shared" si="52"/>
        <v>3.4266394961096704</v>
      </c>
      <c r="E1588" s="83">
        <v>6.5290648694186302E-3</v>
      </c>
      <c r="F1588" s="83">
        <v>1580</v>
      </c>
      <c r="G1588" s="83">
        <f t="shared" ca="1" si="53"/>
        <v>1.2409178768185536E-2</v>
      </c>
    </row>
    <row r="1589" spans="2:7" x14ac:dyDescent="0.2">
      <c r="B1589" s="167">
        <v>38768</v>
      </c>
      <c r="C1589" s="28">
        <v>53.98</v>
      </c>
      <c r="D1589" s="83">
        <f t="shared" si="52"/>
        <v>-0.74306249702508453</v>
      </c>
      <c r="E1589" s="83">
        <v>6.526198023494207E-3</v>
      </c>
      <c r="F1589" s="83">
        <v>1581</v>
      </c>
      <c r="G1589" s="83">
        <f t="shared" ca="1" si="53"/>
        <v>-3.6105014887812727E-3</v>
      </c>
    </row>
    <row r="1590" spans="2:7" x14ac:dyDescent="0.2">
      <c r="B1590" s="167">
        <v>42235</v>
      </c>
      <c r="C1590" s="28">
        <v>210.09</v>
      </c>
      <c r="D1590" s="83">
        <f t="shared" si="52"/>
        <v>2.4840796019900502</v>
      </c>
      <c r="E1590" s="83">
        <v>6.5155943084368026E-3</v>
      </c>
      <c r="F1590" s="83">
        <v>1582</v>
      </c>
      <c r="G1590" s="83">
        <f t="shared" ca="1" si="53"/>
        <v>-1.0131054183673114E-2</v>
      </c>
    </row>
    <row r="1591" spans="2:7" x14ac:dyDescent="0.2">
      <c r="B1591" s="167">
        <v>38951</v>
      </c>
      <c r="C1591" s="28">
        <v>60.3</v>
      </c>
      <c r="D1591" s="83">
        <f t="shared" si="52"/>
        <v>-0.80463307953993191</v>
      </c>
      <c r="E1591" s="83">
        <v>6.5097646469704654E-3</v>
      </c>
      <c r="F1591" s="83">
        <v>1583</v>
      </c>
      <c r="G1591" s="83">
        <f t="shared" ca="1" si="53"/>
        <v>-1.7695084525108231E-2</v>
      </c>
    </row>
    <row r="1592" spans="2:7" x14ac:dyDescent="0.2">
      <c r="B1592" s="167">
        <v>44789</v>
      </c>
      <c r="C1592" s="28">
        <v>308.64999999999998</v>
      </c>
      <c r="D1592" s="83">
        <f t="shared" si="52"/>
        <v>4.5244317164846963</v>
      </c>
      <c r="E1592" s="83">
        <v>6.4892715059021461E-3</v>
      </c>
      <c r="F1592" s="83">
        <v>1584</v>
      </c>
      <c r="G1592" s="83">
        <f t="shared" ca="1" si="53"/>
        <v>-1.6729205404118E-2</v>
      </c>
    </row>
    <row r="1593" spans="2:7" x14ac:dyDescent="0.2">
      <c r="B1593" s="167">
        <v>39323</v>
      </c>
      <c r="C1593" s="28">
        <v>55.87</v>
      </c>
      <c r="D1593" s="83">
        <f t="shared" si="52"/>
        <v>-0.80007156915369471</v>
      </c>
      <c r="E1593" s="83">
        <v>6.4853179607277864E-3</v>
      </c>
      <c r="F1593" s="83">
        <v>1585</v>
      </c>
      <c r="G1593" s="83">
        <f t="shared" ca="1" si="53"/>
        <v>7.7051033453031303E-3</v>
      </c>
    </row>
    <row r="1594" spans="2:7" x14ac:dyDescent="0.2">
      <c r="B1594" s="167">
        <v>43651</v>
      </c>
      <c r="C1594" s="28">
        <v>279.45</v>
      </c>
      <c r="D1594" s="83">
        <f t="shared" si="52"/>
        <v>0.12364294330518698</v>
      </c>
      <c r="E1594" s="83">
        <v>6.4829821717990689E-3</v>
      </c>
      <c r="F1594" s="83">
        <v>1586</v>
      </c>
      <c r="G1594" s="83">
        <f t="shared" ca="1" si="53"/>
        <v>2.0551444118919343E-3</v>
      </c>
    </row>
    <row r="1595" spans="2:7" x14ac:dyDescent="0.2">
      <c r="B1595" s="167">
        <v>42565</v>
      </c>
      <c r="C1595" s="28">
        <v>248.7</v>
      </c>
      <c r="D1595" s="83">
        <f t="shared" si="52"/>
        <v>1.1911894273127752</v>
      </c>
      <c r="E1595" s="83">
        <v>6.4751112909752911E-3</v>
      </c>
      <c r="F1595" s="83">
        <v>1587</v>
      </c>
      <c r="G1595" s="83">
        <f t="shared" ca="1" si="53"/>
        <v>-1.3409933260755291E-2</v>
      </c>
    </row>
    <row r="1596" spans="2:7" x14ac:dyDescent="0.2">
      <c r="B1596" s="167">
        <v>40618</v>
      </c>
      <c r="C1596" s="28">
        <v>113.5</v>
      </c>
      <c r="D1596" s="83">
        <f t="shared" si="52"/>
        <v>-0.44763480630718316</v>
      </c>
      <c r="E1596" s="83">
        <v>6.4733528420679613E-3</v>
      </c>
      <c r="F1596" s="83">
        <v>1588</v>
      </c>
      <c r="G1596" s="83">
        <f t="shared" ca="1" si="53"/>
        <v>-7.0733608889047683E-3</v>
      </c>
    </row>
    <row r="1597" spans="2:7" x14ac:dyDescent="0.2">
      <c r="B1597" s="167">
        <v>42184</v>
      </c>
      <c r="C1597" s="28">
        <v>205.48</v>
      </c>
      <c r="D1597" s="83">
        <f t="shared" si="52"/>
        <v>-9.9257974366387322E-3</v>
      </c>
      <c r="E1597" s="83">
        <v>6.4655172413792773E-3</v>
      </c>
      <c r="F1597" s="83">
        <v>1589</v>
      </c>
      <c r="G1597" s="83">
        <f t="shared" ca="1" si="53"/>
        <v>-2.8072090259734429E-2</v>
      </c>
    </row>
    <row r="1598" spans="2:7" x14ac:dyDescent="0.2">
      <c r="B1598" s="167">
        <v>41617</v>
      </c>
      <c r="C1598" s="28">
        <v>207.54</v>
      </c>
      <c r="D1598" s="83">
        <f t="shared" si="52"/>
        <v>-0.3318954416688128</v>
      </c>
      <c r="E1598" s="83">
        <v>6.4497357063187238E-3</v>
      </c>
      <c r="F1598" s="83">
        <v>1590</v>
      </c>
      <c r="G1598" s="83">
        <f t="shared" ca="1" si="53"/>
        <v>2.6043542564992759E-3</v>
      </c>
    </row>
    <row r="1599" spans="2:7" x14ac:dyDescent="0.2">
      <c r="B1599" s="167">
        <v>44790</v>
      </c>
      <c r="C1599" s="28">
        <v>310.64</v>
      </c>
      <c r="D1599" s="83">
        <f t="shared" si="52"/>
        <v>0.13206997084548108</v>
      </c>
      <c r="E1599" s="83">
        <v>6.4474323667584946E-3</v>
      </c>
      <c r="F1599" s="83">
        <v>1591</v>
      </c>
      <c r="G1599" s="83">
        <f t="shared" ca="1" si="53"/>
        <v>-8.405912146256321E-3</v>
      </c>
    </row>
    <row r="1600" spans="2:7" x14ac:dyDescent="0.2">
      <c r="B1600" s="167">
        <v>43290</v>
      </c>
      <c r="C1600" s="28">
        <v>274.39999999999998</v>
      </c>
      <c r="D1600" s="83">
        <f t="shared" si="52"/>
        <v>5.0188637859179632</v>
      </c>
      <c r="E1600" s="83">
        <v>6.4184852374839542E-3</v>
      </c>
      <c r="F1600" s="83">
        <v>1592</v>
      </c>
      <c r="G1600" s="83">
        <f t="shared" ca="1" si="53"/>
        <v>-1.4697448651462316E-2</v>
      </c>
    </row>
    <row r="1601" spans="2:7" x14ac:dyDescent="0.2">
      <c r="B1601" s="167">
        <v>38618</v>
      </c>
      <c r="C1601" s="28">
        <v>45.59</v>
      </c>
      <c r="D1601" s="83">
        <f t="shared" si="52"/>
        <v>-0.45368484122228875</v>
      </c>
      <c r="E1601" s="83">
        <v>6.4017660044151494E-3</v>
      </c>
      <c r="F1601" s="83">
        <v>1593</v>
      </c>
      <c r="G1601" s="83">
        <f t="shared" ca="1" si="53"/>
        <v>3.9071618938327857E-3</v>
      </c>
    </row>
    <row r="1602" spans="2:7" x14ac:dyDescent="0.2">
      <c r="B1602" s="167">
        <v>40226</v>
      </c>
      <c r="C1602" s="28">
        <v>83.45</v>
      </c>
      <c r="D1602" s="83">
        <f t="shared" si="52"/>
        <v>-0.72897044494965901</v>
      </c>
      <c r="E1602" s="83">
        <v>6.391702846116753E-3</v>
      </c>
      <c r="F1602" s="83">
        <v>1594</v>
      </c>
      <c r="G1602" s="83">
        <f t="shared" ca="1" si="53"/>
        <v>-2.877873029734778E-3</v>
      </c>
    </row>
    <row r="1603" spans="2:7" x14ac:dyDescent="0.2">
      <c r="B1603" s="167">
        <v>43326</v>
      </c>
      <c r="C1603" s="28">
        <v>307.89999999999998</v>
      </c>
      <c r="D1603" s="83">
        <f t="shared" si="52"/>
        <v>0.96590473758140705</v>
      </c>
      <c r="E1603" s="83">
        <v>6.3735904559568185E-3</v>
      </c>
      <c r="F1603" s="83">
        <v>1595</v>
      </c>
      <c r="G1603" s="83">
        <f t="shared" ca="1" si="53"/>
        <v>-2.4424792722599169E-3</v>
      </c>
    </row>
    <row r="1604" spans="2:7" x14ac:dyDescent="0.2">
      <c r="B1604" s="167">
        <v>41012</v>
      </c>
      <c r="C1604" s="28">
        <v>156.62</v>
      </c>
      <c r="D1604" s="83">
        <f t="shared" si="52"/>
        <v>1.5363562753036437</v>
      </c>
      <c r="E1604" s="83">
        <v>6.3612414058986646E-3</v>
      </c>
      <c r="F1604" s="83">
        <v>1596</v>
      </c>
      <c r="G1604" s="83">
        <f t="shared" ca="1" si="53"/>
        <v>3.8111551158988622E-3</v>
      </c>
    </row>
    <row r="1605" spans="2:7" x14ac:dyDescent="0.2">
      <c r="B1605" s="167">
        <v>39899</v>
      </c>
      <c r="C1605" s="28">
        <v>61.75</v>
      </c>
      <c r="D1605" s="83">
        <f t="shared" si="52"/>
        <v>-0.70009713453132594</v>
      </c>
      <c r="E1605" s="83">
        <v>6.3559322033898396E-3</v>
      </c>
      <c r="F1605" s="83">
        <v>1597</v>
      </c>
      <c r="G1605" s="83">
        <f t="shared" ca="1" si="53"/>
        <v>1.5955954720731861E-2</v>
      </c>
    </row>
    <row r="1606" spans="2:7" x14ac:dyDescent="0.2">
      <c r="B1606" s="167">
        <v>44435</v>
      </c>
      <c r="C1606" s="28">
        <v>205.9</v>
      </c>
      <c r="D1606" s="83">
        <f t="shared" si="52"/>
        <v>-4.4237107180986869E-2</v>
      </c>
      <c r="E1606" s="83">
        <v>6.3538611925709259E-3</v>
      </c>
      <c r="F1606" s="83">
        <v>1598</v>
      </c>
      <c r="G1606" s="83">
        <f t="shared" ca="1" si="53"/>
        <v>-5.0438613174644325E-3</v>
      </c>
    </row>
    <row r="1607" spans="2:7" x14ac:dyDescent="0.2">
      <c r="B1607" s="167">
        <v>42489</v>
      </c>
      <c r="C1607" s="28">
        <v>215.43</v>
      </c>
      <c r="D1607" s="83">
        <f t="shared" si="52"/>
        <v>-0.17680550248375998</v>
      </c>
      <c r="E1607" s="83">
        <v>6.3530620824964433E-3</v>
      </c>
      <c r="F1607" s="83">
        <v>1599</v>
      </c>
      <c r="G1607" s="83">
        <f t="shared" ca="1" si="53"/>
        <v>-4.8383509910203638E-3</v>
      </c>
    </row>
    <row r="1608" spans="2:7" x14ac:dyDescent="0.2">
      <c r="B1608" s="167">
        <v>43049</v>
      </c>
      <c r="C1608" s="28">
        <v>261.7</v>
      </c>
      <c r="D1608" s="83">
        <f t="shared" si="52"/>
        <v>3.4590219798943602</v>
      </c>
      <c r="E1608" s="83">
        <v>6.344933666602489E-3</v>
      </c>
      <c r="F1608" s="83">
        <v>1600</v>
      </c>
      <c r="G1608" s="83">
        <f t="shared" ca="1" si="53"/>
        <v>6.3820020521797045E-3</v>
      </c>
    </row>
    <row r="1609" spans="2:7" x14ac:dyDescent="0.2">
      <c r="B1609" s="167">
        <v>38896</v>
      </c>
      <c r="C1609" s="28">
        <v>58.69</v>
      </c>
      <c r="D1609" s="83">
        <f t="shared" ref="D1609:D1672" si="54">(C1609-C1610)/C1610</f>
        <v>-0.85386320061751453</v>
      </c>
      <c r="E1609" s="83">
        <v>6.3443072702331522E-3</v>
      </c>
      <c r="F1609" s="83">
        <v>1601</v>
      </c>
      <c r="G1609" s="83">
        <f t="shared" ref="G1609:G1672" ca="1" si="55">_xlfn.NORM.INV(RAND(),$M$10,$M$11)</f>
        <v>-5.8444191724112086E-3</v>
      </c>
    </row>
    <row r="1610" spans="2:7" x14ac:dyDescent="0.2">
      <c r="B1610" s="167">
        <v>45049</v>
      </c>
      <c r="C1610" s="28">
        <v>401.61</v>
      </c>
      <c r="D1610" s="83">
        <f t="shared" si="54"/>
        <v>2.6047931065433989</v>
      </c>
      <c r="E1610" s="83">
        <v>6.3395810363837566E-3</v>
      </c>
      <c r="F1610" s="83">
        <v>1602</v>
      </c>
      <c r="G1610" s="83">
        <f t="shared" ca="1" si="55"/>
        <v>-2.5142786214240194E-3</v>
      </c>
    </row>
    <row r="1611" spans="2:7" x14ac:dyDescent="0.2">
      <c r="B1611" s="167">
        <v>40528</v>
      </c>
      <c r="C1611" s="28">
        <v>111.41</v>
      </c>
      <c r="D1611" s="83">
        <f t="shared" si="54"/>
        <v>-0.41700680272108842</v>
      </c>
      <c r="E1611" s="83">
        <v>6.3228253996929175E-3</v>
      </c>
      <c r="F1611" s="83">
        <v>1603</v>
      </c>
      <c r="G1611" s="83">
        <f t="shared" ca="1" si="55"/>
        <v>-1.5653746697484233E-2</v>
      </c>
    </row>
    <row r="1612" spans="2:7" x14ac:dyDescent="0.2">
      <c r="B1612" s="167">
        <v>41199</v>
      </c>
      <c r="C1612" s="28">
        <v>191.1</v>
      </c>
      <c r="D1612" s="83">
        <f t="shared" si="54"/>
        <v>-0.17877094972067037</v>
      </c>
      <c r="E1612" s="83">
        <v>6.3191153238546004E-3</v>
      </c>
      <c r="F1612" s="83">
        <v>1604</v>
      </c>
      <c r="G1612" s="83">
        <f t="shared" ca="1" si="55"/>
        <v>-9.8621843693812378E-4</v>
      </c>
    </row>
    <row r="1613" spans="2:7" x14ac:dyDescent="0.2">
      <c r="B1613" s="167">
        <v>42296</v>
      </c>
      <c r="C1613" s="28">
        <v>232.7</v>
      </c>
      <c r="D1613" s="83">
        <f t="shared" si="54"/>
        <v>-8.8344760039177322E-2</v>
      </c>
      <c r="E1613" s="83">
        <v>6.3137865421206514E-3</v>
      </c>
      <c r="F1613" s="83">
        <v>1605</v>
      </c>
      <c r="G1613" s="83">
        <f t="shared" ca="1" si="55"/>
        <v>1.0103166795128276E-3</v>
      </c>
    </row>
    <row r="1614" spans="2:7" x14ac:dyDescent="0.2">
      <c r="B1614" s="167">
        <v>42635</v>
      </c>
      <c r="C1614" s="28">
        <v>255.25</v>
      </c>
      <c r="D1614" s="83">
        <f t="shared" si="54"/>
        <v>-0.37077848444510186</v>
      </c>
      <c r="E1614" s="83">
        <v>6.3079045929430094E-3</v>
      </c>
      <c r="F1614" s="83">
        <v>1606</v>
      </c>
      <c r="G1614" s="83">
        <f t="shared" ca="1" si="55"/>
        <v>-1.4708525771017302E-2</v>
      </c>
    </row>
    <row r="1615" spans="2:7" x14ac:dyDescent="0.2">
      <c r="B1615" s="167">
        <v>45054</v>
      </c>
      <c r="C1615" s="28">
        <v>405.66</v>
      </c>
      <c r="D1615" s="83">
        <f t="shared" si="54"/>
        <v>6.053729786124153</v>
      </c>
      <c r="E1615" s="83">
        <v>6.3008533439174947E-3</v>
      </c>
      <c r="F1615" s="83">
        <v>1607</v>
      </c>
      <c r="G1615" s="83">
        <f t="shared" ca="1" si="55"/>
        <v>-2.0448623693656218E-2</v>
      </c>
    </row>
    <row r="1616" spans="2:7" x14ac:dyDescent="0.2">
      <c r="B1616" s="167">
        <v>39797</v>
      </c>
      <c r="C1616" s="28">
        <v>57.51</v>
      </c>
      <c r="D1616" s="83">
        <f t="shared" si="54"/>
        <v>-0.75910023876345667</v>
      </c>
      <c r="E1616" s="83">
        <v>6.2992125984251872E-3</v>
      </c>
      <c r="F1616" s="83">
        <v>1608</v>
      </c>
      <c r="G1616" s="83">
        <f t="shared" ca="1" si="55"/>
        <v>2.03050607415158E-2</v>
      </c>
    </row>
    <row r="1617" spans="2:7" x14ac:dyDescent="0.2">
      <c r="B1617" s="167">
        <v>42017</v>
      </c>
      <c r="C1617" s="28">
        <v>238.73</v>
      </c>
      <c r="D1617" s="83">
        <f t="shared" si="54"/>
        <v>2.6795698924731139E-2</v>
      </c>
      <c r="E1617" s="83">
        <v>6.2805597706962592E-3</v>
      </c>
      <c r="F1617" s="83">
        <v>1609</v>
      </c>
      <c r="G1617" s="83">
        <f t="shared" ca="1" si="55"/>
        <v>-2.1955905688006587E-2</v>
      </c>
    </row>
    <row r="1618" spans="2:7" x14ac:dyDescent="0.2">
      <c r="B1618" s="167">
        <v>42704</v>
      </c>
      <c r="C1618" s="28">
        <v>232.5</v>
      </c>
      <c r="D1618" s="83">
        <f t="shared" si="54"/>
        <v>3.8206510470661419</v>
      </c>
      <c r="E1618" s="83">
        <v>6.2756979008872045E-3</v>
      </c>
      <c r="F1618" s="83">
        <v>1610</v>
      </c>
      <c r="G1618" s="83">
        <f t="shared" ca="1" si="55"/>
        <v>-1.1107719846616878E-2</v>
      </c>
    </row>
    <row r="1619" spans="2:7" x14ac:dyDescent="0.2">
      <c r="B1619" s="167">
        <v>38730</v>
      </c>
      <c r="C1619" s="28">
        <v>48.23</v>
      </c>
      <c r="D1619" s="83">
        <f t="shared" si="54"/>
        <v>-0.82897163120567374</v>
      </c>
      <c r="E1619" s="83">
        <v>6.2591278948465924E-3</v>
      </c>
      <c r="F1619" s="83">
        <v>1611</v>
      </c>
      <c r="G1619" s="83">
        <f t="shared" ca="1" si="55"/>
        <v>7.6996817944150944E-3</v>
      </c>
    </row>
    <row r="1620" spans="2:7" x14ac:dyDescent="0.2">
      <c r="B1620" s="167">
        <v>42977</v>
      </c>
      <c r="C1620" s="28">
        <v>282</v>
      </c>
      <c r="D1620" s="83">
        <f t="shared" si="54"/>
        <v>2.1724603442456969</v>
      </c>
      <c r="E1620" s="83">
        <v>6.2444246208742194E-3</v>
      </c>
      <c r="F1620" s="83">
        <v>1612</v>
      </c>
      <c r="G1620" s="83">
        <f t="shared" ca="1" si="55"/>
        <v>-1.6820843777729733E-2</v>
      </c>
    </row>
    <row r="1621" spans="2:7" x14ac:dyDescent="0.2">
      <c r="B1621" s="167">
        <v>40312</v>
      </c>
      <c r="C1621" s="28">
        <v>88.89</v>
      </c>
      <c r="D1621" s="83">
        <f t="shared" si="54"/>
        <v>-0.71545183904734466</v>
      </c>
      <c r="E1621" s="83">
        <v>6.2259452116821051E-3</v>
      </c>
      <c r="F1621" s="83">
        <v>1613</v>
      </c>
      <c r="G1621" s="83">
        <f t="shared" ca="1" si="55"/>
        <v>1.6972823567126117E-3</v>
      </c>
    </row>
    <row r="1622" spans="2:7" x14ac:dyDescent="0.2">
      <c r="B1622" s="167">
        <v>44943</v>
      </c>
      <c r="C1622" s="28">
        <v>312.39</v>
      </c>
      <c r="D1622" s="83">
        <f t="shared" si="54"/>
        <v>1.5389304291287382</v>
      </c>
      <c r="E1622" s="83">
        <v>6.2165818462926207E-3</v>
      </c>
      <c r="F1622" s="83">
        <v>1614</v>
      </c>
      <c r="G1622" s="83">
        <f t="shared" ca="1" si="55"/>
        <v>1.8726935323814815E-2</v>
      </c>
    </row>
    <row r="1623" spans="2:7" x14ac:dyDescent="0.2">
      <c r="B1623" s="167">
        <v>40673</v>
      </c>
      <c r="C1623" s="28">
        <v>123.04</v>
      </c>
      <c r="D1623" s="83">
        <f t="shared" si="54"/>
        <v>-0.69042646873820601</v>
      </c>
      <c r="E1623" s="83">
        <v>6.2152437029768162E-3</v>
      </c>
      <c r="F1623" s="83">
        <v>1615</v>
      </c>
      <c r="G1623" s="83">
        <f t="shared" ca="1" si="55"/>
        <v>-1.3675737141742195E-2</v>
      </c>
    </row>
    <row r="1624" spans="2:7" x14ac:dyDescent="0.2">
      <c r="B1624" s="167">
        <v>45719</v>
      </c>
      <c r="C1624" s="28">
        <v>397.45</v>
      </c>
      <c r="D1624" s="83">
        <f t="shared" si="54"/>
        <v>0.79817219381984339</v>
      </c>
      <c r="E1624" s="83">
        <v>6.2025316455695916E-3</v>
      </c>
      <c r="F1624" s="83">
        <v>1616</v>
      </c>
      <c r="G1624" s="83">
        <f t="shared" ca="1" si="55"/>
        <v>1.1113873386457293E-2</v>
      </c>
    </row>
    <row r="1625" spans="2:7" x14ac:dyDescent="0.2">
      <c r="B1625" s="167">
        <v>41824</v>
      </c>
      <c r="C1625" s="28">
        <v>221.03</v>
      </c>
      <c r="D1625" s="83">
        <f t="shared" si="54"/>
        <v>8.5342499386201795E-2</v>
      </c>
      <c r="E1625" s="83">
        <v>6.1911048390768594E-3</v>
      </c>
      <c r="F1625" s="83">
        <v>1617</v>
      </c>
      <c r="G1625" s="83">
        <f t="shared" ca="1" si="55"/>
        <v>-2.9302836855375184E-3</v>
      </c>
    </row>
    <row r="1626" spans="2:7" x14ac:dyDescent="0.2">
      <c r="B1626" s="167">
        <v>44382</v>
      </c>
      <c r="C1626" s="28">
        <v>203.65</v>
      </c>
      <c r="D1626" s="83">
        <f t="shared" si="54"/>
        <v>-4.90797546012242E-4</v>
      </c>
      <c r="E1626" s="83">
        <v>6.175889328063241E-3</v>
      </c>
      <c r="F1626" s="83">
        <v>1618</v>
      </c>
      <c r="G1626" s="83">
        <f t="shared" ca="1" si="55"/>
        <v>1.3422930584189895E-3</v>
      </c>
    </row>
    <row r="1627" spans="2:7" x14ac:dyDescent="0.2">
      <c r="B1627" s="167">
        <v>44384</v>
      </c>
      <c r="C1627" s="28">
        <v>203.75</v>
      </c>
      <c r="D1627" s="83">
        <f t="shared" si="54"/>
        <v>2.285230570783618</v>
      </c>
      <c r="E1627" s="83">
        <v>6.1728395061728392E-3</v>
      </c>
      <c r="F1627" s="83">
        <v>1619</v>
      </c>
      <c r="G1627" s="83">
        <f t="shared" ca="1" si="55"/>
        <v>5.4311312794903281E-3</v>
      </c>
    </row>
    <row r="1628" spans="2:7" x14ac:dyDescent="0.2">
      <c r="B1628" s="167">
        <v>39414</v>
      </c>
      <c r="C1628" s="28">
        <v>62.02</v>
      </c>
      <c r="D1628" s="83">
        <f t="shared" si="54"/>
        <v>-0.82435570659869728</v>
      </c>
      <c r="E1628" s="83">
        <v>6.164828033744363E-3</v>
      </c>
      <c r="F1628" s="83">
        <v>1620</v>
      </c>
      <c r="G1628" s="83">
        <f t="shared" ca="1" si="55"/>
        <v>-1.3789112532724303E-2</v>
      </c>
    </row>
    <row r="1629" spans="2:7" x14ac:dyDescent="0.2">
      <c r="B1629" s="167">
        <v>44965</v>
      </c>
      <c r="C1629" s="28">
        <v>353.1</v>
      </c>
      <c r="D1629" s="83">
        <f t="shared" si="54"/>
        <v>0.47907678130105158</v>
      </c>
      <c r="E1629" s="83">
        <v>6.1548982732091669E-3</v>
      </c>
      <c r="F1629" s="83">
        <v>1621</v>
      </c>
      <c r="G1629" s="83">
        <f t="shared" ca="1" si="55"/>
        <v>-3.2631198507114496E-2</v>
      </c>
    </row>
    <row r="1630" spans="2:7" x14ac:dyDescent="0.2">
      <c r="B1630" s="167">
        <v>42020</v>
      </c>
      <c r="C1630" s="28">
        <v>238.73</v>
      </c>
      <c r="D1630" s="83">
        <f t="shared" si="54"/>
        <v>2.5514727759595357</v>
      </c>
      <c r="E1630" s="83">
        <v>6.1533274328822839E-3</v>
      </c>
      <c r="F1630" s="83">
        <v>1622</v>
      </c>
      <c r="G1630" s="83">
        <f t="shared" ca="1" si="55"/>
        <v>-2.2924755138740709E-3</v>
      </c>
    </row>
    <row r="1631" spans="2:7" x14ac:dyDescent="0.2">
      <c r="B1631" s="167">
        <v>38834</v>
      </c>
      <c r="C1631" s="28">
        <v>67.22</v>
      </c>
      <c r="D1631" s="83">
        <f t="shared" si="54"/>
        <v>-0.83337877698733365</v>
      </c>
      <c r="E1631" s="83">
        <v>6.1368058673850704E-3</v>
      </c>
      <c r="F1631" s="83">
        <v>1623</v>
      </c>
      <c r="G1631" s="83">
        <f t="shared" ca="1" si="55"/>
        <v>-4.2644260490581594E-3</v>
      </c>
    </row>
    <row r="1632" spans="2:7" x14ac:dyDescent="0.2">
      <c r="B1632" s="167">
        <v>45443</v>
      </c>
      <c r="C1632" s="28">
        <v>403.43</v>
      </c>
      <c r="D1632" s="83">
        <f t="shared" si="54"/>
        <v>-3.6907063906992242E-2</v>
      </c>
      <c r="E1632" s="83">
        <v>6.1351223283536904E-3</v>
      </c>
      <c r="F1632" s="83">
        <v>1624</v>
      </c>
      <c r="G1632" s="83">
        <f t="shared" ca="1" si="55"/>
        <v>-3.2467878210205324E-2</v>
      </c>
    </row>
    <row r="1633" spans="2:7" x14ac:dyDescent="0.2">
      <c r="B1633" s="167">
        <v>45168</v>
      </c>
      <c r="C1633" s="28">
        <v>418.89</v>
      </c>
      <c r="D1633" s="83">
        <f t="shared" si="54"/>
        <v>0.45574283231972196</v>
      </c>
      <c r="E1633" s="83">
        <v>6.1248018446462306E-3</v>
      </c>
      <c r="F1633" s="83">
        <v>1625</v>
      </c>
      <c r="G1633" s="83">
        <f t="shared" ca="1" si="55"/>
        <v>-1.4362637028694423E-2</v>
      </c>
    </row>
    <row r="1634" spans="2:7" x14ac:dyDescent="0.2">
      <c r="B1634" s="167">
        <v>43397</v>
      </c>
      <c r="C1634" s="28">
        <v>287.75</v>
      </c>
      <c r="D1634" s="83">
        <f t="shared" si="54"/>
        <v>5.8566015524408703E-2</v>
      </c>
      <c r="E1634" s="83">
        <v>6.118881118881119E-3</v>
      </c>
      <c r="F1634" s="83">
        <v>1626</v>
      </c>
      <c r="G1634" s="83">
        <f t="shared" ca="1" si="55"/>
        <v>1.051911257398321E-4</v>
      </c>
    </row>
    <row r="1635" spans="2:7" x14ac:dyDescent="0.2">
      <c r="B1635" s="167">
        <v>44714</v>
      </c>
      <c r="C1635" s="28">
        <v>271.83</v>
      </c>
      <c r="D1635" s="83">
        <f t="shared" si="54"/>
        <v>0.2374470797104748</v>
      </c>
      <c r="E1635" s="83">
        <v>6.1070397512768418E-3</v>
      </c>
      <c r="F1635" s="83">
        <v>1627</v>
      </c>
      <c r="G1635" s="83">
        <f t="shared" ca="1" si="55"/>
        <v>-2.3828974652366986E-2</v>
      </c>
    </row>
    <row r="1636" spans="2:7" x14ac:dyDescent="0.2">
      <c r="B1636" s="167">
        <v>41823</v>
      </c>
      <c r="C1636" s="28">
        <v>219.67</v>
      </c>
      <c r="D1636" s="83">
        <f t="shared" si="54"/>
        <v>-0.36432560696819749</v>
      </c>
      <c r="E1636" s="83">
        <v>6.0914170559676836E-3</v>
      </c>
      <c r="F1636" s="83">
        <v>1628</v>
      </c>
      <c r="G1636" s="83">
        <f t="shared" ca="1" si="55"/>
        <v>-6.0155957649408965E-3</v>
      </c>
    </row>
    <row r="1637" spans="2:7" x14ac:dyDescent="0.2">
      <c r="B1637" s="167">
        <v>44858</v>
      </c>
      <c r="C1637" s="28">
        <v>345.57</v>
      </c>
      <c r="D1637" s="83">
        <f t="shared" si="54"/>
        <v>3.0963726884779512</v>
      </c>
      <c r="E1637" s="83">
        <v>6.0847793175730028E-3</v>
      </c>
      <c r="F1637" s="83">
        <v>1629</v>
      </c>
      <c r="G1637" s="83">
        <f t="shared" ca="1" si="55"/>
        <v>-3.408619488546584E-2</v>
      </c>
    </row>
    <row r="1638" spans="2:7" x14ac:dyDescent="0.2">
      <c r="B1638" s="167">
        <v>40130</v>
      </c>
      <c r="C1638" s="28">
        <v>84.36</v>
      </c>
      <c r="D1638" s="83">
        <f t="shared" si="54"/>
        <v>1.4283246977547495</v>
      </c>
      <c r="E1638" s="83">
        <v>6.0822898032200975E-3</v>
      </c>
      <c r="F1638" s="83">
        <v>1630</v>
      </c>
      <c r="G1638" s="83">
        <f t="shared" ca="1" si="55"/>
        <v>4.152602067712681E-2</v>
      </c>
    </row>
    <row r="1639" spans="2:7" x14ac:dyDescent="0.2">
      <c r="B1639" s="167">
        <v>38516</v>
      </c>
      <c r="C1639" s="28">
        <v>34.74</v>
      </c>
      <c r="D1639" s="83">
        <f t="shared" si="54"/>
        <v>-0.69709652105676168</v>
      </c>
      <c r="E1639" s="83">
        <v>6.0816681146829091E-3</v>
      </c>
      <c r="F1639" s="83">
        <v>1631</v>
      </c>
      <c r="G1639" s="83">
        <f t="shared" ca="1" si="55"/>
        <v>1.4687149442367502E-2</v>
      </c>
    </row>
    <row r="1640" spans="2:7" x14ac:dyDescent="0.2">
      <c r="B1640" s="167">
        <v>40626</v>
      </c>
      <c r="C1640" s="28">
        <v>114.69</v>
      </c>
      <c r="D1640" s="83">
        <f t="shared" si="54"/>
        <v>-0.4484731906708343</v>
      </c>
      <c r="E1640" s="83">
        <v>6.0526315789473486E-3</v>
      </c>
      <c r="F1640" s="83">
        <v>1632</v>
      </c>
      <c r="G1640" s="83">
        <f t="shared" ca="1" si="55"/>
        <v>1.2197938715969785E-2</v>
      </c>
    </row>
    <row r="1641" spans="2:7" x14ac:dyDescent="0.2">
      <c r="B1641" s="167">
        <v>44302</v>
      </c>
      <c r="C1641" s="28">
        <v>207.95</v>
      </c>
      <c r="D1641" s="83">
        <f t="shared" si="54"/>
        <v>8.6752025084922885E-2</v>
      </c>
      <c r="E1641" s="83">
        <v>6.0474117077890669E-3</v>
      </c>
      <c r="F1641" s="83">
        <v>1633</v>
      </c>
      <c r="G1641" s="83">
        <f t="shared" ca="1" si="55"/>
        <v>-2.2373718371843189E-2</v>
      </c>
    </row>
    <row r="1642" spans="2:7" x14ac:dyDescent="0.2">
      <c r="B1642" s="167">
        <v>44076</v>
      </c>
      <c r="C1642" s="28">
        <v>191.35</v>
      </c>
      <c r="D1642" s="83">
        <f t="shared" si="54"/>
        <v>0.57205060795267826</v>
      </c>
      <c r="E1642" s="83">
        <v>6.0462670872765811E-3</v>
      </c>
      <c r="F1642" s="83">
        <v>1634</v>
      </c>
      <c r="G1642" s="83">
        <f t="shared" ca="1" si="55"/>
        <v>-1.2775447833737533E-2</v>
      </c>
    </row>
    <row r="1643" spans="2:7" x14ac:dyDescent="0.2">
      <c r="B1643" s="167">
        <v>40669</v>
      </c>
      <c r="C1643" s="28">
        <v>121.72</v>
      </c>
      <c r="D1643" s="83">
        <f t="shared" si="54"/>
        <v>-0.55762311466472825</v>
      </c>
      <c r="E1643" s="83">
        <v>6.0335564922721213E-3</v>
      </c>
      <c r="F1643" s="83">
        <v>1635</v>
      </c>
      <c r="G1643" s="83">
        <f t="shared" ca="1" si="55"/>
        <v>2.1802985326588508E-3</v>
      </c>
    </row>
    <row r="1644" spans="2:7" x14ac:dyDescent="0.2">
      <c r="B1644" s="167">
        <v>43138</v>
      </c>
      <c r="C1644" s="28">
        <v>275.14999999999998</v>
      </c>
      <c r="D1644" s="83">
        <f t="shared" si="54"/>
        <v>3.0524344569288306E-2</v>
      </c>
      <c r="E1644" s="83">
        <v>6.0329067641681066E-3</v>
      </c>
      <c r="F1644" s="83">
        <v>1636</v>
      </c>
      <c r="G1644" s="83">
        <f t="shared" ca="1" si="55"/>
        <v>-4.2253692516142864E-3</v>
      </c>
    </row>
    <row r="1645" spans="2:7" x14ac:dyDescent="0.2">
      <c r="B1645" s="167">
        <v>43020</v>
      </c>
      <c r="C1645" s="28">
        <v>267</v>
      </c>
      <c r="D1645" s="83">
        <f t="shared" si="54"/>
        <v>-4.1029466616934827E-3</v>
      </c>
      <c r="E1645" s="83">
        <v>6.028636021100312E-3</v>
      </c>
      <c r="F1645" s="83">
        <v>1637</v>
      </c>
      <c r="G1645" s="83">
        <f t="shared" ca="1" si="55"/>
        <v>-2.1077070590030797E-3</v>
      </c>
    </row>
    <row r="1646" spans="2:7" x14ac:dyDescent="0.2">
      <c r="B1646" s="167">
        <v>43146</v>
      </c>
      <c r="C1646" s="28">
        <v>268.10000000000002</v>
      </c>
      <c r="D1646" s="83">
        <f t="shared" si="54"/>
        <v>0.11619967525708824</v>
      </c>
      <c r="E1646" s="83">
        <v>6.0037523452158448E-3</v>
      </c>
      <c r="F1646" s="83">
        <v>1638</v>
      </c>
      <c r="G1646" s="83">
        <f t="shared" ca="1" si="55"/>
        <v>1.3394316537194265E-3</v>
      </c>
    </row>
    <row r="1647" spans="2:7" x14ac:dyDescent="0.2">
      <c r="B1647" s="167">
        <v>42032</v>
      </c>
      <c r="C1647" s="28">
        <v>240.19</v>
      </c>
      <c r="D1647" s="83">
        <f t="shared" si="54"/>
        <v>-2.0951371621897096E-2</v>
      </c>
      <c r="E1647" s="83">
        <v>5.9892779360027097E-3</v>
      </c>
      <c r="F1647" s="83">
        <v>1639</v>
      </c>
      <c r="G1647" s="83">
        <f t="shared" ca="1" si="55"/>
        <v>-3.1747637065995191E-3</v>
      </c>
    </row>
    <row r="1648" spans="2:7" x14ac:dyDescent="0.2">
      <c r="B1648" s="167">
        <v>41963</v>
      </c>
      <c r="C1648" s="28">
        <v>245.33</v>
      </c>
      <c r="D1648" s="83">
        <f t="shared" si="54"/>
        <v>0.32682531097890755</v>
      </c>
      <c r="E1648" s="83">
        <v>5.986796243900471E-3</v>
      </c>
      <c r="F1648" s="83">
        <v>1640</v>
      </c>
      <c r="G1648" s="83">
        <f t="shared" ca="1" si="55"/>
        <v>3.2434032151929235E-2</v>
      </c>
    </row>
    <row r="1649" spans="2:7" x14ac:dyDescent="0.2">
      <c r="B1649" s="167">
        <v>44084</v>
      </c>
      <c r="C1649" s="28">
        <v>184.9</v>
      </c>
      <c r="D1649" s="83">
        <f t="shared" si="54"/>
        <v>-0.21469526438734332</v>
      </c>
      <c r="E1649" s="83">
        <v>5.9847660500543754E-3</v>
      </c>
      <c r="F1649" s="83">
        <v>1641</v>
      </c>
      <c r="G1649" s="83">
        <f t="shared" ca="1" si="55"/>
        <v>-1.5470216772065268E-2</v>
      </c>
    </row>
    <row r="1650" spans="2:7" x14ac:dyDescent="0.2">
      <c r="B1650" s="167">
        <v>42732</v>
      </c>
      <c r="C1650" s="28">
        <v>235.45</v>
      </c>
      <c r="D1650" s="83">
        <f t="shared" si="54"/>
        <v>-0.19775801560530179</v>
      </c>
      <c r="E1650" s="83">
        <v>5.9816278572953525E-3</v>
      </c>
      <c r="F1650" s="83">
        <v>1642</v>
      </c>
      <c r="G1650" s="83">
        <f t="shared" ca="1" si="55"/>
        <v>-1.995448663870486E-2</v>
      </c>
    </row>
    <row r="1651" spans="2:7" x14ac:dyDescent="0.2">
      <c r="B1651" s="167">
        <v>44760</v>
      </c>
      <c r="C1651" s="28">
        <v>293.49</v>
      </c>
      <c r="D1651" s="83">
        <f t="shared" si="54"/>
        <v>8.6597556460570102E-2</v>
      </c>
      <c r="E1651" s="83">
        <v>5.9640102827763809E-3</v>
      </c>
      <c r="F1651" s="83">
        <v>1643</v>
      </c>
      <c r="G1651" s="83">
        <f t="shared" ca="1" si="55"/>
        <v>-1.973907398497169E-2</v>
      </c>
    </row>
    <row r="1652" spans="2:7" x14ac:dyDescent="0.2">
      <c r="B1652" s="167">
        <v>43383</v>
      </c>
      <c r="C1652" s="28">
        <v>270.10000000000002</v>
      </c>
      <c r="D1652" s="83">
        <f t="shared" si="54"/>
        <v>3.101123595505618</v>
      </c>
      <c r="E1652" s="83">
        <v>5.9590316573557645E-3</v>
      </c>
      <c r="F1652" s="83">
        <v>1644</v>
      </c>
      <c r="G1652" s="83">
        <f t="shared" ca="1" si="55"/>
        <v>-1.8967710465898152E-2</v>
      </c>
    </row>
    <row r="1653" spans="2:7" x14ac:dyDescent="0.2">
      <c r="B1653" s="167">
        <v>39980</v>
      </c>
      <c r="C1653" s="28">
        <v>65.86</v>
      </c>
      <c r="D1653" s="83">
        <f t="shared" si="54"/>
        <v>-0.75515818431911963</v>
      </c>
      <c r="E1653" s="83">
        <v>5.9569268367191171E-3</v>
      </c>
      <c r="F1653" s="83">
        <v>1645</v>
      </c>
      <c r="G1653" s="83">
        <f t="shared" ca="1" si="55"/>
        <v>6.1190576991266834E-3</v>
      </c>
    </row>
    <row r="1654" spans="2:7" x14ac:dyDescent="0.2">
      <c r="B1654" s="167">
        <v>44712</v>
      </c>
      <c r="C1654" s="28">
        <v>268.99</v>
      </c>
      <c r="D1654" s="83">
        <f t="shared" si="54"/>
        <v>0.11836853484117744</v>
      </c>
      <c r="E1654" s="83">
        <v>5.9461480927450712E-3</v>
      </c>
      <c r="F1654" s="83">
        <v>1646</v>
      </c>
      <c r="G1654" s="83">
        <f t="shared" ca="1" si="55"/>
        <v>2.3474718256239282E-2</v>
      </c>
    </row>
    <row r="1655" spans="2:7" x14ac:dyDescent="0.2">
      <c r="B1655" s="167">
        <v>41723</v>
      </c>
      <c r="C1655" s="28">
        <v>240.52</v>
      </c>
      <c r="D1655" s="83">
        <f t="shared" si="54"/>
        <v>0.12687406296851581</v>
      </c>
      <c r="E1655" s="83">
        <v>5.9389376829779E-3</v>
      </c>
      <c r="F1655" s="83">
        <v>1647</v>
      </c>
      <c r="G1655" s="83">
        <f t="shared" ca="1" si="55"/>
        <v>5.1658391985350922E-3</v>
      </c>
    </row>
    <row r="1656" spans="2:7" x14ac:dyDescent="0.2">
      <c r="B1656" s="167">
        <v>41695</v>
      </c>
      <c r="C1656" s="28">
        <v>213.44</v>
      </c>
      <c r="D1656" s="83">
        <f t="shared" si="54"/>
        <v>1.8530945060820745</v>
      </c>
      <c r="E1656" s="83">
        <v>5.9383542275426096E-3</v>
      </c>
      <c r="F1656" s="83">
        <v>1648</v>
      </c>
      <c r="G1656" s="83">
        <f t="shared" ca="1" si="55"/>
        <v>-2.4038235813057435E-2</v>
      </c>
    </row>
    <row r="1657" spans="2:7" x14ac:dyDescent="0.2">
      <c r="B1657" s="167">
        <v>40036</v>
      </c>
      <c r="C1657" s="28">
        <v>74.81</v>
      </c>
      <c r="D1657" s="83">
        <f t="shared" si="54"/>
        <v>-8.35477153007472E-2</v>
      </c>
      <c r="E1657" s="83">
        <v>5.9163641253193186E-3</v>
      </c>
      <c r="F1657" s="83">
        <v>1649</v>
      </c>
      <c r="G1657" s="83">
        <f t="shared" ca="1" si="55"/>
        <v>1.3002024048650612E-2</v>
      </c>
    </row>
    <row r="1658" spans="2:7" x14ac:dyDescent="0.2">
      <c r="B1658" s="167">
        <v>40169</v>
      </c>
      <c r="C1658" s="28">
        <v>81.63</v>
      </c>
      <c r="D1658" s="83">
        <f t="shared" si="54"/>
        <v>-0.39403162348749171</v>
      </c>
      <c r="E1658" s="83">
        <v>5.9149722735673408E-3</v>
      </c>
      <c r="F1658" s="83">
        <v>1650</v>
      </c>
      <c r="G1658" s="83">
        <f t="shared" ca="1" si="55"/>
        <v>1.5765732875010933E-2</v>
      </c>
    </row>
    <row r="1659" spans="2:7" x14ac:dyDescent="0.2">
      <c r="B1659" s="167">
        <v>40778</v>
      </c>
      <c r="C1659" s="28">
        <v>134.71</v>
      </c>
      <c r="D1659" s="83">
        <f t="shared" si="54"/>
        <v>0.30837218337218353</v>
      </c>
      <c r="E1659" s="83">
        <v>5.8990442054959718E-3</v>
      </c>
      <c r="F1659" s="83">
        <v>1651</v>
      </c>
      <c r="G1659" s="83">
        <f t="shared" ca="1" si="55"/>
        <v>2.1408490163611946E-2</v>
      </c>
    </row>
    <row r="1660" spans="2:7" x14ac:dyDescent="0.2">
      <c r="B1660" s="167">
        <v>40394</v>
      </c>
      <c r="C1660" s="28">
        <v>102.96</v>
      </c>
      <c r="D1660" s="83">
        <f t="shared" si="54"/>
        <v>-0.17809531412149759</v>
      </c>
      <c r="E1660" s="83">
        <v>5.8616647127783736E-3</v>
      </c>
      <c r="F1660" s="83">
        <v>1652</v>
      </c>
      <c r="G1660" s="83">
        <f t="shared" ca="1" si="55"/>
        <v>2.953926046719035E-2</v>
      </c>
    </row>
    <row r="1661" spans="2:7" x14ac:dyDescent="0.2">
      <c r="B1661" s="167">
        <v>40681</v>
      </c>
      <c r="C1661" s="28">
        <v>125.27</v>
      </c>
      <c r="D1661" s="83">
        <f t="shared" si="54"/>
        <v>-0.53170093457943934</v>
      </c>
      <c r="E1661" s="83">
        <v>5.8615705797333368E-3</v>
      </c>
      <c r="F1661" s="83">
        <v>1653</v>
      </c>
      <c r="G1661" s="83">
        <f t="shared" ca="1" si="55"/>
        <v>-8.2962310596197009E-3</v>
      </c>
    </row>
    <row r="1662" spans="2:7" x14ac:dyDescent="0.2">
      <c r="B1662" s="167">
        <v>43024</v>
      </c>
      <c r="C1662" s="28">
        <v>267.5</v>
      </c>
      <c r="D1662" s="83">
        <f t="shared" si="54"/>
        <v>0.16532345894140704</v>
      </c>
      <c r="E1662" s="83">
        <v>5.8281631885693233E-3</v>
      </c>
      <c r="F1662" s="83">
        <v>1654</v>
      </c>
      <c r="G1662" s="83">
        <f t="shared" ca="1" si="55"/>
        <v>-1.196884064790674E-2</v>
      </c>
    </row>
    <row r="1663" spans="2:7" x14ac:dyDescent="0.2">
      <c r="B1663" s="167">
        <v>42068</v>
      </c>
      <c r="C1663" s="28">
        <v>229.55</v>
      </c>
      <c r="D1663" s="83">
        <f t="shared" si="54"/>
        <v>-8.4181129064432453E-2</v>
      </c>
      <c r="E1663" s="83">
        <v>5.8277101042853935E-3</v>
      </c>
      <c r="F1663" s="83">
        <v>1655</v>
      </c>
      <c r="G1663" s="83">
        <f t="shared" ca="1" si="55"/>
        <v>-1.0048952054710734E-2</v>
      </c>
    </row>
    <row r="1664" spans="2:7" x14ac:dyDescent="0.2">
      <c r="B1664" s="167">
        <v>44651</v>
      </c>
      <c r="C1664" s="28">
        <v>250.65</v>
      </c>
      <c r="D1664" s="83">
        <f t="shared" si="54"/>
        <v>-9.5452905088415793E-2</v>
      </c>
      <c r="E1664" s="83">
        <v>5.8186195826645951E-3</v>
      </c>
      <c r="F1664" s="83">
        <v>1656</v>
      </c>
      <c r="G1664" s="83">
        <f t="shared" ca="1" si="55"/>
        <v>1.1966925012382712E-4</v>
      </c>
    </row>
    <row r="1665" spans="2:7" x14ac:dyDescent="0.2">
      <c r="B1665" s="167">
        <v>43507</v>
      </c>
      <c r="C1665" s="28">
        <v>277.10000000000002</v>
      </c>
      <c r="D1665" s="83">
        <f t="shared" si="54"/>
        <v>3.6894567608732443</v>
      </c>
      <c r="E1665" s="83">
        <v>5.8076225045372879E-3</v>
      </c>
      <c r="F1665" s="83">
        <v>1657</v>
      </c>
      <c r="G1665" s="83">
        <f t="shared" ca="1" si="55"/>
        <v>-2.3847267253531796E-3</v>
      </c>
    </row>
    <row r="1666" spans="2:7" x14ac:dyDescent="0.2">
      <c r="B1666" s="167">
        <v>39106</v>
      </c>
      <c r="C1666" s="28">
        <v>59.09</v>
      </c>
      <c r="D1666" s="83">
        <f t="shared" si="54"/>
        <v>-0.78813194693438504</v>
      </c>
      <c r="E1666" s="83">
        <v>5.7872340425532496E-3</v>
      </c>
      <c r="F1666" s="83">
        <v>1658</v>
      </c>
      <c r="G1666" s="83">
        <f t="shared" ca="1" si="55"/>
        <v>3.7266040086389382E-2</v>
      </c>
    </row>
    <row r="1667" spans="2:7" x14ac:dyDescent="0.2">
      <c r="B1667" s="167">
        <v>43489</v>
      </c>
      <c r="C1667" s="28">
        <v>278.89999999999998</v>
      </c>
      <c r="D1667" s="83">
        <f t="shared" si="54"/>
        <v>-5.9041835357624833E-2</v>
      </c>
      <c r="E1667" s="83">
        <v>5.7699242697438367E-3</v>
      </c>
      <c r="F1667" s="83">
        <v>1659</v>
      </c>
      <c r="G1667" s="83">
        <f t="shared" ca="1" si="55"/>
        <v>-5.1752497751437739E-4</v>
      </c>
    </row>
    <row r="1668" spans="2:7" x14ac:dyDescent="0.2">
      <c r="B1668" s="167">
        <v>43566</v>
      </c>
      <c r="C1668" s="28">
        <v>296.39999999999998</v>
      </c>
      <c r="D1668" s="83">
        <f t="shared" si="54"/>
        <v>0.34745647133700042</v>
      </c>
      <c r="E1668" s="83">
        <v>5.7685782151339965E-3</v>
      </c>
      <c r="F1668" s="83">
        <v>1660</v>
      </c>
      <c r="G1668" s="83">
        <f t="shared" ca="1" si="55"/>
        <v>-9.1134365543334463E-3</v>
      </c>
    </row>
    <row r="1669" spans="2:7" x14ac:dyDescent="0.2">
      <c r="B1669" s="167">
        <v>42221</v>
      </c>
      <c r="C1669" s="28">
        <v>219.97</v>
      </c>
      <c r="D1669" s="83">
        <f t="shared" si="54"/>
        <v>-7.6416005374312423E-2</v>
      </c>
      <c r="E1669" s="83">
        <v>5.761053449773631E-3</v>
      </c>
      <c r="F1669" s="83">
        <v>1661</v>
      </c>
      <c r="G1669" s="83">
        <f t="shared" ca="1" si="55"/>
        <v>-2.4846889826695719E-2</v>
      </c>
    </row>
    <row r="1670" spans="2:7" x14ac:dyDescent="0.2">
      <c r="B1670" s="167">
        <v>41850</v>
      </c>
      <c r="C1670" s="28">
        <v>238.17</v>
      </c>
      <c r="D1670" s="83">
        <f t="shared" si="54"/>
        <v>-3.02524429967427E-2</v>
      </c>
      <c r="E1670" s="83">
        <v>5.7430007178750275E-3</v>
      </c>
      <c r="F1670" s="83">
        <v>1662</v>
      </c>
      <c r="G1670" s="83">
        <f t="shared" ca="1" si="55"/>
        <v>-4.7859477712131051E-3</v>
      </c>
    </row>
    <row r="1671" spans="2:7" x14ac:dyDescent="0.2">
      <c r="B1671" s="167">
        <v>42551</v>
      </c>
      <c r="C1671" s="28">
        <v>245.6</v>
      </c>
      <c r="D1671" s="83">
        <f t="shared" si="54"/>
        <v>0.74742084667378139</v>
      </c>
      <c r="E1671" s="83">
        <v>5.7330057330057561E-3</v>
      </c>
      <c r="F1671" s="83">
        <v>1663</v>
      </c>
      <c r="G1671" s="83">
        <f t="shared" ca="1" si="55"/>
        <v>-9.6151600697263664E-3</v>
      </c>
    </row>
    <row r="1672" spans="2:7" x14ac:dyDescent="0.2">
      <c r="B1672" s="167">
        <v>40856</v>
      </c>
      <c r="C1672" s="28">
        <v>140.55000000000001</v>
      </c>
      <c r="D1672" s="83">
        <f t="shared" si="54"/>
        <v>-0.39874229979466114</v>
      </c>
      <c r="E1672" s="83">
        <v>5.7245080500895268E-3</v>
      </c>
      <c r="F1672" s="83">
        <v>1664</v>
      </c>
      <c r="G1672" s="83">
        <f t="shared" ca="1" si="55"/>
        <v>-8.8906921065448289E-3</v>
      </c>
    </row>
    <row r="1673" spans="2:7" x14ac:dyDescent="0.2">
      <c r="B1673" s="167">
        <v>41470</v>
      </c>
      <c r="C1673" s="28">
        <v>233.76</v>
      </c>
      <c r="D1673" s="83">
        <f t="shared" ref="D1673:D1736" si="56">(C1673-C1674)/C1674</f>
        <v>5.254626502769142E-2</v>
      </c>
      <c r="E1673" s="83">
        <v>5.7221529062512757E-3</v>
      </c>
      <c r="F1673" s="83">
        <v>1665</v>
      </c>
      <c r="G1673" s="83">
        <f t="shared" ref="G1673:G1736" ca="1" si="57">_xlfn.NORM.INV(RAND(),$M$10,$M$11)</f>
        <v>-1.0314237855235411E-2</v>
      </c>
    </row>
    <row r="1674" spans="2:7" x14ac:dyDescent="0.2">
      <c r="B1674" s="167">
        <v>41578</v>
      </c>
      <c r="C1674" s="28">
        <v>222.09</v>
      </c>
      <c r="D1674" s="83">
        <f t="shared" si="56"/>
        <v>-6.7044738500315088E-2</v>
      </c>
      <c r="E1674" s="83">
        <v>5.7057465018339488E-3</v>
      </c>
      <c r="F1674" s="83">
        <v>1666</v>
      </c>
      <c r="G1674" s="83">
        <f t="shared" ca="1" si="57"/>
        <v>1.5030605942967222E-2</v>
      </c>
    </row>
    <row r="1675" spans="2:7" x14ac:dyDescent="0.2">
      <c r="B1675" s="167">
        <v>43728</v>
      </c>
      <c r="C1675" s="28">
        <v>238.05</v>
      </c>
      <c r="D1675" s="83">
        <f t="shared" si="56"/>
        <v>0.16054017160686432</v>
      </c>
      <c r="E1675" s="83">
        <v>5.7034220532320356E-3</v>
      </c>
      <c r="F1675" s="83">
        <v>1667</v>
      </c>
      <c r="G1675" s="83">
        <f t="shared" ca="1" si="57"/>
        <v>-2.1413548308631163E-2</v>
      </c>
    </row>
    <row r="1676" spans="2:7" x14ac:dyDescent="0.2">
      <c r="B1676" s="167">
        <v>41306</v>
      </c>
      <c r="C1676" s="28">
        <v>205.12</v>
      </c>
      <c r="D1676" s="83">
        <f t="shared" si="56"/>
        <v>0.83782815159931912</v>
      </c>
      <c r="E1676" s="83">
        <v>5.6873896842517969E-3</v>
      </c>
      <c r="F1676" s="83">
        <v>1668</v>
      </c>
      <c r="G1676" s="83">
        <f t="shared" ca="1" si="57"/>
        <v>9.9724090342878293E-3</v>
      </c>
    </row>
    <row r="1677" spans="2:7" x14ac:dyDescent="0.2">
      <c r="B1677" s="167">
        <v>40438</v>
      </c>
      <c r="C1677" s="28">
        <v>111.61</v>
      </c>
      <c r="D1677" s="83">
        <f t="shared" si="56"/>
        <v>-0.47084202541247866</v>
      </c>
      <c r="E1677" s="83">
        <v>5.6766985042349559E-3</v>
      </c>
      <c r="F1677" s="83">
        <v>1669</v>
      </c>
      <c r="G1677" s="83">
        <f t="shared" ca="1" si="57"/>
        <v>1.7380597855289538E-2</v>
      </c>
    </row>
    <row r="1678" spans="2:7" x14ac:dyDescent="0.2">
      <c r="B1678" s="167">
        <v>42230</v>
      </c>
      <c r="C1678" s="28">
        <v>210.92</v>
      </c>
      <c r="D1678" s="83">
        <f t="shared" si="56"/>
        <v>3.9569917743830789</v>
      </c>
      <c r="E1678" s="83">
        <v>5.673961760358546E-3</v>
      </c>
      <c r="F1678" s="83">
        <v>1670</v>
      </c>
      <c r="G1678" s="83">
        <f t="shared" ca="1" si="57"/>
        <v>-3.2633920254928922E-2</v>
      </c>
    </row>
    <row r="1679" spans="2:7" x14ac:dyDescent="0.2">
      <c r="B1679" s="167">
        <v>38638</v>
      </c>
      <c r="C1679" s="28">
        <v>42.55</v>
      </c>
      <c r="D1679" s="83">
        <f t="shared" si="56"/>
        <v>-0.84006765645555348</v>
      </c>
      <c r="E1679" s="83">
        <v>5.6724178681161631E-3</v>
      </c>
      <c r="F1679" s="83">
        <v>1671</v>
      </c>
      <c r="G1679" s="83">
        <f t="shared" ca="1" si="57"/>
        <v>-2.9805812417926323E-2</v>
      </c>
    </row>
    <row r="1680" spans="2:7" x14ac:dyDescent="0.2">
      <c r="B1680" s="167">
        <v>43270</v>
      </c>
      <c r="C1680" s="28">
        <v>266.05</v>
      </c>
      <c r="D1680" s="83">
        <f t="shared" si="56"/>
        <v>1.3803346157287288</v>
      </c>
      <c r="E1680" s="83">
        <v>5.6700056700056695E-3</v>
      </c>
      <c r="F1680" s="83">
        <v>1672</v>
      </c>
      <c r="G1680" s="83">
        <f t="shared" ca="1" si="57"/>
        <v>1.7458532336039483E-2</v>
      </c>
    </row>
    <row r="1681" spans="2:7" x14ac:dyDescent="0.2">
      <c r="B1681" s="167">
        <v>40511</v>
      </c>
      <c r="C1681" s="28">
        <v>111.77</v>
      </c>
      <c r="D1681" s="83">
        <f t="shared" si="56"/>
        <v>-0.45264446620959842</v>
      </c>
      <c r="E1681" s="83">
        <v>5.6685261831923286E-3</v>
      </c>
      <c r="F1681" s="83">
        <v>1673</v>
      </c>
      <c r="G1681" s="83">
        <f t="shared" ca="1" si="57"/>
        <v>-1.0927229319061624E-2</v>
      </c>
    </row>
    <row r="1682" spans="2:7" x14ac:dyDescent="0.2">
      <c r="B1682" s="167">
        <v>44055</v>
      </c>
      <c r="C1682" s="28">
        <v>204.2</v>
      </c>
      <c r="D1682" s="83">
        <f t="shared" si="56"/>
        <v>-0.18041340557896857</v>
      </c>
      <c r="E1682" s="83">
        <v>5.6636296478698705E-3</v>
      </c>
      <c r="F1682" s="83">
        <v>1674</v>
      </c>
      <c r="G1682" s="83">
        <f t="shared" ca="1" si="57"/>
        <v>6.3710525530104025E-3</v>
      </c>
    </row>
    <row r="1683" spans="2:7" x14ac:dyDescent="0.2">
      <c r="B1683" s="167">
        <v>43795</v>
      </c>
      <c r="C1683" s="28">
        <v>249.15</v>
      </c>
      <c r="D1683" s="83">
        <f t="shared" si="56"/>
        <v>1.7915966386554623</v>
      </c>
      <c r="E1683" s="83">
        <v>5.6508577194753001E-3</v>
      </c>
      <c r="F1683" s="83">
        <v>1675</v>
      </c>
      <c r="G1683" s="83">
        <f t="shared" ca="1" si="57"/>
        <v>1.0120940405204538E-2</v>
      </c>
    </row>
    <row r="1684" spans="2:7" x14ac:dyDescent="0.2">
      <c r="B1684" s="167">
        <v>40277</v>
      </c>
      <c r="C1684" s="28">
        <v>89.25</v>
      </c>
      <c r="D1684" s="83">
        <f t="shared" si="56"/>
        <v>-0.67762326169405818</v>
      </c>
      <c r="E1684" s="83">
        <v>5.6338028169014088E-3</v>
      </c>
      <c r="F1684" s="83">
        <v>1676</v>
      </c>
      <c r="G1684" s="83">
        <f t="shared" ca="1" si="57"/>
        <v>3.9260917928758635E-3</v>
      </c>
    </row>
    <row r="1685" spans="2:7" x14ac:dyDescent="0.2">
      <c r="B1685" s="167">
        <v>43509</v>
      </c>
      <c r="C1685" s="28">
        <v>276.85000000000002</v>
      </c>
      <c r="D1685" s="83">
        <f t="shared" si="56"/>
        <v>3.2444527316800469E-2</v>
      </c>
      <c r="E1685" s="83">
        <v>5.6302215764620824E-3</v>
      </c>
      <c r="F1685" s="83">
        <v>1677</v>
      </c>
      <c r="G1685" s="83">
        <f t="shared" ca="1" si="57"/>
        <v>-6.3640534343112939E-4</v>
      </c>
    </row>
    <row r="1686" spans="2:7" x14ac:dyDescent="0.2">
      <c r="B1686" s="167">
        <v>42783</v>
      </c>
      <c r="C1686" s="28">
        <v>268.14999999999998</v>
      </c>
      <c r="D1686" s="83">
        <f t="shared" si="56"/>
        <v>-0.3779143950817771</v>
      </c>
      <c r="E1686" s="83">
        <v>5.6253515844740297E-3</v>
      </c>
      <c r="F1686" s="83">
        <v>1678</v>
      </c>
      <c r="G1686" s="83">
        <f t="shared" ca="1" si="57"/>
        <v>1.4291757565885905E-2</v>
      </c>
    </row>
    <row r="1687" spans="2:7" x14ac:dyDescent="0.2">
      <c r="B1687" s="167">
        <v>45273</v>
      </c>
      <c r="C1687" s="28">
        <v>431.05</v>
      </c>
      <c r="D1687" s="83">
        <f t="shared" si="56"/>
        <v>0.42594859241126065</v>
      </c>
      <c r="E1687" s="83">
        <v>5.6224337439343625E-3</v>
      </c>
      <c r="F1687" s="83">
        <v>1679</v>
      </c>
      <c r="G1687" s="83">
        <f t="shared" ca="1" si="57"/>
        <v>-1.9060605793124626E-2</v>
      </c>
    </row>
    <row r="1688" spans="2:7" x14ac:dyDescent="0.2">
      <c r="B1688" s="167">
        <v>44769</v>
      </c>
      <c r="C1688" s="28">
        <v>302.29000000000002</v>
      </c>
      <c r="D1688" s="83">
        <f t="shared" si="56"/>
        <v>0.20578380534503404</v>
      </c>
      <c r="E1688" s="83">
        <v>5.6220891550232792E-3</v>
      </c>
      <c r="F1688" s="83">
        <v>1680</v>
      </c>
      <c r="G1688" s="83">
        <f t="shared" ca="1" si="57"/>
        <v>-2.1753639030192245E-3</v>
      </c>
    </row>
    <row r="1689" spans="2:7" x14ac:dyDescent="0.2">
      <c r="B1689" s="167">
        <v>43789</v>
      </c>
      <c r="C1689" s="28">
        <v>250.7</v>
      </c>
      <c r="D1689" s="83">
        <f t="shared" si="56"/>
        <v>-0.39771771771771774</v>
      </c>
      <c r="E1689" s="83">
        <v>5.6157240272762827E-3</v>
      </c>
      <c r="F1689" s="83">
        <v>1681</v>
      </c>
      <c r="G1689" s="83">
        <f t="shared" ca="1" si="57"/>
        <v>-1.4591962838315669E-2</v>
      </c>
    </row>
    <row r="1690" spans="2:7" x14ac:dyDescent="0.2">
      <c r="B1690" s="167">
        <v>45408</v>
      </c>
      <c r="C1690" s="28">
        <v>416.25</v>
      </c>
      <c r="D1690" s="83">
        <f t="shared" si="56"/>
        <v>5.0971143987110006</v>
      </c>
      <c r="E1690" s="83">
        <v>5.6048124078950379E-3</v>
      </c>
      <c r="F1690" s="83">
        <v>1682</v>
      </c>
      <c r="G1690" s="83">
        <f t="shared" ca="1" si="57"/>
        <v>1.874142082115372E-2</v>
      </c>
    </row>
    <row r="1691" spans="2:7" x14ac:dyDescent="0.2">
      <c r="B1691" s="167">
        <v>39483</v>
      </c>
      <c r="C1691" s="28">
        <v>68.27</v>
      </c>
      <c r="D1691" s="83">
        <f t="shared" si="56"/>
        <v>0.8065625826938343</v>
      </c>
      <c r="E1691" s="83">
        <v>5.5972897333921847E-3</v>
      </c>
      <c r="F1691" s="83">
        <v>1683</v>
      </c>
      <c r="G1691" s="83">
        <f t="shared" ca="1" si="57"/>
        <v>1.0516725575669033E-2</v>
      </c>
    </row>
    <row r="1692" spans="2:7" x14ac:dyDescent="0.2">
      <c r="B1692" s="167">
        <v>38581</v>
      </c>
      <c r="C1692" s="28">
        <v>37.79</v>
      </c>
      <c r="D1692" s="83">
        <f t="shared" si="56"/>
        <v>-0.3641258623590779</v>
      </c>
      <c r="E1692" s="83">
        <v>5.588078765300715E-3</v>
      </c>
      <c r="F1692" s="83">
        <v>1684</v>
      </c>
      <c r="G1692" s="83">
        <f t="shared" ca="1" si="57"/>
        <v>-3.8372080427644097E-2</v>
      </c>
    </row>
    <row r="1693" spans="2:7" x14ac:dyDescent="0.2">
      <c r="B1693" s="167">
        <v>39857</v>
      </c>
      <c r="C1693" s="28">
        <v>59.43</v>
      </c>
      <c r="D1693" s="83">
        <f t="shared" si="56"/>
        <v>-0.80654296874999998</v>
      </c>
      <c r="E1693" s="83">
        <v>5.5837563451776361E-3</v>
      </c>
      <c r="F1693" s="83">
        <v>1685</v>
      </c>
      <c r="G1693" s="83">
        <f t="shared" ca="1" si="57"/>
        <v>-3.5435717762136859E-2</v>
      </c>
    </row>
    <row r="1694" spans="2:7" x14ac:dyDescent="0.2">
      <c r="B1694" s="167">
        <v>43571</v>
      </c>
      <c r="C1694" s="28">
        <v>307.2</v>
      </c>
      <c r="D1694" s="83">
        <f t="shared" si="56"/>
        <v>-0.26345065694830727</v>
      </c>
      <c r="E1694" s="83">
        <v>5.5646481178395699E-3</v>
      </c>
      <c r="F1694" s="83">
        <v>1686</v>
      </c>
      <c r="G1694" s="83">
        <f t="shared" ca="1" si="57"/>
        <v>-9.7347056726016148E-3</v>
      </c>
    </row>
    <row r="1695" spans="2:7" x14ac:dyDescent="0.2">
      <c r="B1695" s="167">
        <v>45072</v>
      </c>
      <c r="C1695" s="28">
        <v>417.08</v>
      </c>
      <c r="D1695" s="83">
        <f t="shared" si="56"/>
        <v>5.9617759973293269</v>
      </c>
      <c r="E1695" s="83">
        <v>5.5451082501567373E-3</v>
      </c>
      <c r="F1695" s="83">
        <v>1687</v>
      </c>
      <c r="G1695" s="83">
        <f t="shared" ca="1" si="57"/>
        <v>-1.3405890092835547E-2</v>
      </c>
    </row>
    <row r="1696" spans="2:7" x14ac:dyDescent="0.2">
      <c r="B1696" s="167">
        <v>38950</v>
      </c>
      <c r="C1696" s="28">
        <v>59.91</v>
      </c>
      <c r="D1696" s="83">
        <f t="shared" si="56"/>
        <v>-1.6663889351774942E-3</v>
      </c>
      <c r="E1696" s="83">
        <v>5.5387713997985619E-3</v>
      </c>
      <c r="F1696" s="83">
        <v>1688</v>
      </c>
      <c r="G1696" s="83">
        <f t="shared" ca="1" si="57"/>
        <v>-1.4048325519334529E-2</v>
      </c>
    </row>
    <row r="1697" spans="2:7" x14ac:dyDescent="0.2">
      <c r="B1697" s="167">
        <v>39863</v>
      </c>
      <c r="C1697" s="28">
        <v>60.01</v>
      </c>
      <c r="D1697" s="83">
        <f t="shared" si="56"/>
        <v>-0.56596267901055985</v>
      </c>
      <c r="E1697" s="83">
        <v>5.5294906166219555E-3</v>
      </c>
      <c r="F1697" s="83">
        <v>1689</v>
      </c>
      <c r="G1697" s="83">
        <f t="shared" ca="1" si="57"/>
        <v>8.2372312770678299E-3</v>
      </c>
    </row>
    <row r="1698" spans="2:7" x14ac:dyDescent="0.2">
      <c r="B1698" s="167">
        <v>40961</v>
      </c>
      <c r="C1698" s="28">
        <v>138.26</v>
      </c>
      <c r="D1698" s="83">
        <f t="shared" si="56"/>
        <v>-0.39239727532410468</v>
      </c>
      <c r="E1698" s="83">
        <v>5.5272727272726611E-3</v>
      </c>
      <c r="F1698" s="83">
        <v>1690</v>
      </c>
      <c r="G1698" s="83">
        <f t="shared" ca="1" si="57"/>
        <v>3.0386924583109178E-3</v>
      </c>
    </row>
    <row r="1699" spans="2:7" x14ac:dyDescent="0.2">
      <c r="B1699" s="167">
        <v>42726</v>
      </c>
      <c r="C1699" s="28">
        <v>227.55</v>
      </c>
      <c r="D1699" s="83">
        <f t="shared" si="56"/>
        <v>7.1125964978346889E-2</v>
      </c>
      <c r="E1699" s="83">
        <v>5.5236411842686699E-3</v>
      </c>
      <c r="F1699" s="83">
        <v>1691</v>
      </c>
      <c r="G1699" s="83">
        <f t="shared" ca="1" si="57"/>
        <v>1.4216748801291696E-3</v>
      </c>
    </row>
    <row r="1700" spans="2:7" x14ac:dyDescent="0.2">
      <c r="B1700" s="167">
        <v>41585</v>
      </c>
      <c r="C1700" s="28">
        <v>212.44</v>
      </c>
      <c r="D1700" s="83">
        <f t="shared" si="56"/>
        <v>-0.108144416456759</v>
      </c>
      <c r="E1700" s="83">
        <v>5.4903445664520852E-3</v>
      </c>
      <c r="F1700" s="83">
        <v>1692</v>
      </c>
      <c r="G1700" s="83">
        <f t="shared" ca="1" si="57"/>
        <v>-2.3383298659130702E-2</v>
      </c>
    </row>
    <row r="1701" spans="2:7" x14ac:dyDescent="0.2">
      <c r="B1701" s="167">
        <v>43829</v>
      </c>
      <c r="C1701" s="28">
        <v>238.2</v>
      </c>
      <c r="D1701" s="83">
        <f t="shared" si="56"/>
        <v>0.11862496477881089</v>
      </c>
      <c r="E1701" s="83">
        <v>5.4875474883916541E-3</v>
      </c>
      <c r="F1701" s="83">
        <v>1693</v>
      </c>
      <c r="G1701" s="83">
        <f t="shared" ca="1" si="57"/>
        <v>1.2493870157697104E-2</v>
      </c>
    </row>
    <row r="1702" spans="2:7" x14ac:dyDescent="0.2">
      <c r="B1702" s="167">
        <v>42468</v>
      </c>
      <c r="C1702" s="28">
        <v>212.94</v>
      </c>
      <c r="D1702" s="83">
        <f t="shared" si="56"/>
        <v>2.740382926400843</v>
      </c>
      <c r="E1702" s="83">
        <v>5.4773821890641066E-3</v>
      </c>
      <c r="F1702" s="83">
        <v>1694</v>
      </c>
      <c r="G1702" s="83">
        <f t="shared" ca="1" si="57"/>
        <v>-8.3427888872333357E-3</v>
      </c>
    </row>
    <row r="1703" spans="2:7" x14ac:dyDescent="0.2">
      <c r="B1703" s="167">
        <v>38893</v>
      </c>
      <c r="C1703" s="28">
        <v>56.93</v>
      </c>
      <c r="D1703" s="83">
        <f t="shared" si="56"/>
        <v>0.40811278753400942</v>
      </c>
      <c r="E1703" s="83">
        <v>5.4750971388202452E-3</v>
      </c>
      <c r="F1703" s="83">
        <v>1695</v>
      </c>
      <c r="G1703" s="83">
        <f t="shared" ca="1" si="57"/>
        <v>9.4845568221987916E-3</v>
      </c>
    </row>
    <row r="1704" spans="2:7" x14ac:dyDescent="0.2">
      <c r="B1704" s="167">
        <v>38604</v>
      </c>
      <c r="C1704" s="28">
        <v>40.43</v>
      </c>
      <c r="D1704" s="83">
        <f t="shared" si="56"/>
        <v>-0.90517625536505852</v>
      </c>
      <c r="E1704" s="83">
        <v>5.4712758020392651E-3</v>
      </c>
      <c r="F1704" s="83">
        <v>1696</v>
      </c>
      <c r="G1704" s="83">
        <f t="shared" ca="1" si="57"/>
        <v>-1.7285012198192732E-2</v>
      </c>
    </row>
    <row r="1705" spans="2:7" x14ac:dyDescent="0.2">
      <c r="B1705" s="167">
        <v>45211</v>
      </c>
      <c r="C1705" s="28">
        <v>426.37</v>
      </c>
      <c r="D1705" s="83">
        <f t="shared" si="56"/>
        <v>3.8308406979379108</v>
      </c>
      <c r="E1705" s="83">
        <v>5.4710529418700461E-3</v>
      </c>
      <c r="F1705" s="83">
        <v>1697</v>
      </c>
      <c r="G1705" s="83">
        <f t="shared" ca="1" si="57"/>
        <v>-1.6627232100788836E-3</v>
      </c>
    </row>
    <row r="1706" spans="2:7" x14ac:dyDescent="0.2">
      <c r="B1706" s="167">
        <v>40274</v>
      </c>
      <c r="C1706" s="28">
        <v>88.26</v>
      </c>
      <c r="D1706" s="83">
        <f t="shared" si="56"/>
        <v>-9.0559203079010971E-4</v>
      </c>
      <c r="E1706" s="83">
        <v>5.4682159945318295E-3</v>
      </c>
      <c r="F1706" s="83">
        <v>1698</v>
      </c>
      <c r="G1706" s="83">
        <f t="shared" ca="1" si="57"/>
        <v>-2.2101500145562825E-2</v>
      </c>
    </row>
    <row r="1707" spans="2:7" x14ac:dyDescent="0.2">
      <c r="B1707" s="167">
        <v>40311</v>
      </c>
      <c r="C1707" s="28">
        <v>88.34</v>
      </c>
      <c r="D1707" s="83">
        <f t="shared" si="56"/>
        <v>4.2482888836440982E-2</v>
      </c>
      <c r="E1707" s="83">
        <v>5.4632369679035279E-3</v>
      </c>
      <c r="F1707" s="83">
        <v>1699</v>
      </c>
      <c r="G1707" s="83">
        <f t="shared" ca="1" si="57"/>
        <v>-4.728098622539997E-3</v>
      </c>
    </row>
    <row r="1708" spans="2:7" x14ac:dyDescent="0.2">
      <c r="B1708" s="167">
        <v>40248</v>
      </c>
      <c r="C1708" s="28">
        <v>84.74</v>
      </c>
      <c r="D1708" s="83">
        <f t="shared" si="56"/>
        <v>-0.59292885622327907</v>
      </c>
      <c r="E1708" s="83">
        <v>5.4579971523492374E-3</v>
      </c>
      <c r="F1708" s="83">
        <v>1700</v>
      </c>
      <c r="G1708" s="83">
        <f t="shared" ca="1" si="57"/>
        <v>-1.9730334856339689E-2</v>
      </c>
    </row>
    <row r="1709" spans="2:7" x14ac:dyDescent="0.2">
      <c r="B1709" s="167">
        <v>42200</v>
      </c>
      <c r="C1709" s="28">
        <v>208.17</v>
      </c>
      <c r="D1709" s="83">
        <f t="shared" si="56"/>
        <v>-0.15112343514251927</v>
      </c>
      <c r="E1709" s="83">
        <v>5.4578825347758667E-3</v>
      </c>
      <c r="F1709" s="83">
        <v>1701</v>
      </c>
      <c r="G1709" s="83">
        <f t="shared" ca="1" si="57"/>
        <v>-2.468873322852878E-3</v>
      </c>
    </row>
    <row r="1710" spans="2:7" x14ac:dyDescent="0.2">
      <c r="B1710" s="167">
        <v>42045</v>
      </c>
      <c r="C1710" s="28">
        <v>245.23</v>
      </c>
      <c r="D1710" s="83">
        <f t="shared" si="56"/>
        <v>0.26635682933126764</v>
      </c>
      <c r="E1710" s="83">
        <v>5.4530545305452403E-3</v>
      </c>
      <c r="F1710" s="83">
        <v>1702</v>
      </c>
      <c r="G1710" s="83">
        <f t="shared" ca="1" si="57"/>
        <v>-9.5616073746544964E-3</v>
      </c>
    </row>
    <row r="1711" spans="2:7" x14ac:dyDescent="0.2">
      <c r="B1711" s="167">
        <v>44047</v>
      </c>
      <c r="C1711" s="28">
        <v>193.65</v>
      </c>
      <c r="D1711" s="83">
        <f t="shared" si="56"/>
        <v>0.37652829115723624</v>
      </c>
      <c r="E1711" s="83">
        <v>5.4517133956386889E-3</v>
      </c>
      <c r="F1711" s="83">
        <v>1703</v>
      </c>
      <c r="G1711" s="83">
        <f t="shared" ca="1" si="57"/>
        <v>-9.0378200744389466E-3</v>
      </c>
    </row>
    <row r="1712" spans="2:7" x14ac:dyDescent="0.2">
      <c r="B1712" s="167">
        <v>40842</v>
      </c>
      <c r="C1712" s="28">
        <v>140.68</v>
      </c>
      <c r="D1712" s="83">
        <f t="shared" si="56"/>
        <v>-0.38349620929926814</v>
      </c>
      <c r="E1712" s="83">
        <v>5.4316752429961366E-3</v>
      </c>
      <c r="F1712" s="83">
        <v>1704</v>
      </c>
      <c r="G1712" s="83">
        <f t="shared" ca="1" si="57"/>
        <v>1.5859431317645133E-2</v>
      </c>
    </row>
    <row r="1713" spans="2:7" x14ac:dyDescent="0.2">
      <c r="B1713" s="167">
        <v>41836</v>
      </c>
      <c r="C1713" s="28">
        <v>228.19</v>
      </c>
      <c r="D1713" s="83">
        <f t="shared" si="56"/>
        <v>3.387425495097097</v>
      </c>
      <c r="E1713" s="83">
        <v>5.419457173070099E-3</v>
      </c>
      <c r="F1713" s="83">
        <v>1705</v>
      </c>
      <c r="G1713" s="83">
        <f t="shared" ca="1" si="57"/>
        <v>1.7880762693506972E-2</v>
      </c>
    </row>
    <row r="1714" spans="2:7" x14ac:dyDescent="0.2">
      <c r="B1714" s="167">
        <v>39190</v>
      </c>
      <c r="C1714" s="28">
        <v>52.01</v>
      </c>
      <c r="D1714" s="83">
        <f t="shared" si="56"/>
        <v>-0.85498396765648965</v>
      </c>
      <c r="E1714" s="83">
        <v>5.4127198917456243E-3</v>
      </c>
      <c r="F1714" s="83">
        <v>1706</v>
      </c>
      <c r="G1714" s="83">
        <f t="shared" ca="1" si="57"/>
        <v>-2.1505986404668363E-2</v>
      </c>
    </row>
    <row r="1715" spans="2:7" x14ac:dyDescent="0.2">
      <c r="B1715" s="167">
        <v>45001</v>
      </c>
      <c r="C1715" s="28">
        <v>358.65</v>
      </c>
      <c r="D1715" s="83">
        <f t="shared" si="56"/>
        <v>0.67750233863423737</v>
      </c>
      <c r="E1715" s="83">
        <v>5.4104059206098619E-3</v>
      </c>
      <c r="F1715" s="83">
        <v>1707</v>
      </c>
      <c r="G1715" s="83">
        <f t="shared" ca="1" si="57"/>
        <v>4.4609052196472338E-3</v>
      </c>
    </row>
    <row r="1716" spans="2:7" x14ac:dyDescent="0.2">
      <c r="B1716" s="167">
        <v>44293</v>
      </c>
      <c r="C1716" s="28">
        <v>213.8</v>
      </c>
      <c r="D1716" s="83">
        <f t="shared" si="56"/>
        <v>1.7320137038446967E-2</v>
      </c>
      <c r="E1716" s="83">
        <v>5.4079473312955827E-3</v>
      </c>
      <c r="F1716" s="83">
        <v>1708</v>
      </c>
      <c r="G1716" s="83">
        <f t="shared" ca="1" si="57"/>
        <v>-3.4540131656522727E-2</v>
      </c>
    </row>
    <row r="1717" spans="2:7" x14ac:dyDescent="0.2">
      <c r="B1717" s="167">
        <v>41386</v>
      </c>
      <c r="C1717" s="28">
        <v>210.16</v>
      </c>
      <c r="D1717" s="83">
        <f t="shared" si="56"/>
        <v>-0.41278046327083739</v>
      </c>
      <c r="E1717" s="83">
        <v>5.4059225948428239E-3</v>
      </c>
      <c r="F1717" s="83">
        <v>1709</v>
      </c>
      <c r="G1717" s="83">
        <f t="shared" ca="1" si="57"/>
        <v>6.8045129084228859E-3</v>
      </c>
    </row>
    <row r="1718" spans="2:7" x14ac:dyDescent="0.2">
      <c r="B1718" s="167">
        <v>44960</v>
      </c>
      <c r="C1718" s="28">
        <v>357.89</v>
      </c>
      <c r="D1718" s="83">
        <f t="shared" si="56"/>
        <v>0.5980799285554812</v>
      </c>
      <c r="E1718" s="83">
        <v>5.3937129533386495E-3</v>
      </c>
      <c r="F1718" s="83">
        <v>1710</v>
      </c>
      <c r="G1718" s="83">
        <f t="shared" ca="1" si="57"/>
        <v>-4.3789145161667936E-3</v>
      </c>
    </row>
    <row r="1719" spans="2:7" x14ac:dyDescent="0.2">
      <c r="B1719" s="167">
        <v>44574</v>
      </c>
      <c r="C1719" s="28">
        <v>223.95</v>
      </c>
      <c r="D1719" s="83">
        <f t="shared" si="56"/>
        <v>1.3995499839279975</v>
      </c>
      <c r="E1719" s="83">
        <v>5.3872053872053363E-3</v>
      </c>
      <c r="F1719" s="83">
        <v>1711</v>
      </c>
      <c r="G1719" s="83">
        <f t="shared" ca="1" si="57"/>
        <v>1.3637384943992563E-3</v>
      </c>
    </row>
    <row r="1720" spans="2:7" x14ac:dyDescent="0.2">
      <c r="B1720" s="167">
        <v>40340</v>
      </c>
      <c r="C1720" s="28">
        <v>93.33</v>
      </c>
      <c r="D1720" s="83">
        <f t="shared" si="56"/>
        <v>0.99550994227068612</v>
      </c>
      <c r="E1720" s="83">
        <v>5.3861898093288813E-3</v>
      </c>
      <c r="F1720" s="83">
        <v>1712</v>
      </c>
      <c r="G1720" s="83">
        <f t="shared" ca="1" si="57"/>
        <v>2.5639426127361266E-3</v>
      </c>
    </row>
    <row r="1721" spans="2:7" x14ac:dyDescent="0.2">
      <c r="B1721" s="167">
        <v>38702</v>
      </c>
      <c r="C1721" s="28">
        <v>46.77</v>
      </c>
      <c r="D1721" s="83">
        <f t="shared" si="56"/>
        <v>-7.4228028503562943E-2</v>
      </c>
      <c r="E1721" s="83">
        <v>5.3740326741186584E-3</v>
      </c>
      <c r="F1721" s="83">
        <v>1713</v>
      </c>
      <c r="G1721" s="83">
        <f t="shared" ca="1" si="57"/>
        <v>-2.3242020875884117E-2</v>
      </c>
    </row>
    <row r="1722" spans="2:7" x14ac:dyDescent="0.2">
      <c r="B1722" s="167">
        <v>39248</v>
      </c>
      <c r="C1722" s="28">
        <v>50.52</v>
      </c>
      <c r="D1722" s="83">
        <f t="shared" si="56"/>
        <v>-0.70026698309107083</v>
      </c>
      <c r="E1722" s="83">
        <v>5.373134328358271E-3</v>
      </c>
      <c r="F1722" s="83">
        <v>1714</v>
      </c>
      <c r="G1722" s="83">
        <f t="shared" ca="1" si="57"/>
        <v>2.6441337691078457E-2</v>
      </c>
    </row>
    <row r="1723" spans="2:7" x14ac:dyDescent="0.2">
      <c r="B1723" s="167">
        <v>44126</v>
      </c>
      <c r="C1723" s="28">
        <v>168.55</v>
      </c>
      <c r="D1723" s="83">
        <f t="shared" si="56"/>
        <v>0.69431041415359873</v>
      </c>
      <c r="E1723" s="83">
        <v>5.3683268714584294E-3</v>
      </c>
      <c r="F1723" s="83">
        <v>1715</v>
      </c>
      <c r="G1723" s="83">
        <f t="shared" ca="1" si="57"/>
        <v>-2.0394565078520204E-2</v>
      </c>
    </row>
    <row r="1724" spans="2:7" x14ac:dyDescent="0.2">
      <c r="B1724" s="167">
        <v>40374</v>
      </c>
      <c r="C1724" s="28">
        <v>99.48</v>
      </c>
      <c r="D1724" s="83">
        <f t="shared" si="56"/>
        <v>-0.62210826210826209</v>
      </c>
      <c r="E1724" s="83">
        <v>5.3562405255179494E-3</v>
      </c>
      <c r="F1724" s="83">
        <v>1716</v>
      </c>
      <c r="G1724" s="83">
        <f t="shared" ca="1" si="57"/>
        <v>-1.4495810334986339E-2</v>
      </c>
    </row>
    <row r="1725" spans="2:7" x14ac:dyDescent="0.2">
      <c r="B1725" s="167">
        <v>43098</v>
      </c>
      <c r="C1725" s="28">
        <v>263.25</v>
      </c>
      <c r="D1725" s="83">
        <f t="shared" si="56"/>
        <v>0.2064066724714724</v>
      </c>
      <c r="E1725" s="83">
        <v>5.3465724651517174E-3</v>
      </c>
      <c r="F1725" s="83">
        <v>1717</v>
      </c>
      <c r="G1725" s="83">
        <f t="shared" ca="1" si="57"/>
        <v>6.963094455990107E-4</v>
      </c>
    </row>
    <row r="1726" spans="2:7" x14ac:dyDescent="0.2">
      <c r="B1726" s="167">
        <v>42146</v>
      </c>
      <c r="C1726" s="28">
        <v>218.21</v>
      </c>
      <c r="D1726" s="83">
        <f t="shared" si="56"/>
        <v>-0.22689105403011511</v>
      </c>
      <c r="E1726" s="83">
        <v>5.3443906933886044E-3</v>
      </c>
      <c r="F1726" s="83">
        <v>1718</v>
      </c>
      <c r="G1726" s="83">
        <f t="shared" ca="1" si="57"/>
        <v>-2.7218318494952484E-2</v>
      </c>
    </row>
    <row r="1727" spans="2:7" x14ac:dyDescent="0.2">
      <c r="B1727" s="167">
        <v>43462</v>
      </c>
      <c r="C1727" s="28">
        <v>282.25</v>
      </c>
      <c r="D1727" s="83">
        <f t="shared" si="56"/>
        <v>0.51511084867679435</v>
      </c>
      <c r="E1727" s="83">
        <v>5.3428317008014248E-3</v>
      </c>
      <c r="F1727" s="83">
        <v>1719</v>
      </c>
      <c r="G1727" s="83">
        <f t="shared" ca="1" si="57"/>
        <v>-1.4207175992638935E-2</v>
      </c>
    </row>
    <row r="1728" spans="2:7" x14ac:dyDescent="0.2">
      <c r="B1728" s="167">
        <v>41284</v>
      </c>
      <c r="C1728" s="28">
        <v>186.29</v>
      </c>
      <c r="D1728" s="83">
        <f t="shared" si="56"/>
        <v>-0.21443029434089567</v>
      </c>
      <c r="E1728" s="83">
        <v>5.3426875337289834E-3</v>
      </c>
      <c r="F1728" s="83">
        <v>1720</v>
      </c>
      <c r="G1728" s="83">
        <f t="shared" ca="1" si="57"/>
        <v>1.4696066797107167E-2</v>
      </c>
    </row>
    <row r="1729" spans="2:7" x14ac:dyDescent="0.2">
      <c r="B1729" s="167">
        <v>41719</v>
      </c>
      <c r="C1729" s="28">
        <v>237.14</v>
      </c>
      <c r="D1729" s="83">
        <f t="shared" si="56"/>
        <v>0.22142673190831821</v>
      </c>
      <c r="E1729" s="83">
        <v>5.3416991690689794E-3</v>
      </c>
      <c r="F1729" s="83">
        <v>1721</v>
      </c>
      <c r="G1729" s="83">
        <f t="shared" ca="1" si="57"/>
        <v>2.0498149743308831E-2</v>
      </c>
    </row>
    <row r="1730" spans="2:7" x14ac:dyDescent="0.2">
      <c r="B1730" s="167">
        <v>41372</v>
      </c>
      <c r="C1730" s="28">
        <v>194.15</v>
      </c>
      <c r="D1730" s="83">
        <f t="shared" si="56"/>
        <v>0.48888036809815949</v>
      </c>
      <c r="E1730" s="83">
        <v>5.3334714167357139E-3</v>
      </c>
      <c r="F1730" s="83">
        <v>1722</v>
      </c>
      <c r="G1730" s="83">
        <f t="shared" ca="1" si="57"/>
        <v>2.1177967007055199E-2</v>
      </c>
    </row>
    <row r="1731" spans="2:7" x14ac:dyDescent="0.2">
      <c r="B1731" s="167">
        <v>40730</v>
      </c>
      <c r="C1731" s="28">
        <v>130.4</v>
      </c>
      <c r="D1731" s="83">
        <f t="shared" si="56"/>
        <v>-0.44885883347421807</v>
      </c>
      <c r="E1731" s="83">
        <v>5.3195590162670395E-3</v>
      </c>
      <c r="F1731" s="83">
        <v>1723</v>
      </c>
      <c r="G1731" s="83">
        <f t="shared" ca="1" si="57"/>
        <v>-1.4999956165592351E-2</v>
      </c>
    </row>
    <row r="1732" spans="2:7" x14ac:dyDescent="0.2">
      <c r="B1732" s="167">
        <v>44473</v>
      </c>
      <c r="C1732" s="28">
        <v>236.6</v>
      </c>
      <c r="D1732" s="83">
        <f t="shared" si="56"/>
        <v>-0.33550525192383307</v>
      </c>
      <c r="E1732" s="83">
        <v>5.3112385808370514E-3</v>
      </c>
      <c r="F1732" s="83">
        <v>1724</v>
      </c>
      <c r="G1732" s="83">
        <f t="shared" ca="1" si="57"/>
        <v>1.9248390322245942E-2</v>
      </c>
    </row>
    <row r="1733" spans="2:7" x14ac:dyDescent="0.2">
      <c r="B1733" s="167">
        <v>44986</v>
      </c>
      <c r="C1733" s="28">
        <v>356.06</v>
      </c>
      <c r="D1733" s="83">
        <f t="shared" si="56"/>
        <v>0.17356624917600538</v>
      </c>
      <c r="E1733" s="83">
        <v>5.3080354621943514E-3</v>
      </c>
      <c r="F1733" s="83">
        <v>1725</v>
      </c>
      <c r="G1733" s="83">
        <f t="shared" ca="1" si="57"/>
        <v>-5.3150079375745797E-3</v>
      </c>
    </row>
    <row r="1734" spans="2:7" x14ac:dyDescent="0.2">
      <c r="B1734" s="167">
        <v>43578</v>
      </c>
      <c r="C1734" s="28">
        <v>303.39999999999998</v>
      </c>
      <c r="D1734" s="83">
        <f t="shared" si="56"/>
        <v>0.22958459979736567</v>
      </c>
      <c r="E1734" s="83">
        <v>5.3015241882039951E-3</v>
      </c>
      <c r="F1734" s="83">
        <v>1726</v>
      </c>
      <c r="G1734" s="83">
        <f t="shared" ca="1" si="57"/>
        <v>-1.5460927484084439E-2</v>
      </c>
    </row>
    <row r="1735" spans="2:7" x14ac:dyDescent="0.2">
      <c r="B1735" s="167">
        <v>42740</v>
      </c>
      <c r="C1735" s="28">
        <v>246.75</v>
      </c>
      <c r="D1735" s="83">
        <f t="shared" si="56"/>
        <v>-0.16213921901528014</v>
      </c>
      <c r="E1735" s="83">
        <v>5.2963943776737068E-3</v>
      </c>
      <c r="F1735" s="83">
        <v>1727</v>
      </c>
      <c r="G1735" s="83">
        <f t="shared" ca="1" si="57"/>
        <v>-3.9519603348840693E-2</v>
      </c>
    </row>
    <row r="1736" spans="2:7" x14ac:dyDescent="0.2">
      <c r="B1736" s="167">
        <v>43536</v>
      </c>
      <c r="C1736" s="28">
        <v>294.5</v>
      </c>
      <c r="D1736" s="83">
        <f t="shared" si="56"/>
        <v>0.3472095150960659</v>
      </c>
      <c r="E1736" s="83">
        <v>5.2910052910053297E-3</v>
      </c>
      <c r="F1736" s="83">
        <v>1728</v>
      </c>
      <c r="G1736" s="83">
        <f t="shared" ca="1" si="57"/>
        <v>-1.1355329671904191E-2</v>
      </c>
    </row>
    <row r="1737" spans="2:7" x14ac:dyDescent="0.2">
      <c r="B1737" s="167">
        <v>44242</v>
      </c>
      <c r="C1737" s="28">
        <v>218.6</v>
      </c>
      <c r="D1737" s="83">
        <f t="shared" ref="D1737:D1800" si="58">(C1737-C1738)/C1738</f>
        <v>2.7069696455824994</v>
      </c>
      <c r="E1737" s="83">
        <v>5.2885720855369318E-3</v>
      </c>
      <c r="F1737" s="83">
        <v>1729</v>
      </c>
      <c r="G1737" s="83">
        <f t="shared" ref="G1737:G1800" ca="1" si="59">_xlfn.NORM.INV(RAND(),$M$10,$M$11)</f>
        <v>6.3638885549282143E-3</v>
      </c>
    </row>
    <row r="1738" spans="2:7" x14ac:dyDescent="0.2">
      <c r="B1738" s="167">
        <v>39079</v>
      </c>
      <c r="C1738" s="28">
        <v>58.97</v>
      </c>
      <c r="D1738" s="83">
        <f t="shared" si="58"/>
        <v>-0.79355855067390157</v>
      </c>
      <c r="E1738" s="83">
        <v>5.2846914422093813E-3</v>
      </c>
      <c r="F1738" s="83">
        <v>1730</v>
      </c>
      <c r="G1738" s="83">
        <f t="shared" ca="1" si="59"/>
        <v>-4.5794135185259592E-2</v>
      </c>
    </row>
    <row r="1739" spans="2:7" x14ac:dyDescent="0.2">
      <c r="B1739" s="167">
        <v>43305</v>
      </c>
      <c r="C1739" s="28">
        <v>285.64999999999998</v>
      </c>
      <c r="D1739" s="83">
        <f t="shared" si="58"/>
        <v>-0.16256229844620357</v>
      </c>
      <c r="E1739" s="83">
        <v>5.278901988386416E-3</v>
      </c>
      <c r="F1739" s="83">
        <v>1731</v>
      </c>
      <c r="G1739" s="83">
        <f t="shared" ca="1" si="59"/>
        <v>1.1136338680254841E-2</v>
      </c>
    </row>
    <row r="1740" spans="2:7" x14ac:dyDescent="0.2">
      <c r="B1740" s="167">
        <v>44907</v>
      </c>
      <c r="C1740" s="28">
        <v>341.1</v>
      </c>
      <c r="D1740" s="83">
        <f t="shared" si="58"/>
        <v>0.23051948051948065</v>
      </c>
      <c r="E1740" s="83">
        <v>5.2754118652560212E-3</v>
      </c>
      <c r="F1740" s="83">
        <v>1732</v>
      </c>
      <c r="G1740" s="83">
        <f t="shared" ca="1" si="59"/>
        <v>1.7429343065684322E-2</v>
      </c>
    </row>
    <row r="1741" spans="2:7" x14ac:dyDescent="0.2">
      <c r="B1741" s="167">
        <v>43293</v>
      </c>
      <c r="C1741" s="28">
        <v>277.2</v>
      </c>
      <c r="D1741" s="83">
        <f t="shared" si="58"/>
        <v>6.6300578034682083</v>
      </c>
      <c r="E1741" s="83">
        <v>5.258386219401591E-3</v>
      </c>
      <c r="F1741" s="83">
        <v>1733</v>
      </c>
      <c r="G1741" s="83">
        <f t="shared" ca="1" si="59"/>
        <v>4.3845461566787383E-2</v>
      </c>
    </row>
    <row r="1742" spans="2:7" x14ac:dyDescent="0.2">
      <c r="B1742" s="167">
        <v>38555</v>
      </c>
      <c r="C1742" s="28">
        <v>36.33</v>
      </c>
      <c r="D1742" s="83">
        <f t="shared" si="58"/>
        <v>-0.42424722662440573</v>
      </c>
      <c r="E1742" s="83">
        <v>5.2573325954620286E-3</v>
      </c>
      <c r="F1742" s="83">
        <v>1734</v>
      </c>
      <c r="G1742" s="83">
        <f t="shared" ca="1" si="59"/>
        <v>-1.4114301005059447E-3</v>
      </c>
    </row>
    <row r="1743" spans="2:7" x14ac:dyDescent="0.2">
      <c r="B1743" s="167">
        <v>39056</v>
      </c>
      <c r="C1743" s="28">
        <v>63.1</v>
      </c>
      <c r="D1743" s="83">
        <f t="shared" si="58"/>
        <v>-0.73625914315569485</v>
      </c>
      <c r="E1743" s="83">
        <v>5.2572885136211289E-3</v>
      </c>
      <c r="F1743" s="83">
        <v>1735</v>
      </c>
      <c r="G1743" s="83">
        <f t="shared" ca="1" si="59"/>
        <v>7.0657755918768616E-3</v>
      </c>
    </row>
    <row r="1744" spans="2:7" x14ac:dyDescent="0.2">
      <c r="B1744" s="167">
        <v>43843</v>
      </c>
      <c r="C1744" s="28">
        <v>239.25</v>
      </c>
      <c r="D1744" s="83">
        <f t="shared" si="58"/>
        <v>0.10564258976847365</v>
      </c>
      <c r="E1744" s="83">
        <v>5.2521008403361349E-3</v>
      </c>
      <c r="F1744" s="83">
        <v>1736</v>
      </c>
      <c r="G1744" s="83">
        <f t="shared" ca="1" si="59"/>
        <v>-3.332622838620472E-2</v>
      </c>
    </row>
    <row r="1745" spans="2:7" x14ac:dyDescent="0.2">
      <c r="B1745" s="167">
        <v>42139</v>
      </c>
      <c r="C1745" s="28">
        <v>216.39</v>
      </c>
      <c r="D1745" s="83">
        <f t="shared" si="58"/>
        <v>-1.7525539160045466E-2</v>
      </c>
      <c r="E1745" s="83">
        <v>5.2494657623339009E-3</v>
      </c>
      <c r="F1745" s="83">
        <v>1737</v>
      </c>
      <c r="G1745" s="83">
        <f t="shared" ca="1" si="59"/>
        <v>-6.4757313436332098E-3</v>
      </c>
    </row>
    <row r="1746" spans="2:7" x14ac:dyDescent="0.2">
      <c r="B1746" s="167">
        <v>44565</v>
      </c>
      <c r="C1746" s="28">
        <v>220.25</v>
      </c>
      <c r="D1746" s="83">
        <f t="shared" si="58"/>
        <v>1.7368007760173637E-2</v>
      </c>
      <c r="E1746" s="83">
        <v>5.2487448653583098E-3</v>
      </c>
      <c r="F1746" s="83">
        <v>1738</v>
      </c>
      <c r="G1746" s="83">
        <f t="shared" ca="1" si="59"/>
        <v>2.5883224464253427E-2</v>
      </c>
    </row>
    <row r="1747" spans="2:7" x14ac:dyDescent="0.2">
      <c r="B1747" s="167">
        <v>42368</v>
      </c>
      <c r="C1747" s="28">
        <v>216.49</v>
      </c>
      <c r="D1747" s="83">
        <f t="shared" si="58"/>
        <v>-0.49538483054403054</v>
      </c>
      <c r="E1747" s="83">
        <v>5.2470282317978985E-3</v>
      </c>
      <c r="F1747" s="83">
        <v>1739</v>
      </c>
      <c r="G1747" s="83">
        <f t="shared" ca="1" si="59"/>
        <v>-2.0362200813611776E-2</v>
      </c>
    </row>
    <row r="1748" spans="2:7" x14ac:dyDescent="0.2">
      <c r="B1748" s="167">
        <v>45182</v>
      </c>
      <c r="C1748" s="28">
        <v>429.02</v>
      </c>
      <c r="D1748" s="83">
        <f t="shared" si="58"/>
        <v>0.15343460142492268</v>
      </c>
      <c r="E1748" s="83">
        <v>5.2250521333676078E-3</v>
      </c>
      <c r="F1748" s="83">
        <v>1740</v>
      </c>
      <c r="G1748" s="83">
        <f t="shared" ca="1" si="59"/>
        <v>-1.6111533237472591E-2</v>
      </c>
    </row>
    <row r="1749" spans="2:7" x14ac:dyDescent="0.2">
      <c r="B1749" s="167">
        <v>45029</v>
      </c>
      <c r="C1749" s="28">
        <v>371.95</v>
      </c>
      <c r="D1749" s="83">
        <f t="shared" si="58"/>
        <v>0.75216694931222905</v>
      </c>
      <c r="E1749" s="83">
        <v>5.2159342738230556E-3</v>
      </c>
      <c r="F1749" s="83">
        <v>1741</v>
      </c>
      <c r="G1749" s="83">
        <f t="shared" ca="1" si="59"/>
        <v>-7.3881771141531558E-3</v>
      </c>
    </row>
    <row r="1750" spans="2:7" x14ac:dyDescent="0.2">
      <c r="B1750" s="167">
        <v>42398</v>
      </c>
      <c r="C1750" s="28">
        <v>212.28</v>
      </c>
      <c r="D1750" s="83">
        <f t="shared" si="58"/>
        <v>0.96210370644236998</v>
      </c>
      <c r="E1750" s="83">
        <v>5.2088265934273808E-3</v>
      </c>
      <c r="F1750" s="83">
        <v>1742</v>
      </c>
      <c r="G1750" s="83">
        <f t="shared" ca="1" si="59"/>
        <v>1.3709138521881306E-2</v>
      </c>
    </row>
    <row r="1751" spans="2:7" x14ac:dyDescent="0.2">
      <c r="B1751" s="167">
        <v>40434</v>
      </c>
      <c r="C1751" s="28">
        <v>108.19</v>
      </c>
      <c r="D1751" s="83">
        <f t="shared" si="58"/>
        <v>-0.34290920133616765</v>
      </c>
      <c r="E1751" s="83">
        <v>5.2030103131097492E-3</v>
      </c>
      <c r="F1751" s="83">
        <v>1743</v>
      </c>
      <c r="G1751" s="83">
        <f t="shared" ca="1" si="59"/>
        <v>1.2785503214003653E-2</v>
      </c>
    </row>
    <row r="1752" spans="2:7" x14ac:dyDescent="0.2">
      <c r="B1752" s="167">
        <v>43966</v>
      </c>
      <c r="C1752" s="28">
        <v>164.65</v>
      </c>
      <c r="D1752" s="83">
        <f t="shared" si="58"/>
        <v>3.4596424702058504</v>
      </c>
      <c r="E1752" s="83">
        <v>5.1892551892551543E-3</v>
      </c>
      <c r="F1752" s="83">
        <v>1744</v>
      </c>
      <c r="G1752" s="83">
        <f t="shared" ca="1" si="59"/>
        <v>2.1799000477384228E-2</v>
      </c>
    </row>
    <row r="1753" spans="2:7" x14ac:dyDescent="0.2">
      <c r="B1753" s="167">
        <v>38534</v>
      </c>
      <c r="C1753" s="28">
        <v>36.92</v>
      </c>
      <c r="D1753" s="83">
        <f t="shared" si="58"/>
        <v>-0.36715803908124789</v>
      </c>
      <c r="E1753" s="83">
        <v>5.1728832017425772E-3</v>
      </c>
      <c r="F1753" s="83">
        <v>1745</v>
      </c>
      <c r="G1753" s="83">
        <f t="shared" ca="1" si="59"/>
        <v>8.5141020820292315E-3</v>
      </c>
    </row>
    <row r="1754" spans="2:7" x14ac:dyDescent="0.2">
      <c r="B1754" s="167">
        <v>38909</v>
      </c>
      <c r="C1754" s="28">
        <v>58.34</v>
      </c>
      <c r="D1754" s="83">
        <f t="shared" si="58"/>
        <v>-0.76206207430971895</v>
      </c>
      <c r="E1754" s="83">
        <v>5.1688490696072406E-3</v>
      </c>
      <c r="F1754" s="83">
        <v>1746</v>
      </c>
      <c r="G1754" s="83">
        <f t="shared" ca="1" si="59"/>
        <v>4.1184980767714928E-3</v>
      </c>
    </row>
    <row r="1755" spans="2:7" x14ac:dyDescent="0.2">
      <c r="B1755" s="167">
        <v>42002</v>
      </c>
      <c r="C1755" s="28">
        <v>245.19</v>
      </c>
      <c r="D1755" s="83">
        <f t="shared" si="58"/>
        <v>0.32535135135135135</v>
      </c>
      <c r="E1755" s="83">
        <v>5.1654163079571632E-3</v>
      </c>
      <c r="F1755" s="83">
        <v>1747</v>
      </c>
      <c r="G1755" s="83">
        <f t="shared" ca="1" si="59"/>
        <v>-1.3604510450376871E-4</v>
      </c>
    </row>
    <row r="1756" spans="2:7" x14ac:dyDescent="0.2">
      <c r="B1756" s="167">
        <v>44004</v>
      </c>
      <c r="C1756" s="28">
        <v>185</v>
      </c>
      <c r="D1756" s="83">
        <f t="shared" si="58"/>
        <v>-0.29631038417649291</v>
      </c>
      <c r="E1756" s="83">
        <v>5.161640858462312E-3</v>
      </c>
      <c r="F1756" s="83">
        <v>1748</v>
      </c>
      <c r="G1756" s="83">
        <f t="shared" ca="1" si="59"/>
        <v>-1.5949336994926535E-2</v>
      </c>
    </row>
    <row r="1757" spans="2:7" x14ac:dyDescent="0.2">
      <c r="B1757" s="167">
        <v>43105</v>
      </c>
      <c r="C1757" s="28">
        <v>262.89999999999998</v>
      </c>
      <c r="D1757" s="83">
        <f t="shared" si="58"/>
        <v>-0.35791915984857742</v>
      </c>
      <c r="E1757" s="83">
        <v>5.1615369910149719E-3</v>
      </c>
      <c r="F1757" s="83">
        <v>1749</v>
      </c>
      <c r="G1757" s="83">
        <f t="shared" ca="1" si="59"/>
        <v>-7.0778949414490267E-3</v>
      </c>
    </row>
    <row r="1758" spans="2:7" x14ac:dyDescent="0.2">
      <c r="B1758" s="167">
        <v>45743</v>
      </c>
      <c r="C1758" s="28">
        <v>409.45</v>
      </c>
      <c r="D1758" s="83">
        <f t="shared" si="58"/>
        <v>1.0580547876350843</v>
      </c>
      <c r="E1758" s="83">
        <v>5.1552718792192602E-3</v>
      </c>
      <c r="F1758" s="83">
        <v>1750</v>
      </c>
      <c r="G1758" s="83">
        <f t="shared" ca="1" si="59"/>
        <v>1.9877690030689552E-2</v>
      </c>
    </row>
    <row r="1759" spans="2:7" x14ac:dyDescent="0.2">
      <c r="B1759" s="167">
        <v>42412</v>
      </c>
      <c r="C1759" s="28">
        <v>198.95</v>
      </c>
      <c r="D1759" s="83">
        <f t="shared" si="58"/>
        <v>-0.34231404958677691</v>
      </c>
      <c r="E1759" s="83">
        <v>5.153337038346798E-3</v>
      </c>
      <c r="F1759" s="83">
        <v>1751</v>
      </c>
      <c r="G1759" s="83">
        <f t="shared" ca="1" si="59"/>
        <v>-1.7786742012345782E-2</v>
      </c>
    </row>
    <row r="1760" spans="2:7" x14ac:dyDescent="0.2">
      <c r="B1760" s="167">
        <v>43321</v>
      </c>
      <c r="C1760" s="28">
        <v>302.5</v>
      </c>
      <c r="D1760" s="83">
        <f t="shared" si="58"/>
        <v>4.1559570478950052</v>
      </c>
      <c r="E1760" s="83">
        <v>5.1503572021930934E-3</v>
      </c>
      <c r="F1760" s="83">
        <v>1752</v>
      </c>
      <c r="G1760" s="83">
        <f t="shared" ca="1" si="59"/>
        <v>5.4567272049813867E-3</v>
      </c>
    </row>
    <row r="1761" spans="2:7" x14ac:dyDescent="0.2">
      <c r="B1761" s="167">
        <v>39084</v>
      </c>
      <c r="C1761" s="28">
        <v>58.67</v>
      </c>
      <c r="D1761" s="83">
        <f t="shared" si="58"/>
        <v>-0.7283167399861078</v>
      </c>
      <c r="E1761" s="83">
        <v>5.1396265204729187E-3</v>
      </c>
      <c r="F1761" s="83">
        <v>1753</v>
      </c>
      <c r="G1761" s="83">
        <f t="shared" ca="1" si="59"/>
        <v>-2.2042293811023943E-2</v>
      </c>
    </row>
    <row r="1762" spans="2:7" x14ac:dyDescent="0.2">
      <c r="B1762" s="167">
        <v>44615</v>
      </c>
      <c r="C1762" s="28">
        <v>215.95</v>
      </c>
      <c r="D1762" s="83">
        <f t="shared" si="58"/>
        <v>-0.21429870838639267</v>
      </c>
      <c r="E1762" s="83">
        <v>5.1198510588782607E-3</v>
      </c>
      <c r="F1762" s="83">
        <v>1754</v>
      </c>
      <c r="G1762" s="83">
        <f t="shared" ca="1" si="59"/>
        <v>2.9040280305296991E-2</v>
      </c>
    </row>
    <row r="1763" spans="2:7" x14ac:dyDescent="0.2">
      <c r="B1763" s="167">
        <v>43244</v>
      </c>
      <c r="C1763" s="28">
        <v>274.85000000000002</v>
      </c>
      <c r="D1763" s="83">
        <f t="shared" si="58"/>
        <v>3.8210840203473082</v>
      </c>
      <c r="E1763" s="83">
        <v>5.1197659535565342E-3</v>
      </c>
      <c r="F1763" s="83">
        <v>1755</v>
      </c>
      <c r="G1763" s="83">
        <f t="shared" ca="1" si="59"/>
        <v>1.4471571307358759E-2</v>
      </c>
    </row>
    <row r="1764" spans="2:7" x14ac:dyDescent="0.2">
      <c r="B1764" s="167">
        <v>39097</v>
      </c>
      <c r="C1764" s="28">
        <v>57.01</v>
      </c>
      <c r="D1764" s="83">
        <f t="shared" si="58"/>
        <v>-0.71031504065040652</v>
      </c>
      <c r="E1764" s="83">
        <v>5.1128349788434266E-3</v>
      </c>
      <c r="F1764" s="83">
        <v>1756</v>
      </c>
      <c r="G1764" s="83">
        <f t="shared" ca="1" si="59"/>
        <v>4.3307838463355038E-3</v>
      </c>
    </row>
    <row r="1765" spans="2:7" x14ac:dyDescent="0.2">
      <c r="B1765" s="167">
        <v>44064</v>
      </c>
      <c r="C1765" s="28">
        <v>196.8</v>
      </c>
      <c r="D1765" s="83">
        <f t="shared" si="58"/>
        <v>2.2109642682329911</v>
      </c>
      <c r="E1765" s="83">
        <v>5.1072522982635342E-3</v>
      </c>
      <c r="F1765" s="83">
        <v>1757</v>
      </c>
      <c r="G1765" s="83">
        <f t="shared" ca="1" si="59"/>
        <v>2.1583692372116971E-2</v>
      </c>
    </row>
    <row r="1766" spans="2:7" x14ac:dyDescent="0.2">
      <c r="B1766" s="167">
        <v>39686</v>
      </c>
      <c r="C1766" s="28">
        <v>61.29</v>
      </c>
      <c r="D1766" s="83">
        <f t="shared" si="58"/>
        <v>-0.39226574119980168</v>
      </c>
      <c r="E1766" s="83">
        <v>5.0836339783535958E-3</v>
      </c>
      <c r="F1766" s="83">
        <v>1758</v>
      </c>
      <c r="G1766" s="83">
        <f t="shared" ca="1" si="59"/>
        <v>-5.9607520430211497E-3</v>
      </c>
    </row>
    <row r="1767" spans="2:7" x14ac:dyDescent="0.2">
      <c r="B1767" s="167">
        <v>40386</v>
      </c>
      <c r="C1767" s="28">
        <v>100.85</v>
      </c>
      <c r="D1767" s="83">
        <f t="shared" si="58"/>
        <v>0.64197329859980445</v>
      </c>
      <c r="E1767" s="83">
        <v>5.0827187562287315E-3</v>
      </c>
      <c r="F1767" s="83">
        <v>1759</v>
      </c>
      <c r="G1767" s="83">
        <f t="shared" ca="1" si="59"/>
        <v>2.5329630240274969E-2</v>
      </c>
    </row>
    <row r="1768" spans="2:7" x14ac:dyDescent="0.2">
      <c r="B1768" s="167">
        <v>39905</v>
      </c>
      <c r="C1768" s="28">
        <v>61.42</v>
      </c>
      <c r="D1768" s="83">
        <f t="shared" si="58"/>
        <v>-0.55746091216946458</v>
      </c>
      <c r="E1768" s="83">
        <v>5.072819505809234E-3</v>
      </c>
      <c r="F1768" s="83">
        <v>1760</v>
      </c>
      <c r="G1768" s="83">
        <f t="shared" ca="1" si="59"/>
        <v>4.7398000015262138E-3</v>
      </c>
    </row>
    <row r="1769" spans="2:7" x14ac:dyDescent="0.2">
      <c r="B1769" s="167">
        <v>40849</v>
      </c>
      <c r="C1769" s="28">
        <v>138.79</v>
      </c>
      <c r="D1769" s="83">
        <f t="shared" si="58"/>
        <v>1.3267393126571667</v>
      </c>
      <c r="E1769" s="83">
        <v>5.0691577956404419E-3</v>
      </c>
      <c r="F1769" s="83">
        <v>1761</v>
      </c>
      <c r="G1769" s="83">
        <f t="shared" ca="1" si="59"/>
        <v>1.6029302736564232E-2</v>
      </c>
    </row>
    <row r="1770" spans="2:7" x14ac:dyDescent="0.2">
      <c r="B1770" s="167">
        <v>39804</v>
      </c>
      <c r="C1770" s="28">
        <v>59.65</v>
      </c>
      <c r="D1770" s="83">
        <f t="shared" si="58"/>
        <v>-0.72743888508110577</v>
      </c>
      <c r="E1770" s="83">
        <v>5.0547598989047543E-3</v>
      </c>
      <c r="F1770" s="83">
        <v>1762</v>
      </c>
      <c r="G1770" s="83">
        <f t="shared" ca="1" si="59"/>
        <v>1.3642277560570029E-2</v>
      </c>
    </row>
    <row r="1771" spans="2:7" x14ac:dyDescent="0.2">
      <c r="B1771" s="167">
        <v>44245</v>
      </c>
      <c r="C1771" s="28">
        <v>218.85</v>
      </c>
      <c r="D1771" s="83">
        <f t="shared" si="58"/>
        <v>-0.18718662952646242</v>
      </c>
      <c r="E1771" s="83">
        <v>5.051664753157264E-3</v>
      </c>
      <c r="F1771" s="83">
        <v>1763</v>
      </c>
      <c r="G1771" s="83">
        <f t="shared" ca="1" si="59"/>
        <v>-1.2265034851372809E-3</v>
      </c>
    </row>
    <row r="1772" spans="2:7" x14ac:dyDescent="0.2">
      <c r="B1772" s="167">
        <v>43262</v>
      </c>
      <c r="C1772" s="28">
        <v>269.25</v>
      </c>
      <c r="D1772" s="83">
        <f t="shared" si="58"/>
        <v>6.5420560747663555E-3</v>
      </c>
      <c r="E1772" s="83">
        <v>5.0391937290034444E-3</v>
      </c>
      <c r="F1772" s="83">
        <v>1764</v>
      </c>
      <c r="G1772" s="83">
        <f t="shared" ca="1" si="59"/>
        <v>-2.8937397356288783E-3</v>
      </c>
    </row>
    <row r="1773" spans="2:7" x14ac:dyDescent="0.2">
      <c r="B1773" s="167">
        <v>44662</v>
      </c>
      <c r="C1773" s="28">
        <v>267.5</v>
      </c>
      <c r="D1773" s="83">
        <f t="shared" si="58"/>
        <v>-0.37385890173681013</v>
      </c>
      <c r="E1773" s="83">
        <v>5.0345656747819911E-3</v>
      </c>
      <c r="F1773" s="83">
        <v>1765</v>
      </c>
      <c r="G1773" s="83">
        <f t="shared" ca="1" si="59"/>
        <v>2.2088472297281937E-2</v>
      </c>
    </row>
    <row r="1774" spans="2:7" x14ac:dyDescent="0.2">
      <c r="B1774" s="167">
        <v>45107</v>
      </c>
      <c r="C1774" s="28">
        <v>427.22</v>
      </c>
      <c r="D1774" s="83">
        <f t="shared" si="58"/>
        <v>0.83151847723570282</v>
      </c>
      <c r="E1774" s="83">
        <v>5.010703615705033E-3</v>
      </c>
      <c r="F1774" s="83">
        <v>1766</v>
      </c>
      <c r="G1774" s="83">
        <f t="shared" ca="1" si="59"/>
        <v>-4.956656507860248E-3</v>
      </c>
    </row>
    <row r="1775" spans="2:7" x14ac:dyDescent="0.2">
      <c r="B1775" s="167">
        <v>42111</v>
      </c>
      <c r="C1775" s="28">
        <v>233.26</v>
      </c>
      <c r="D1775" s="83">
        <f t="shared" si="58"/>
        <v>-3.3519784545266225E-2</v>
      </c>
      <c r="E1775" s="83">
        <v>4.9978457561395805E-3</v>
      </c>
      <c r="F1775" s="83">
        <v>1767</v>
      </c>
      <c r="G1775" s="83">
        <f t="shared" ca="1" si="59"/>
        <v>2.7572046137933612E-2</v>
      </c>
    </row>
    <row r="1776" spans="2:7" x14ac:dyDescent="0.2">
      <c r="B1776" s="167">
        <v>42667</v>
      </c>
      <c r="C1776" s="28">
        <v>241.35</v>
      </c>
      <c r="D1776" s="83">
        <f t="shared" si="58"/>
        <v>5.6745041376592711E-2</v>
      </c>
      <c r="E1776" s="83">
        <v>4.9968769519050122E-3</v>
      </c>
      <c r="F1776" s="83">
        <v>1768</v>
      </c>
      <c r="G1776" s="83">
        <f t="shared" ca="1" si="59"/>
        <v>-2.5688677768715639E-3</v>
      </c>
    </row>
    <row r="1777" spans="2:7" x14ac:dyDescent="0.2">
      <c r="B1777" s="167">
        <v>41403</v>
      </c>
      <c r="C1777" s="28">
        <v>228.39</v>
      </c>
      <c r="D1777" s="83">
        <f t="shared" si="58"/>
        <v>6.4407885538518866E-2</v>
      </c>
      <c r="E1777" s="83">
        <v>4.9722784475930452E-3</v>
      </c>
      <c r="F1777" s="83">
        <v>1769</v>
      </c>
      <c r="G1777" s="83">
        <f t="shared" ca="1" si="59"/>
        <v>2.8051098481118291E-2</v>
      </c>
    </row>
    <row r="1778" spans="2:7" x14ac:dyDescent="0.2">
      <c r="B1778" s="167">
        <v>42446</v>
      </c>
      <c r="C1778" s="28">
        <v>214.57</v>
      </c>
      <c r="D1778" s="83">
        <f t="shared" si="58"/>
        <v>5.9604938271604901E-2</v>
      </c>
      <c r="E1778" s="83">
        <v>4.9646386586108485E-3</v>
      </c>
      <c r="F1778" s="83">
        <v>1770</v>
      </c>
      <c r="G1778" s="83">
        <f t="shared" ca="1" si="59"/>
        <v>8.0670812178796E-3</v>
      </c>
    </row>
    <row r="1779" spans="2:7" x14ac:dyDescent="0.2">
      <c r="B1779" s="167">
        <v>44207</v>
      </c>
      <c r="C1779" s="28">
        <v>202.5</v>
      </c>
      <c r="D1779" s="83">
        <f t="shared" si="58"/>
        <v>-8.3544532947139788E-2</v>
      </c>
      <c r="E1779" s="83">
        <v>4.9627791563275434E-3</v>
      </c>
      <c r="F1779" s="83">
        <v>1771</v>
      </c>
      <c r="G1779" s="83">
        <f t="shared" ca="1" si="59"/>
        <v>3.794354224558863E-3</v>
      </c>
    </row>
    <row r="1780" spans="2:7" x14ac:dyDescent="0.2">
      <c r="B1780" s="167">
        <v>41703</v>
      </c>
      <c r="C1780" s="28">
        <v>220.96</v>
      </c>
      <c r="D1780" s="83">
        <f t="shared" si="58"/>
        <v>-0.54817601832160978</v>
      </c>
      <c r="E1780" s="83">
        <v>4.9574748715150016E-3</v>
      </c>
      <c r="F1780" s="83">
        <v>1772</v>
      </c>
      <c r="G1780" s="83">
        <f t="shared" ca="1" si="59"/>
        <v>8.5221573845671167E-3</v>
      </c>
    </row>
    <row r="1781" spans="2:7" x14ac:dyDescent="0.2">
      <c r="B1781" s="167">
        <v>45558</v>
      </c>
      <c r="C1781" s="28">
        <v>489.04</v>
      </c>
      <c r="D1781" s="83">
        <f t="shared" si="58"/>
        <v>0.18417356772725071</v>
      </c>
      <c r="E1781" s="83">
        <v>4.9524279226517585E-3</v>
      </c>
      <c r="F1781" s="83">
        <v>1773</v>
      </c>
      <c r="G1781" s="83">
        <f t="shared" ca="1" si="59"/>
        <v>-2.2521016071534849E-2</v>
      </c>
    </row>
    <row r="1782" spans="2:7" x14ac:dyDescent="0.2">
      <c r="B1782" s="167">
        <v>45240</v>
      </c>
      <c r="C1782" s="28">
        <v>412.98</v>
      </c>
      <c r="D1782" s="83">
        <f t="shared" si="58"/>
        <v>0.91114813272247674</v>
      </c>
      <c r="E1782" s="83">
        <v>4.9397736950967993E-3</v>
      </c>
      <c r="F1782" s="83">
        <v>1774</v>
      </c>
      <c r="G1782" s="83">
        <f t="shared" ca="1" si="59"/>
        <v>1.4717292157248658E-2</v>
      </c>
    </row>
    <row r="1783" spans="2:7" x14ac:dyDescent="0.2">
      <c r="B1783" s="167">
        <v>41456</v>
      </c>
      <c r="C1783" s="28">
        <v>216.09</v>
      </c>
      <c r="D1783" s="83">
        <f t="shared" si="58"/>
        <v>0.2316329438586493</v>
      </c>
      <c r="E1783" s="83">
        <v>4.9295447146909836E-3</v>
      </c>
      <c r="F1783" s="83">
        <v>1775</v>
      </c>
      <c r="G1783" s="83">
        <f t="shared" ca="1" si="59"/>
        <v>7.3637972686413393E-3</v>
      </c>
    </row>
    <row r="1784" spans="2:7" x14ac:dyDescent="0.2">
      <c r="B1784" s="167">
        <v>41162</v>
      </c>
      <c r="C1784" s="28">
        <v>175.45</v>
      </c>
      <c r="D1784" s="83">
        <f t="shared" si="58"/>
        <v>-0.60569489392304932</v>
      </c>
      <c r="E1784" s="83">
        <v>4.9258262214329869E-3</v>
      </c>
      <c r="F1784" s="83">
        <v>1776</v>
      </c>
      <c r="G1784" s="83">
        <f t="shared" ca="1" si="59"/>
        <v>-3.1972283726035632E-2</v>
      </c>
    </row>
    <row r="1785" spans="2:7" x14ac:dyDescent="0.2">
      <c r="B1785" s="167">
        <v>45293</v>
      </c>
      <c r="C1785" s="28">
        <v>444.96</v>
      </c>
      <c r="D1785" s="83">
        <f t="shared" si="58"/>
        <v>0.74220830070477672</v>
      </c>
      <c r="E1785" s="83">
        <v>4.9234382763449274E-3</v>
      </c>
      <c r="F1785" s="83">
        <v>1777</v>
      </c>
      <c r="G1785" s="83">
        <f t="shared" ca="1" si="59"/>
        <v>-7.1140878396547128E-3</v>
      </c>
    </row>
    <row r="1786" spans="2:7" x14ac:dyDescent="0.2">
      <c r="B1786" s="167">
        <v>42755</v>
      </c>
      <c r="C1786" s="28">
        <v>255.4</v>
      </c>
      <c r="D1786" s="83">
        <f t="shared" si="58"/>
        <v>-7.4805288896938979E-2</v>
      </c>
      <c r="E1786" s="83">
        <v>4.9183553019870154E-3</v>
      </c>
      <c r="F1786" s="83">
        <v>1778</v>
      </c>
      <c r="G1786" s="83">
        <f t="shared" ca="1" si="59"/>
        <v>2.1014088879701274E-2</v>
      </c>
    </row>
    <row r="1787" spans="2:7" x14ac:dyDescent="0.2">
      <c r="B1787" s="167">
        <v>43446</v>
      </c>
      <c r="C1787" s="28">
        <v>276.05</v>
      </c>
      <c r="D1787" s="83">
        <f t="shared" si="58"/>
        <v>3.4988591916558018</v>
      </c>
      <c r="E1787" s="83">
        <v>4.9144521295960055E-3</v>
      </c>
      <c r="F1787" s="83">
        <v>1779</v>
      </c>
      <c r="G1787" s="83">
        <f t="shared" ca="1" si="59"/>
        <v>1.0090033177794079E-3</v>
      </c>
    </row>
    <row r="1788" spans="2:7" x14ac:dyDescent="0.2">
      <c r="B1788" s="167">
        <v>39051</v>
      </c>
      <c r="C1788" s="28">
        <v>61.36</v>
      </c>
      <c r="D1788" s="83">
        <f t="shared" si="58"/>
        <v>-0.70635528330781017</v>
      </c>
      <c r="E1788" s="83">
        <v>4.9132001310186234E-3</v>
      </c>
      <c r="F1788" s="83">
        <v>1780</v>
      </c>
      <c r="G1788" s="83">
        <f t="shared" ca="1" si="59"/>
        <v>-9.4326800794502213E-3</v>
      </c>
    </row>
    <row r="1789" spans="2:7" x14ac:dyDescent="0.2">
      <c r="B1789" s="167">
        <v>41628</v>
      </c>
      <c r="C1789" s="28">
        <v>208.96</v>
      </c>
      <c r="D1789" s="83">
        <f t="shared" si="58"/>
        <v>2.3993818122661463</v>
      </c>
      <c r="E1789" s="83">
        <v>4.9052611330191896E-3</v>
      </c>
      <c r="F1789" s="83">
        <v>1781</v>
      </c>
      <c r="G1789" s="83">
        <f t="shared" ca="1" si="59"/>
        <v>7.0759898164661043E-3</v>
      </c>
    </row>
    <row r="1790" spans="2:7" x14ac:dyDescent="0.2">
      <c r="B1790" s="167">
        <v>39352</v>
      </c>
      <c r="C1790" s="28">
        <v>61.47</v>
      </c>
      <c r="D1790" s="83">
        <f t="shared" si="58"/>
        <v>-0.68444558521560572</v>
      </c>
      <c r="E1790" s="83">
        <v>4.9043648847473783E-3</v>
      </c>
      <c r="F1790" s="83">
        <v>1782</v>
      </c>
      <c r="G1790" s="83">
        <f t="shared" ca="1" si="59"/>
        <v>8.1741517042038664E-3</v>
      </c>
    </row>
    <row r="1791" spans="2:7" x14ac:dyDescent="0.2">
      <c r="B1791" s="167">
        <v>44161</v>
      </c>
      <c r="C1791" s="28">
        <v>194.8</v>
      </c>
      <c r="D1791" s="83">
        <f t="shared" si="58"/>
        <v>2.1654208644783886</v>
      </c>
      <c r="E1791" s="83">
        <v>4.9006964147537638E-3</v>
      </c>
      <c r="F1791" s="83">
        <v>1783</v>
      </c>
      <c r="G1791" s="83">
        <f t="shared" ca="1" si="59"/>
        <v>-1.6387948341007031E-2</v>
      </c>
    </row>
    <row r="1792" spans="2:7" x14ac:dyDescent="0.2">
      <c r="B1792" s="167">
        <v>39709</v>
      </c>
      <c r="C1792" s="28">
        <v>61.54</v>
      </c>
      <c r="D1792" s="83">
        <f t="shared" si="58"/>
        <v>0.66639588410506367</v>
      </c>
      <c r="E1792" s="83">
        <v>4.898758981058085E-3</v>
      </c>
      <c r="F1792" s="83">
        <v>1784</v>
      </c>
      <c r="G1792" s="83">
        <f t="shared" ca="1" si="59"/>
        <v>-6.9294421362398589E-3</v>
      </c>
    </row>
    <row r="1793" spans="2:7" x14ac:dyDescent="0.2">
      <c r="B1793" s="167">
        <v>38566</v>
      </c>
      <c r="C1793" s="28">
        <v>36.93</v>
      </c>
      <c r="D1793" s="83">
        <f t="shared" si="58"/>
        <v>0.12351688469729244</v>
      </c>
      <c r="E1793" s="83">
        <v>4.8979591836734613E-3</v>
      </c>
      <c r="F1793" s="83">
        <v>1785</v>
      </c>
      <c r="G1793" s="83">
        <f t="shared" ca="1" si="59"/>
        <v>1.8641925943372255E-2</v>
      </c>
    </row>
    <row r="1794" spans="2:7" x14ac:dyDescent="0.2">
      <c r="B1794" s="167">
        <v>38488</v>
      </c>
      <c r="C1794" s="28">
        <v>32.869999999999997</v>
      </c>
      <c r="D1794" s="83">
        <f t="shared" si="58"/>
        <v>-0.84927549523110779</v>
      </c>
      <c r="E1794" s="83">
        <v>4.8914704983184527E-3</v>
      </c>
      <c r="F1794" s="83">
        <v>1786</v>
      </c>
      <c r="G1794" s="83">
        <f t="shared" ca="1" si="59"/>
        <v>1.5271512763767049E-2</v>
      </c>
    </row>
    <row r="1795" spans="2:7" x14ac:dyDescent="0.2">
      <c r="B1795" s="167">
        <v>41662</v>
      </c>
      <c r="C1795" s="28">
        <v>218.08</v>
      </c>
      <c r="D1795" s="83">
        <f t="shared" si="58"/>
        <v>-0.46791587371297516</v>
      </c>
      <c r="E1795" s="83">
        <v>4.8843424569164238E-3</v>
      </c>
      <c r="F1795" s="83">
        <v>1787</v>
      </c>
      <c r="G1795" s="83">
        <f t="shared" ca="1" si="59"/>
        <v>-1.8546195697935846E-2</v>
      </c>
    </row>
    <row r="1796" spans="2:7" x14ac:dyDescent="0.2">
      <c r="B1796" s="167">
        <v>45233</v>
      </c>
      <c r="C1796" s="28">
        <v>409.86</v>
      </c>
      <c r="D1796" s="83">
        <f t="shared" si="58"/>
        <v>-2.1556971997421692E-2</v>
      </c>
      <c r="E1796" s="83">
        <v>4.8790055654988332E-3</v>
      </c>
      <c r="F1796" s="83">
        <v>1788</v>
      </c>
      <c r="G1796" s="83">
        <f t="shared" ca="1" si="59"/>
        <v>-1.5936742825254941E-2</v>
      </c>
    </row>
    <row r="1797" spans="2:7" x14ac:dyDescent="0.2">
      <c r="B1797" s="167">
        <v>45083</v>
      </c>
      <c r="C1797" s="28">
        <v>418.89</v>
      </c>
      <c r="D1797" s="83">
        <f t="shared" si="58"/>
        <v>1.7093602039577428E-2</v>
      </c>
      <c r="E1797" s="83">
        <v>4.8697404404355726E-3</v>
      </c>
      <c r="F1797" s="83">
        <v>1789</v>
      </c>
      <c r="G1797" s="83">
        <f t="shared" ca="1" si="59"/>
        <v>7.149200951318142E-3</v>
      </c>
    </row>
    <row r="1798" spans="2:7" x14ac:dyDescent="0.2">
      <c r="B1798" s="167">
        <v>45236</v>
      </c>
      <c r="C1798" s="28">
        <v>411.85</v>
      </c>
      <c r="D1798" s="83">
        <f t="shared" si="58"/>
        <v>3.8401692325772707</v>
      </c>
      <c r="E1798" s="83">
        <v>4.8553164495193698E-3</v>
      </c>
      <c r="F1798" s="83">
        <v>1790</v>
      </c>
      <c r="G1798" s="83">
        <f t="shared" ca="1" si="59"/>
        <v>1.1881258327637343E-2</v>
      </c>
    </row>
    <row r="1799" spans="2:7" x14ac:dyDescent="0.2">
      <c r="B1799" s="167">
        <v>40151</v>
      </c>
      <c r="C1799" s="28">
        <v>85.09</v>
      </c>
      <c r="D1799" s="83">
        <f t="shared" si="58"/>
        <v>-0.68508512213175421</v>
      </c>
      <c r="E1799" s="83">
        <v>4.8417572035899447E-3</v>
      </c>
      <c r="F1799" s="83">
        <v>1791</v>
      </c>
      <c r="G1799" s="83">
        <f t="shared" ca="1" si="59"/>
        <v>-1.4019150573225255E-2</v>
      </c>
    </row>
    <row r="1800" spans="2:7" x14ac:dyDescent="0.2">
      <c r="B1800" s="167">
        <v>43677</v>
      </c>
      <c r="C1800" s="28">
        <v>270.2</v>
      </c>
      <c r="D1800" s="83">
        <f t="shared" si="58"/>
        <v>0.13974775382798327</v>
      </c>
      <c r="E1800" s="83">
        <v>4.8345109706210915E-3</v>
      </c>
      <c r="F1800" s="83">
        <v>1792</v>
      </c>
      <c r="G1800" s="83">
        <f t="shared" ca="1" si="59"/>
        <v>8.4887221582180348E-3</v>
      </c>
    </row>
    <row r="1801" spans="2:7" x14ac:dyDescent="0.2">
      <c r="B1801" s="167">
        <v>42527</v>
      </c>
      <c r="C1801" s="28">
        <v>237.07</v>
      </c>
      <c r="D1801" s="83">
        <f t="shared" ref="D1801:D1864" si="60">(C1801-C1802)/C1802</f>
        <v>-5.2667332667332693E-2</v>
      </c>
      <c r="E1801" s="83">
        <v>4.8319416776161838E-3</v>
      </c>
      <c r="F1801" s="83">
        <v>1793</v>
      </c>
      <c r="G1801" s="83">
        <f t="shared" ref="G1801:G1864" ca="1" si="61">_xlfn.NORM.INV(RAND(),$M$10,$M$11)</f>
        <v>9.2921033838024459E-3</v>
      </c>
    </row>
    <row r="1802" spans="2:7" x14ac:dyDescent="0.2">
      <c r="B1802" s="167">
        <v>42571</v>
      </c>
      <c r="C1802" s="28">
        <v>250.25</v>
      </c>
      <c r="D1802" s="83">
        <f t="shared" si="60"/>
        <v>0.14217252396166138</v>
      </c>
      <c r="E1802" s="83">
        <v>4.8183095763902374E-3</v>
      </c>
      <c r="F1802" s="83">
        <v>1794</v>
      </c>
      <c r="G1802" s="83">
        <f t="shared" ca="1" si="61"/>
        <v>6.672230691885492E-3</v>
      </c>
    </row>
    <row r="1803" spans="2:7" x14ac:dyDescent="0.2">
      <c r="B1803" s="167">
        <v>44564</v>
      </c>
      <c r="C1803" s="28">
        <v>219.1</v>
      </c>
      <c r="D1803" s="83">
        <f t="shared" si="60"/>
        <v>4.8302288451303879</v>
      </c>
      <c r="E1803" s="83">
        <v>4.8154093097912539E-3</v>
      </c>
      <c r="F1803" s="83">
        <v>1795</v>
      </c>
      <c r="G1803" s="83">
        <f t="shared" ca="1" si="61"/>
        <v>-8.524370963425322E-3</v>
      </c>
    </row>
    <row r="1804" spans="2:7" x14ac:dyDescent="0.2">
      <c r="B1804" s="167">
        <v>38580</v>
      </c>
      <c r="C1804" s="28">
        <v>37.58</v>
      </c>
      <c r="D1804" s="83">
        <f t="shared" si="60"/>
        <v>-0.84348188254893786</v>
      </c>
      <c r="E1804" s="83">
        <v>4.812834224598923E-3</v>
      </c>
      <c r="F1804" s="83">
        <v>1796</v>
      </c>
      <c r="G1804" s="83">
        <f t="shared" ca="1" si="61"/>
        <v>6.41152672367253E-4</v>
      </c>
    </row>
    <row r="1805" spans="2:7" x14ac:dyDescent="0.2">
      <c r="B1805" s="167">
        <v>42653</v>
      </c>
      <c r="C1805" s="28">
        <v>240.1</v>
      </c>
      <c r="D1805" s="83">
        <f t="shared" si="60"/>
        <v>0.1482544237207078</v>
      </c>
      <c r="E1805" s="83">
        <v>4.8127223268466445E-3</v>
      </c>
      <c r="F1805" s="83">
        <v>1797</v>
      </c>
      <c r="G1805" s="83">
        <f t="shared" ca="1" si="61"/>
        <v>1.177358012858091E-2</v>
      </c>
    </row>
    <row r="1806" spans="2:7" x14ac:dyDescent="0.2">
      <c r="B1806" s="167">
        <v>42387</v>
      </c>
      <c r="C1806" s="28">
        <v>209.1</v>
      </c>
      <c r="D1806" s="83">
        <f t="shared" si="60"/>
        <v>-2.9518240044555895E-2</v>
      </c>
      <c r="E1806" s="83">
        <v>4.8053820278712162E-3</v>
      </c>
      <c r="F1806" s="83">
        <v>1798</v>
      </c>
      <c r="G1806" s="83">
        <f t="shared" ca="1" si="61"/>
        <v>2.616451576154329E-2</v>
      </c>
    </row>
    <row r="1807" spans="2:7" x14ac:dyDescent="0.2">
      <c r="B1807" s="167">
        <v>41680</v>
      </c>
      <c r="C1807" s="28">
        <v>215.46</v>
      </c>
      <c r="D1807" s="83">
        <f t="shared" si="60"/>
        <v>1.9418350628072096</v>
      </c>
      <c r="E1807" s="83">
        <v>4.8034323555472703E-3</v>
      </c>
      <c r="F1807" s="83">
        <v>1799</v>
      </c>
      <c r="G1807" s="83">
        <f t="shared" ca="1" si="61"/>
        <v>3.4335154465852287E-3</v>
      </c>
    </row>
    <row r="1808" spans="2:7" x14ac:dyDescent="0.2">
      <c r="B1808" s="167">
        <v>39570</v>
      </c>
      <c r="C1808" s="28">
        <v>73.239999999999995</v>
      </c>
      <c r="D1808" s="83">
        <f t="shared" si="60"/>
        <v>-0.76750682496349432</v>
      </c>
      <c r="E1808" s="83">
        <v>4.8017560707915262E-3</v>
      </c>
      <c r="F1808" s="83">
        <v>1800</v>
      </c>
      <c r="G1808" s="83">
        <f t="shared" ca="1" si="61"/>
        <v>3.3954613631610162E-3</v>
      </c>
    </row>
    <row r="1809" spans="2:7" x14ac:dyDescent="0.2">
      <c r="B1809" s="167">
        <v>44932</v>
      </c>
      <c r="C1809" s="28">
        <v>315.02</v>
      </c>
      <c r="D1809" s="83">
        <f t="shared" si="60"/>
        <v>0.11078984485190393</v>
      </c>
      <c r="E1809" s="83">
        <v>4.7843837713702477E-3</v>
      </c>
      <c r="F1809" s="83">
        <v>1801</v>
      </c>
      <c r="G1809" s="83">
        <f t="shared" ca="1" si="61"/>
        <v>6.7862065293596754E-3</v>
      </c>
    </row>
    <row r="1810" spans="2:7" x14ac:dyDescent="0.2">
      <c r="B1810" s="167">
        <v>42979</v>
      </c>
      <c r="C1810" s="28">
        <v>283.60000000000002</v>
      </c>
      <c r="D1810" s="83">
        <f t="shared" si="60"/>
        <v>0.36064865902221377</v>
      </c>
      <c r="E1810" s="83">
        <v>4.7829937998229329E-3</v>
      </c>
      <c r="F1810" s="83">
        <v>1802</v>
      </c>
      <c r="G1810" s="83">
        <f t="shared" ca="1" si="61"/>
        <v>2.2856666891198701E-3</v>
      </c>
    </row>
    <row r="1811" spans="2:7" x14ac:dyDescent="0.2">
      <c r="B1811" s="167">
        <v>42256</v>
      </c>
      <c r="C1811" s="28">
        <v>208.43</v>
      </c>
      <c r="D1811" s="83">
        <f t="shared" si="60"/>
        <v>0.57115935474144441</v>
      </c>
      <c r="E1811" s="83">
        <v>4.7724643270343672E-3</v>
      </c>
      <c r="F1811" s="83">
        <v>1803</v>
      </c>
      <c r="G1811" s="83">
        <f t="shared" ca="1" si="61"/>
        <v>-1.4099111969509031E-2</v>
      </c>
    </row>
    <row r="1812" spans="2:7" x14ac:dyDescent="0.2">
      <c r="B1812" s="167">
        <v>40826</v>
      </c>
      <c r="C1812" s="28">
        <v>132.66</v>
      </c>
      <c r="D1812" s="83">
        <f t="shared" si="60"/>
        <v>-0.57747555498933023</v>
      </c>
      <c r="E1812" s="83">
        <v>4.77164280845259E-3</v>
      </c>
      <c r="F1812" s="83">
        <v>1804</v>
      </c>
      <c r="G1812" s="83">
        <f t="shared" ca="1" si="61"/>
        <v>-4.3320733168118134E-3</v>
      </c>
    </row>
    <row r="1813" spans="2:7" x14ac:dyDescent="0.2">
      <c r="B1813" s="167">
        <v>44796</v>
      </c>
      <c r="C1813" s="28">
        <v>313.97000000000003</v>
      </c>
      <c r="D1813" s="83">
        <f t="shared" si="60"/>
        <v>7.2776166622726084</v>
      </c>
      <c r="E1813" s="83">
        <v>4.7683051715310069E-3</v>
      </c>
      <c r="F1813" s="83">
        <v>1805</v>
      </c>
      <c r="G1813" s="83">
        <f t="shared" ca="1" si="61"/>
        <v>-9.9508681008184368E-3</v>
      </c>
    </row>
    <row r="1814" spans="2:7" x14ac:dyDescent="0.2">
      <c r="B1814" s="167">
        <v>38590</v>
      </c>
      <c r="C1814" s="28">
        <v>37.93</v>
      </c>
      <c r="D1814" s="83">
        <f t="shared" si="60"/>
        <v>-0.76667076771653542</v>
      </c>
      <c r="E1814" s="83">
        <v>4.7682119205297935E-3</v>
      </c>
      <c r="F1814" s="83">
        <v>1806</v>
      </c>
      <c r="G1814" s="83">
        <f t="shared" ca="1" si="61"/>
        <v>-7.3604127329743715E-3</v>
      </c>
    </row>
    <row r="1815" spans="2:7" x14ac:dyDescent="0.2">
      <c r="B1815" s="167">
        <v>41019</v>
      </c>
      <c r="C1815" s="28">
        <v>162.56</v>
      </c>
      <c r="D1815" s="83">
        <f t="shared" si="60"/>
        <v>-0.58205424861807431</v>
      </c>
      <c r="E1815" s="83">
        <v>4.7592558254528107E-3</v>
      </c>
      <c r="F1815" s="83">
        <v>1807</v>
      </c>
      <c r="G1815" s="83">
        <f t="shared" ca="1" si="61"/>
        <v>-6.3756434898022696E-4</v>
      </c>
    </row>
    <row r="1816" spans="2:7" x14ac:dyDescent="0.2">
      <c r="B1816" s="167">
        <v>45349</v>
      </c>
      <c r="C1816" s="28">
        <v>388.95</v>
      </c>
      <c r="D1816" s="83">
        <f t="shared" si="60"/>
        <v>0.62584124064707602</v>
      </c>
      <c r="E1816" s="83">
        <v>4.7531709333263799E-3</v>
      </c>
      <c r="F1816" s="83">
        <v>1808</v>
      </c>
      <c r="G1816" s="83">
        <f t="shared" ca="1" si="61"/>
        <v>9.6677011602038596E-3</v>
      </c>
    </row>
    <row r="1817" spans="2:7" x14ac:dyDescent="0.2">
      <c r="B1817" s="167">
        <v>41772</v>
      </c>
      <c r="C1817" s="28">
        <v>239.23</v>
      </c>
      <c r="D1817" s="83">
        <f t="shared" si="60"/>
        <v>3.1838055264078347</v>
      </c>
      <c r="E1817" s="83">
        <v>4.7459050818983431E-3</v>
      </c>
      <c r="F1817" s="83">
        <v>1809</v>
      </c>
      <c r="G1817" s="83">
        <f t="shared" ca="1" si="61"/>
        <v>2.5700336244776474E-2</v>
      </c>
    </row>
    <row r="1818" spans="2:7" x14ac:dyDescent="0.2">
      <c r="B1818" s="167">
        <v>39142</v>
      </c>
      <c r="C1818" s="28">
        <v>57.18</v>
      </c>
      <c r="D1818" s="83">
        <f t="shared" si="60"/>
        <v>-0.73800687285223365</v>
      </c>
      <c r="E1818" s="83">
        <v>4.7443331576173453E-3</v>
      </c>
      <c r="F1818" s="83">
        <v>1810</v>
      </c>
      <c r="G1818" s="83">
        <f t="shared" ca="1" si="61"/>
        <v>-2.6860756854987254E-2</v>
      </c>
    </row>
    <row r="1819" spans="2:7" x14ac:dyDescent="0.2">
      <c r="B1819" s="167">
        <v>41701</v>
      </c>
      <c r="C1819" s="28">
        <v>218.25</v>
      </c>
      <c r="D1819" s="83">
        <f t="shared" si="60"/>
        <v>3.7704450361354162E-2</v>
      </c>
      <c r="E1819" s="83">
        <v>4.7417364883528277E-3</v>
      </c>
      <c r="F1819" s="83">
        <v>1811</v>
      </c>
      <c r="G1819" s="83">
        <f t="shared" ca="1" si="61"/>
        <v>1.4450327414205226E-2</v>
      </c>
    </row>
    <row r="1820" spans="2:7" x14ac:dyDescent="0.2">
      <c r="B1820" s="167">
        <v>42383</v>
      </c>
      <c r="C1820" s="28">
        <v>210.32</v>
      </c>
      <c r="D1820" s="83">
        <f t="shared" si="60"/>
        <v>-0.10559217520731454</v>
      </c>
      <c r="E1820" s="83">
        <v>4.729374671571111E-3</v>
      </c>
      <c r="F1820" s="83">
        <v>1812</v>
      </c>
      <c r="G1820" s="83">
        <f t="shared" ca="1" si="61"/>
        <v>3.6828541945237152E-2</v>
      </c>
    </row>
    <row r="1821" spans="2:7" x14ac:dyDescent="0.2">
      <c r="B1821" s="167">
        <v>43861</v>
      </c>
      <c r="C1821" s="28">
        <v>235.15</v>
      </c>
      <c r="D1821" s="83">
        <f t="shared" si="60"/>
        <v>0.32471410061405004</v>
      </c>
      <c r="E1821" s="83">
        <v>4.6998504593035433E-3</v>
      </c>
      <c r="F1821" s="83">
        <v>1813</v>
      </c>
      <c r="G1821" s="83">
        <f t="shared" ca="1" si="61"/>
        <v>-8.3666361889913547E-4</v>
      </c>
    </row>
    <row r="1822" spans="2:7" x14ac:dyDescent="0.2">
      <c r="B1822" s="167">
        <v>41157</v>
      </c>
      <c r="C1822" s="28">
        <v>177.51</v>
      </c>
      <c r="D1822" s="83">
        <f t="shared" si="60"/>
        <v>0.30646941929785815</v>
      </c>
      <c r="E1822" s="83">
        <v>4.6977586597237043E-3</v>
      </c>
      <c r="F1822" s="83">
        <v>1814</v>
      </c>
      <c r="G1822" s="83">
        <f t="shared" ca="1" si="61"/>
        <v>-1.4409534089600321E-3</v>
      </c>
    </row>
    <row r="1823" spans="2:7" x14ac:dyDescent="0.2">
      <c r="B1823" s="167">
        <v>40903</v>
      </c>
      <c r="C1823" s="28">
        <v>135.87</v>
      </c>
      <c r="D1823" s="83">
        <f t="shared" si="60"/>
        <v>-0.69149902365923432</v>
      </c>
      <c r="E1823" s="83">
        <v>4.6583850931676682E-3</v>
      </c>
      <c r="F1823" s="83">
        <v>1815</v>
      </c>
      <c r="G1823" s="83">
        <f t="shared" ca="1" si="61"/>
        <v>-8.3236442470959286E-3</v>
      </c>
    </row>
    <row r="1824" spans="2:7" x14ac:dyDescent="0.2">
      <c r="B1824" s="167">
        <v>45489</v>
      </c>
      <c r="C1824" s="28">
        <v>440.42</v>
      </c>
      <c r="D1824" s="83">
        <f t="shared" si="60"/>
        <v>6.5530783742068257</v>
      </c>
      <c r="E1824" s="83">
        <v>4.6534969661025148E-3</v>
      </c>
      <c r="F1824" s="83">
        <v>1816</v>
      </c>
      <c r="G1824" s="83">
        <f t="shared" ca="1" si="61"/>
        <v>4.3886930738245601E-2</v>
      </c>
    </row>
    <row r="1825" spans="2:7" x14ac:dyDescent="0.2">
      <c r="B1825" s="167">
        <v>38790</v>
      </c>
      <c r="C1825" s="28">
        <v>58.31</v>
      </c>
      <c r="D1825" s="83">
        <f t="shared" si="60"/>
        <v>-0.77503858024691352</v>
      </c>
      <c r="E1825" s="83">
        <v>4.6519641626465045E-3</v>
      </c>
      <c r="F1825" s="83">
        <v>1817</v>
      </c>
      <c r="G1825" s="83">
        <f t="shared" ca="1" si="61"/>
        <v>-8.6746795075185856E-3</v>
      </c>
    </row>
    <row r="1826" spans="2:7" x14ac:dyDescent="0.2">
      <c r="B1826" s="167">
        <v>43059</v>
      </c>
      <c r="C1826" s="28">
        <v>259.2</v>
      </c>
      <c r="D1826" s="83">
        <f t="shared" si="60"/>
        <v>0.44481605351170556</v>
      </c>
      <c r="E1826" s="83">
        <v>4.6511627906976301E-3</v>
      </c>
      <c r="F1826" s="83">
        <v>1818</v>
      </c>
      <c r="G1826" s="83">
        <f t="shared" ca="1" si="61"/>
        <v>-2.6947709060998842E-2</v>
      </c>
    </row>
    <row r="1827" spans="2:7" x14ac:dyDescent="0.2">
      <c r="B1827" s="167">
        <v>41151</v>
      </c>
      <c r="C1827" s="28">
        <v>179.4</v>
      </c>
      <c r="D1827" s="83">
        <f t="shared" si="60"/>
        <v>-0.17082640044370495</v>
      </c>
      <c r="E1827" s="83">
        <v>4.6480371842975449E-3</v>
      </c>
      <c r="F1827" s="83">
        <v>1819</v>
      </c>
      <c r="G1827" s="83">
        <f t="shared" ca="1" si="61"/>
        <v>-2.43568236474801E-2</v>
      </c>
    </row>
    <row r="1828" spans="2:7" x14ac:dyDescent="0.2">
      <c r="B1828" s="167">
        <v>41458</v>
      </c>
      <c r="C1828" s="28">
        <v>216.36</v>
      </c>
      <c r="D1828" s="83">
        <f t="shared" si="60"/>
        <v>3.9898523985239853</v>
      </c>
      <c r="E1828" s="83">
        <v>4.6433878157503715E-3</v>
      </c>
      <c r="F1828" s="83">
        <v>1820</v>
      </c>
      <c r="G1828" s="83">
        <f t="shared" ca="1" si="61"/>
        <v>-6.1886450362506973E-3</v>
      </c>
    </row>
    <row r="1829" spans="2:7" x14ac:dyDescent="0.2">
      <c r="B1829" s="167">
        <v>38674</v>
      </c>
      <c r="C1829" s="28">
        <v>43.36</v>
      </c>
      <c r="D1829" s="83">
        <f t="shared" si="60"/>
        <v>-0.83377419973164646</v>
      </c>
      <c r="E1829" s="83">
        <v>4.6339202965709654E-3</v>
      </c>
      <c r="F1829" s="83">
        <v>1821</v>
      </c>
      <c r="G1829" s="83">
        <f t="shared" ca="1" si="61"/>
        <v>1.172405045320889E-2</v>
      </c>
    </row>
    <row r="1830" spans="2:7" x14ac:dyDescent="0.2">
      <c r="B1830" s="167">
        <v>43196</v>
      </c>
      <c r="C1830" s="28">
        <v>260.85000000000002</v>
      </c>
      <c r="D1830" s="83">
        <f t="shared" si="60"/>
        <v>0.24892272335535767</v>
      </c>
      <c r="E1830" s="83">
        <v>4.6216060080879863E-3</v>
      </c>
      <c r="F1830" s="83">
        <v>1822</v>
      </c>
      <c r="G1830" s="83">
        <f t="shared" ca="1" si="61"/>
        <v>2.7338995959970594E-2</v>
      </c>
    </row>
    <row r="1831" spans="2:7" x14ac:dyDescent="0.2">
      <c r="B1831" s="167">
        <v>42187</v>
      </c>
      <c r="C1831" s="28">
        <v>208.86</v>
      </c>
      <c r="D1831" s="83">
        <f t="shared" si="60"/>
        <v>-0.26171792152704126</v>
      </c>
      <c r="E1831" s="83">
        <v>4.6176046176046558E-3</v>
      </c>
      <c r="F1831" s="83">
        <v>1823</v>
      </c>
      <c r="G1831" s="83">
        <f t="shared" ca="1" si="61"/>
        <v>-2.0109785350613991E-2</v>
      </c>
    </row>
    <row r="1832" spans="2:7" x14ac:dyDescent="0.2">
      <c r="B1832" s="167">
        <v>42969</v>
      </c>
      <c r="C1832" s="28">
        <v>282.89999999999998</v>
      </c>
      <c r="D1832" s="83">
        <f t="shared" si="60"/>
        <v>-3.1993156544054824E-2</v>
      </c>
      <c r="E1832" s="83">
        <v>4.6164772727271108E-3</v>
      </c>
      <c r="F1832" s="83">
        <v>1824</v>
      </c>
      <c r="G1832" s="83">
        <f t="shared" ca="1" si="61"/>
        <v>-1.2288159777729303E-2</v>
      </c>
    </row>
    <row r="1833" spans="2:7" x14ac:dyDescent="0.2">
      <c r="B1833" s="167">
        <v>44755</v>
      </c>
      <c r="C1833" s="28">
        <v>292.25</v>
      </c>
      <c r="D1833" s="83">
        <f t="shared" si="60"/>
        <v>4.1515952758681474</v>
      </c>
      <c r="E1833" s="83">
        <v>4.6062356055136464E-3</v>
      </c>
      <c r="F1833" s="83">
        <v>1825</v>
      </c>
      <c r="G1833" s="83">
        <f t="shared" ca="1" si="61"/>
        <v>1.0723300321256323E-2</v>
      </c>
    </row>
    <row r="1834" spans="2:7" x14ac:dyDescent="0.2">
      <c r="B1834" s="167">
        <v>39793</v>
      </c>
      <c r="C1834" s="28">
        <v>56.73</v>
      </c>
      <c r="D1834" s="83">
        <f t="shared" si="60"/>
        <v>-0.53606476938174685</v>
      </c>
      <c r="E1834" s="83">
        <v>4.604214627235665E-3</v>
      </c>
      <c r="F1834" s="83">
        <v>1826</v>
      </c>
      <c r="G1834" s="83">
        <f t="shared" ca="1" si="61"/>
        <v>2.1505894422747668E-2</v>
      </c>
    </row>
    <row r="1835" spans="2:7" x14ac:dyDescent="0.2">
      <c r="B1835" s="167">
        <v>40672</v>
      </c>
      <c r="C1835" s="28">
        <v>122.28</v>
      </c>
      <c r="D1835" s="83">
        <f t="shared" si="60"/>
        <v>-0.3420500403551251</v>
      </c>
      <c r="E1835" s="83">
        <v>4.6007229707525658E-3</v>
      </c>
      <c r="F1835" s="83">
        <v>1827</v>
      </c>
      <c r="G1835" s="83">
        <f t="shared" ca="1" si="61"/>
        <v>-2.1157473959691111E-2</v>
      </c>
    </row>
    <row r="1836" spans="2:7" x14ac:dyDescent="0.2">
      <c r="B1836" s="167">
        <v>44005</v>
      </c>
      <c r="C1836" s="28">
        <v>185.85</v>
      </c>
      <c r="D1836" s="83">
        <f t="shared" si="60"/>
        <v>4.6609808102345411</v>
      </c>
      <c r="E1836" s="83">
        <v>4.5945945945945641E-3</v>
      </c>
      <c r="F1836" s="83">
        <v>1828</v>
      </c>
      <c r="G1836" s="83">
        <f t="shared" ca="1" si="61"/>
        <v>-1.902253828922322E-2</v>
      </c>
    </row>
    <row r="1837" spans="2:7" x14ac:dyDescent="0.2">
      <c r="B1837" s="167">
        <v>38490</v>
      </c>
      <c r="C1837" s="28">
        <v>32.83</v>
      </c>
      <c r="D1837" s="83">
        <f t="shared" si="60"/>
        <v>-0.88000730994152054</v>
      </c>
      <c r="E1837" s="83">
        <v>4.5899632802937143E-3</v>
      </c>
      <c r="F1837" s="83">
        <v>1829</v>
      </c>
      <c r="G1837" s="83">
        <f t="shared" ca="1" si="61"/>
        <v>-1.0969776774278933E-2</v>
      </c>
    </row>
    <row r="1838" spans="2:7" x14ac:dyDescent="0.2">
      <c r="B1838" s="167">
        <v>42989</v>
      </c>
      <c r="C1838" s="28">
        <v>273.60000000000002</v>
      </c>
      <c r="D1838" s="83">
        <f t="shared" si="60"/>
        <v>0.44654753092947047</v>
      </c>
      <c r="E1838" s="83">
        <v>4.5896823939783364E-3</v>
      </c>
      <c r="F1838" s="83">
        <v>1830</v>
      </c>
      <c r="G1838" s="83">
        <f t="shared" ca="1" si="61"/>
        <v>-3.5606376781605739E-3</v>
      </c>
    </row>
    <row r="1839" spans="2:7" x14ac:dyDescent="0.2">
      <c r="B1839" s="167">
        <v>41291</v>
      </c>
      <c r="C1839" s="28">
        <v>189.14</v>
      </c>
      <c r="D1839" s="83">
        <f t="shared" si="60"/>
        <v>-0.18209729729729734</v>
      </c>
      <c r="E1839" s="83">
        <v>4.5676651795197856E-3</v>
      </c>
      <c r="F1839" s="83">
        <v>1831</v>
      </c>
      <c r="G1839" s="83">
        <f t="shared" ca="1" si="61"/>
        <v>-1.8196705762165505E-2</v>
      </c>
    </row>
    <row r="1840" spans="2:7" x14ac:dyDescent="0.2">
      <c r="B1840" s="167">
        <v>44600</v>
      </c>
      <c r="C1840" s="28">
        <v>231.25</v>
      </c>
      <c r="D1840" s="83">
        <f t="shared" si="60"/>
        <v>-0.22326346903130465</v>
      </c>
      <c r="E1840" s="83">
        <v>4.5612510860122127E-3</v>
      </c>
      <c r="F1840" s="83">
        <v>1832</v>
      </c>
      <c r="G1840" s="83">
        <f t="shared" ca="1" si="61"/>
        <v>4.9794532455892881E-2</v>
      </c>
    </row>
    <row r="1841" spans="2:7" x14ac:dyDescent="0.2">
      <c r="B1841" s="167">
        <v>44763</v>
      </c>
      <c r="C1841" s="28">
        <v>297.72000000000003</v>
      </c>
      <c r="D1841" s="83">
        <f t="shared" si="60"/>
        <v>-0.3399547732009045</v>
      </c>
      <c r="E1841" s="83">
        <v>4.5551169146675532E-3</v>
      </c>
      <c r="F1841" s="83">
        <v>1833</v>
      </c>
      <c r="G1841" s="83">
        <f t="shared" ca="1" si="61"/>
        <v>-2.6329165417680794E-2</v>
      </c>
    </row>
    <row r="1842" spans="2:7" x14ac:dyDescent="0.2">
      <c r="B1842" s="167">
        <v>45621</v>
      </c>
      <c r="C1842" s="28">
        <v>451.06</v>
      </c>
      <c r="D1842" s="83">
        <f t="shared" si="60"/>
        <v>0.10640698587127158</v>
      </c>
      <c r="E1842" s="83">
        <v>4.5432274731638245E-3</v>
      </c>
      <c r="F1842" s="83">
        <v>1834</v>
      </c>
      <c r="G1842" s="83">
        <f t="shared" ca="1" si="61"/>
        <v>5.4932122604636853E-3</v>
      </c>
    </row>
    <row r="1843" spans="2:7" x14ac:dyDescent="0.2">
      <c r="B1843" s="167">
        <v>45441</v>
      </c>
      <c r="C1843" s="28">
        <v>407.68</v>
      </c>
      <c r="D1843" s="83">
        <f t="shared" si="60"/>
        <v>0.78579876472907273</v>
      </c>
      <c r="E1843" s="83">
        <v>4.5338064261778825E-3</v>
      </c>
      <c r="F1843" s="83">
        <v>1835</v>
      </c>
      <c r="G1843" s="83">
        <f t="shared" ca="1" si="61"/>
        <v>-1.9576021248091605E-2</v>
      </c>
    </row>
    <row r="1844" spans="2:7" x14ac:dyDescent="0.2">
      <c r="B1844" s="167">
        <v>42335</v>
      </c>
      <c r="C1844" s="28">
        <v>228.29</v>
      </c>
      <c r="D1844" s="83">
        <f t="shared" si="60"/>
        <v>5.057044308835235</v>
      </c>
      <c r="E1844" s="83">
        <v>4.5322538062131535E-3</v>
      </c>
      <c r="F1844" s="83">
        <v>1836</v>
      </c>
      <c r="G1844" s="83">
        <f t="shared" ca="1" si="61"/>
        <v>-1.3473350082216479E-2</v>
      </c>
    </row>
    <row r="1845" spans="2:7" x14ac:dyDescent="0.2">
      <c r="B1845" s="167">
        <v>38544</v>
      </c>
      <c r="C1845" s="28">
        <v>37.69</v>
      </c>
      <c r="D1845" s="83">
        <f t="shared" si="60"/>
        <v>-0.83504748566676879</v>
      </c>
      <c r="E1845" s="83">
        <v>4.5309168443495359E-3</v>
      </c>
      <c r="F1845" s="83">
        <v>1837</v>
      </c>
      <c r="G1845" s="83">
        <f t="shared" ca="1" si="61"/>
        <v>2.2712320877345527E-2</v>
      </c>
    </row>
    <row r="1846" spans="2:7" x14ac:dyDescent="0.2">
      <c r="B1846" s="167">
        <v>41785</v>
      </c>
      <c r="C1846" s="28">
        <v>228.49</v>
      </c>
      <c r="D1846" s="83">
        <f t="shared" si="60"/>
        <v>-2.8446296453780072E-2</v>
      </c>
      <c r="E1846" s="83">
        <v>4.528268706585778E-3</v>
      </c>
      <c r="F1846" s="83">
        <v>1838</v>
      </c>
      <c r="G1846" s="83">
        <f t="shared" ca="1" si="61"/>
        <v>-5.1029757218744101E-3</v>
      </c>
    </row>
    <row r="1847" spans="2:7" x14ac:dyDescent="0.2">
      <c r="B1847" s="167">
        <v>41899</v>
      </c>
      <c r="C1847" s="28">
        <v>235.18</v>
      </c>
      <c r="D1847" s="83">
        <f t="shared" si="60"/>
        <v>2.6456363354518682</v>
      </c>
      <c r="E1847" s="83">
        <v>4.5275926875106877E-3</v>
      </c>
      <c r="F1847" s="83">
        <v>1839</v>
      </c>
      <c r="G1847" s="83">
        <f t="shared" ca="1" si="61"/>
        <v>5.5360358878960717E-3</v>
      </c>
    </row>
    <row r="1848" spans="2:7" x14ac:dyDescent="0.2">
      <c r="B1848" s="167">
        <v>39008</v>
      </c>
      <c r="C1848" s="28">
        <v>64.510000000000005</v>
      </c>
      <c r="D1848" s="83">
        <f t="shared" si="60"/>
        <v>0.15983459187342697</v>
      </c>
      <c r="E1848" s="83">
        <v>4.5157271877920629E-3</v>
      </c>
      <c r="F1848" s="83">
        <v>1840</v>
      </c>
      <c r="G1848" s="83">
        <f t="shared" ca="1" si="61"/>
        <v>1.3080603093522897E-2</v>
      </c>
    </row>
    <row r="1849" spans="2:7" x14ac:dyDescent="0.2">
      <c r="B1849" s="167">
        <v>39296</v>
      </c>
      <c r="C1849" s="28">
        <v>55.62</v>
      </c>
      <c r="D1849" s="83">
        <f t="shared" si="60"/>
        <v>-0.78273437499999998</v>
      </c>
      <c r="E1849" s="83">
        <v>4.5150803684305581E-3</v>
      </c>
      <c r="F1849" s="83">
        <v>1841</v>
      </c>
      <c r="G1849" s="83">
        <f t="shared" ca="1" si="61"/>
        <v>1.2021257491197068E-2</v>
      </c>
    </row>
    <row r="1850" spans="2:7" x14ac:dyDescent="0.2">
      <c r="B1850" s="167">
        <v>43732</v>
      </c>
      <c r="C1850" s="28">
        <v>256</v>
      </c>
      <c r="D1850" s="83">
        <f t="shared" si="60"/>
        <v>0.11634397348683066</v>
      </c>
      <c r="E1850" s="83">
        <v>4.5124583088091254E-3</v>
      </c>
      <c r="F1850" s="83">
        <v>1842</v>
      </c>
      <c r="G1850" s="83">
        <f t="shared" ca="1" si="61"/>
        <v>1.0897590448830983E-2</v>
      </c>
    </row>
    <row r="1851" spans="2:7" x14ac:dyDescent="0.2">
      <c r="B1851" s="167">
        <v>41732</v>
      </c>
      <c r="C1851" s="28">
        <v>229.32</v>
      </c>
      <c r="D1851" s="83">
        <f t="shared" si="60"/>
        <v>0.28420227361818895</v>
      </c>
      <c r="E1851" s="83">
        <v>4.5118051601033826E-3</v>
      </c>
      <c r="F1851" s="83">
        <v>1843</v>
      </c>
      <c r="G1851" s="83">
        <f t="shared" ca="1" si="61"/>
        <v>1.2255297369548619E-2</v>
      </c>
    </row>
    <row r="1852" spans="2:7" x14ac:dyDescent="0.2">
      <c r="B1852" s="167">
        <v>41150</v>
      </c>
      <c r="C1852" s="28">
        <v>178.57</v>
      </c>
      <c r="D1852" s="83">
        <f t="shared" si="60"/>
        <v>-0.56825435203094776</v>
      </c>
      <c r="E1852" s="83">
        <v>4.5001968836135622E-3</v>
      </c>
      <c r="F1852" s="83">
        <v>1844</v>
      </c>
      <c r="G1852" s="83">
        <f t="shared" ca="1" si="61"/>
        <v>1.0675228644735366E-2</v>
      </c>
    </row>
    <row r="1853" spans="2:7" x14ac:dyDescent="0.2">
      <c r="B1853" s="167">
        <v>45259</v>
      </c>
      <c r="C1853" s="28">
        <v>413.6</v>
      </c>
      <c r="D1853" s="83">
        <f t="shared" si="60"/>
        <v>-0.11174108197495861</v>
      </c>
      <c r="E1853" s="83">
        <v>4.4930176077717611E-3</v>
      </c>
      <c r="F1853" s="83">
        <v>1845</v>
      </c>
      <c r="G1853" s="83">
        <f t="shared" ca="1" si="61"/>
        <v>-1.6002172202985835E-2</v>
      </c>
    </row>
    <row r="1854" spans="2:7" x14ac:dyDescent="0.2">
      <c r="B1854" s="167">
        <v>45518</v>
      </c>
      <c r="C1854" s="28">
        <v>465.63</v>
      </c>
      <c r="D1854" s="83">
        <f t="shared" si="60"/>
        <v>1.8447580645161288</v>
      </c>
      <c r="E1854" s="83">
        <v>4.4871103440836677E-3</v>
      </c>
      <c r="F1854" s="83">
        <v>1846</v>
      </c>
      <c r="G1854" s="83">
        <f t="shared" ca="1" si="61"/>
        <v>-2.4607743420689207E-2</v>
      </c>
    </row>
    <row r="1855" spans="2:7" x14ac:dyDescent="0.2">
      <c r="B1855" s="167">
        <v>41027</v>
      </c>
      <c r="C1855" s="28">
        <v>163.68</v>
      </c>
      <c r="D1855" s="83">
        <f t="shared" si="60"/>
        <v>-0.45548902195608787</v>
      </c>
      <c r="E1855" s="83">
        <v>4.4799018103713912E-3</v>
      </c>
      <c r="F1855" s="83">
        <v>1847</v>
      </c>
      <c r="G1855" s="83">
        <f t="shared" ca="1" si="61"/>
        <v>1.1242333638179327E-2</v>
      </c>
    </row>
    <row r="1856" spans="2:7" x14ac:dyDescent="0.2">
      <c r="B1856" s="167">
        <v>44768</v>
      </c>
      <c r="C1856" s="28">
        <v>300.60000000000002</v>
      </c>
      <c r="D1856" s="83">
        <f t="shared" si="60"/>
        <v>0.21725045555780537</v>
      </c>
      <c r="E1856" s="83">
        <v>4.4777116888325601E-3</v>
      </c>
      <c r="F1856" s="83">
        <v>1848</v>
      </c>
      <c r="G1856" s="83">
        <f t="shared" ca="1" si="61"/>
        <v>-1.117542740205256E-2</v>
      </c>
    </row>
    <row r="1857" spans="2:7" x14ac:dyDescent="0.2">
      <c r="B1857" s="167">
        <v>42641</v>
      </c>
      <c r="C1857" s="28">
        <v>246.95</v>
      </c>
      <c r="D1857" s="83">
        <f t="shared" si="60"/>
        <v>-0.49561896203100431</v>
      </c>
      <c r="E1857" s="83">
        <v>4.4742729306487469E-3</v>
      </c>
      <c r="F1857" s="83">
        <v>1849</v>
      </c>
      <c r="G1857" s="83">
        <f t="shared" ca="1" si="61"/>
        <v>-3.5218124743152647E-2</v>
      </c>
    </row>
    <row r="1858" spans="2:7" x14ac:dyDescent="0.2">
      <c r="B1858" s="167">
        <v>45560</v>
      </c>
      <c r="C1858" s="28">
        <v>489.61</v>
      </c>
      <c r="D1858" s="83">
        <f t="shared" si="60"/>
        <v>1.4482948294829483</v>
      </c>
      <c r="E1858" s="83">
        <v>4.4724370678866851E-3</v>
      </c>
      <c r="F1858" s="83">
        <v>1850</v>
      </c>
      <c r="G1858" s="83">
        <f t="shared" ca="1" si="61"/>
        <v>-3.4230415129518892E-3</v>
      </c>
    </row>
    <row r="1859" spans="2:7" x14ac:dyDescent="0.2">
      <c r="B1859" s="167">
        <v>41324</v>
      </c>
      <c r="C1859" s="28">
        <v>199.98</v>
      </c>
      <c r="D1859" s="83">
        <f t="shared" si="60"/>
        <v>-4.3295220781706029E-2</v>
      </c>
      <c r="E1859" s="83">
        <v>4.4703400472147587E-3</v>
      </c>
      <c r="F1859" s="83">
        <v>1851</v>
      </c>
      <c r="G1859" s="83">
        <f t="shared" ca="1" si="61"/>
        <v>8.7419819456203227E-3</v>
      </c>
    </row>
    <row r="1860" spans="2:7" x14ac:dyDescent="0.2">
      <c r="B1860" s="167">
        <v>41506</v>
      </c>
      <c r="C1860" s="28">
        <v>209.03</v>
      </c>
      <c r="D1860" s="83">
        <f t="shared" si="60"/>
        <v>-0.2575741431362103</v>
      </c>
      <c r="E1860" s="83">
        <v>4.4690052859202639E-3</v>
      </c>
      <c r="F1860" s="83">
        <v>1852</v>
      </c>
      <c r="G1860" s="83">
        <f t="shared" ca="1" si="61"/>
        <v>-1.1484259476069108E-2</v>
      </c>
    </row>
    <row r="1861" spans="2:7" x14ac:dyDescent="0.2">
      <c r="B1861" s="167">
        <v>42828</v>
      </c>
      <c r="C1861" s="28">
        <v>281.55</v>
      </c>
      <c r="D1861" s="83">
        <f t="shared" si="60"/>
        <v>0.40025861640224808</v>
      </c>
      <c r="E1861" s="83">
        <v>4.4595076703531928E-3</v>
      </c>
      <c r="F1861" s="83">
        <v>1853</v>
      </c>
      <c r="G1861" s="83">
        <f t="shared" ca="1" si="61"/>
        <v>2.8242070139255671E-2</v>
      </c>
    </row>
    <row r="1862" spans="2:7" x14ac:dyDescent="0.2">
      <c r="B1862" s="167">
        <v>41254</v>
      </c>
      <c r="C1862" s="28">
        <v>201.07</v>
      </c>
      <c r="D1862" s="83">
        <f t="shared" si="60"/>
        <v>-0.25968335787923424</v>
      </c>
      <c r="E1862" s="83">
        <v>4.4459986012587984E-3</v>
      </c>
      <c r="F1862" s="83">
        <v>1854</v>
      </c>
      <c r="G1862" s="83">
        <f t="shared" ca="1" si="61"/>
        <v>-1.2475051289714533E-2</v>
      </c>
    </row>
    <row r="1863" spans="2:7" x14ac:dyDescent="0.2">
      <c r="B1863" s="167">
        <v>43297</v>
      </c>
      <c r="C1863" s="28">
        <v>271.60000000000002</v>
      </c>
      <c r="D1863" s="83">
        <f t="shared" si="60"/>
        <v>5.2557554223111105E-3</v>
      </c>
      <c r="E1863" s="83">
        <v>4.4378698224853755E-3</v>
      </c>
      <c r="F1863" s="83">
        <v>1855</v>
      </c>
      <c r="G1863" s="83">
        <f t="shared" ca="1" si="61"/>
        <v>7.8413652420694681E-3</v>
      </c>
    </row>
    <row r="1864" spans="2:7" x14ac:dyDescent="0.2">
      <c r="B1864" s="167">
        <v>44713</v>
      </c>
      <c r="C1864" s="28">
        <v>270.18</v>
      </c>
      <c r="D1864" s="83">
        <f t="shared" si="60"/>
        <v>-0.12168004941321806</v>
      </c>
      <c r="E1864" s="83">
        <v>4.4239562809026273E-3</v>
      </c>
      <c r="F1864" s="83">
        <v>1856</v>
      </c>
      <c r="G1864" s="83">
        <f t="shared" ca="1" si="61"/>
        <v>3.8036629491048038E-2</v>
      </c>
    </row>
    <row r="1865" spans="2:7" x14ac:dyDescent="0.2">
      <c r="B1865" s="167">
        <v>44777</v>
      </c>
      <c r="C1865" s="28">
        <v>307.61</v>
      </c>
      <c r="D1865" s="83">
        <f t="shared" ref="D1865:D1928" si="62">(C1865-C1866)/C1866</f>
        <v>4.3966666666666665</v>
      </c>
      <c r="E1865" s="83">
        <v>4.4080193299811362E-3</v>
      </c>
      <c r="F1865" s="83">
        <v>1857</v>
      </c>
      <c r="G1865" s="83">
        <f t="shared" ref="G1865:G1928" ca="1" si="63">_xlfn.NORM.INV(RAND(),$M$10,$M$11)</f>
        <v>9.3774469265289415E-3</v>
      </c>
    </row>
    <row r="1866" spans="2:7" x14ac:dyDescent="0.2">
      <c r="B1866" s="167">
        <v>39812</v>
      </c>
      <c r="C1866" s="28">
        <v>57</v>
      </c>
      <c r="D1866" s="83">
        <f t="shared" si="62"/>
        <v>-0.81640146878824971</v>
      </c>
      <c r="E1866" s="83">
        <v>4.4052863436123352E-3</v>
      </c>
      <c r="F1866" s="83">
        <v>1858</v>
      </c>
      <c r="G1866" s="83">
        <f t="shared" ca="1" si="63"/>
        <v>1.6203586142440544E-3</v>
      </c>
    </row>
    <row r="1867" spans="2:7" x14ac:dyDescent="0.2">
      <c r="B1867" s="167">
        <v>44942</v>
      </c>
      <c r="C1867" s="28">
        <v>310.45999999999998</v>
      </c>
      <c r="D1867" s="83">
        <f t="shared" si="62"/>
        <v>2.6641095243715327</v>
      </c>
      <c r="E1867" s="83">
        <v>4.3998705920412703E-3</v>
      </c>
      <c r="F1867" s="83">
        <v>1859</v>
      </c>
      <c r="G1867" s="83">
        <f t="shared" ca="1" si="63"/>
        <v>1.4867007736171114E-3</v>
      </c>
    </row>
    <row r="1868" spans="2:7" x14ac:dyDescent="0.2">
      <c r="B1868" s="167">
        <v>40133</v>
      </c>
      <c r="C1868" s="28">
        <v>84.73</v>
      </c>
      <c r="D1868" s="83">
        <f t="shared" si="62"/>
        <v>-0.35142375995101033</v>
      </c>
      <c r="E1868" s="83">
        <v>4.3859649122807553E-3</v>
      </c>
      <c r="F1868" s="83">
        <v>1860</v>
      </c>
      <c r="G1868" s="83">
        <f t="shared" ca="1" si="63"/>
        <v>-5.4349034760400238E-3</v>
      </c>
    </row>
    <row r="1869" spans="2:7" x14ac:dyDescent="0.2">
      <c r="B1869" s="167">
        <v>40799</v>
      </c>
      <c r="C1869" s="28">
        <v>130.63999999999999</v>
      </c>
      <c r="D1869" s="83">
        <f t="shared" si="62"/>
        <v>-0.52649510692279811</v>
      </c>
      <c r="E1869" s="83">
        <v>4.382255708464621E-3</v>
      </c>
      <c r="F1869" s="83">
        <v>1861</v>
      </c>
      <c r="G1869" s="83">
        <f t="shared" ca="1" si="63"/>
        <v>-2.1034021719796517E-2</v>
      </c>
    </row>
    <row r="1870" spans="2:7" x14ac:dyDescent="0.2">
      <c r="B1870" s="167">
        <v>43515</v>
      </c>
      <c r="C1870" s="28">
        <v>275.89999999999998</v>
      </c>
      <c r="D1870" s="83">
        <f t="shared" si="62"/>
        <v>0.39259034928326253</v>
      </c>
      <c r="E1870" s="83">
        <v>4.3684018929741122E-3</v>
      </c>
      <c r="F1870" s="83">
        <v>1862</v>
      </c>
      <c r="G1870" s="83">
        <f t="shared" ca="1" si="63"/>
        <v>-8.9234286841786525E-4</v>
      </c>
    </row>
    <row r="1871" spans="2:7" x14ac:dyDescent="0.2">
      <c r="B1871" s="167">
        <v>41345</v>
      </c>
      <c r="C1871" s="28">
        <v>198.12</v>
      </c>
      <c r="D1871" s="83">
        <f t="shared" si="62"/>
        <v>-0.11363636363636366</v>
      </c>
      <c r="E1871" s="83">
        <v>4.3597282774004544E-3</v>
      </c>
      <c r="F1871" s="83">
        <v>1863</v>
      </c>
      <c r="G1871" s="83">
        <f t="shared" ca="1" si="63"/>
        <v>1.4931992828063664E-2</v>
      </c>
    </row>
    <row r="1872" spans="2:7" x14ac:dyDescent="0.2">
      <c r="B1872" s="167">
        <v>42313</v>
      </c>
      <c r="C1872" s="28">
        <v>223.52</v>
      </c>
      <c r="D1872" s="83">
        <f t="shared" si="62"/>
        <v>-0.27651723579867288</v>
      </c>
      <c r="E1872" s="83">
        <v>4.3585711076162608E-3</v>
      </c>
      <c r="F1872" s="83">
        <v>1864</v>
      </c>
      <c r="G1872" s="83">
        <f t="shared" ca="1" si="63"/>
        <v>5.0757189678264491E-3</v>
      </c>
    </row>
    <row r="1873" spans="2:7" x14ac:dyDescent="0.2">
      <c r="B1873" s="167">
        <v>44778</v>
      </c>
      <c r="C1873" s="28">
        <v>308.95</v>
      </c>
      <c r="D1873" s="83">
        <f t="shared" si="62"/>
        <v>4.3581338883107872</v>
      </c>
      <c r="E1873" s="83">
        <v>4.3561652742107699E-3</v>
      </c>
      <c r="F1873" s="83">
        <v>1865</v>
      </c>
      <c r="G1873" s="83">
        <f t="shared" ca="1" si="63"/>
        <v>7.5408870511337548E-3</v>
      </c>
    </row>
    <row r="1874" spans="2:7" x14ac:dyDescent="0.2">
      <c r="B1874" s="167">
        <v>39127</v>
      </c>
      <c r="C1874" s="28">
        <v>57.66</v>
      </c>
      <c r="D1874" s="83">
        <f t="shared" si="62"/>
        <v>-0.14030117787386309</v>
      </c>
      <c r="E1874" s="83">
        <v>4.3546420484236199E-3</v>
      </c>
      <c r="F1874" s="83">
        <v>1866</v>
      </c>
      <c r="G1874" s="83">
        <f t="shared" ca="1" si="63"/>
        <v>2.9987262665379089E-2</v>
      </c>
    </row>
    <row r="1875" spans="2:7" x14ac:dyDescent="0.2">
      <c r="B1875" s="167">
        <v>39505</v>
      </c>
      <c r="C1875" s="28">
        <v>67.069999999999993</v>
      </c>
      <c r="D1875" s="83">
        <f t="shared" si="62"/>
        <v>-0.78527293100688333</v>
      </c>
      <c r="E1875" s="83">
        <v>4.3426175501646005E-3</v>
      </c>
      <c r="F1875" s="83">
        <v>1867</v>
      </c>
      <c r="G1875" s="83">
        <f t="shared" ca="1" si="63"/>
        <v>-3.0648281808041736E-3</v>
      </c>
    </row>
    <row r="1876" spans="2:7" x14ac:dyDescent="0.2">
      <c r="B1876" s="167">
        <v>42913</v>
      </c>
      <c r="C1876" s="28">
        <v>312.35000000000002</v>
      </c>
      <c r="D1876" s="83">
        <f t="shared" si="62"/>
        <v>4.8635254364557916</v>
      </c>
      <c r="E1876" s="83">
        <v>4.3408360128618095E-3</v>
      </c>
      <c r="F1876" s="83">
        <v>1868</v>
      </c>
      <c r="G1876" s="83">
        <f t="shared" ca="1" si="63"/>
        <v>-5.5941505590917182E-3</v>
      </c>
    </row>
    <row r="1877" spans="2:7" x14ac:dyDescent="0.2">
      <c r="B1877" s="167">
        <v>39211</v>
      </c>
      <c r="C1877" s="28">
        <v>53.27</v>
      </c>
      <c r="D1877" s="83">
        <f t="shared" si="62"/>
        <v>-0.80920487106017192</v>
      </c>
      <c r="E1877" s="83">
        <v>4.3363499245852935E-3</v>
      </c>
      <c r="F1877" s="83">
        <v>1869</v>
      </c>
      <c r="G1877" s="83">
        <f t="shared" ca="1" si="63"/>
        <v>3.5576570451406773E-3</v>
      </c>
    </row>
    <row r="1878" spans="2:7" x14ac:dyDescent="0.2">
      <c r="B1878" s="167">
        <v>42857</v>
      </c>
      <c r="C1878" s="28">
        <v>279.2</v>
      </c>
      <c r="D1878" s="83">
        <f t="shared" si="62"/>
        <v>0.33269689737470159</v>
      </c>
      <c r="E1878" s="83">
        <v>4.3165467625898872E-3</v>
      </c>
      <c r="F1878" s="83">
        <v>1870</v>
      </c>
      <c r="G1878" s="83">
        <f t="shared" ca="1" si="63"/>
        <v>-6.0033073856464057E-3</v>
      </c>
    </row>
    <row r="1879" spans="2:7" x14ac:dyDescent="0.2">
      <c r="B1879" s="167">
        <v>44193</v>
      </c>
      <c r="C1879" s="28">
        <v>209.5</v>
      </c>
      <c r="D1879" s="83">
        <f t="shared" si="62"/>
        <v>0.36269025627683094</v>
      </c>
      <c r="E1879" s="83">
        <v>4.3144774688399119E-3</v>
      </c>
      <c r="F1879" s="83">
        <v>1871</v>
      </c>
      <c r="G1879" s="83">
        <f t="shared" ca="1" si="63"/>
        <v>-5.004419656562324E-3</v>
      </c>
    </row>
    <row r="1880" spans="2:7" x14ac:dyDescent="0.2">
      <c r="B1880" s="167">
        <v>41059</v>
      </c>
      <c r="C1880" s="28">
        <v>153.74</v>
      </c>
      <c r="D1880" s="83">
        <f t="shared" si="62"/>
        <v>-0.34158458244111345</v>
      </c>
      <c r="E1880" s="83">
        <v>4.3114711262084958E-3</v>
      </c>
      <c r="F1880" s="83">
        <v>1872</v>
      </c>
      <c r="G1880" s="83">
        <f t="shared" ca="1" si="63"/>
        <v>9.1344370865855794E-3</v>
      </c>
    </row>
    <row r="1881" spans="2:7" x14ac:dyDescent="0.2">
      <c r="B1881" s="167">
        <v>42705</v>
      </c>
      <c r="C1881" s="28">
        <v>233.5</v>
      </c>
      <c r="D1881" s="83">
        <f t="shared" si="62"/>
        <v>0.17632241813602015</v>
      </c>
      <c r="E1881" s="83">
        <v>4.3010752688172043E-3</v>
      </c>
      <c r="F1881" s="83">
        <v>1873</v>
      </c>
      <c r="G1881" s="83">
        <f t="shared" ca="1" si="63"/>
        <v>9.3374719054580696E-3</v>
      </c>
    </row>
    <row r="1882" spans="2:7" x14ac:dyDescent="0.2">
      <c r="B1882" s="167">
        <v>43991</v>
      </c>
      <c r="C1882" s="28">
        <v>198.5</v>
      </c>
      <c r="D1882" s="83">
        <f t="shared" si="62"/>
        <v>2.031923018176264</v>
      </c>
      <c r="E1882" s="83">
        <v>4.3005312420945829E-3</v>
      </c>
      <c r="F1882" s="83">
        <v>1874</v>
      </c>
      <c r="G1882" s="83">
        <f t="shared" ca="1" si="63"/>
        <v>-2.9766024340762382E-2</v>
      </c>
    </row>
    <row r="1883" spans="2:7" x14ac:dyDescent="0.2">
      <c r="B1883" s="167">
        <v>39979</v>
      </c>
      <c r="C1883" s="28">
        <v>65.47</v>
      </c>
      <c r="D1883" s="83">
        <f t="shared" si="62"/>
        <v>-0.75652658981033838</v>
      </c>
      <c r="E1883" s="83">
        <v>4.2951372909955689E-3</v>
      </c>
      <c r="F1883" s="83">
        <v>1875</v>
      </c>
      <c r="G1883" s="83">
        <f t="shared" ca="1" si="63"/>
        <v>1.6524304455960707E-2</v>
      </c>
    </row>
    <row r="1884" spans="2:7" x14ac:dyDescent="0.2">
      <c r="B1884" s="167">
        <v>43676</v>
      </c>
      <c r="C1884" s="28">
        <v>268.89999999999998</v>
      </c>
      <c r="D1884" s="83">
        <f t="shared" si="62"/>
        <v>3.5973670712942378</v>
      </c>
      <c r="E1884" s="83">
        <v>4.2950513538747986E-3</v>
      </c>
      <c r="F1884" s="83">
        <v>1876</v>
      </c>
      <c r="G1884" s="83">
        <f t="shared" ca="1" si="63"/>
        <v>-1.4153342608287495E-3</v>
      </c>
    </row>
    <row r="1885" spans="2:7" x14ac:dyDescent="0.2">
      <c r="B1885" s="167">
        <v>39121</v>
      </c>
      <c r="C1885" s="28">
        <v>58.49</v>
      </c>
      <c r="D1885" s="83">
        <f t="shared" si="62"/>
        <v>-7.5256916996047404E-2</v>
      </c>
      <c r="E1885" s="83">
        <v>4.2925824175824171E-3</v>
      </c>
      <c r="F1885" s="83">
        <v>1877</v>
      </c>
      <c r="G1885" s="83">
        <f t="shared" ca="1" si="63"/>
        <v>1.2035514129057182E-2</v>
      </c>
    </row>
    <row r="1886" spans="2:7" x14ac:dyDescent="0.2">
      <c r="B1886" s="167">
        <v>39022</v>
      </c>
      <c r="C1886" s="28">
        <v>63.25</v>
      </c>
      <c r="D1886" s="83">
        <f t="shared" si="62"/>
        <v>-0.7277227722772277</v>
      </c>
      <c r="E1886" s="83">
        <v>4.287075261987983E-3</v>
      </c>
      <c r="F1886" s="83">
        <v>1878</v>
      </c>
      <c r="G1886" s="83">
        <f t="shared" ca="1" si="63"/>
        <v>-2.4895316083924299E-3</v>
      </c>
    </row>
    <row r="1887" spans="2:7" x14ac:dyDescent="0.2">
      <c r="B1887" s="167">
        <v>41886</v>
      </c>
      <c r="C1887" s="28">
        <v>232.3</v>
      </c>
      <c r="D1887" s="83">
        <f t="shared" si="62"/>
        <v>-0.50367489958123235</v>
      </c>
      <c r="E1887" s="83">
        <v>4.2799706022221655E-3</v>
      </c>
      <c r="F1887" s="83">
        <v>1879</v>
      </c>
      <c r="G1887" s="83">
        <f t="shared" ca="1" si="63"/>
        <v>-1.1413827504145008E-2</v>
      </c>
    </row>
    <row r="1888" spans="2:7" x14ac:dyDescent="0.2">
      <c r="B1888" s="167">
        <v>45512</v>
      </c>
      <c r="C1888" s="28">
        <v>468.04</v>
      </c>
      <c r="D1888" s="83">
        <f t="shared" si="62"/>
        <v>1.134537328407899</v>
      </c>
      <c r="E1888" s="83">
        <v>4.2699281193005235E-3</v>
      </c>
      <c r="F1888" s="83">
        <v>1880</v>
      </c>
      <c r="G1888" s="83">
        <f t="shared" ca="1" si="63"/>
        <v>1.9015910603614992E-2</v>
      </c>
    </row>
    <row r="1889" spans="2:7" x14ac:dyDescent="0.2">
      <c r="B1889" s="167">
        <v>42237</v>
      </c>
      <c r="C1889" s="28">
        <v>219.27</v>
      </c>
      <c r="D1889" s="83">
        <f t="shared" si="62"/>
        <v>0.13078232169563206</v>
      </c>
      <c r="E1889" s="83">
        <v>4.2594119263534248E-3</v>
      </c>
      <c r="F1889" s="83">
        <v>1881</v>
      </c>
      <c r="G1889" s="83">
        <f t="shared" ca="1" si="63"/>
        <v>-6.5401079469892239E-3</v>
      </c>
    </row>
    <row r="1890" spans="2:7" x14ac:dyDescent="0.2">
      <c r="B1890" s="167">
        <v>41337</v>
      </c>
      <c r="C1890" s="28">
        <v>193.91</v>
      </c>
      <c r="D1890" s="83">
        <f t="shared" si="62"/>
        <v>-0.17362028553164291</v>
      </c>
      <c r="E1890" s="83">
        <v>4.2467243254440583E-3</v>
      </c>
      <c r="F1890" s="83">
        <v>1882</v>
      </c>
      <c r="G1890" s="83">
        <f t="shared" ca="1" si="63"/>
        <v>1.764839975550854E-2</v>
      </c>
    </row>
    <row r="1891" spans="2:7" x14ac:dyDescent="0.2">
      <c r="B1891" s="167">
        <v>41929</v>
      </c>
      <c r="C1891" s="28">
        <v>234.65</v>
      </c>
      <c r="D1891" s="83">
        <f t="shared" si="62"/>
        <v>3.0703680927699241E-2</v>
      </c>
      <c r="E1891" s="83">
        <v>4.2369254472310585E-3</v>
      </c>
      <c r="F1891" s="83">
        <v>1883</v>
      </c>
      <c r="G1891" s="83">
        <f t="shared" ca="1" si="63"/>
        <v>1.1118603895654874E-2</v>
      </c>
    </row>
    <row r="1892" spans="2:7" x14ac:dyDescent="0.2">
      <c r="B1892" s="167">
        <v>42116</v>
      </c>
      <c r="C1892" s="28">
        <v>227.66</v>
      </c>
      <c r="D1892" s="83">
        <f t="shared" si="62"/>
        <v>-3.5379856785729392E-2</v>
      </c>
      <c r="E1892" s="83">
        <v>4.2346713718571152E-3</v>
      </c>
      <c r="F1892" s="83">
        <v>1884</v>
      </c>
      <c r="G1892" s="83">
        <f t="shared" ca="1" si="63"/>
        <v>-9.0465408157156136E-3</v>
      </c>
    </row>
    <row r="1893" spans="2:7" x14ac:dyDescent="0.2">
      <c r="B1893" s="167">
        <v>41856</v>
      </c>
      <c r="C1893" s="28">
        <v>236.01</v>
      </c>
      <c r="D1893" s="83">
        <f t="shared" si="62"/>
        <v>6.3299693638493346E-2</v>
      </c>
      <c r="E1893" s="83">
        <v>4.2124074546846255E-3</v>
      </c>
      <c r="F1893" s="83">
        <v>1885</v>
      </c>
      <c r="G1893" s="83">
        <f t="shared" ca="1" si="63"/>
        <v>3.9777226017200532E-2</v>
      </c>
    </row>
    <row r="1894" spans="2:7" x14ac:dyDescent="0.2">
      <c r="B1894" s="167">
        <v>41827</v>
      </c>
      <c r="C1894" s="28">
        <v>221.96</v>
      </c>
      <c r="D1894" s="83">
        <f t="shared" si="62"/>
        <v>6.1530776667740898</v>
      </c>
      <c r="E1894" s="83">
        <v>4.2075736325386005E-3</v>
      </c>
      <c r="F1894" s="83">
        <v>1886</v>
      </c>
      <c r="G1894" s="83">
        <f t="shared" ca="1" si="63"/>
        <v>1.0535915106008778E-2</v>
      </c>
    </row>
    <row r="1895" spans="2:7" x14ac:dyDescent="0.2">
      <c r="B1895" s="167">
        <v>38454</v>
      </c>
      <c r="C1895" s="28">
        <v>31.03</v>
      </c>
      <c r="D1895" s="83">
        <f t="shared" si="62"/>
        <v>-0.88697869240575489</v>
      </c>
      <c r="E1895" s="83">
        <v>4.2071197411004064E-3</v>
      </c>
      <c r="F1895" s="83">
        <v>1887</v>
      </c>
      <c r="G1895" s="83">
        <f t="shared" ca="1" si="63"/>
        <v>-1.4487710108672396E-3</v>
      </c>
    </row>
    <row r="1896" spans="2:7" x14ac:dyDescent="0.2">
      <c r="B1896" s="167">
        <v>43119</v>
      </c>
      <c r="C1896" s="28">
        <v>274.55</v>
      </c>
      <c r="D1896" s="83">
        <f t="shared" si="62"/>
        <v>0.12659006975789916</v>
      </c>
      <c r="E1896" s="83">
        <v>4.2062911485004906E-3</v>
      </c>
      <c r="F1896" s="83">
        <v>1888</v>
      </c>
      <c r="G1896" s="83">
        <f t="shared" ca="1" si="63"/>
        <v>1.2042260992563199E-2</v>
      </c>
    </row>
    <row r="1897" spans="2:7" x14ac:dyDescent="0.2">
      <c r="B1897" s="167">
        <v>42039</v>
      </c>
      <c r="C1897" s="28">
        <v>243.7</v>
      </c>
      <c r="D1897" s="83">
        <f t="shared" si="62"/>
        <v>2.9211584875301688</v>
      </c>
      <c r="E1897" s="83">
        <v>4.2030657656171987E-3</v>
      </c>
      <c r="F1897" s="83">
        <v>1889</v>
      </c>
      <c r="G1897" s="83">
        <f t="shared" ca="1" si="63"/>
        <v>9.1553656715974863E-3</v>
      </c>
    </row>
    <row r="1898" spans="2:7" x14ac:dyDescent="0.2">
      <c r="B1898" s="167">
        <v>39427</v>
      </c>
      <c r="C1898" s="28">
        <v>62.15</v>
      </c>
      <c r="D1898" s="83">
        <f t="shared" si="62"/>
        <v>-0.83891869476194181</v>
      </c>
      <c r="E1898" s="83">
        <v>4.2010017773468737E-3</v>
      </c>
      <c r="F1898" s="83">
        <v>1890</v>
      </c>
      <c r="G1898" s="83">
        <f t="shared" ca="1" si="63"/>
        <v>9.3374114553673518E-3</v>
      </c>
    </row>
    <row r="1899" spans="2:7" x14ac:dyDescent="0.2">
      <c r="B1899" s="167">
        <v>45357</v>
      </c>
      <c r="C1899" s="28">
        <v>385.83</v>
      </c>
      <c r="D1899" s="83">
        <f t="shared" si="62"/>
        <v>1.2986595174262734</v>
      </c>
      <c r="E1899" s="83">
        <v>4.1903076362499519E-3</v>
      </c>
      <c r="F1899" s="83">
        <v>1891</v>
      </c>
      <c r="G1899" s="83">
        <f t="shared" ca="1" si="63"/>
        <v>2.572275464970394E-3</v>
      </c>
    </row>
    <row r="1900" spans="2:7" x14ac:dyDescent="0.2">
      <c r="B1900" s="167">
        <v>44113</v>
      </c>
      <c r="C1900" s="28">
        <v>167.85</v>
      </c>
      <c r="D1900" s="83">
        <f t="shared" si="62"/>
        <v>2.0358111774281062</v>
      </c>
      <c r="E1900" s="83">
        <v>4.1878552198623305E-3</v>
      </c>
      <c r="F1900" s="83">
        <v>1892</v>
      </c>
      <c r="G1900" s="83">
        <f t="shared" ca="1" si="63"/>
        <v>-1.5163144995260308E-2</v>
      </c>
    </row>
    <row r="1901" spans="2:7" x14ac:dyDescent="0.2">
      <c r="B1901" s="167">
        <v>39227</v>
      </c>
      <c r="C1901" s="28">
        <v>55.29</v>
      </c>
      <c r="D1901" s="83">
        <f t="shared" si="62"/>
        <v>-0.84679966749792179</v>
      </c>
      <c r="E1901" s="83">
        <v>4.1772611696330704E-3</v>
      </c>
      <c r="F1901" s="83">
        <v>1893</v>
      </c>
      <c r="G1901" s="83">
        <f t="shared" ca="1" si="63"/>
        <v>-8.4218528947764947E-3</v>
      </c>
    </row>
    <row r="1902" spans="2:7" x14ac:dyDescent="0.2">
      <c r="B1902" s="167">
        <v>44979</v>
      </c>
      <c r="C1902" s="28">
        <v>360.9</v>
      </c>
      <c r="D1902" s="83">
        <f t="shared" si="62"/>
        <v>3.8113584855352616</v>
      </c>
      <c r="E1902" s="83">
        <v>4.1736227045075132E-3</v>
      </c>
      <c r="F1902" s="83">
        <v>1894</v>
      </c>
      <c r="G1902" s="83">
        <f t="shared" ca="1" si="63"/>
        <v>-1.2566812288853016E-2</v>
      </c>
    </row>
    <row r="1903" spans="2:7" x14ac:dyDescent="0.2">
      <c r="B1903" s="167">
        <v>39582</v>
      </c>
      <c r="C1903" s="28">
        <v>75.010000000000005</v>
      </c>
      <c r="D1903" s="83">
        <f t="shared" si="62"/>
        <v>-0.75264633140972803</v>
      </c>
      <c r="E1903" s="83">
        <v>4.1499330655957465E-3</v>
      </c>
      <c r="F1903" s="83">
        <v>1895</v>
      </c>
      <c r="G1903" s="83">
        <f t="shared" ca="1" si="63"/>
        <v>3.9110193247614639E-2</v>
      </c>
    </row>
    <row r="1904" spans="2:7" x14ac:dyDescent="0.2">
      <c r="B1904" s="167">
        <v>43361</v>
      </c>
      <c r="C1904" s="28">
        <v>303.25</v>
      </c>
      <c r="D1904" s="83">
        <f t="shared" si="62"/>
        <v>0.56193664692248257</v>
      </c>
      <c r="E1904" s="83">
        <v>4.1390728476821195E-3</v>
      </c>
      <c r="F1904" s="83">
        <v>1896</v>
      </c>
      <c r="G1904" s="83">
        <f t="shared" ca="1" si="63"/>
        <v>1.5525602825232E-2</v>
      </c>
    </row>
    <row r="1905" spans="2:7" x14ac:dyDescent="0.2">
      <c r="B1905" s="167">
        <v>44043</v>
      </c>
      <c r="C1905" s="28">
        <v>194.15</v>
      </c>
      <c r="D1905" s="83">
        <f t="shared" si="62"/>
        <v>3.7021070477113107</v>
      </c>
      <c r="E1905" s="83">
        <v>4.1375743470391073E-3</v>
      </c>
      <c r="F1905" s="83">
        <v>1897</v>
      </c>
      <c r="G1905" s="83">
        <f t="shared" ca="1" si="63"/>
        <v>-7.0935987202135698E-3</v>
      </c>
    </row>
    <row r="1906" spans="2:7" x14ac:dyDescent="0.2">
      <c r="B1906" s="167">
        <v>38643</v>
      </c>
      <c r="C1906" s="28">
        <v>41.29</v>
      </c>
      <c r="D1906" s="83">
        <f t="shared" si="62"/>
        <v>-0.85221904080171795</v>
      </c>
      <c r="E1906" s="83">
        <v>4.1342412451362285E-3</v>
      </c>
      <c r="F1906" s="83">
        <v>1898</v>
      </c>
      <c r="G1906" s="83">
        <f t="shared" ca="1" si="63"/>
        <v>-7.2063235837538061E-4</v>
      </c>
    </row>
    <row r="1907" spans="2:7" x14ac:dyDescent="0.2">
      <c r="B1907" s="167">
        <v>43217</v>
      </c>
      <c r="C1907" s="28">
        <v>279.39999999999998</v>
      </c>
      <c r="D1907" s="83">
        <f t="shared" si="62"/>
        <v>-2.4991074616210118E-3</v>
      </c>
      <c r="E1907" s="83">
        <v>4.1329739442946172E-3</v>
      </c>
      <c r="F1907" s="83">
        <v>1899</v>
      </c>
      <c r="G1907" s="83">
        <f t="shared" ca="1" si="63"/>
        <v>-1.9059660655268935E-2</v>
      </c>
    </row>
    <row r="1908" spans="2:7" x14ac:dyDescent="0.2">
      <c r="B1908" s="167">
        <v>43404</v>
      </c>
      <c r="C1908" s="28">
        <v>280.10000000000002</v>
      </c>
      <c r="D1908" s="83">
        <f t="shared" si="62"/>
        <v>4.4369873228933758E-2</v>
      </c>
      <c r="E1908" s="83">
        <v>4.1226026169565661E-3</v>
      </c>
      <c r="F1908" s="83">
        <v>1900</v>
      </c>
      <c r="G1908" s="83">
        <f t="shared" ca="1" si="63"/>
        <v>1.1189706516811464E-2</v>
      </c>
    </row>
    <row r="1909" spans="2:7" x14ac:dyDescent="0.2">
      <c r="B1909" s="167">
        <v>42809</v>
      </c>
      <c r="C1909" s="28">
        <v>268.2</v>
      </c>
      <c r="D1909" s="83">
        <f t="shared" si="62"/>
        <v>0.14556637621732438</v>
      </c>
      <c r="E1909" s="83">
        <v>4.1183077499062741E-3</v>
      </c>
      <c r="F1909" s="83">
        <v>1901</v>
      </c>
      <c r="G1909" s="83">
        <f t="shared" ca="1" si="63"/>
        <v>5.4306299404168878E-4</v>
      </c>
    </row>
    <row r="1910" spans="2:7" x14ac:dyDescent="0.2">
      <c r="B1910" s="167">
        <v>41898</v>
      </c>
      <c r="C1910" s="28">
        <v>234.12</v>
      </c>
      <c r="D1910" s="83">
        <f t="shared" si="62"/>
        <v>-4.1473899692937542E-2</v>
      </c>
      <c r="E1910" s="83">
        <v>4.117344312918202E-3</v>
      </c>
      <c r="F1910" s="83">
        <v>1902</v>
      </c>
      <c r="G1910" s="83">
        <f t="shared" ca="1" si="63"/>
        <v>1.0090196693731904E-3</v>
      </c>
    </row>
    <row r="1911" spans="2:7" x14ac:dyDescent="0.2">
      <c r="B1911" s="167">
        <v>43713</v>
      </c>
      <c r="C1911" s="28">
        <v>244.25</v>
      </c>
      <c r="D1911" s="83">
        <f t="shared" si="62"/>
        <v>0.50967303294393973</v>
      </c>
      <c r="E1911" s="83">
        <v>4.1109969167523125E-3</v>
      </c>
      <c r="F1911" s="83">
        <v>1903</v>
      </c>
      <c r="G1911" s="83">
        <f t="shared" ca="1" si="63"/>
        <v>-3.9282930191336246E-2</v>
      </c>
    </row>
    <row r="1912" spans="2:7" x14ac:dyDescent="0.2">
      <c r="B1912" s="167">
        <v>41073</v>
      </c>
      <c r="C1912" s="28">
        <v>161.79</v>
      </c>
      <c r="D1912" s="83">
        <f t="shared" si="62"/>
        <v>-0.22440076701821671</v>
      </c>
      <c r="E1912" s="83">
        <v>4.0960714950660747E-3</v>
      </c>
      <c r="F1912" s="83">
        <v>1904</v>
      </c>
      <c r="G1912" s="83">
        <f t="shared" ca="1" si="63"/>
        <v>-2.1666330226839364E-2</v>
      </c>
    </row>
    <row r="1913" spans="2:7" x14ac:dyDescent="0.2">
      <c r="B1913" s="167">
        <v>44189</v>
      </c>
      <c r="C1913" s="28">
        <v>208.6</v>
      </c>
      <c r="D1913" s="83">
        <f t="shared" si="62"/>
        <v>-0.19162952916101536</v>
      </c>
      <c r="E1913" s="83">
        <v>4.0914560770156164E-3</v>
      </c>
      <c r="F1913" s="83">
        <v>1905</v>
      </c>
      <c r="G1913" s="83">
        <f t="shared" ca="1" si="63"/>
        <v>2.3111515139309573E-2</v>
      </c>
    </row>
    <row r="1914" spans="2:7" x14ac:dyDescent="0.2">
      <c r="B1914" s="167">
        <v>43068</v>
      </c>
      <c r="C1914" s="28">
        <v>258.05</v>
      </c>
      <c r="D1914" s="83">
        <f t="shared" si="62"/>
        <v>4</v>
      </c>
      <c r="E1914" s="83">
        <v>4.0856031128405114E-3</v>
      </c>
      <c r="F1914" s="83">
        <v>1906</v>
      </c>
      <c r="G1914" s="83">
        <f t="shared" ca="1" si="63"/>
        <v>2.7058675876338232E-2</v>
      </c>
    </row>
    <row r="1915" spans="2:7" x14ac:dyDescent="0.2">
      <c r="B1915" s="167">
        <v>38750</v>
      </c>
      <c r="C1915" s="28">
        <v>51.61</v>
      </c>
      <c r="D1915" s="83">
        <f t="shared" si="62"/>
        <v>-0.5822405698559171</v>
      </c>
      <c r="E1915" s="83">
        <v>4.0856031128404836E-3</v>
      </c>
      <c r="F1915" s="83">
        <v>1907</v>
      </c>
      <c r="G1915" s="83">
        <f t="shared" ca="1" si="63"/>
        <v>-1.1652765883763223E-3</v>
      </c>
    </row>
    <row r="1916" spans="2:7" x14ac:dyDescent="0.2">
      <c r="B1916" s="167">
        <v>40674</v>
      </c>
      <c r="C1916" s="28">
        <v>123.54</v>
      </c>
      <c r="D1916" s="83">
        <f t="shared" si="62"/>
        <v>-0.52420566146735981</v>
      </c>
      <c r="E1916" s="83">
        <v>4.0637191157347199E-3</v>
      </c>
      <c r="F1916" s="83">
        <v>1908</v>
      </c>
      <c r="G1916" s="83">
        <f t="shared" ca="1" si="63"/>
        <v>-1.601566517353234E-2</v>
      </c>
    </row>
    <row r="1917" spans="2:7" x14ac:dyDescent="0.2">
      <c r="B1917" s="167">
        <v>43195</v>
      </c>
      <c r="C1917" s="28">
        <v>259.64999999999998</v>
      </c>
      <c r="D1917" s="83">
        <f t="shared" si="62"/>
        <v>1.4403195488721801</v>
      </c>
      <c r="E1917" s="83">
        <v>4.0603248259859026E-3</v>
      </c>
      <c r="F1917" s="83">
        <v>1909</v>
      </c>
      <c r="G1917" s="83">
        <f t="shared" ca="1" si="63"/>
        <v>2.108507777594806E-2</v>
      </c>
    </row>
    <row r="1918" spans="2:7" x14ac:dyDescent="0.2">
      <c r="B1918" s="167">
        <v>40415</v>
      </c>
      <c r="C1918" s="28">
        <v>106.4</v>
      </c>
      <c r="D1918" s="83">
        <f t="shared" si="62"/>
        <v>-0.6264044943820225</v>
      </c>
      <c r="E1918" s="83">
        <v>4.0577521940172393E-3</v>
      </c>
      <c r="F1918" s="83">
        <v>1910</v>
      </c>
      <c r="G1918" s="83">
        <f t="shared" ca="1" si="63"/>
        <v>3.3589674781942043E-3</v>
      </c>
    </row>
    <row r="1919" spans="2:7" x14ac:dyDescent="0.2">
      <c r="B1919" s="167">
        <v>43234</v>
      </c>
      <c r="C1919" s="28">
        <v>284.8</v>
      </c>
      <c r="D1919" s="83">
        <f t="shared" si="62"/>
        <v>0.35232668566001907</v>
      </c>
      <c r="E1919" s="83">
        <v>4.0542922615901082E-3</v>
      </c>
      <c r="F1919" s="83">
        <v>1911</v>
      </c>
      <c r="G1919" s="83">
        <f t="shared" ca="1" si="63"/>
        <v>-1.1159510345650344E-2</v>
      </c>
    </row>
    <row r="1920" spans="2:7" x14ac:dyDescent="0.2">
      <c r="B1920" s="167">
        <v>44442</v>
      </c>
      <c r="C1920" s="28">
        <v>210.6</v>
      </c>
      <c r="D1920" s="83">
        <f t="shared" si="62"/>
        <v>-0.19902635682501049</v>
      </c>
      <c r="E1920" s="83">
        <v>4.0524433849820941E-3</v>
      </c>
      <c r="F1920" s="83">
        <v>1912</v>
      </c>
      <c r="G1920" s="83">
        <f t="shared" ca="1" si="63"/>
        <v>1.4077779085169219E-2</v>
      </c>
    </row>
    <row r="1921" spans="2:7" x14ac:dyDescent="0.2">
      <c r="B1921" s="167">
        <v>41984</v>
      </c>
      <c r="C1921" s="28">
        <v>262.93</v>
      </c>
      <c r="D1921" s="83">
        <f t="shared" si="62"/>
        <v>0.88683171869393629</v>
      </c>
      <c r="E1921" s="83">
        <v>4.0478099820521717E-3</v>
      </c>
      <c r="F1921" s="83">
        <v>1913</v>
      </c>
      <c r="G1921" s="83">
        <f t="shared" ca="1" si="63"/>
        <v>2.6546460918890416E-2</v>
      </c>
    </row>
    <row r="1922" spans="2:7" x14ac:dyDescent="0.2">
      <c r="B1922" s="167">
        <v>40850</v>
      </c>
      <c r="C1922" s="28">
        <v>139.35</v>
      </c>
      <c r="D1922" s="83">
        <f t="shared" si="62"/>
        <v>-0.35721204852622351</v>
      </c>
      <c r="E1922" s="83">
        <v>4.0348728294545885E-3</v>
      </c>
      <c r="F1922" s="83">
        <v>1914</v>
      </c>
      <c r="G1922" s="83">
        <f t="shared" ca="1" si="63"/>
        <v>-9.1511864883474497E-3</v>
      </c>
    </row>
    <row r="1923" spans="2:7" x14ac:dyDescent="0.2">
      <c r="B1923" s="167">
        <v>42244</v>
      </c>
      <c r="C1923" s="28">
        <v>216.79</v>
      </c>
      <c r="D1923" s="83">
        <f t="shared" si="62"/>
        <v>-6.6767111493758149E-2</v>
      </c>
      <c r="E1923" s="83">
        <v>4.0292701000370721E-3</v>
      </c>
      <c r="F1923" s="83">
        <v>1915</v>
      </c>
      <c r="G1923" s="83">
        <f t="shared" ca="1" si="63"/>
        <v>6.0905729802324298E-3</v>
      </c>
    </row>
    <row r="1924" spans="2:7" x14ac:dyDescent="0.2">
      <c r="B1924" s="167">
        <v>41935</v>
      </c>
      <c r="C1924" s="28">
        <v>232.3</v>
      </c>
      <c r="D1924" s="83">
        <f t="shared" si="62"/>
        <v>-0.15511911256592101</v>
      </c>
      <c r="E1924" s="83">
        <v>4.0195358084453769E-3</v>
      </c>
      <c r="F1924" s="83">
        <v>1916</v>
      </c>
      <c r="G1924" s="83">
        <f t="shared" ca="1" si="63"/>
        <v>1.7960792699341817E-3</v>
      </c>
    </row>
    <row r="1925" spans="2:7" x14ac:dyDescent="0.2">
      <c r="B1925" s="167">
        <v>43647</v>
      </c>
      <c r="C1925" s="28">
        <v>274.95</v>
      </c>
      <c r="D1925" s="83">
        <f t="shared" si="62"/>
        <v>2.6523645058448455</v>
      </c>
      <c r="E1925" s="83">
        <v>4.0167975168886828E-3</v>
      </c>
      <c r="F1925" s="83">
        <v>1917</v>
      </c>
      <c r="G1925" s="83">
        <f t="shared" ca="1" si="63"/>
        <v>1.5552470561893732E-2</v>
      </c>
    </row>
    <row r="1926" spans="2:7" x14ac:dyDescent="0.2">
      <c r="B1926" s="167">
        <v>39584</v>
      </c>
      <c r="C1926" s="28">
        <v>75.28</v>
      </c>
      <c r="D1926" s="83">
        <f t="shared" si="62"/>
        <v>-0.68442674491720812</v>
      </c>
      <c r="E1926" s="83">
        <v>4.0010669511869454E-3</v>
      </c>
      <c r="F1926" s="83">
        <v>1918</v>
      </c>
      <c r="G1926" s="83">
        <f t="shared" ca="1" si="63"/>
        <v>6.8898913723747469E-3</v>
      </c>
    </row>
    <row r="1927" spans="2:7" x14ac:dyDescent="0.2">
      <c r="B1927" s="167">
        <v>43811</v>
      </c>
      <c r="C1927" s="28">
        <v>238.55</v>
      </c>
      <c r="D1927" s="83">
        <f t="shared" si="62"/>
        <v>-9.6914631837970736E-2</v>
      </c>
      <c r="E1927" s="83">
        <v>3.9983164983165703E-3</v>
      </c>
      <c r="F1927" s="83">
        <v>1919</v>
      </c>
      <c r="G1927" s="83">
        <f t="shared" ca="1" si="63"/>
        <v>1.3760604833313778E-2</v>
      </c>
    </row>
    <row r="1928" spans="2:7" x14ac:dyDescent="0.2">
      <c r="B1928" s="167">
        <v>43095</v>
      </c>
      <c r="C1928" s="28">
        <v>264.14999999999998</v>
      </c>
      <c r="D1928" s="83">
        <f t="shared" si="62"/>
        <v>-3.7842951750245122E-4</v>
      </c>
      <c r="E1928" s="83">
        <v>3.9908779931583215E-3</v>
      </c>
      <c r="F1928" s="83">
        <v>1920</v>
      </c>
      <c r="G1928" s="83">
        <f t="shared" ca="1" si="63"/>
        <v>1.6533227185196151E-2</v>
      </c>
    </row>
    <row r="1929" spans="2:7" x14ac:dyDescent="0.2">
      <c r="B1929" s="167">
        <v>43088</v>
      </c>
      <c r="C1929" s="28">
        <v>264.25</v>
      </c>
      <c r="D1929" s="83">
        <f t="shared" ref="D1929:D1992" si="64">(C1929-C1930)/C1930</f>
        <v>9.325224442513752E-2</v>
      </c>
      <c r="E1929" s="83">
        <v>3.9893617021277026E-3</v>
      </c>
      <c r="F1929" s="83">
        <v>1921</v>
      </c>
      <c r="G1929" s="83">
        <f t="shared" ref="G1929:G1992" ca="1" si="65">_xlfn.NORM.INV(RAND(),$M$10,$M$11)</f>
        <v>9.6005611899512826E-3</v>
      </c>
    </row>
    <row r="1930" spans="2:7" x14ac:dyDescent="0.2">
      <c r="B1930" s="167">
        <v>41974</v>
      </c>
      <c r="C1930" s="28">
        <v>241.71</v>
      </c>
      <c r="D1930" s="83">
        <f t="shared" si="64"/>
        <v>5.3995234312946776</v>
      </c>
      <c r="E1930" s="83">
        <v>3.9875389408100016E-3</v>
      </c>
      <c r="F1930" s="83">
        <v>1922</v>
      </c>
      <c r="G1930" s="83">
        <f t="shared" ca="1" si="65"/>
        <v>-9.6184063295923859E-3</v>
      </c>
    </row>
    <row r="1931" spans="2:7" x14ac:dyDescent="0.2">
      <c r="B1931" s="167">
        <v>38594</v>
      </c>
      <c r="C1931" s="28">
        <v>37.770000000000003</v>
      </c>
      <c r="D1931" s="83">
        <f t="shared" si="64"/>
        <v>-0.39999999999999997</v>
      </c>
      <c r="E1931" s="83">
        <v>3.987240829346244E-3</v>
      </c>
      <c r="F1931" s="83">
        <v>1923</v>
      </c>
      <c r="G1931" s="83">
        <f t="shared" ca="1" si="65"/>
        <v>1.2006686196737743E-3</v>
      </c>
    </row>
    <row r="1932" spans="2:7" x14ac:dyDescent="0.2">
      <c r="B1932" s="167">
        <v>39696</v>
      </c>
      <c r="C1932" s="28">
        <v>62.95</v>
      </c>
      <c r="D1932" s="83">
        <f t="shared" si="64"/>
        <v>-0.73759899958315955</v>
      </c>
      <c r="E1932" s="83">
        <v>3.9872408293460922E-3</v>
      </c>
      <c r="F1932" s="83">
        <v>1924</v>
      </c>
      <c r="G1932" s="83">
        <f t="shared" ca="1" si="65"/>
        <v>-9.5976660138636944E-3</v>
      </c>
    </row>
    <row r="1933" spans="2:7" x14ac:dyDescent="0.2">
      <c r="B1933" s="167">
        <v>42657</v>
      </c>
      <c r="C1933" s="28">
        <v>239.9</v>
      </c>
      <c r="D1933" s="83">
        <f t="shared" si="64"/>
        <v>3.5093984962406011</v>
      </c>
      <c r="E1933" s="83">
        <v>3.9757271395690187E-3</v>
      </c>
      <c r="F1933" s="83">
        <v>1925</v>
      </c>
      <c r="G1933" s="83">
        <f t="shared" ca="1" si="65"/>
        <v>-2.7806114181356756E-2</v>
      </c>
    </row>
    <row r="1934" spans="2:7" x14ac:dyDescent="0.2">
      <c r="B1934" s="167">
        <v>39183</v>
      </c>
      <c r="C1934" s="28">
        <v>53.2</v>
      </c>
      <c r="D1934" s="83">
        <f t="shared" si="64"/>
        <v>-0.86882012082357296</v>
      </c>
      <c r="E1934" s="83">
        <v>3.9630118890356834E-3</v>
      </c>
      <c r="F1934" s="83">
        <v>1926</v>
      </c>
      <c r="G1934" s="83">
        <f t="shared" ca="1" si="65"/>
        <v>-1.5784935730728634E-2</v>
      </c>
    </row>
    <row r="1935" spans="2:7" x14ac:dyDescent="0.2">
      <c r="B1935" s="167">
        <v>45737</v>
      </c>
      <c r="C1935" s="28">
        <v>405.55</v>
      </c>
      <c r="D1935" s="83">
        <f t="shared" si="64"/>
        <v>0.13450079726970091</v>
      </c>
      <c r="E1935" s="83">
        <v>3.9608862482981132E-3</v>
      </c>
      <c r="F1935" s="83">
        <v>1927</v>
      </c>
      <c r="G1935" s="83">
        <f t="shared" ca="1" si="65"/>
        <v>4.8929662698126864E-3</v>
      </c>
    </row>
    <row r="1936" spans="2:7" x14ac:dyDescent="0.2">
      <c r="B1936" s="167">
        <v>45012</v>
      </c>
      <c r="C1936" s="28">
        <v>357.47</v>
      </c>
      <c r="D1936" s="83">
        <f t="shared" si="64"/>
        <v>6.0479100946372242</v>
      </c>
      <c r="E1936" s="83">
        <v>3.9600067404370748E-3</v>
      </c>
      <c r="F1936" s="83">
        <v>1928</v>
      </c>
      <c r="G1936" s="83">
        <f t="shared" ca="1" si="65"/>
        <v>-7.8177377865688898E-3</v>
      </c>
    </row>
    <row r="1937" spans="2:7" x14ac:dyDescent="0.2">
      <c r="B1937" s="167">
        <v>39251</v>
      </c>
      <c r="C1937" s="28">
        <v>50.72</v>
      </c>
      <c r="D1937" s="83">
        <f t="shared" si="64"/>
        <v>-0.69390464695232346</v>
      </c>
      <c r="E1937" s="83">
        <v>3.9588281868566059E-3</v>
      </c>
      <c r="F1937" s="83">
        <v>1929</v>
      </c>
      <c r="G1937" s="83">
        <f t="shared" ca="1" si="65"/>
        <v>-9.7002682449698445E-3</v>
      </c>
    </row>
    <row r="1938" spans="2:7" x14ac:dyDescent="0.2">
      <c r="B1938" s="167">
        <v>44120</v>
      </c>
      <c r="C1938" s="28">
        <v>165.7</v>
      </c>
      <c r="D1938" s="83">
        <f t="shared" si="64"/>
        <v>-0.31613702022286427</v>
      </c>
      <c r="E1938" s="83">
        <v>3.9382005452891682E-3</v>
      </c>
      <c r="F1938" s="83">
        <v>1930</v>
      </c>
      <c r="G1938" s="83">
        <f t="shared" ca="1" si="65"/>
        <v>4.383637508210643E-3</v>
      </c>
    </row>
    <row r="1939" spans="2:7" x14ac:dyDescent="0.2">
      <c r="B1939" s="167">
        <v>42646</v>
      </c>
      <c r="C1939" s="28">
        <v>242.3</v>
      </c>
      <c r="D1939" s="83">
        <f t="shared" si="64"/>
        <v>-5.0176401411211227E-2</v>
      </c>
      <c r="E1939" s="83">
        <v>3.9361922519163747E-3</v>
      </c>
      <c r="F1939" s="83">
        <v>1931</v>
      </c>
      <c r="G1939" s="83">
        <f t="shared" ca="1" si="65"/>
        <v>-3.4422690103345557E-3</v>
      </c>
    </row>
    <row r="1940" spans="2:7" x14ac:dyDescent="0.2">
      <c r="B1940" s="167">
        <v>42598</v>
      </c>
      <c r="C1940" s="28">
        <v>255.1</v>
      </c>
      <c r="D1940" s="83">
        <f t="shared" si="64"/>
        <v>0.88669477109681216</v>
      </c>
      <c r="E1940" s="83">
        <v>3.9354584809130266E-3</v>
      </c>
      <c r="F1940" s="83">
        <v>1932</v>
      </c>
      <c r="G1940" s="83">
        <f t="shared" ca="1" si="65"/>
        <v>1.2500444692383973E-2</v>
      </c>
    </row>
    <row r="1941" spans="2:7" x14ac:dyDescent="0.2">
      <c r="B1941" s="167">
        <v>40955</v>
      </c>
      <c r="C1941" s="28">
        <v>135.21</v>
      </c>
      <c r="D1941" s="83">
        <f t="shared" si="64"/>
        <v>-0.44841512666748251</v>
      </c>
      <c r="E1941" s="83">
        <v>3.9352539352539434E-3</v>
      </c>
      <c r="F1941" s="83">
        <v>1933</v>
      </c>
      <c r="G1941" s="83">
        <f t="shared" ca="1" si="65"/>
        <v>1.2279419016271989E-2</v>
      </c>
    </row>
    <row r="1942" spans="2:7" x14ac:dyDescent="0.2">
      <c r="B1942" s="167">
        <v>42009</v>
      </c>
      <c r="C1942" s="28">
        <v>245.13</v>
      </c>
      <c r="D1942" s="83">
        <f t="shared" si="64"/>
        <v>0.15366152108433739</v>
      </c>
      <c r="E1942" s="83">
        <v>3.9316869394274805E-3</v>
      </c>
      <c r="F1942" s="83">
        <v>1934</v>
      </c>
      <c r="G1942" s="83">
        <f t="shared" ca="1" si="65"/>
        <v>3.1087628035905604E-4</v>
      </c>
    </row>
    <row r="1943" spans="2:7" x14ac:dyDescent="0.2">
      <c r="B1943" s="167">
        <v>42355</v>
      </c>
      <c r="C1943" s="28">
        <v>212.48</v>
      </c>
      <c r="D1943" s="83">
        <f t="shared" si="64"/>
        <v>0.56384779568705368</v>
      </c>
      <c r="E1943" s="83">
        <v>3.9215686274509049E-3</v>
      </c>
      <c r="F1943" s="83">
        <v>1935</v>
      </c>
      <c r="G1943" s="83">
        <f t="shared" ca="1" si="65"/>
        <v>-1.9989775240978353E-2</v>
      </c>
    </row>
    <row r="1944" spans="2:7" x14ac:dyDescent="0.2">
      <c r="B1944" s="167">
        <v>40884</v>
      </c>
      <c r="C1944" s="28">
        <v>135.87</v>
      </c>
      <c r="D1944" s="83">
        <f t="shared" si="64"/>
        <v>-0.56584118868828881</v>
      </c>
      <c r="E1944" s="83">
        <v>3.9160632481158647E-3</v>
      </c>
      <c r="F1944" s="83">
        <v>1936</v>
      </c>
      <c r="G1944" s="83">
        <f t="shared" ca="1" si="65"/>
        <v>2.7374517792037773E-2</v>
      </c>
    </row>
    <row r="1945" spans="2:7" x14ac:dyDescent="0.2">
      <c r="B1945" s="167">
        <v>44928</v>
      </c>
      <c r="C1945" s="28">
        <v>312.95</v>
      </c>
      <c r="D1945" s="83">
        <f t="shared" si="64"/>
        <v>1.4388248129675811</v>
      </c>
      <c r="E1945" s="83">
        <v>3.9136432168863132E-3</v>
      </c>
      <c r="F1945" s="83">
        <v>1937</v>
      </c>
      <c r="G1945" s="83">
        <f t="shared" ca="1" si="65"/>
        <v>2.2765181678532899E-2</v>
      </c>
    </row>
    <row r="1946" spans="2:7" x14ac:dyDescent="0.2">
      <c r="B1946" s="167">
        <v>40701</v>
      </c>
      <c r="C1946" s="28">
        <v>128.32</v>
      </c>
      <c r="D1946" s="83">
        <f t="shared" si="64"/>
        <v>-0.39795439617153044</v>
      </c>
      <c r="E1946" s="83">
        <v>3.9117508997027067E-3</v>
      </c>
      <c r="F1946" s="83">
        <v>1938</v>
      </c>
      <c r="G1946" s="83">
        <f t="shared" ca="1" si="65"/>
        <v>-2.1516610206058729E-3</v>
      </c>
    </row>
    <row r="1947" spans="2:7" x14ac:dyDescent="0.2">
      <c r="B1947" s="167">
        <v>42361</v>
      </c>
      <c r="C1947" s="28">
        <v>213.14</v>
      </c>
      <c r="D1947" s="83">
        <f t="shared" si="64"/>
        <v>-0.38091088648774252</v>
      </c>
      <c r="E1947" s="83">
        <v>3.9093777966180774E-3</v>
      </c>
      <c r="F1947" s="83">
        <v>1939</v>
      </c>
      <c r="G1947" s="83">
        <f t="shared" ca="1" si="65"/>
        <v>3.4237177327620318E-3</v>
      </c>
    </row>
    <row r="1948" spans="2:7" x14ac:dyDescent="0.2">
      <c r="B1948" s="167">
        <v>44827</v>
      </c>
      <c r="C1948" s="28">
        <v>344.28</v>
      </c>
      <c r="D1948" s="83">
        <f t="shared" si="64"/>
        <v>-0.23664663754683937</v>
      </c>
      <c r="E1948" s="83">
        <v>3.9073890476467458E-3</v>
      </c>
      <c r="F1948" s="83">
        <v>1940</v>
      </c>
      <c r="G1948" s="83">
        <f t="shared" ca="1" si="65"/>
        <v>1.2710103555596359E-2</v>
      </c>
    </row>
    <row r="1949" spans="2:7" x14ac:dyDescent="0.2">
      <c r="B1949" s="167">
        <v>45625</v>
      </c>
      <c r="C1949" s="28">
        <v>451.01</v>
      </c>
      <c r="D1949" s="83">
        <f t="shared" si="64"/>
        <v>0.19831548741929481</v>
      </c>
      <c r="E1949" s="83">
        <v>3.8952944842630104E-3</v>
      </c>
      <c r="F1949" s="83">
        <v>1941</v>
      </c>
      <c r="G1949" s="83">
        <f t="shared" ca="1" si="65"/>
        <v>-7.9464484379202806E-4</v>
      </c>
    </row>
    <row r="1950" spans="2:7" x14ac:dyDescent="0.2">
      <c r="B1950" s="167">
        <v>45036</v>
      </c>
      <c r="C1950" s="28">
        <v>376.37</v>
      </c>
      <c r="D1950" s="83">
        <f t="shared" si="64"/>
        <v>-6.5197953405195963E-2</v>
      </c>
      <c r="E1950" s="83">
        <v>3.8942679576431127E-3</v>
      </c>
      <c r="F1950" s="83">
        <v>1942</v>
      </c>
      <c r="G1950" s="83">
        <f t="shared" ca="1" si="65"/>
        <v>-4.7549192769506185E-3</v>
      </c>
    </row>
    <row r="1951" spans="2:7" x14ac:dyDescent="0.2">
      <c r="B1951" s="167">
        <v>45470</v>
      </c>
      <c r="C1951" s="28">
        <v>402.62</v>
      </c>
      <c r="D1951" s="83">
        <f t="shared" si="64"/>
        <v>1.0710905349794237</v>
      </c>
      <c r="E1951" s="83">
        <v>3.8896923153642904E-3</v>
      </c>
      <c r="F1951" s="83">
        <v>1943</v>
      </c>
      <c r="G1951" s="83">
        <f t="shared" ca="1" si="65"/>
        <v>-7.6519689141016549E-3</v>
      </c>
    </row>
    <row r="1952" spans="2:7" x14ac:dyDescent="0.2">
      <c r="B1952" s="167">
        <v>44166</v>
      </c>
      <c r="C1952" s="28">
        <v>194.4</v>
      </c>
      <c r="D1952" s="83">
        <f t="shared" si="64"/>
        <v>-6.4710127495790179E-2</v>
      </c>
      <c r="E1952" s="83">
        <v>3.8729666924864443E-3</v>
      </c>
      <c r="F1952" s="83">
        <v>1944</v>
      </c>
      <c r="G1952" s="83">
        <f t="shared" ca="1" si="65"/>
        <v>3.3922783085878427E-3</v>
      </c>
    </row>
    <row r="1953" spans="2:7" x14ac:dyDescent="0.2">
      <c r="B1953" s="167">
        <v>44363</v>
      </c>
      <c r="C1953" s="28">
        <v>207.85</v>
      </c>
      <c r="D1953" s="83">
        <f t="shared" si="64"/>
        <v>-0.33434747798238595</v>
      </c>
      <c r="E1953" s="83">
        <v>3.8638010142476838E-3</v>
      </c>
      <c r="F1953" s="83">
        <v>1945</v>
      </c>
      <c r="G1953" s="83">
        <f t="shared" ca="1" si="65"/>
        <v>1.1880211817762547E-3</v>
      </c>
    </row>
    <row r="1954" spans="2:7" x14ac:dyDescent="0.2">
      <c r="B1954" s="167">
        <v>42893</v>
      </c>
      <c r="C1954" s="28">
        <v>312.25</v>
      </c>
      <c r="D1954" s="83">
        <f t="shared" si="64"/>
        <v>0.49638184693535253</v>
      </c>
      <c r="E1954" s="83">
        <v>3.8579006590579927E-3</v>
      </c>
      <c r="F1954" s="83">
        <v>1946</v>
      </c>
      <c r="G1954" s="83">
        <f t="shared" ca="1" si="65"/>
        <v>-4.9499931296522479E-3</v>
      </c>
    </row>
    <row r="1955" spans="2:7" x14ac:dyDescent="0.2">
      <c r="B1955" s="167">
        <v>42346</v>
      </c>
      <c r="C1955" s="28">
        <v>208.67</v>
      </c>
      <c r="D1955" s="83">
        <f t="shared" si="64"/>
        <v>0.2281930547380811</v>
      </c>
      <c r="E1955" s="83">
        <v>3.8485591956510458E-3</v>
      </c>
      <c r="F1955" s="83">
        <v>1947</v>
      </c>
      <c r="G1955" s="83">
        <f t="shared" ca="1" si="65"/>
        <v>7.7530095128980989E-3</v>
      </c>
    </row>
    <row r="1956" spans="2:7" x14ac:dyDescent="0.2">
      <c r="B1956" s="167">
        <v>44110</v>
      </c>
      <c r="C1956" s="28">
        <v>169.9</v>
      </c>
      <c r="D1956" s="83">
        <f t="shared" si="64"/>
        <v>-0.6290474007117749</v>
      </c>
      <c r="E1956" s="83">
        <v>3.8404726735598565E-3</v>
      </c>
      <c r="F1956" s="83">
        <v>1948</v>
      </c>
      <c r="G1956" s="83">
        <f t="shared" ca="1" si="65"/>
        <v>-1.9801312211566641E-2</v>
      </c>
    </row>
    <row r="1957" spans="2:7" x14ac:dyDescent="0.2">
      <c r="B1957" s="167">
        <v>45593</v>
      </c>
      <c r="C1957" s="28">
        <v>458.01</v>
      </c>
      <c r="D1957" s="83">
        <f t="shared" si="64"/>
        <v>1.1075372722252899</v>
      </c>
      <c r="E1957" s="83">
        <v>3.8355323718932189E-3</v>
      </c>
      <c r="F1957" s="83">
        <v>1949</v>
      </c>
      <c r="G1957" s="83">
        <f t="shared" ca="1" si="65"/>
        <v>-2.1872423834356099E-3</v>
      </c>
    </row>
    <row r="1958" spans="2:7" x14ac:dyDescent="0.2">
      <c r="B1958" s="167">
        <v>42369</v>
      </c>
      <c r="C1958" s="28">
        <v>217.32</v>
      </c>
      <c r="D1958" s="83">
        <f t="shared" si="64"/>
        <v>0.56548047831724535</v>
      </c>
      <c r="E1958" s="83">
        <v>3.8338953300382653E-3</v>
      </c>
      <c r="F1958" s="83">
        <v>1950</v>
      </c>
      <c r="G1958" s="83">
        <f t="shared" ca="1" si="65"/>
        <v>2.8470876160478848E-2</v>
      </c>
    </row>
    <row r="1959" spans="2:7" x14ac:dyDescent="0.2">
      <c r="B1959" s="167">
        <v>40963</v>
      </c>
      <c r="C1959" s="28">
        <v>138.82</v>
      </c>
      <c r="D1959" s="83">
        <f t="shared" si="64"/>
        <v>2.3068127679847548</v>
      </c>
      <c r="E1959" s="83">
        <v>3.8325258514715537E-3</v>
      </c>
      <c r="F1959" s="83">
        <v>1951</v>
      </c>
      <c r="G1959" s="83">
        <f t="shared" ca="1" si="65"/>
        <v>1.3918075099258872E-2</v>
      </c>
    </row>
    <row r="1960" spans="2:7" x14ac:dyDescent="0.2">
      <c r="B1960" s="167">
        <v>38664</v>
      </c>
      <c r="C1960" s="28">
        <v>41.98</v>
      </c>
      <c r="D1960" s="83">
        <f t="shared" si="64"/>
        <v>-0.89783402287661229</v>
      </c>
      <c r="E1960" s="83">
        <v>3.8259206121472162E-3</v>
      </c>
      <c r="F1960" s="83">
        <v>1952</v>
      </c>
      <c r="G1960" s="83">
        <f t="shared" ca="1" si="65"/>
        <v>-1.7548279325887834E-2</v>
      </c>
    </row>
    <row r="1961" spans="2:7" x14ac:dyDescent="0.2">
      <c r="B1961" s="167">
        <v>45225</v>
      </c>
      <c r="C1961" s="28">
        <v>410.9</v>
      </c>
      <c r="D1961" s="83">
        <f t="shared" si="64"/>
        <v>3.0889640760274655</v>
      </c>
      <c r="E1961" s="83">
        <v>3.8110128499535896E-3</v>
      </c>
      <c r="F1961" s="83">
        <v>1953</v>
      </c>
      <c r="G1961" s="83">
        <f t="shared" ca="1" si="65"/>
        <v>-1.3565217369640262E-2</v>
      </c>
    </row>
    <row r="1962" spans="2:7" x14ac:dyDescent="0.2">
      <c r="B1962" s="167">
        <v>40367</v>
      </c>
      <c r="C1962" s="28">
        <v>100.49</v>
      </c>
      <c r="D1962" s="83">
        <f t="shared" si="64"/>
        <v>-0.63839510615329254</v>
      </c>
      <c r="E1962" s="83">
        <v>3.7958245929477119E-3</v>
      </c>
      <c r="F1962" s="83">
        <v>1954</v>
      </c>
      <c r="G1962" s="83">
        <f t="shared" ca="1" si="65"/>
        <v>2.0219289477313381E-2</v>
      </c>
    </row>
    <row r="1963" spans="2:7" x14ac:dyDescent="0.2">
      <c r="B1963" s="167">
        <v>43510</v>
      </c>
      <c r="C1963" s="28">
        <v>277.89999999999998</v>
      </c>
      <c r="D1963" s="83">
        <f t="shared" si="64"/>
        <v>-4.5869669710911262E-2</v>
      </c>
      <c r="E1963" s="83">
        <v>3.7926675094815043E-3</v>
      </c>
      <c r="F1963" s="83">
        <v>1955</v>
      </c>
      <c r="G1963" s="83">
        <f t="shared" ca="1" si="65"/>
        <v>4.7073313956782804E-2</v>
      </c>
    </row>
    <row r="1964" spans="2:7" x14ac:dyDescent="0.2">
      <c r="B1964" s="167">
        <v>44750</v>
      </c>
      <c r="C1964" s="28">
        <v>291.26</v>
      </c>
      <c r="D1964" s="83">
        <f t="shared" si="64"/>
        <v>1.5564820503818131</v>
      </c>
      <c r="E1964" s="83">
        <v>3.7910118555278668E-3</v>
      </c>
      <c r="F1964" s="83">
        <v>1956</v>
      </c>
      <c r="G1964" s="83">
        <f t="shared" ca="1" si="65"/>
        <v>1.6246206275566881E-2</v>
      </c>
    </row>
    <row r="1965" spans="2:7" x14ac:dyDescent="0.2">
      <c r="B1965" s="167">
        <v>40483</v>
      </c>
      <c r="C1965" s="28">
        <v>113.93</v>
      </c>
      <c r="D1965" s="83">
        <f t="shared" si="64"/>
        <v>0.43272132796780699</v>
      </c>
      <c r="E1965" s="83">
        <v>3.7885462555066682E-3</v>
      </c>
      <c r="F1965" s="83">
        <v>1957</v>
      </c>
      <c r="G1965" s="83">
        <f t="shared" ca="1" si="65"/>
        <v>1.1857941319129471E-2</v>
      </c>
    </row>
    <row r="1966" spans="2:7" x14ac:dyDescent="0.2">
      <c r="B1966" s="167">
        <v>40052</v>
      </c>
      <c r="C1966" s="28">
        <v>79.52</v>
      </c>
      <c r="D1966" s="83">
        <f t="shared" si="64"/>
        <v>-0.74008824971400555</v>
      </c>
      <c r="E1966" s="83">
        <v>3.7869224943195804E-3</v>
      </c>
      <c r="F1966" s="83">
        <v>1958</v>
      </c>
      <c r="G1966" s="83">
        <f t="shared" ca="1" si="65"/>
        <v>-1.6820687178544954E-2</v>
      </c>
    </row>
    <row r="1967" spans="2:7" x14ac:dyDescent="0.2">
      <c r="B1967" s="167">
        <v>43325</v>
      </c>
      <c r="C1967" s="28">
        <v>305.95</v>
      </c>
      <c r="D1967" s="83">
        <f t="shared" si="64"/>
        <v>-2.6907541108743473E-2</v>
      </c>
      <c r="E1967" s="83">
        <v>3.7729658792650172E-3</v>
      </c>
      <c r="F1967" s="83">
        <v>1959</v>
      </c>
      <c r="G1967" s="83">
        <f t="shared" ca="1" si="65"/>
        <v>-2.5837053570824426E-3</v>
      </c>
    </row>
    <row r="1968" spans="2:7" x14ac:dyDescent="0.2">
      <c r="B1968" s="167">
        <v>44923</v>
      </c>
      <c r="C1968" s="28">
        <v>314.41000000000003</v>
      </c>
      <c r="D1968" s="83">
        <f t="shared" si="64"/>
        <v>-0.32729256707604087</v>
      </c>
      <c r="E1968" s="83">
        <v>3.767199821217657E-3</v>
      </c>
      <c r="F1968" s="83">
        <v>1960</v>
      </c>
      <c r="G1968" s="83">
        <f t="shared" ca="1" si="65"/>
        <v>1.8955696073090066E-2</v>
      </c>
    </row>
    <row r="1969" spans="2:7" x14ac:dyDescent="0.2">
      <c r="B1969" s="167">
        <v>45497</v>
      </c>
      <c r="C1969" s="28">
        <v>467.38</v>
      </c>
      <c r="D1969" s="83">
        <f t="shared" si="64"/>
        <v>1.1073087154515533</v>
      </c>
      <c r="E1969" s="83">
        <v>3.7583489036359342E-3</v>
      </c>
      <c r="F1969" s="83">
        <v>1961</v>
      </c>
      <c r="G1969" s="83">
        <f t="shared" ca="1" si="65"/>
        <v>-2.080808050529875E-2</v>
      </c>
    </row>
    <row r="1970" spans="2:7" x14ac:dyDescent="0.2">
      <c r="B1970" s="167">
        <v>41704</v>
      </c>
      <c r="C1970" s="28">
        <v>221.79</v>
      </c>
      <c r="D1970" s="83">
        <f t="shared" si="64"/>
        <v>1.5928220715454757</v>
      </c>
      <c r="E1970" s="83">
        <v>3.7563359884141205E-3</v>
      </c>
      <c r="F1970" s="83">
        <v>1962</v>
      </c>
      <c r="G1970" s="83">
        <f t="shared" ca="1" si="65"/>
        <v>2.1213769801342722E-2</v>
      </c>
    </row>
    <row r="1971" spans="2:7" x14ac:dyDescent="0.2">
      <c r="B1971" s="167">
        <v>40148</v>
      </c>
      <c r="C1971" s="28">
        <v>85.54</v>
      </c>
      <c r="D1971" s="83">
        <f t="shared" si="64"/>
        <v>-0.59709858226178703</v>
      </c>
      <c r="E1971" s="83">
        <v>3.7549870922319573E-3</v>
      </c>
      <c r="F1971" s="83">
        <v>1963</v>
      </c>
      <c r="G1971" s="83">
        <f t="shared" ca="1" si="65"/>
        <v>9.0526436941727392E-3</v>
      </c>
    </row>
    <row r="1972" spans="2:7" x14ac:dyDescent="0.2">
      <c r="B1972" s="167">
        <v>41634</v>
      </c>
      <c r="C1972" s="28">
        <v>212.31</v>
      </c>
      <c r="D1972" s="83">
        <f t="shared" si="64"/>
        <v>5.182065890512761E-2</v>
      </c>
      <c r="E1972" s="83">
        <v>3.7348714069591151E-3</v>
      </c>
      <c r="F1972" s="83">
        <v>1964</v>
      </c>
      <c r="G1972" s="83">
        <f t="shared" ca="1" si="65"/>
        <v>-1.675412327383444E-2</v>
      </c>
    </row>
    <row r="1973" spans="2:7" x14ac:dyDescent="0.2">
      <c r="B1973" s="167">
        <v>44390</v>
      </c>
      <c r="C1973" s="28">
        <v>201.85</v>
      </c>
      <c r="D1973" s="83">
        <f t="shared" si="64"/>
        <v>-0.28599221789883267</v>
      </c>
      <c r="E1973" s="83">
        <v>3.7294878170064647E-3</v>
      </c>
      <c r="F1973" s="83">
        <v>1965</v>
      </c>
      <c r="G1973" s="83">
        <f t="shared" ca="1" si="65"/>
        <v>-3.0805532288814441E-2</v>
      </c>
    </row>
    <row r="1974" spans="2:7" x14ac:dyDescent="0.2">
      <c r="B1974" s="167">
        <v>43466</v>
      </c>
      <c r="C1974" s="28">
        <v>282.7</v>
      </c>
      <c r="D1974" s="83">
        <f t="shared" si="64"/>
        <v>0.26419819336374201</v>
      </c>
      <c r="E1974" s="83">
        <v>3.7280312444523751E-3</v>
      </c>
      <c r="F1974" s="83">
        <v>1966</v>
      </c>
      <c r="G1974" s="83">
        <f t="shared" ca="1" si="65"/>
        <v>1.6342420187174758E-2</v>
      </c>
    </row>
    <row r="1975" spans="2:7" x14ac:dyDescent="0.2">
      <c r="B1975" s="167">
        <v>41429</v>
      </c>
      <c r="C1975" s="28">
        <v>223.62</v>
      </c>
      <c r="D1975" s="83">
        <f t="shared" si="64"/>
        <v>-1.91921446105783E-3</v>
      </c>
      <c r="E1975" s="83">
        <v>3.7254813950357399E-3</v>
      </c>
      <c r="F1975" s="83">
        <v>1967</v>
      </c>
      <c r="G1975" s="83">
        <f t="shared" ca="1" si="65"/>
        <v>3.9639989838390441E-2</v>
      </c>
    </row>
    <row r="1976" spans="2:7" x14ac:dyDescent="0.2">
      <c r="B1976" s="167">
        <v>41799</v>
      </c>
      <c r="C1976" s="28">
        <v>224.05</v>
      </c>
      <c r="D1976" s="83">
        <f t="shared" si="64"/>
        <v>-0.17095282146160959</v>
      </c>
      <c r="E1976" s="83">
        <v>3.7183048113968841E-3</v>
      </c>
      <c r="F1976" s="83">
        <v>1968</v>
      </c>
      <c r="G1976" s="83">
        <f t="shared" ca="1" si="65"/>
        <v>2.1805622880664389E-2</v>
      </c>
    </row>
    <row r="1977" spans="2:7" x14ac:dyDescent="0.2">
      <c r="B1977" s="167">
        <v>43263</v>
      </c>
      <c r="C1977" s="28">
        <v>270.25</v>
      </c>
      <c r="D1977" s="83">
        <f t="shared" si="64"/>
        <v>1.1269478986305681</v>
      </c>
      <c r="E1977" s="83">
        <v>3.7140204271123491E-3</v>
      </c>
      <c r="F1977" s="83">
        <v>1969</v>
      </c>
      <c r="G1977" s="83">
        <f t="shared" ca="1" si="65"/>
        <v>-1.3336964590251662E-2</v>
      </c>
    </row>
    <row r="1978" spans="2:7" x14ac:dyDescent="0.2">
      <c r="B1978" s="167">
        <v>40809</v>
      </c>
      <c r="C1978" s="28">
        <v>127.06</v>
      </c>
      <c r="D1978" s="83">
        <f t="shared" si="64"/>
        <v>-0.41298221298221294</v>
      </c>
      <c r="E1978" s="83">
        <v>3.7127735208152212E-3</v>
      </c>
      <c r="F1978" s="83">
        <v>1970</v>
      </c>
      <c r="G1978" s="83">
        <f t="shared" ca="1" si="65"/>
        <v>-8.5483051122737658E-3</v>
      </c>
    </row>
    <row r="1979" spans="2:7" x14ac:dyDescent="0.2">
      <c r="B1979" s="167">
        <v>43866</v>
      </c>
      <c r="C1979" s="28">
        <v>216.45</v>
      </c>
      <c r="D1979" s="83">
        <f t="shared" si="64"/>
        <v>2.4771084337349394</v>
      </c>
      <c r="E1979" s="83">
        <v>3.7097148156734661E-3</v>
      </c>
      <c r="F1979" s="83">
        <v>1971</v>
      </c>
      <c r="G1979" s="83">
        <f t="shared" ca="1" si="65"/>
        <v>1.8844172480540995E-2</v>
      </c>
    </row>
    <row r="1980" spans="2:7" x14ac:dyDescent="0.2">
      <c r="B1980" s="167">
        <v>39664</v>
      </c>
      <c r="C1980" s="28">
        <v>62.25</v>
      </c>
      <c r="D1980" s="83">
        <f t="shared" si="64"/>
        <v>-0.77109762824048533</v>
      </c>
      <c r="E1980" s="83">
        <v>3.7084811351176532E-3</v>
      </c>
      <c r="F1980" s="83">
        <v>1972</v>
      </c>
      <c r="G1980" s="83">
        <f t="shared" ca="1" si="65"/>
        <v>1.7312236126816753E-2</v>
      </c>
    </row>
    <row r="1981" spans="2:7" x14ac:dyDescent="0.2">
      <c r="B1981" s="167">
        <v>43662</v>
      </c>
      <c r="C1981" s="28">
        <v>271.95</v>
      </c>
      <c r="D1981" s="83">
        <f t="shared" si="64"/>
        <v>-0.13059462915601031</v>
      </c>
      <c r="E1981" s="83">
        <v>3.6907178446207787E-3</v>
      </c>
      <c r="F1981" s="83">
        <v>1973</v>
      </c>
      <c r="G1981" s="83">
        <f t="shared" ca="1" si="65"/>
        <v>-8.8699077026828145E-3</v>
      </c>
    </row>
    <row r="1982" spans="2:7" x14ac:dyDescent="0.2">
      <c r="B1982" s="167">
        <v>43341</v>
      </c>
      <c r="C1982" s="28">
        <v>312.8</v>
      </c>
      <c r="D1982" s="83">
        <f t="shared" si="64"/>
        <v>8.9136490250696462E-2</v>
      </c>
      <c r="E1982" s="83">
        <v>3.6900369003691133E-3</v>
      </c>
      <c r="F1982" s="83">
        <v>1974</v>
      </c>
      <c r="G1982" s="83">
        <f t="shared" ca="1" si="65"/>
        <v>-3.4574239465891519E-2</v>
      </c>
    </row>
    <row r="1983" spans="2:7" x14ac:dyDescent="0.2">
      <c r="B1983" s="167">
        <v>43307</v>
      </c>
      <c r="C1983" s="28">
        <v>287.2</v>
      </c>
      <c r="D1983" s="83">
        <f t="shared" si="64"/>
        <v>-0.28185637127425489</v>
      </c>
      <c r="E1983" s="83">
        <v>3.6694041586580865E-3</v>
      </c>
      <c r="F1983" s="83">
        <v>1975</v>
      </c>
      <c r="G1983" s="83">
        <f t="shared" ca="1" si="65"/>
        <v>-4.3724260918696055E-4</v>
      </c>
    </row>
    <row r="1984" spans="2:7" x14ac:dyDescent="0.2">
      <c r="B1984" s="167">
        <v>45056</v>
      </c>
      <c r="C1984" s="28">
        <v>399.92</v>
      </c>
      <c r="D1984" s="83">
        <f t="shared" si="64"/>
        <v>0.45929574895092135</v>
      </c>
      <c r="E1984" s="83">
        <v>3.6641068112233006E-3</v>
      </c>
      <c r="F1984" s="83">
        <v>1976</v>
      </c>
      <c r="G1984" s="83">
        <f t="shared" ca="1" si="65"/>
        <v>-1.1787108592498381E-2</v>
      </c>
    </row>
    <row r="1985" spans="2:7" x14ac:dyDescent="0.2">
      <c r="B1985" s="167">
        <v>43441</v>
      </c>
      <c r="C1985" s="28">
        <v>274.05</v>
      </c>
      <c r="D1985" s="83">
        <f t="shared" si="64"/>
        <v>5.0000000000000044E-2</v>
      </c>
      <c r="E1985" s="83">
        <v>3.6623329060611609E-3</v>
      </c>
      <c r="F1985" s="83">
        <v>1977</v>
      </c>
      <c r="G1985" s="83">
        <f t="shared" ca="1" si="65"/>
        <v>2.7441906641121349E-2</v>
      </c>
    </row>
    <row r="1986" spans="2:7" x14ac:dyDescent="0.2">
      <c r="B1986" s="167">
        <v>42614</v>
      </c>
      <c r="C1986" s="28">
        <v>261</v>
      </c>
      <c r="D1986" s="83">
        <f t="shared" si="64"/>
        <v>0.2327602493859815</v>
      </c>
      <c r="E1986" s="83">
        <v>3.6531436262256817E-3</v>
      </c>
      <c r="F1986" s="83">
        <v>1978</v>
      </c>
      <c r="G1986" s="83">
        <f t="shared" ca="1" si="65"/>
        <v>-3.0990383881218761E-2</v>
      </c>
    </row>
    <row r="1987" spans="2:7" x14ac:dyDescent="0.2">
      <c r="B1987" s="167">
        <v>42503</v>
      </c>
      <c r="C1987" s="28">
        <v>211.72</v>
      </c>
      <c r="D1987" s="83">
        <f t="shared" si="64"/>
        <v>0.29849739343759574</v>
      </c>
      <c r="E1987" s="83">
        <v>3.6501540649443481E-3</v>
      </c>
      <c r="F1987" s="83">
        <v>1979</v>
      </c>
      <c r="G1987" s="83">
        <f t="shared" ca="1" si="65"/>
        <v>1.4591872471151472E-3</v>
      </c>
    </row>
    <row r="1988" spans="2:7" x14ac:dyDescent="0.2">
      <c r="B1988" s="167">
        <v>41024</v>
      </c>
      <c r="C1988" s="28">
        <v>163.05000000000001</v>
      </c>
      <c r="D1988" s="83">
        <f t="shared" si="64"/>
        <v>-0.21402747650036144</v>
      </c>
      <c r="E1988" s="83">
        <v>3.6316631786286065E-3</v>
      </c>
      <c r="F1988" s="83">
        <v>1980</v>
      </c>
      <c r="G1988" s="83">
        <f t="shared" ca="1" si="65"/>
        <v>1.1922571692969106E-2</v>
      </c>
    </row>
    <row r="1989" spans="2:7" x14ac:dyDescent="0.2">
      <c r="B1989" s="167">
        <v>43881</v>
      </c>
      <c r="C1989" s="28">
        <v>207.45</v>
      </c>
      <c r="D1989" s="83">
        <f t="shared" si="64"/>
        <v>2.5619848901098896</v>
      </c>
      <c r="E1989" s="83">
        <v>3.6284470246734399E-3</v>
      </c>
      <c r="F1989" s="83">
        <v>1981</v>
      </c>
      <c r="G1989" s="83">
        <f t="shared" ca="1" si="65"/>
        <v>-2.4340533382254309E-2</v>
      </c>
    </row>
    <row r="1990" spans="2:7" x14ac:dyDescent="0.2">
      <c r="B1990" s="167">
        <v>39120</v>
      </c>
      <c r="C1990" s="28">
        <v>58.24</v>
      </c>
      <c r="D1990" s="83">
        <f t="shared" si="64"/>
        <v>-0.8801325457426884</v>
      </c>
      <c r="E1990" s="83">
        <v>3.6188178528347554E-3</v>
      </c>
      <c r="F1990" s="83">
        <v>1982</v>
      </c>
      <c r="G1990" s="83">
        <f t="shared" ca="1" si="65"/>
        <v>1.7268156543091238E-2</v>
      </c>
    </row>
    <row r="1991" spans="2:7" x14ac:dyDescent="0.2">
      <c r="B1991" s="167">
        <v>45545</v>
      </c>
      <c r="C1991" s="28">
        <v>485.87</v>
      </c>
      <c r="D1991" s="83">
        <f t="shared" si="64"/>
        <v>0.19693050525952749</v>
      </c>
      <c r="E1991" s="83">
        <v>3.6148062463851939E-3</v>
      </c>
      <c r="F1991" s="83">
        <v>1983</v>
      </c>
      <c r="G1991" s="83">
        <f t="shared" ca="1" si="65"/>
        <v>-2.1699302160269045E-2</v>
      </c>
    </row>
    <row r="1992" spans="2:7" x14ac:dyDescent="0.2">
      <c r="B1992" s="167">
        <v>45390</v>
      </c>
      <c r="C1992" s="28">
        <v>405.93</v>
      </c>
      <c r="D1992" s="83">
        <f t="shared" si="64"/>
        <v>0.8223569023569024</v>
      </c>
      <c r="E1992" s="83">
        <v>3.6096620268499008E-3</v>
      </c>
      <c r="F1992" s="83">
        <v>1984</v>
      </c>
      <c r="G1992" s="83">
        <f t="shared" ca="1" si="65"/>
        <v>2.8781374446169867E-2</v>
      </c>
    </row>
    <row r="1993" spans="2:7" x14ac:dyDescent="0.2">
      <c r="B1993" s="167">
        <v>44573</v>
      </c>
      <c r="C1993" s="28">
        <v>222.75</v>
      </c>
      <c r="D1993" s="83">
        <f t="shared" ref="D1993:D2056" si="66">(C1993-C1994)/C1994</f>
        <v>4.8679440704298305E-2</v>
      </c>
      <c r="E1993" s="83">
        <v>3.6044154088759241E-3</v>
      </c>
      <c r="F1993" s="83">
        <v>1985</v>
      </c>
      <c r="G1993" s="83">
        <f t="shared" ref="G1993:G2056" ca="1" si="67">_xlfn.NORM.INV(RAND(),$M$10,$M$11)</f>
        <v>1.6882279444922509E-2</v>
      </c>
    </row>
    <row r="1994" spans="2:7" x14ac:dyDescent="0.2">
      <c r="B1994" s="167">
        <v>42276</v>
      </c>
      <c r="C1994" s="28">
        <v>212.41</v>
      </c>
      <c r="D1994" s="83">
        <f t="shared" si="66"/>
        <v>8.3448099974496218E-2</v>
      </c>
      <c r="E1994" s="83">
        <v>3.590833923930975E-3</v>
      </c>
      <c r="F1994" s="83">
        <v>1986</v>
      </c>
      <c r="G1994" s="83">
        <f t="shared" ca="1" si="67"/>
        <v>-1.995566917679906E-2</v>
      </c>
    </row>
    <row r="1995" spans="2:7" x14ac:dyDescent="0.2">
      <c r="B1995" s="167">
        <v>44050</v>
      </c>
      <c r="C1995" s="28">
        <v>196.05</v>
      </c>
      <c r="D1995" s="83">
        <f t="shared" si="66"/>
        <v>-0.38482537889485074</v>
      </c>
      <c r="E1995" s="83">
        <v>3.5833120040953013E-3</v>
      </c>
      <c r="F1995" s="83">
        <v>1987</v>
      </c>
      <c r="G1995" s="83">
        <f t="shared" ca="1" si="67"/>
        <v>2.2328569711671978E-2</v>
      </c>
    </row>
    <row r="1996" spans="2:7" x14ac:dyDescent="0.2">
      <c r="B1996" s="167">
        <v>44950</v>
      </c>
      <c r="C1996" s="28">
        <v>318.69</v>
      </c>
      <c r="D1996" s="83">
        <f t="shared" si="66"/>
        <v>2.6417552279739458</v>
      </c>
      <c r="E1996" s="83">
        <v>3.5583826678422833E-3</v>
      </c>
      <c r="F1996" s="83">
        <v>1988</v>
      </c>
      <c r="G1996" s="83">
        <f t="shared" ca="1" si="67"/>
        <v>-4.804801408899685E-3</v>
      </c>
    </row>
    <row r="1997" spans="2:7" x14ac:dyDescent="0.2">
      <c r="B1997" s="167">
        <v>40269</v>
      </c>
      <c r="C1997" s="28">
        <v>87.51</v>
      </c>
      <c r="D1997" s="83">
        <f t="shared" si="66"/>
        <v>-0.69017525225703669</v>
      </c>
      <c r="E1997" s="83">
        <v>3.5550458715596588E-3</v>
      </c>
      <c r="F1997" s="83">
        <v>1989</v>
      </c>
      <c r="G1997" s="83">
        <f t="shared" ca="1" si="67"/>
        <v>-9.1332443365781774E-4</v>
      </c>
    </row>
    <row r="1998" spans="2:7" x14ac:dyDescent="0.2">
      <c r="B1998" s="167">
        <v>42975</v>
      </c>
      <c r="C1998" s="28">
        <v>282.45</v>
      </c>
      <c r="D1998" s="83">
        <f t="shared" si="66"/>
        <v>4.8635604232411228E-2</v>
      </c>
      <c r="E1998" s="83">
        <v>3.5530289571860012E-3</v>
      </c>
      <c r="F1998" s="83">
        <v>1990</v>
      </c>
      <c r="G1998" s="83">
        <f t="shared" ca="1" si="67"/>
        <v>2.0410582385810061E-2</v>
      </c>
    </row>
    <row r="1999" spans="2:7" x14ac:dyDescent="0.2">
      <c r="B1999" s="167">
        <v>43035</v>
      </c>
      <c r="C1999" s="28">
        <v>269.35000000000002</v>
      </c>
      <c r="D1999" s="83">
        <f t="shared" si="66"/>
        <v>6.9104258443465501</v>
      </c>
      <c r="E1999" s="83">
        <v>3.5394932935918239E-3</v>
      </c>
      <c r="F1999" s="83">
        <v>1991</v>
      </c>
      <c r="G1999" s="83">
        <f t="shared" ca="1" si="67"/>
        <v>1.0729655297474835E-4</v>
      </c>
    </row>
    <row r="2000" spans="2:7" x14ac:dyDescent="0.2">
      <c r="B2000" s="167">
        <v>38524</v>
      </c>
      <c r="C2000" s="28">
        <v>34.049999999999997</v>
      </c>
      <c r="D2000" s="83">
        <f t="shared" si="66"/>
        <v>-0.40021137924960376</v>
      </c>
      <c r="E2000" s="83">
        <v>3.5366931918655304E-3</v>
      </c>
      <c r="F2000" s="83">
        <v>1992</v>
      </c>
      <c r="G2000" s="83">
        <f t="shared" ca="1" si="67"/>
        <v>-3.5714805830330985E-3</v>
      </c>
    </row>
    <row r="2001" spans="2:7" x14ac:dyDescent="0.2">
      <c r="B2001" s="167">
        <v>39834</v>
      </c>
      <c r="C2001" s="28">
        <v>56.77</v>
      </c>
      <c r="D2001" s="83">
        <f t="shared" si="66"/>
        <v>-0.76786882564605818</v>
      </c>
      <c r="E2001" s="83">
        <v>3.5354428142125305E-3</v>
      </c>
      <c r="F2001" s="83">
        <v>1993</v>
      </c>
      <c r="G2001" s="83">
        <f t="shared" ca="1" si="67"/>
        <v>-1.254411564612835E-2</v>
      </c>
    </row>
    <row r="2002" spans="2:7" x14ac:dyDescent="0.2">
      <c r="B2002" s="167">
        <v>42040</v>
      </c>
      <c r="C2002" s="28">
        <v>244.56</v>
      </c>
      <c r="D2002" s="83">
        <f t="shared" si="66"/>
        <v>0.1729496402877698</v>
      </c>
      <c r="E2002" s="83">
        <v>3.5289290110792518E-3</v>
      </c>
      <c r="F2002" s="83">
        <v>1994</v>
      </c>
      <c r="G2002" s="83">
        <f t="shared" ca="1" si="67"/>
        <v>2.5483322524497341E-2</v>
      </c>
    </row>
    <row r="2003" spans="2:7" x14ac:dyDescent="0.2">
      <c r="B2003" s="167">
        <v>42207</v>
      </c>
      <c r="C2003" s="28">
        <v>208.5</v>
      </c>
      <c r="D2003" s="83">
        <f t="shared" si="66"/>
        <v>0.21404448585070449</v>
      </c>
      <c r="E2003" s="83">
        <v>3.5135005053664615E-3</v>
      </c>
      <c r="F2003" s="83">
        <v>1995</v>
      </c>
      <c r="G2003" s="83">
        <f t="shared" ca="1" si="67"/>
        <v>-4.3461804397278894E-3</v>
      </c>
    </row>
    <row r="2004" spans="2:7" x14ac:dyDescent="0.2">
      <c r="B2004" s="167">
        <v>41122</v>
      </c>
      <c r="C2004" s="28">
        <v>171.74</v>
      </c>
      <c r="D2004" s="83">
        <f t="shared" si="66"/>
        <v>0.99767360707223463</v>
      </c>
      <c r="E2004" s="83">
        <v>3.5059016010285308E-3</v>
      </c>
      <c r="F2004" s="83">
        <v>1996</v>
      </c>
      <c r="G2004" s="83">
        <f t="shared" ca="1" si="67"/>
        <v>1.7148040384095127E-2</v>
      </c>
    </row>
    <row r="2005" spans="2:7" x14ac:dyDescent="0.2">
      <c r="B2005" s="167">
        <v>40252</v>
      </c>
      <c r="C2005" s="28">
        <v>85.97</v>
      </c>
      <c r="D2005" s="83">
        <f t="shared" si="66"/>
        <v>-0.14321307554315332</v>
      </c>
      <c r="E2005" s="83">
        <v>3.5018092681218297E-3</v>
      </c>
      <c r="F2005" s="83">
        <v>1997</v>
      </c>
      <c r="G2005" s="83">
        <f t="shared" ca="1" si="67"/>
        <v>2.2819997336694001E-2</v>
      </c>
    </row>
    <row r="2006" spans="2:7" x14ac:dyDescent="0.2">
      <c r="B2006" s="167">
        <v>40385</v>
      </c>
      <c r="C2006" s="28">
        <v>100.34</v>
      </c>
      <c r="D2006" s="83">
        <f t="shared" si="66"/>
        <v>-4.9805757545569437E-4</v>
      </c>
      <c r="E2006" s="83">
        <v>3.5003500350035857E-3</v>
      </c>
      <c r="F2006" s="83">
        <v>1998</v>
      </c>
      <c r="G2006" s="83">
        <f t="shared" ca="1" si="67"/>
        <v>-5.3638102256790519E-3</v>
      </c>
    </row>
    <row r="2007" spans="2:7" x14ac:dyDescent="0.2">
      <c r="B2007" s="167">
        <v>40352</v>
      </c>
      <c r="C2007" s="28">
        <v>100.39</v>
      </c>
      <c r="D2007" s="83">
        <f t="shared" si="66"/>
        <v>-0.63213631366801026</v>
      </c>
      <c r="E2007" s="83">
        <v>3.4986005597760325E-3</v>
      </c>
      <c r="F2007" s="83">
        <v>1999</v>
      </c>
      <c r="G2007" s="83">
        <f t="shared" ca="1" si="67"/>
        <v>2.4635860198159768E-3</v>
      </c>
    </row>
    <row r="2008" spans="2:7" x14ac:dyDescent="0.2">
      <c r="B2008" s="167">
        <v>43663</v>
      </c>
      <c r="C2008" s="28">
        <v>272.89999999999998</v>
      </c>
      <c r="D2008" s="83">
        <f t="shared" si="66"/>
        <v>6.306559571619812</v>
      </c>
      <c r="E2008" s="83">
        <v>3.4932892075748801E-3</v>
      </c>
      <c r="F2008" s="83">
        <v>2000</v>
      </c>
      <c r="G2008" s="83">
        <f t="shared" ca="1" si="67"/>
        <v>-2.118050154093205E-2</v>
      </c>
    </row>
    <row r="2009" spans="2:7" x14ac:dyDescent="0.2">
      <c r="B2009" s="167">
        <v>38586</v>
      </c>
      <c r="C2009" s="28">
        <v>37.35</v>
      </c>
      <c r="D2009" s="83">
        <f t="shared" si="66"/>
        <v>-0.91750596342433077</v>
      </c>
      <c r="E2009" s="83">
        <v>3.492745835572342E-3</v>
      </c>
      <c r="F2009" s="83">
        <v>2001</v>
      </c>
      <c r="G2009" s="83">
        <f t="shared" ca="1" si="67"/>
        <v>1.9646339070616761E-2</v>
      </c>
    </row>
    <row r="2010" spans="2:7" x14ac:dyDescent="0.2">
      <c r="B2010" s="167">
        <v>45653</v>
      </c>
      <c r="C2010" s="28">
        <v>452.76</v>
      </c>
      <c r="D2010" s="83">
        <f t="shared" si="66"/>
        <v>0.97298239497995476</v>
      </c>
      <c r="E2010" s="83">
        <v>3.4574468085106433E-3</v>
      </c>
      <c r="F2010" s="83">
        <v>2002</v>
      </c>
      <c r="G2010" s="83">
        <f t="shared" ca="1" si="67"/>
        <v>4.4411791065133016E-3</v>
      </c>
    </row>
    <row r="2011" spans="2:7" x14ac:dyDescent="0.2">
      <c r="B2011" s="167">
        <v>41872</v>
      </c>
      <c r="C2011" s="28">
        <v>229.48</v>
      </c>
      <c r="D2011" s="83">
        <f t="shared" si="66"/>
        <v>-0.16870132222423481</v>
      </c>
      <c r="E2011" s="83">
        <v>3.4544579999125106E-3</v>
      </c>
      <c r="F2011" s="83">
        <v>2003</v>
      </c>
      <c r="G2011" s="83">
        <f t="shared" ca="1" si="67"/>
        <v>-7.3190074600402175E-3</v>
      </c>
    </row>
    <row r="2012" spans="2:7" x14ac:dyDescent="0.2">
      <c r="B2012" s="167">
        <v>43524</v>
      </c>
      <c r="C2012" s="28">
        <v>276.05</v>
      </c>
      <c r="D2012" s="83">
        <f t="shared" si="66"/>
        <v>0.43880954862920873</v>
      </c>
      <c r="E2012" s="83">
        <v>3.4532897128316561E-3</v>
      </c>
      <c r="F2012" s="83">
        <v>2004</v>
      </c>
      <c r="G2012" s="83">
        <f t="shared" ca="1" si="67"/>
        <v>-2.8700251942085035E-2</v>
      </c>
    </row>
    <row r="2013" spans="2:7" x14ac:dyDescent="0.2">
      <c r="B2013" s="167">
        <v>41271</v>
      </c>
      <c r="C2013" s="28">
        <v>191.86</v>
      </c>
      <c r="D2013" s="83">
        <f t="shared" si="66"/>
        <v>-9.9840480435394452E-2</v>
      </c>
      <c r="E2013" s="83">
        <v>3.4518828451884156E-3</v>
      </c>
      <c r="F2013" s="83">
        <v>2005</v>
      </c>
      <c r="G2013" s="83">
        <f t="shared" ca="1" si="67"/>
        <v>1.4928402238625687E-2</v>
      </c>
    </row>
    <row r="2014" spans="2:7" x14ac:dyDescent="0.2">
      <c r="B2014" s="167">
        <v>41610</v>
      </c>
      <c r="C2014" s="28">
        <v>213.14</v>
      </c>
      <c r="D2014" s="83">
        <f t="shared" si="66"/>
        <v>-7.6276328334922525E-2</v>
      </c>
      <c r="E2014" s="83">
        <v>3.4367496822183033E-3</v>
      </c>
      <c r="F2014" s="83">
        <v>2006</v>
      </c>
      <c r="G2014" s="83">
        <f t="shared" ca="1" si="67"/>
        <v>-9.5201641716568055E-4</v>
      </c>
    </row>
    <row r="2015" spans="2:7" x14ac:dyDescent="0.2">
      <c r="B2015" s="167">
        <v>42514</v>
      </c>
      <c r="C2015" s="28">
        <v>230.74</v>
      </c>
      <c r="D2015" s="83">
        <f t="shared" si="66"/>
        <v>-0.16895371871060677</v>
      </c>
      <c r="E2015" s="83">
        <v>3.4355294629268124E-3</v>
      </c>
      <c r="F2015" s="83">
        <v>2007</v>
      </c>
      <c r="G2015" s="83">
        <f t="shared" ca="1" si="67"/>
        <v>-1.5021938535043265E-2</v>
      </c>
    </row>
    <row r="2016" spans="2:7" x14ac:dyDescent="0.2">
      <c r="B2016" s="167">
        <v>43650</v>
      </c>
      <c r="C2016" s="28">
        <v>277.64999999999998</v>
      </c>
      <c r="D2016" s="83">
        <f t="shared" si="66"/>
        <v>0.60065721203735711</v>
      </c>
      <c r="E2016" s="83">
        <v>3.433321286591936E-3</v>
      </c>
      <c r="F2016" s="83">
        <v>2008</v>
      </c>
      <c r="G2016" s="83">
        <f t="shared" ca="1" si="67"/>
        <v>-5.5556227395170176E-3</v>
      </c>
    </row>
    <row r="2017" spans="2:7" x14ac:dyDescent="0.2">
      <c r="B2017" s="167">
        <v>41143</v>
      </c>
      <c r="C2017" s="28">
        <v>173.46</v>
      </c>
      <c r="D2017" s="83">
        <f t="shared" si="66"/>
        <v>-0.19305917379977669</v>
      </c>
      <c r="E2017" s="83">
        <v>3.4129692832764701E-3</v>
      </c>
      <c r="F2017" s="83">
        <v>2009</v>
      </c>
      <c r="G2017" s="83">
        <f t="shared" ca="1" si="67"/>
        <v>3.7700710680013683E-2</v>
      </c>
    </row>
    <row r="2018" spans="2:7" x14ac:dyDescent="0.2">
      <c r="B2018" s="167">
        <v>42452</v>
      </c>
      <c r="C2018" s="28">
        <v>214.96</v>
      </c>
      <c r="D2018" s="83">
        <f t="shared" si="66"/>
        <v>-1.5791918253599787E-3</v>
      </c>
      <c r="E2018" s="83">
        <v>3.4075526303506427E-3</v>
      </c>
      <c r="F2018" s="83">
        <v>2010</v>
      </c>
      <c r="G2018" s="83">
        <f t="shared" ca="1" si="67"/>
        <v>2.8052323884477603E-2</v>
      </c>
    </row>
    <row r="2019" spans="2:7" x14ac:dyDescent="0.2">
      <c r="B2019" s="167">
        <v>42447</v>
      </c>
      <c r="C2019" s="28">
        <v>215.3</v>
      </c>
      <c r="D2019" s="83">
        <f t="shared" si="66"/>
        <v>0.15572494497825981</v>
      </c>
      <c r="E2019" s="83">
        <v>3.4021531434963799E-3</v>
      </c>
      <c r="F2019" s="83">
        <v>2011</v>
      </c>
      <c r="G2019" s="83">
        <f t="shared" ca="1" si="67"/>
        <v>-8.3623472226030532E-3</v>
      </c>
    </row>
    <row r="2020" spans="2:7" x14ac:dyDescent="0.2">
      <c r="B2020" s="167">
        <v>41192</v>
      </c>
      <c r="C2020" s="28">
        <v>186.29</v>
      </c>
      <c r="D2020" s="83">
        <f t="shared" si="66"/>
        <v>-0.30005635919594209</v>
      </c>
      <c r="E2020" s="83">
        <v>3.3932995798771704E-3</v>
      </c>
      <c r="F2020" s="83">
        <v>2012</v>
      </c>
      <c r="G2020" s="83">
        <f t="shared" ca="1" si="67"/>
        <v>-2.3016773057018421E-3</v>
      </c>
    </row>
    <row r="2021" spans="2:7" x14ac:dyDescent="0.2">
      <c r="B2021" s="167">
        <v>43014</v>
      </c>
      <c r="C2021" s="28">
        <v>266.14999999999998</v>
      </c>
      <c r="D2021" s="83">
        <f t="shared" si="66"/>
        <v>0.19941415051825134</v>
      </c>
      <c r="E2021" s="83">
        <v>3.3930254476907721E-3</v>
      </c>
      <c r="F2021" s="83">
        <v>2013</v>
      </c>
      <c r="G2021" s="83">
        <f t="shared" ca="1" si="67"/>
        <v>-3.4638606485085377E-3</v>
      </c>
    </row>
    <row r="2022" spans="2:7" x14ac:dyDescent="0.2">
      <c r="B2022" s="167">
        <v>44531</v>
      </c>
      <c r="C2022" s="28">
        <v>221.9</v>
      </c>
      <c r="D2022" s="83">
        <f t="shared" si="66"/>
        <v>0.24985918666216073</v>
      </c>
      <c r="E2022" s="83">
        <v>3.3913633280578791E-3</v>
      </c>
      <c r="F2022" s="83">
        <v>2014</v>
      </c>
      <c r="G2022" s="83">
        <f t="shared" ca="1" si="67"/>
        <v>-1.7700750687291239E-2</v>
      </c>
    </row>
    <row r="2023" spans="2:7" x14ac:dyDescent="0.2">
      <c r="B2023" s="167">
        <v>41135</v>
      </c>
      <c r="C2023" s="28">
        <v>177.54</v>
      </c>
      <c r="D2023" s="83">
        <f t="shared" si="66"/>
        <v>0.81626598465473132</v>
      </c>
      <c r="E2023" s="83">
        <v>3.390979993218008E-3</v>
      </c>
      <c r="F2023" s="83">
        <v>2015</v>
      </c>
      <c r="G2023" s="83">
        <f t="shared" ca="1" si="67"/>
        <v>4.0390782351994371E-2</v>
      </c>
    </row>
    <row r="2024" spans="2:7" x14ac:dyDescent="0.2">
      <c r="B2024" s="167">
        <v>40347</v>
      </c>
      <c r="C2024" s="28">
        <v>97.75</v>
      </c>
      <c r="D2024" s="83">
        <f t="shared" si="66"/>
        <v>-0.63348331458567675</v>
      </c>
      <c r="E2024" s="83">
        <v>3.3873947854649793E-3</v>
      </c>
      <c r="F2024" s="83">
        <v>2016</v>
      </c>
      <c r="G2024" s="83">
        <f t="shared" ca="1" si="67"/>
        <v>-2.5109614507503382E-2</v>
      </c>
    </row>
    <row r="2025" spans="2:7" x14ac:dyDescent="0.2">
      <c r="B2025" s="167">
        <v>43200</v>
      </c>
      <c r="C2025" s="28">
        <v>266.7</v>
      </c>
      <c r="D2025" s="83">
        <f t="shared" si="66"/>
        <v>8.3881980004876802E-2</v>
      </c>
      <c r="E2025" s="83">
        <v>3.3860045146726007E-3</v>
      </c>
      <c r="F2025" s="83">
        <v>2017</v>
      </c>
      <c r="G2025" s="83">
        <f t="shared" ca="1" si="67"/>
        <v>-7.5582028762087852E-3</v>
      </c>
    </row>
    <row r="2026" spans="2:7" x14ac:dyDescent="0.2">
      <c r="B2026" s="167">
        <v>42046</v>
      </c>
      <c r="C2026" s="28">
        <v>246.06</v>
      </c>
      <c r="D2026" s="83">
        <f t="shared" si="66"/>
        <v>0.39981795426100808</v>
      </c>
      <c r="E2026" s="83">
        <v>3.3845777433430353E-3</v>
      </c>
      <c r="F2026" s="83">
        <v>2018</v>
      </c>
      <c r="G2026" s="83">
        <f t="shared" ca="1" si="67"/>
        <v>-1.8953833517543199E-2</v>
      </c>
    </row>
    <row r="2027" spans="2:7" x14ac:dyDescent="0.2">
      <c r="B2027" s="167">
        <v>41145</v>
      </c>
      <c r="C2027" s="28">
        <v>175.78</v>
      </c>
      <c r="D2027" s="83">
        <f t="shared" si="66"/>
        <v>-0.22642256744267919</v>
      </c>
      <c r="E2027" s="83">
        <v>3.36777213311264E-3</v>
      </c>
      <c r="F2027" s="83">
        <v>2019</v>
      </c>
      <c r="G2027" s="83">
        <f t="shared" ca="1" si="67"/>
        <v>4.9321016551351002E-3</v>
      </c>
    </row>
    <row r="2028" spans="2:7" x14ac:dyDescent="0.2">
      <c r="B2028" s="167">
        <v>41571</v>
      </c>
      <c r="C2028" s="28">
        <v>227.23</v>
      </c>
      <c r="D2028" s="83">
        <f t="shared" si="66"/>
        <v>8.225376262145162E-2</v>
      </c>
      <c r="E2028" s="83">
        <v>3.3558528723450828E-3</v>
      </c>
      <c r="F2028" s="83">
        <v>2020</v>
      </c>
      <c r="G2028" s="83">
        <f t="shared" ca="1" si="67"/>
        <v>-2.453321813286697E-2</v>
      </c>
    </row>
    <row r="2029" spans="2:7" x14ac:dyDescent="0.2">
      <c r="B2029" s="167">
        <v>41646</v>
      </c>
      <c r="C2029" s="28">
        <v>209.96</v>
      </c>
      <c r="D2029" s="83">
        <f t="shared" si="66"/>
        <v>-4.1759846652366414E-2</v>
      </c>
      <c r="E2029" s="83">
        <v>3.3451209022269763E-3</v>
      </c>
      <c r="F2029" s="83">
        <v>2021</v>
      </c>
      <c r="G2029" s="83">
        <f t="shared" ca="1" si="67"/>
        <v>9.9583198008117556E-3</v>
      </c>
    </row>
    <row r="2030" spans="2:7" x14ac:dyDescent="0.2">
      <c r="B2030" s="167">
        <v>42507</v>
      </c>
      <c r="C2030" s="28">
        <v>219.11</v>
      </c>
      <c r="D2030" s="83">
        <f t="shared" si="66"/>
        <v>-8.7611909223402007E-2</v>
      </c>
      <c r="E2030" s="83">
        <v>3.3427969594286024E-3</v>
      </c>
      <c r="F2030" s="83">
        <v>2022</v>
      </c>
      <c r="G2030" s="83">
        <f t="shared" ca="1" si="67"/>
        <v>2.4439879095154441E-2</v>
      </c>
    </row>
    <row r="2031" spans="2:7" x14ac:dyDescent="0.2">
      <c r="B2031" s="167">
        <v>42664</v>
      </c>
      <c r="C2031" s="28">
        <v>240.15</v>
      </c>
      <c r="D2031" s="83">
        <f t="shared" si="66"/>
        <v>0.59716679968076603</v>
      </c>
      <c r="E2031" s="83">
        <v>3.3423856277418483E-3</v>
      </c>
      <c r="F2031" s="83">
        <v>2023</v>
      </c>
      <c r="G2031" s="83">
        <f t="shared" ca="1" si="67"/>
        <v>2.64944731373718E-3</v>
      </c>
    </row>
    <row r="2032" spans="2:7" x14ac:dyDescent="0.2">
      <c r="B2032" s="167">
        <v>40996</v>
      </c>
      <c r="C2032" s="28">
        <v>150.36000000000001</v>
      </c>
      <c r="D2032" s="83">
        <f t="shared" si="66"/>
        <v>1.7736579966795796</v>
      </c>
      <c r="E2032" s="83">
        <v>3.3364473508608033E-3</v>
      </c>
      <c r="F2032" s="83">
        <v>2024</v>
      </c>
      <c r="G2032" s="83">
        <f t="shared" ca="1" si="67"/>
        <v>-1.9262884185606639E-2</v>
      </c>
    </row>
    <row r="2033" spans="2:7" x14ac:dyDescent="0.2">
      <c r="B2033" s="167">
        <v>38762</v>
      </c>
      <c r="C2033" s="28">
        <v>54.21</v>
      </c>
      <c r="D2033" s="83">
        <f t="shared" si="66"/>
        <v>-0.81851963442804054</v>
      </c>
      <c r="E2033" s="83">
        <v>3.3314825097168189E-3</v>
      </c>
      <c r="F2033" s="83">
        <v>2025</v>
      </c>
      <c r="G2033" s="83">
        <f t="shared" ca="1" si="67"/>
        <v>-9.072497890048865E-3</v>
      </c>
    </row>
    <row r="2034" spans="2:7" x14ac:dyDescent="0.2">
      <c r="B2034" s="167">
        <v>44764</v>
      </c>
      <c r="C2034" s="28">
        <v>298.70999999999998</v>
      </c>
      <c r="D2034" s="83">
        <f t="shared" si="66"/>
        <v>0.49819440264820936</v>
      </c>
      <c r="E2034" s="83">
        <v>3.3252720677144705E-3</v>
      </c>
      <c r="F2034" s="83">
        <v>2026</v>
      </c>
      <c r="G2034" s="83">
        <f t="shared" ca="1" si="67"/>
        <v>1.7645522443576537E-2</v>
      </c>
    </row>
    <row r="2035" spans="2:7" x14ac:dyDescent="0.2">
      <c r="B2035" s="167">
        <v>41302</v>
      </c>
      <c r="C2035" s="28">
        <v>199.38</v>
      </c>
      <c r="D2035" s="83">
        <f t="shared" si="66"/>
        <v>-0.17784833615108653</v>
      </c>
      <c r="E2035" s="83">
        <v>3.3212560386473257E-3</v>
      </c>
      <c r="F2035" s="83">
        <v>2027</v>
      </c>
      <c r="G2035" s="83">
        <f t="shared" ca="1" si="67"/>
        <v>-2.5351579838058694E-2</v>
      </c>
    </row>
    <row r="2036" spans="2:7" x14ac:dyDescent="0.2">
      <c r="B2036" s="167">
        <v>41975</v>
      </c>
      <c r="C2036" s="28">
        <v>242.51</v>
      </c>
      <c r="D2036" s="83">
        <f t="shared" si="66"/>
        <v>2.9945643221874483</v>
      </c>
      <c r="E2036" s="83">
        <v>3.3097513549293902E-3</v>
      </c>
      <c r="F2036" s="83">
        <v>2028</v>
      </c>
      <c r="G2036" s="83">
        <f t="shared" ca="1" si="67"/>
        <v>1.3188616363336805E-2</v>
      </c>
    </row>
    <row r="2037" spans="2:7" x14ac:dyDescent="0.2">
      <c r="B2037" s="167">
        <v>39853</v>
      </c>
      <c r="C2037" s="28">
        <v>60.71</v>
      </c>
      <c r="D2037" s="83">
        <f t="shared" si="66"/>
        <v>0.99769661072721294</v>
      </c>
      <c r="E2037" s="83">
        <v>3.3052388035036003E-3</v>
      </c>
      <c r="F2037" s="83">
        <v>2029</v>
      </c>
      <c r="G2037" s="83">
        <f t="shared" ca="1" si="67"/>
        <v>1.9855790247972514E-3</v>
      </c>
    </row>
    <row r="2038" spans="2:7" x14ac:dyDescent="0.2">
      <c r="B2038" s="167">
        <v>38449</v>
      </c>
      <c r="C2038" s="28">
        <v>30.39</v>
      </c>
      <c r="D2038" s="83">
        <f t="shared" si="66"/>
        <v>-0.88890513617254618</v>
      </c>
      <c r="E2038" s="83">
        <v>3.301419610432533E-3</v>
      </c>
      <c r="F2038" s="83">
        <v>2030</v>
      </c>
      <c r="G2038" s="83">
        <f t="shared" ca="1" si="67"/>
        <v>4.9673924727097214E-3</v>
      </c>
    </row>
    <row r="2039" spans="2:7" x14ac:dyDescent="0.2">
      <c r="B2039" s="167">
        <v>42835</v>
      </c>
      <c r="C2039" s="28">
        <v>273.55</v>
      </c>
      <c r="D2039" s="83">
        <f t="shared" si="66"/>
        <v>-0.3448218049434757</v>
      </c>
      <c r="E2039" s="83">
        <v>3.3009352649918731E-3</v>
      </c>
      <c r="F2039" s="83">
        <v>2031</v>
      </c>
      <c r="G2039" s="83">
        <f t="shared" ca="1" si="67"/>
        <v>1.0529036648167452E-2</v>
      </c>
    </row>
    <row r="2040" spans="2:7" x14ac:dyDescent="0.2">
      <c r="B2040" s="167">
        <v>45435</v>
      </c>
      <c r="C2040" s="28">
        <v>417.52</v>
      </c>
      <c r="D2040" s="83">
        <f t="shared" si="66"/>
        <v>4.9332101747903927</v>
      </c>
      <c r="E2040" s="83">
        <v>3.2920821819055739E-3</v>
      </c>
      <c r="F2040" s="83">
        <v>2032</v>
      </c>
      <c r="G2040" s="83">
        <f t="shared" ca="1" si="67"/>
        <v>-1.545876853335874E-2</v>
      </c>
    </row>
    <row r="2041" spans="2:7" x14ac:dyDescent="0.2">
      <c r="B2041" s="167">
        <v>39567</v>
      </c>
      <c r="C2041" s="28">
        <v>70.37</v>
      </c>
      <c r="D2041" s="83">
        <f t="shared" si="66"/>
        <v>-0.72976190476190472</v>
      </c>
      <c r="E2041" s="83">
        <v>3.2791559737668091E-3</v>
      </c>
      <c r="F2041" s="83">
        <v>2033</v>
      </c>
      <c r="G2041" s="83">
        <f t="shared" ca="1" si="67"/>
        <v>1.185870308057344E-2</v>
      </c>
    </row>
    <row r="2042" spans="2:7" x14ac:dyDescent="0.2">
      <c r="B2042" s="167">
        <v>44672</v>
      </c>
      <c r="C2042" s="28">
        <v>260.39999999999998</v>
      </c>
      <c r="D2042" s="83">
        <f t="shared" si="66"/>
        <v>2.1403762662807519</v>
      </c>
      <c r="E2042" s="83">
        <v>3.2748988634173216E-3</v>
      </c>
      <c r="F2042" s="83">
        <v>2034</v>
      </c>
      <c r="G2042" s="83">
        <f t="shared" ca="1" si="67"/>
        <v>1.2199957558413143E-2</v>
      </c>
    </row>
    <row r="2043" spans="2:7" x14ac:dyDescent="0.2">
      <c r="B2043" s="167">
        <v>40225</v>
      </c>
      <c r="C2043" s="28">
        <v>82.92</v>
      </c>
      <c r="D2043" s="83">
        <f t="shared" si="66"/>
        <v>-0.25236678387882061</v>
      </c>
      <c r="E2043" s="83">
        <v>3.2667876588021293E-3</v>
      </c>
      <c r="F2043" s="83">
        <v>2035</v>
      </c>
      <c r="G2043" s="83">
        <f t="shared" ca="1" si="67"/>
        <v>8.7001050590949976E-3</v>
      </c>
    </row>
    <row r="2044" spans="2:7" x14ac:dyDescent="0.2">
      <c r="B2044" s="167">
        <v>40521</v>
      </c>
      <c r="C2044" s="28">
        <v>110.91</v>
      </c>
      <c r="D2044" s="83">
        <f t="shared" si="66"/>
        <v>-0.62140296979006659</v>
      </c>
      <c r="E2044" s="83">
        <v>3.2564450474898187E-3</v>
      </c>
      <c r="F2044" s="83">
        <v>2036</v>
      </c>
      <c r="G2044" s="83">
        <f t="shared" ca="1" si="67"/>
        <v>-1.185232786048827E-2</v>
      </c>
    </row>
    <row r="2045" spans="2:7" x14ac:dyDescent="0.2">
      <c r="B2045" s="167">
        <v>43535</v>
      </c>
      <c r="C2045" s="28">
        <v>292.95</v>
      </c>
      <c r="D2045" s="83">
        <f t="shared" si="66"/>
        <v>0.30020860148240197</v>
      </c>
      <c r="E2045" s="83">
        <v>3.2534246575342076E-3</v>
      </c>
      <c r="F2045" s="83">
        <v>2037</v>
      </c>
      <c r="G2045" s="83">
        <f t="shared" ca="1" si="67"/>
        <v>6.4579867514269014E-3</v>
      </c>
    </row>
    <row r="2046" spans="2:7" x14ac:dyDescent="0.2">
      <c r="B2046" s="167">
        <v>41551</v>
      </c>
      <c r="C2046" s="28">
        <v>225.31</v>
      </c>
      <c r="D2046" s="83">
        <f t="shared" si="66"/>
        <v>0.97069885419399993</v>
      </c>
      <c r="E2046" s="83">
        <v>3.2505120669694084E-3</v>
      </c>
      <c r="F2046" s="83">
        <v>2038</v>
      </c>
      <c r="G2046" s="83">
        <f t="shared" ca="1" si="67"/>
        <v>-8.5741965738791689E-4</v>
      </c>
    </row>
    <row r="2047" spans="2:7" x14ac:dyDescent="0.2">
      <c r="B2047" s="167">
        <v>40459</v>
      </c>
      <c r="C2047" s="28">
        <v>114.33</v>
      </c>
      <c r="D2047" s="83">
        <f t="shared" si="66"/>
        <v>-0.75759053515393104</v>
      </c>
      <c r="E2047" s="83">
        <v>3.2467532467532869E-3</v>
      </c>
      <c r="F2047" s="83">
        <v>2039</v>
      </c>
      <c r="G2047" s="83">
        <f t="shared" ca="1" si="67"/>
        <v>2.1698404215170147E-2</v>
      </c>
    </row>
    <row r="2048" spans="2:7" x14ac:dyDescent="0.2">
      <c r="B2048" s="167">
        <v>45580</v>
      </c>
      <c r="C2048" s="28">
        <v>471.64</v>
      </c>
      <c r="D2048" s="83">
        <f t="shared" si="66"/>
        <v>1.1634862385321101</v>
      </c>
      <c r="E2048" s="83">
        <v>3.2332170509656723E-3</v>
      </c>
      <c r="F2048" s="83">
        <v>2040</v>
      </c>
      <c r="G2048" s="83">
        <f t="shared" ca="1" si="67"/>
        <v>7.6675947407083122E-3</v>
      </c>
    </row>
    <row r="2049" spans="2:7" x14ac:dyDescent="0.2">
      <c r="B2049" s="167">
        <v>44554</v>
      </c>
      <c r="C2049" s="28">
        <v>218</v>
      </c>
      <c r="D2049" s="83">
        <f t="shared" si="66"/>
        <v>5.9782330345710628</v>
      </c>
      <c r="E2049" s="83">
        <v>3.2213529682466112E-3</v>
      </c>
      <c r="F2049" s="83">
        <v>2041</v>
      </c>
      <c r="G2049" s="83">
        <f t="shared" ca="1" si="67"/>
        <v>-7.6613299893779239E-3</v>
      </c>
    </row>
    <row r="2050" spans="2:7" x14ac:dyDescent="0.2">
      <c r="B2050" s="167">
        <v>38475</v>
      </c>
      <c r="C2050" s="28">
        <v>31.24</v>
      </c>
      <c r="D2050" s="83">
        <f t="shared" si="66"/>
        <v>-0.44531250000000006</v>
      </c>
      <c r="E2050" s="83">
        <v>3.2113037893384028E-3</v>
      </c>
      <c r="F2050" s="83">
        <v>2042</v>
      </c>
      <c r="G2050" s="83">
        <f t="shared" ca="1" si="67"/>
        <v>2.3278413910382822E-3</v>
      </c>
    </row>
    <row r="2051" spans="2:7" x14ac:dyDescent="0.2">
      <c r="B2051" s="167">
        <v>39790</v>
      </c>
      <c r="C2051" s="28">
        <v>56.32</v>
      </c>
      <c r="D2051" s="83">
        <f t="shared" si="66"/>
        <v>-0.45473908413205538</v>
      </c>
      <c r="E2051" s="83">
        <v>3.2062700391877396E-3</v>
      </c>
      <c r="F2051" s="83">
        <v>2043</v>
      </c>
      <c r="G2051" s="83">
        <f t="shared" ca="1" si="67"/>
        <v>7.6487489075204715E-3</v>
      </c>
    </row>
    <row r="2052" spans="2:7" x14ac:dyDescent="0.2">
      <c r="B2052" s="167">
        <v>40395</v>
      </c>
      <c r="C2052" s="28">
        <v>103.29</v>
      </c>
      <c r="D2052" s="83">
        <f t="shared" si="66"/>
        <v>-0.47804335742078924</v>
      </c>
      <c r="E2052" s="83">
        <v>3.2051282051283269E-3</v>
      </c>
      <c r="F2052" s="83">
        <v>2044</v>
      </c>
      <c r="G2052" s="83">
        <f t="shared" ca="1" si="67"/>
        <v>2.6014558243777353E-3</v>
      </c>
    </row>
    <row r="2053" spans="2:7" x14ac:dyDescent="0.2">
      <c r="B2053" s="167">
        <v>42170</v>
      </c>
      <c r="C2053" s="28">
        <v>197.89</v>
      </c>
      <c r="D2053" s="83">
        <f t="shared" si="66"/>
        <v>1.3327832134857951</v>
      </c>
      <c r="E2053" s="83">
        <v>3.1937544357700269E-3</v>
      </c>
      <c r="F2053" s="83">
        <v>2045</v>
      </c>
      <c r="G2053" s="83">
        <f t="shared" ca="1" si="67"/>
        <v>6.5937832949132819E-3</v>
      </c>
    </row>
    <row r="2054" spans="2:7" x14ac:dyDescent="0.2">
      <c r="B2054" s="167">
        <v>40205</v>
      </c>
      <c r="C2054" s="28">
        <v>84.83</v>
      </c>
      <c r="D2054" s="83">
        <f t="shared" si="66"/>
        <v>-0.6832928878103417</v>
      </c>
      <c r="E2054" s="83">
        <v>3.1929990539261593E-3</v>
      </c>
      <c r="F2054" s="83">
        <v>2046</v>
      </c>
      <c r="G2054" s="83">
        <f t="shared" ca="1" si="67"/>
        <v>-3.3797844731412258E-2</v>
      </c>
    </row>
    <row r="2055" spans="2:7" x14ac:dyDescent="0.2">
      <c r="B2055" s="167">
        <v>42997</v>
      </c>
      <c r="C2055" s="28">
        <v>267.85000000000002</v>
      </c>
      <c r="D2055" s="83">
        <f t="shared" si="66"/>
        <v>3.2495636998254804</v>
      </c>
      <c r="E2055" s="83">
        <v>3.1835205992510216E-3</v>
      </c>
      <c r="F2055" s="83">
        <v>2047</v>
      </c>
      <c r="G2055" s="83">
        <f t="shared" ca="1" si="67"/>
        <v>-2.2953489280023217E-2</v>
      </c>
    </row>
    <row r="2056" spans="2:7" x14ac:dyDescent="0.2">
      <c r="B2056" s="167">
        <v>38964</v>
      </c>
      <c r="C2056" s="28">
        <v>63.03</v>
      </c>
      <c r="D2056" s="83">
        <f t="shared" si="66"/>
        <v>0.11066079295154187</v>
      </c>
      <c r="E2056" s="83">
        <v>3.1831927423205926E-3</v>
      </c>
      <c r="F2056" s="83">
        <v>2048</v>
      </c>
      <c r="G2056" s="83">
        <f t="shared" ca="1" si="67"/>
        <v>-3.0070648755414348E-2</v>
      </c>
    </row>
    <row r="2057" spans="2:7" x14ac:dyDescent="0.2">
      <c r="B2057" s="167">
        <v>39811</v>
      </c>
      <c r="C2057" s="28">
        <v>56.75</v>
      </c>
      <c r="D2057" s="83">
        <f t="shared" ref="D2057:D2120" si="68">(C2057-C2058)/C2058</f>
        <v>-0.87149003623188404</v>
      </c>
      <c r="E2057" s="83">
        <v>3.1818985327912272E-3</v>
      </c>
      <c r="F2057" s="83">
        <v>2049</v>
      </c>
      <c r="G2057" s="83">
        <f t="shared" ref="G2057:G2120" ca="1" si="69">_xlfn.NORM.INV(RAND(),$M$10,$M$11)</f>
        <v>-6.4106488845545205E-3</v>
      </c>
    </row>
    <row r="2058" spans="2:7" x14ac:dyDescent="0.2">
      <c r="B2058" s="167">
        <v>45681</v>
      </c>
      <c r="C2058" s="28">
        <v>441.6</v>
      </c>
      <c r="D2058" s="83">
        <f t="shared" si="68"/>
        <v>1.1530960507069723</v>
      </c>
      <c r="E2058" s="83">
        <v>3.180372557928292E-3</v>
      </c>
      <c r="F2058" s="83">
        <v>2050</v>
      </c>
      <c r="G2058" s="83">
        <f t="shared" ca="1" si="69"/>
        <v>-4.7501440668756044E-3</v>
      </c>
    </row>
    <row r="2059" spans="2:7" x14ac:dyDescent="0.2">
      <c r="B2059" s="167">
        <v>44369</v>
      </c>
      <c r="C2059" s="28">
        <v>205.1</v>
      </c>
      <c r="D2059" s="83">
        <f t="shared" si="68"/>
        <v>-0.16001146742023997</v>
      </c>
      <c r="E2059" s="83">
        <v>3.1792614331132584E-3</v>
      </c>
      <c r="F2059" s="83">
        <v>2051</v>
      </c>
      <c r="G2059" s="83">
        <f t="shared" ca="1" si="69"/>
        <v>-2.1112649414838001E-2</v>
      </c>
    </row>
    <row r="2060" spans="2:7" x14ac:dyDescent="0.2">
      <c r="B2060" s="167">
        <v>42006</v>
      </c>
      <c r="C2060" s="28">
        <v>244.17</v>
      </c>
      <c r="D2060" s="83">
        <f t="shared" si="68"/>
        <v>0.18299418604651155</v>
      </c>
      <c r="E2060" s="83">
        <v>3.1635168447000073E-3</v>
      </c>
      <c r="F2060" s="83">
        <v>2052</v>
      </c>
      <c r="G2060" s="83">
        <f t="shared" ca="1" si="69"/>
        <v>5.5104527904460054E-3</v>
      </c>
    </row>
    <row r="2061" spans="2:7" x14ac:dyDescent="0.2">
      <c r="B2061" s="167">
        <v>44433</v>
      </c>
      <c r="C2061" s="28">
        <v>206.4</v>
      </c>
      <c r="D2061" s="83">
        <f t="shared" si="68"/>
        <v>2.2386631099952932</v>
      </c>
      <c r="E2061" s="83">
        <v>3.1591737545565283E-3</v>
      </c>
      <c r="F2061" s="83">
        <v>2053</v>
      </c>
      <c r="G2061" s="83">
        <f t="shared" ca="1" si="69"/>
        <v>2.1084268634180135E-2</v>
      </c>
    </row>
    <row r="2062" spans="2:7" x14ac:dyDescent="0.2">
      <c r="B2062" s="167">
        <v>39420</v>
      </c>
      <c r="C2062" s="28">
        <v>63.73</v>
      </c>
      <c r="D2062" s="83">
        <f t="shared" si="68"/>
        <v>9.8982583204000593E-2</v>
      </c>
      <c r="E2062" s="83">
        <v>3.1481189988980911E-3</v>
      </c>
      <c r="F2062" s="83">
        <v>2054</v>
      </c>
      <c r="G2062" s="83">
        <f t="shared" ca="1" si="69"/>
        <v>-1.3003649446974786E-2</v>
      </c>
    </row>
    <row r="2063" spans="2:7" x14ac:dyDescent="0.2">
      <c r="B2063" s="167">
        <v>39896</v>
      </c>
      <c r="C2063" s="28">
        <v>57.99</v>
      </c>
      <c r="D2063" s="83">
        <f t="shared" si="68"/>
        <v>-0.40160974099680113</v>
      </c>
      <c r="E2063" s="83">
        <v>3.1136481577581682E-3</v>
      </c>
      <c r="F2063" s="83">
        <v>2055</v>
      </c>
      <c r="G2063" s="83">
        <f t="shared" ca="1" si="69"/>
        <v>-1.8125750571137231E-2</v>
      </c>
    </row>
    <row r="2064" spans="2:7" x14ac:dyDescent="0.2">
      <c r="B2064" s="167">
        <v>40380</v>
      </c>
      <c r="C2064" s="28">
        <v>96.91</v>
      </c>
      <c r="D2064" s="83">
        <f t="shared" si="68"/>
        <v>-0.73472571991678526</v>
      </c>
      <c r="E2064" s="83">
        <v>3.1052686057343667E-3</v>
      </c>
      <c r="F2064" s="83">
        <v>2056</v>
      </c>
      <c r="G2064" s="83">
        <f t="shared" ca="1" si="69"/>
        <v>6.4676316712116632E-3</v>
      </c>
    </row>
    <row r="2065" spans="2:7" x14ac:dyDescent="0.2">
      <c r="B2065" s="167">
        <v>45026</v>
      </c>
      <c r="C2065" s="28">
        <v>365.32</v>
      </c>
      <c r="D2065" s="83">
        <f t="shared" si="68"/>
        <v>1.0166712669058791</v>
      </c>
      <c r="E2065" s="83">
        <v>3.1027760235042023E-3</v>
      </c>
      <c r="F2065" s="83">
        <v>2057</v>
      </c>
      <c r="G2065" s="83">
        <f t="shared" ca="1" si="69"/>
        <v>-9.0563274605176911E-3</v>
      </c>
    </row>
    <row r="2066" spans="2:7" x14ac:dyDescent="0.2">
      <c r="B2066" s="167">
        <v>41183</v>
      </c>
      <c r="C2066" s="28">
        <v>181.15</v>
      </c>
      <c r="D2066" s="83">
        <f t="shared" si="68"/>
        <v>-0.3003089996137504</v>
      </c>
      <c r="E2066" s="83">
        <v>3.1009468962844137E-3</v>
      </c>
      <c r="F2066" s="83">
        <v>2058</v>
      </c>
      <c r="G2066" s="83">
        <f t="shared" ca="1" si="69"/>
        <v>-3.0948663291399897E-4</v>
      </c>
    </row>
    <row r="2067" spans="2:7" x14ac:dyDescent="0.2">
      <c r="B2067" s="167">
        <v>43186</v>
      </c>
      <c r="C2067" s="28">
        <v>258.89999999999998</v>
      </c>
      <c r="D2067" s="83">
        <f t="shared" si="68"/>
        <v>1.9494190020505806</v>
      </c>
      <c r="E2067" s="83">
        <v>3.0995738086011409E-3</v>
      </c>
      <c r="F2067" s="83">
        <v>2059</v>
      </c>
      <c r="G2067" s="83">
        <f t="shared" ca="1" si="69"/>
        <v>6.4510477172967425E-3</v>
      </c>
    </row>
    <row r="2068" spans="2:7" x14ac:dyDescent="0.2">
      <c r="B2068" s="167">
        <v>40273</v>
      </c>
      <c r="C2068" s="28">
        <v>87.78</v>
      </c>
      <c r="D2068" s="83">
        <f t="shared" si="68"/>
        <v>-0.6401721664275466</v>
      </c>
      <c r="E2068" s="83">
        <v>3.0853616729516172E-3</v>
      </c>
      <c r="F2068" s="83">
        <v>2060</v>
      </c>
      <c r="G2068" s="83">
        <f t="shared" ca="1" si="69"/>
        <v>1.5363783929915154E-2</v>
      </c>
    </row>
    <row r="2069" spans="2:7" x14ac:dyDescent="0.2">
      <c r="B2069" s="167">
        <v>43749</v>
      </c>
      <c r="C2069" s="28">
        <v>243.95</v>
      </c>
      <c r="D2069" s="83">
        <f t="shared" si="68"/>
        <v>-0.41532451346946603</v>
      </c>
      <c r="E2069" s="83">
        <v>3.0838815789473685E-3</v>
      </c>
      <c r="F2069" s="83">
        <v>2061</v>
      </c>
      <c r="G2069" s="83">
        <f t="shared" ca="1" si="69"/>
        <v>1.388135519381513E-3</v>
      </c>
    </row>
    <row r="2070" spans="2:7" x14ac:dyDescent="0.2">
      <c r="B2070" s="167">
        <v>45170</v>
      </c>
      <c r="C2070" s="28">
        <v>417.24</v>
      </c>
      <c r="D2070" s="83">
        <f t="shared" si="68"/>
        <v>-0.10044628419895216</v>
      </c>
      <c r="E2070" s="83">
        <v>3.0772189633619328E-3</v>
      </c>
      <c r="F2070" s="83">
        <v>2062</v>
      </c>
      <c r="G2070" s="83">
        <f t="shared" ca="1" si="69"/>
        <v>2.2913173332073839E-2</v>
      </c>
    </row>
    <row r="2071" spans="2:7" x14ac:dyDescent="0.2">
      <c r="B2071" s="167">
        <v>45597</v>
      </c>
      <c r="C2071" s="28">
        <v>463.83</v>
      </c>
      <c r="D2071" s="83">
        <f t="shared" si="68"/>
        <v>0.10701926060287829</v>
      </c>
      <c r="E2071" s="83">
        <v>3.070867844553446E-3</v>
      </c>
      <c r="F2071" s="83">
        <v>2063</v>
      </c>
      <c r="G2071" s="83">
        <f t="shared" ca="1" si="69"/>
        <v>1.4637267038074655E-4</v>
      </c>
    </row>
    <row r="2072" spans="2:7" x14ac:dyDescent="0.2">
      <c r="B2072" s="167">
        <v>45323</v>
      </c>
      <c r="C2072" s="28">
        <v>418.99</v>
      </c>
      <c r="D2072" s="83">
        <f t="shared" si="68"/>
        <v>3.9165688805444732</v>
      </c>
      <c r="E2072" s="83">
        <v>3.0643269253789224E-3</v>
      </c>
      <c r="F2072" s="83">
        <v>2064</v>
      </c>
      <c r="G2072" s="83">
        <f t="shared" ca="1" si="69"/>
        <v>9.5127551651631378E-3</v>
      </c>
    </row>
    <row r="2073" spans="2:7" x14ac:dyDescent="0.2">
      <c r="B2073" s="167">
        <v>40147</v>
      </c>
      <c r="C2073" s="28">
        <v>85.22</v>
      </c>
      <c r="D2073" s="83">
        <f t="shared" si="68"/>
        <v>-0.39551709462335077</v>
      </c>
      <c r="E2073" s="83">
        <v>3.060263653484053E-3</v>
      </c>
      <c r="F2073" s="83">
        <v>2065</v>
      </c>
      <c r="G2073" s="83">
        <f t="shared" ca="1" si="69"/>
        <v>-3.6334563671733284E-3</v>
      </c>
    </row>
    <row r="2074" spans="2:7" x14ac:dyDescent="0.2">
      <c r="B2074" s="167">
        <v>40858</v>
      </c>
      <c r="C2074" s="28">
        <v>140.97999999999999</v>
      </c>
      <c r="D2074" s="83">
        <f t="shared" si="68"/>
        <v>-0.14183102020939867</v>
      </c>
      <c r="E2074" s="83">
        <v>3.0594094628244636E-3</v>
      </c>
      <c r="F2074" s="83">
        <v>2066</v>
      </c>
      <c r="G2074" s="83">
        <f t="shared" ca="1" si="69"/>
        <v>4.602847210814884E-3</v>
      </c>
    </row>
    <row r="2075" spans="2:7" x14ac:dyDescent="0.2">
      <c r="B2075" s="167">
        <v>41087</v>
      </c>
      <c r="C2075" s="28">
        <v>164.28</v>
      </c>
      <c r="D2075" s="83">
        <f t="shared" si="68"/>
        <v>-0.37732630860781557</v>
      </c>
      <c r="E2075" s="83">
        <v>3.0528758090120896E-3</v>
      </c>
      <c r="F2075" s="83">
        <v>2067</v>
      </c>
      <c r="G2075" s="83">
        <f t="shared" ca="1" si="69"/>
        <v>-1.0165289829079759E-2</v>
      </c>
    </row>
    <row r="2076" spans="2:7" x14ac:dyDescent="0.2">
      <c r="B2076" s="167">
        <v>44726</v>
      </c>
      <c r="C2076" s="28">
        <v>263.83</v>
      </c>
      <c r="D2076" s="83">
        <f t="shared" si="68"/>
        <v>1.2202305815029875</v>
      </c>
      <c r="E2076" s="83">
        <v>3.0414781583850184E-3</v>
      </c>
      <c r="F2076" s="83">
        <v>2068</v>
      </c>
      <c r="G2076" s="83">
        <f t="shared" ca="1" si="69"/>
        <v>-1.8513461747347987E-2</v>
      </c>
    </row>
    <row r="2077" spans="2:7" x14ac:dyDescent="0.2">
      <c r="B2077" s="167">
        <v>40631</v>
      </c>
      <c r="C2077" s="28">
        <v>118.83</v>
      </c>
      <c r="D2077" s="83">
        <f t="shared" si="68"/>
        <v>-0.48691709844559583</v>
      </c>
      <c r="E2077" s="83">
        <v>3.0387439858191902E-3</v>
      </c>
      <c r="F2077" s="83">
        <v>2069</v>
      </c>
      <c r="G2077" s="83">
        <f t="shared" ca="1" si="69"/>
        <v>-1.1779646526633672E-2</v>
      </c>
    </row>
    <row r="2078" spans="2:7" x14ac:dyDescent="0.2">
      <c r="B2078" s="167">
        <v>44523</v>
      </c>
      <c r="C2078" s="28">
        <v>231.6</v>
      </c>
      <c r="D2078" s="83">
        <f t="shared" si="68"/>
        <v>-0.12587280618984711</v>
      </c>
      <c r="E2078" s="83">
        <v>3.0316154179297903E-3</v>
      </c>
      <c r="F2078" s="83">
        <v>2070</v>
      </c>
      <c r="G2078" s="83">
        <f t="shared" ca="1" si="69"/>
        <v>7.712094419079993E-3</v>
      </c>
    </row>
    <row r="2079" spans="2:7" x14ac:dyDescent="0.2">
      <c r="B2079" s="167">
        <v>42803</v>
      </c>
      <c r="C2079" s="28">
        <v>264.95</v>
      </c>
      <c r="D2079" s="83">
        <f t="shared" si="68"/>
        <v>0.33194248944299221</v>
      </c>
      <c r="E2079" s="83">
        <v>3.0285822449366323E-3</v>
      </c>
      <c r="F2079" s="83">
        <v>2071</v>
      </c>
      <c r="G2079" s="83">
        <f t="shared" ca="1" si="69"/>
        <v>-2.5429141307118956E-3</v>
      </c>
    </row>
    <row r="2080" spans="2:7" x14ac:dyDescent="0.2">
      <c r="B2080" s="167">
        <v>41317</v>
      </c>
      <c r="C2080" s="28">
        <v>198.92</v>
      </c>
      <c r="D2080" s="83">
        <f t="shared" si="68"/>
        <v>0.19874653489212962</v>
      </c>
      <c r="E2080" s="83">
        <v>3.0254134731746386E-3</v>
      </c>
      <c r="F2080" s="83">
        <v>2072</v>
      </c>
      <c r="G2080" s="83">
        <f t="shared" ca="1" si="69"/>
        <v>-7.65361721550196E-4</v>
      </c>
    </row>
    <row r="2081" spans="2:7" x14ac:dyDescent="0.2">
      <c r="B2081" s="167">
        <v>41114</v>
      </c>
      <c r="C2081" s="28">
        <v>165.94</v>
      </c>
      <c r="D2081" s="83">
        <f t="shared" si="68"/>
        <v>-0.36779945138677239</v>
      </c>
      <c r="E2081" s="83">
        <v>3.0222437137330757E-3</v>
      </c>
      <c r="F2081" s="83">
        <v>2073</v>
      </c>
      <c r="G2081" s="83">
        <f t="shared" ca="1" si="69"/>
        <v>-1.8922196587329513E-4</v>
      </c>
    </row>
    <row r="2082" spans="2:7" x14ac:dyDescent="0.2">
      <c r="B2082" s="167">
        <v>44732</v>
      </c>
      <c r="C2082" s="28">
        <v>262.48</v>
      </c>
      <c r="D2082" s="83">
        <f t="shared" si="68"/>
        <v>2.1491301739652076</v>
      </c>
      <c r="E2082" s="83">
        <v>3.018839084412933E-3</v>
      </c>
      <c r="F2082" s="83">
        <v>2074</v>
      </c>
      <c r="G2082" s="83">
        <f t="shared" ca="1" si="69"/>
        <v>-1.2190733530596302E-2</v>
      </c>
    </row>
    <row r="2083" spans="2:7" x14ac:dyDescent="0.2">
      <c r="B2083" s="167">
        <v>40162</v>
      </c>
      <c r="C2083" s="28">
        <v>83.35</v>
      </c>
      <c r="D2083" s="83">
        <f t="shared" si="68"/>
        <v>-7.5017861395571522E-3</v>
      </c>
      <c r="E2083" s="83">
        <v>3.0084235860409147E-3</v>
      </c>
      <c r="F2083" s="83">
        <v>2075</v>
      </c>
      <c r="G2083" s="83">
        <f t="shared" ca="1" si="69"/>
        <v>-1.5997733127670458E-2</v>
      </c>
    </row>
    <row r="2084" spans="2:7" x14ac:dyDescent="0.2">
      <c r="B2084" s="167">
        <v>40213</v>
      </c>
      <c r="C2084" s="28">
        <v>83.98</v>
      </c>
      <c r="D2084" s="83">
        <f t="shared" si="68"/>
        <v>0.78339350180505407</v>
      </c>
      <c r="E2084" s="83">
        <v>2.9857876507822763E-3</v>
      </c>
      <c r="F2084" s="83">
        <v>2076</v>
      </c>
      <c r="G2084" s="83">
        <f t="shared" ca="1" si="69"/>
        <v>-3.3168588006586746E-3</v>
      </c>
    </row>
    <row r="2085" spans="2:7" x14ac:dyDescent="0.2">
      <c r="B2085" s="167">
        <v>38708</v>
      </c>
      <c r="C2085" s="28">
        <v>47.09</v>
      </c>
      <c r="D2085" s="83">
        <f t="shared" si="68"/>
        <v>-0.6503564003564003</v>
      </c>
      <c r="E2085" s="83">
        <v>2.9818956336528342E-3</v>
      </c>
      <c r="F2085" s="83">
        <v>2077</v>
      </c>
      <c r="G2085" s="83">
        <f t="shared" ca="1" si="69"/>
        <v>6.0108343922179921E-3</v>
      </c>
    </row>
    <row r="2086" spans="2:7" x14ac:dyDescent="0.2">
      <c r="B2086" s="167">
        <v>40954</v>
      </c>
      <c r="C2086" s="28">
        <v>134.68</v>
      </c>
      <c r="D2086" s="83">
        <f t="shared" si="68"/>
        <v>-0.42956374417619647</v>
      </c>
      <c r="E2086" s="83">
        <v>2.9788501638368012E-3</v>
      </c>
      <c r="F2086" s="83">
        <v>2078</v>
      </c>
      <c r="G2086" s="83">
        <f t="shared" ca="1" si="69"/>
        <v>-7.7234664076110083E-3</v>
      </c>
    </row>
    <row r="2087" spans="2:7" x14ac:dyDescent="0.2">
      <c r="B2087" s="167">
        <v>44540</v>
      </c>
      <c r="C2087" s="28">
        <v>236.1</v>
      </c>
      <c r="D2087" s="83">
        <f t="shared" si="68"/>
        <v>6.0551612613421929E-2</v>
      </c>
      <c r="E2087" s="83">
        <v>2.9736618521664765E-3</v>
      </c>
      <c r="F2087" s="83">
        <v>2079</v>
      </c>
      <c r="G2087" s="83">
        <f t="shared" ca="1" si="69"/>
        <v>2.3995933453361956E-2</v>
      </c>
    </row>
    <row r="2088" spans="2:7" x14ac:dyDescent="0.2">
      <c r="B2088" s="167">
        <v>41828</v>
      </c>
      <c r="C2088" s="28">
        <v>222.62</v>
      </c>
      <c r="D2088" s="83">
        <f t="shared" si="68"/>
        <v>-0.45194485475135399</v>
      </c>
      <c r="E2088" s="83">
        <v>2.9735087403135545E-3</v>
      </c>
      <c r="F2088" s="83">
        <v>2080</v>
      </c>
      <c r="G2088" s="83">
        <f t="shared" ca="1" si="69"/>
        <v>-3.8855761269543758E-3</v>
      </c>
    </row>
    <row r="2089" spans="2:7" x14ac:dyDescent="0.2">
      <c r="B2089" s="167">
        <v>45727</v>
      </c>
      <c r="C2089" s="28">
        <v>406.2</v>
      </c>
      <c r="D2089" s="83">
        <f t="shared" si="68"/>
        <v>0.99450063831876656</v>
      </c>
      <c r="E2089" s="83">
        <v>2.9629629629629351E-3</v>
      </c>
      <c r="F2089" s="83">
        <v>2081</v>
      </c>
      <c r="G2089" s="83">
        <f t="shared" ca="1" si="69"/>
        <v>-2.4752350424488086E-2</v>
      </c>
    </row>
    <row r="2090" spans="2:7" x14ac:dyDescent="0.2">
      <c r="B2090" s="167">
        <v>41353</v>
      </c>
      <c r="C2090" s="28">
        <v>203.66</v>
      </c>
      <c r="D2090" s="83">
        <f t="shared" si="68"/>
        <v>2.9792887846815161</v>
      </c>
      <c r="E2090" s="83">
        <v>2.9547916871860255E-3</v>
      </c>
      <c r="F2090" s="83">
        <v>2082</v>
      </c>
      <c r="G2090" s="83">
        <f t="shared" ca="1" si="69"/>
        <v>1.5131994977508089E-2</v>
      </c>
    </row>
    <row r="2091" spans="2:7" x14ac:dyDescent="0.2">
      <c r="B2091" s="167">
        <v>39283</v>
      </c>
      <c r="C2091" s="28">
        <v>51.18</v>
      </c>
      <c r="D2091" s="83">
        <f t="shared" si="68"/>
        <v>-0.72783834086679078</v>
      </c>
      <c r="E2091" s="83">
        <v>2.9394473838918003E-3</v>
      </c>
      <c r="F2091" s="83">
        <v>2083</v>
      </c>
      <c r="G2091" s="83">
        <f t="shared" ca="1" si="69"/>
        <v>-2.2064974104060099E-3</v>
      </c>
    </row>
    <row r="2092" spans="2:7" x14ac:dyDescent="0.2">
      <c r="B2092" s="167">
        <v>43895</v>
      </c>
      <c r="C2092" s="28">
        <v>188.05</v>
      </c>
      <c r="D2092" s="83">
        <f t="shared" si="68"/>
        <v>0.40914200074934454</v>
      </c>
      <c r="E2092" s="83">
        <v>2.9333333333333941E-3</v>
      </c>
      <c r="F2092" s="83">
        <v>2084</v>
      </c>
      <c r="G2092" s="83">
        <f t="shared" ca="1" si="69"/>
        <v>4.1282812887059404E-3</v>
      </c>
    </row>
    <row r="2093" spans="2:7" x14ac:dyDescent="0.2">
      <c r="B2093" s="167">
        <v>40907</v>
      </c>
      <c r="C2093" s="28">
        <v>133.44999999999999</v>
      </c>
      <c r="D2093" s="83">
        <f t="shared" si="68"/>
        <v>1.1639370844819197</v>
      </c>
      <c r="E2093" s="83">
        <v>2.9310085675634027E-3</v>
      </c>
      <c r="F2093" s="83">
        <v>2085</v>
      </c>
      <c r="G2093" s="83">
        <f t="shared" ca="1" si="69"/>
        <v>5.3629147386575959E-3</v>
      </c>
    </row>
    <row r="2094" spans="2:7" x14ac:dyDescent="0.2">
      <c r="B2094" s="167">
        <v>39002</v>
      </c>
      <c r="C2094" s="28">
        <v>61.67</v>
      </c>
      <c r="D2094" s="83">
        <f t="shared" si="68"/>
        <v>-0.74368246051537823</v>
      </c>
      <c r="E2094" s="83">
        <v>2.9273052528866433E-3</v>
      </c>
      <c r="F2094" s="83">
        <v>2086</v>
      </c>
      <c r="G2094" s="83">
        <f t="shared" ca="1" si="69"/>
        <v>6.4324668581470582E-3</v>
      </c>
    </row>
    <row r="2095" spans="2:7" x14ac:dyDescent="0.2">
      <c r="B2095" s="167">
        <v>42660</v>
      </c>
      <c r="C2095" s="28">
        <v>240.6</v>
      </c>
      <c r="D2095" s="83">
        <f t="shared" si="68"/>
        <v>1.0983778126635269</v>
      </c>
      <c r="E2095" s="83">
        <v>2.9178824510212114E-3</v>
      </c>
      <c r="F2095" s="83">
        <v>2087</v>
      </c>
      <c r="G2095" s="83">
        <f t="shared" ca="1" si="69"/>
        <v>1.8695734615363092E-2</v>
      </c>
    </row>
    <row r="2096" spans="2:7" x14ac:dyDescent="0.2">
      <c r="B2096" s="167">
        <v>40462</v>
      </c>
      <c r="C2096" s="28">
        <v>114.66</v>
      </c>
      <c r="D2096" s="83">
        <f t="shared" si="68"/>
        <v>0.5691802381278227</v>
      </c>
      <c r="E2096" s="83">
        <v>2.8863815271582111E-3</v>
      </c>
      <c r="F2096" s="83">
        <v>2088</v>
      </c>
      <c r="G2096" s="83">
        <f t="shared" ca="1" si="69"/>
        <v>1.4802712766248189E-2</v>
      </c>
    </row>
    <row r="2097" spans="2:7" x14ac:dyDescent="0.2">
      <c r="B2097" s="167">
        <v>39458</v>
      </c>
      <c r="C2097" s="28">
        <v>73.069999999999993</v>
      </c>
      <c r="D2097" s="83">
        <f t="shared" si="68"/>
        <v>-0.67810572687224668</v>
      </c>
      <c r="E2097" s="83">
        <v>2.8822399121602215E-3</v>
      </c>
      <c r="F2097" s="83">
        <v>2089</v>
      </c>
      <c r="G2097" s="83">
        <f t="shared" ca="1" si="69"/>
        <v>7.8158566099720168E-3</v>
      </c>
    </row>
    <row r="2098" spans="2:7" x14ac:dyDescent="0.2">
      <c r="B2098" s="167">
        <v>42723</v>
      </c>
      <c r="C2098" s="28">
        <v>227</v>
      </c>
      <c r="D2098" s="83">
        <f t="shared" si="68"/>
        <v>-0.18783542039355994</v>
      </c>
      <c r="E2098" s="83">
        <v>2.8716589352772506E-3</v>
      </c>
      <c r="F2098" s="83">
        <v>2090</v>
      </c>
      <c r="G2098" s="83">
        <f t="shared" ca="1" si="69"/>
        <v>-9.753555308570654E-3</v>
      </c>
    </row>
    <row r="2099" spans="2:7" x14ac:dyDescent="0.2">
      <c r="B2099" s="167">
        <v>42845</v>
      </c>
      <c r="C2099" s="28">
        <v>279.5</v>
      </c>
      <c r="D2099" s="83">
        <f t="shared" si="68"/>
        <v>-1.7857142857142857E-3</v>
      </c>
      <c r="E2099" s="83">
        <v>2.870470039469004E-3</v>
      </c>
      <c r="F2099" s="83">
        <v>2091</v>
      </c>
      <c r="G2099" s="83">
        <f t="shared" ca="1" si="69"/>
        <v>7.216465812058411E-3</v>
      </c>
    </row>
    <row r="2100" spans="2:7" x14ac:dyDescent="0.2">
      <c r="B2100" s="167">
        <v>42964</v>
      </c>
      <c r="C2100" s="28">
        <v>280</v>
      </c>
      <c r="D2100" s="83">
        <f t="shared" si="68"/>
        <v>0.19255504919289582</v>
      </c>
      <c r="E2100" s="83">
        <v>2.8653295128940235E-3</v>
      </c>
      <c r="F2100" s="83">
        <v>2092</v>
      </c>
      <c r="G2100" s="83">
        <f t="shared" ca="1" si="69"/>
        <v>2.6462166772346175E-2</v>
      </c>
    </row>
    <row r="2101" spans="2:7" x14ac:dyDescent="0.2">
      <c r="B2101" s="167">
        <v>41405</v>
      </c>
      <c r="C2101" s="28">
        <v>234.79</v>
      </c>
      <c r="D2101" s="83">
        <f t="shared" si="68"/>
        <v>-0.29555955595559563</v>
      </c>
      <c r="E2101" s="83">
        <v>2.8617802836151864E-3</v>
      </c>
      <c r="F2101" s="83">
        <v>2093</v>
      </c>
      <c r="G2101" s="83">
        <f t="shared" ca="1" si="69"/>
        <v>1.2194472374662216E-2</v>
      </c>
    </row>
    <row r="2102" spans="2:7" x14ac:dyDescent="0.2">
      <c r="B2102" s="167">
        <v>44818</v>
      </c>
      <c r="C2102" s="28">
        <v>333.3</v>
      </c>
      <c r="D2102" s="83">
        <f t="shared" si="68"/>
        <v>4.2770740975300825</v>
      </c>
      <c r="E2102" s="83">
        <v>2.8584323755077136E-3</v>
      </c>
      <c r="F2102" s="83">
        <v>2094</v>
      </c>
      <c r="G2102" s="83">
        <f t="shared" ca="1" si="69"/>
        <v>-2.3658684702512291E-2</v>
      </c>
    </row>
    <row r="2103" spans="2:7" x14ac:dyDescent="0.2">
      <c r="B2103" s="167">
        <v>39927</v>
      </c>
      <c r="C2103" s="28">
        <v>63.16</v>
      </c>
      <c r="D2103" s="83">
        <f t="shared" si="68"/>
        <v>-3.9425958050780634E-3</v>
      </c>
      <c r="E2103" s="83">
        <v>2.8580501746586174E-3</v>
      </c>
      <c r="F2103" s="83">
        <v>2095</v>
      </c>
      <c r="G2103" s="83">
        <f t="shared" ca="1" si="69"/>
        <v>1.9546479160877168E-2</v>
      </c>
    </row>
    <row r="2104" spans="2:7" x14ac:dyDescent="0.2">
      <c r="B2104" s="167">
        <v>39995</v>
      </c>
      <c r="C2104" s="28">
        <v>63.41</v>
      </c>
      <c r="D2104" s="83">
        <f t="shared" si="68"/>
        <v>-0.40015135748746572</v>
      </c>
      <c r="E2104" s="83">
        <v>2.8467499604618017E-3</v>
      </c>
      <c r="F2104" s="83">
        <v>2096</v>
      </c>
      <c r="G2104" s="83">
        <f t="shared" ca="1" si="69"/>
        <v>1.8447819862230853E-2</v>
      </c>
    </row>
    <row r="2105" spans="2:7" x14ac:dyDescent="0.2">
      <c r="B2105" s="167">
        <v>40577</v>
      </c>
      <c r="C2105" s="28">
        <v>105.71</v>
      </c>
      <c r="D2105" s="83">
        <f t="shared" si="68"/>
        <v>-0.73988681102362208</v>
      </c>
      <c r="E2105" s="83">
        <v>2.8460297884450921E-3</v>
      </c>
      <c r="F2105" s="83">
        <v>2097</v>
      </c>
      <c r="G2105" s="83">
        <f t="shared" ca="1" si="69"/>
        <v>-1.318078898908032E-2</v>
      </c>
    </row>
    <row r="2106" spans="2:7" x14ac:dyDescent="0.2">
      <c r="B2106" s="167">
        <v>45707</v>
      </c>
      <c r="C2106" s="28">
        <v>406.4</v>
      </c>
      <c r="D2106" s="83">
        <f t="shared" si="68"/>
        <v>0.28893117665715179</v>
      </c>
      <c r="E2106" s="83">
        <v>2.837754472547754E-3</v>
      </c>
      <c r="F2106" s="83">
        <v>2098</v>
      </c>
      <c r="G2106" s="83">
        <f t="shared" ca="1" si="69"/>
        <v>-2.5056088728042318E-2</v>
      </c>
    </row>
    <row r="2107" spans="2:7" x14ac:dyDescent="0.2">
      <c r="B2107" s="167">
        <v>44924</v>
      </c>
      <c r="C2107" s="28">
        <v>315.3</v>
      </c>
      <c r="D2107" s="83">
        <f t="shared" si="68"/>
        <v>0.50673802924591427</v>
      </c>
      <c r="E2107" s="83">
        <v>2.830698769123076E-3</v>
      </c>
      <c r="F2107" s="83">
        <v>2099</v>
      </c>
      <c r="G2107" s="83">
        <f t="shared" ca="1" si="69"/>
        <v>-1.5602347250414393E-2</v>
      </c>
    </row>
    <row r="2108" spans="2:7" x14ac:dyDescent="0.2">
      <c r="B2108" s="167">
        <v>41645</v>
      </c>
      <c r="C2108" s="28">
        <v>209.26</v>
      </c>
      <c r="D2108" s="83">
        <f t="shared" si="68"/>
        <v>-0.4884869225128331</v>
      </c>
      <c r="E2108" s="83">
        <v>2.8274308717113309E-3</v>
      </c>
      <c r="F2108" s="83">
        <v>2100</v>
      </c>
      <c r="G2108" s="83">
        <f t="shared" ca="1" si="69"/>
        <v>4.9153890422087539E-3</v>
      </c>
    </row>
    <row r="2109" spans="2:7" x14ac:dyDescent="0.2">
      <c r="B2109" s="167">
        <v>45734</v>
      </c>
      <c r="C2109" s="28">
        <v>409.1</v>
      </c>
      <c r="D2109" s="83">
        <f t="shared" si="68"/>
        <v>1.2841987716359577</v>
      </c>
      <c r="E2109" s="83">
        <v>2.8189729133473074E-3</v>
      </c>
      <c r="F2109" s="83">
        <v>2101</v>
      </c>
      <c r="G2109" s="83">
        <f t="shared" ca="1" si="69"/>
        <v>-1.0373816616434389E-2</v>
      </c>
    </row>
    <row r="2110" spans="2:7" x14ac:dyDescent="0.2">
      <c r="B2110" s="167">
        <v>44092</v>
      </c>
      <c r="C2110" s="28">
        <v>179.1</v>
      </c>
      <c r="D2110" s="83">
        <f t="shared" si="68"/>
        <v>-0.41326781326781331</v>
      </c>
      <c r="E2110" s="83">
        <v>2.7995520716685329E-3</v>
      </c>
      <c r="F2110" s="83">
        <v>2102</v>
      </c>
      <c r="G2110" s="83">
        <f t="shared" ca="1" si="69"/>
        <v>2.3450501813115754E-2</v>
      </c>
    </row>
    <row r="2111" spans="2:7" x14ac:dyDescent="0.2">
      <c r="B2111" s="167">
        <v>42899</v>
      </c>
      <c r="C2111" s="28">
        <v>305.25</v>
      </c>
      <c r="D2111" s="83">
        <f t="shared" si="68"/>
        <v>-9.8653516801511909E-2</v>
      </c>
      <c r="E2111" s="83">
        <v>2.7923784494087475E-3</v>
      </c>
      <c r="F2111" s="83">
        <v>2103</v>
      </c>
      <c r="G2111" s="83">
        <f t="shared" ca="1" si="69"/>
        <v>-6.520069669517496E-3</v>
      </c>
    </row>
    <row r="2112" spans="2:7" x14ac:dyDescent="0.2">
      <c r="B2112" s="167">
        <v>44889</v>
      </c>
      <c r="C2112" s="28">
        <v>338.66</v>
      </c>
      <c r="D2112" s="83">
        <f t="shared" si="68"/>
        <v>0.70138156242150218</v>
      </c>
      <c r="E2112" s="83">
        <v>2.7833708397488974E-3</v>
      </c>
      <c r="F2112" s="83">
        <v>2104</v>
      </c>
      <c r="G2112" s="83">
        <f t="shared" ca="1" si="69"/>
        <v>-1.514118651411089E-2</v>
      </c>
    </row>
    <row r="2113" spans="2:7" x14ac:dyDescent="0.2">
      <c r="B2113" s="167">
        <v>43992</v>
      </c>
      <c r="C2113" s="28">
        <v>199.05</v>
      </c>
      <c r="D2113" s="83">
        <f t="shared" si="68"/>
        <v>5.1020846106683022</v>
      </c>
      <c r="E2113" s="83">
        <v>2.770780856423231E-3</v>
      </c>
      <c r="F2113" s="83">
        <v>2105</v>
      </c>
      <c r="G2113" s="83">
        <f t="shared" ca="1" si="69"/>
        <v>5.8071149109746884E-3</v>
      </c>
    </row>
    <row r="2114" spans="2:7" x14ac:dyDescent="0.2">
      <c r="B2114" s="167">
        <v>38483</v>
      </c>
      <c r="C2114" s="28">
        <v>32.619999999999997</v>
      </c>
      <c r="D2114" s="83">
        <f t="shared" si="68"/>
        <v>-0.83029861616897305</v>
      </c>
      <c r="E2114" s="83">
        <v>2.7666769136180849E-3</v>
      </c>
      <c r="F2114" s="83">
        <v>2106</v>
      </c>
      <c r="G2114" s="83">
        <f t="shared" ca="1" si="69"/>
        <v>3.9056870207602665E-3</v>
      </c>
    </row>
    <row r="2115" spans="2:7" x14ac:dyDescent="0.2">
      <c r="B2115" s="167">
        <v>41220</v>
      </c>
      <c r="C2115" s="28">
        <v>192.22</v>
      </c>
      <c r="D2115" s="83">
        <f t="shared" si="68"/>
        <v>-0.11671721349140707</v>
      </c>
      <c r="E2115" s="83">
        <v>2.7648807971203566E-3</v>
      </c>
      <c r="F2115" s="83">
        <v>2107</v>
      </c>
      <c r="G2115" s="83">
        <f t="shared" ca="1" si="69"/>
        <v>3.156382494957035E-2</v>
      </c>
    </row>
    <row r="2116" spans="2:7" x14ac:dyDescent="0.2">
      <c r="B2116" s="167">
        <v>42460</v>
      </c>
      <c r="C2116" s="28">
        <v>217.62</v>
      </c>
      <c r="D2116" s="83">
        <f t="shared" si="68"/>
        <v>2.3098098859315592</v>
      </c>
      <c r="E2116" s="83">
        <v>2.7647221454243586E-3</v>
      </c>
      <c r="F2116" s="83">
        <v>2108</v>
      </c>
      <c r="G2116" s="83">
        <f t="shared" ca="1" si="69"/>
        <v>1.3601493794860638E-2</v>
      </c>
    </row>
    <row r="2117" spans="2:7" x14ac:dyDescent="0.2">
      <c r="B2117" s="167">
        <v>38826</v>
      </c>
      <c r="C2117" s="28">
        <v>65.75</v>
      </c>
      <c r="D2117" s="83">
        <f t="shared" si="68"/>
        <v>-0.84773395706444965</v>
      </c>
      <c r="E2117" s="83">
        <v>2.7451578465762824E-3</v>
      </c>
      <c r="F2117" s="83">
        <v>2109</v>
      </c>
      <c r="G2117" s="83">
        <f t="shared" ca="1" si="69"/>
        <v>-1.3421045317247731E-2</v>
      </c>
    </row>
    <row r="2118" spans="2:7" x14ac:dyDescent="0.2">
      <c r="B2118" s="167">
        <v>45286</v>
      </c>
      <c r="C2118" s="28">
        <v>431.81</v>
      </c>
      <c r="D2118" s="83">
        <f t="shared" si="68"/>
        <v>0.75940186611253713</v>
      </c>
      <c r="E2118" s="83">
        <v>2.7401713768200235E-3</v>
      </c>
      <c r="F2118" s="83">
        <v>2110</v>
      </c>
      <c r="G2118" s="83">
        <f t="shared" ca="1" si="69"/>
        <v>1.1797172432730268E-2</v>
      </c>
    </row>
    <row r="2119" spans="2:7" x14ac:dyDescent="0.2">
      <c r="B2119" s="167">
        <v>41960</v>
      </c>
      <c r="C2119" s="28">
        <v>245.43</v>
      </c>
      <c r="D2119" s="83">
        <f t="shared" si="68"/>
        <v>0.45638499881319722</v>
      </c>
      <c r="E2119" s="83">
        <v>2.7373753881353813E-3</v>
      </c>
      <c r="F2119" s="83">
        <v>2111</v>
      </c>
      <c r="G2119" s="83">
        <f t="shared" ca="1" si="69"/>
        <v>2.6129507210797893E-2</v>
      </c>
    </row>
    <row r="2120" spans="2:7" x14ac:dyDescent="0.2">
      <c r="B2120" s="167">
        <v>41170</v>
      </c>
      <c r="C2120" s="28">
        <v>168.52</v>
      </c>
      <c r="D2120" s="83">
        <f t="shared" si="68"/>
        <v>-0.58390123456790122</v>
      </c>
      <c r="E2120" s="83">
        <v>2.7371176960609778E-3</v>
      </c>
      <c r="F2120" s="83">
        <v>2112</v>
      </c>
      <c r="G2120" s="83">
        <f t="shared" ca="1" si="69"/>
        <v>1.7750580606013658E-2</v>
      </c>
    </row>
    <row r="2121" spans="2:7" x14ac:dyDescent="0.2">
      <c r="B2121" s="167">
        <v>45726</v>
      </c>
      <c r="C2121" s="28">
        <v>405</v>
      </c>
      <c r="D2121" s="83">
        <f t="shared" ref="D2121:D2184" si="70">(C2121-C2122)/C2122</f>
        <v>1.4964556493866734</v>
      </c>
      <c r="E2121" s="83">
        <v>2.7234463976232304E-3</v>
      </c>
      <c r="F2121" s="83">
        <v>2113</v>
      </c>
      <c r="G2121" s="83">
        <f t="shared" ref="G2121:G2184" ca="1" si="71">_xlfn.NORM.INV(RAND(),$M$10,$M$11)</f>
        <v>6.9703563534134251E-4</v>
      </c>
    </row>
    <row r="2122" spans="2:7" x14ac:dyDescent="0.2">
      <c r="B2122" s="167">
        <v>41074</v>
      </c>
      <c r="C2122" s="28">
        <v>162.22999999999999</v>
      </c>
      <c r="D2122" s="83">
        <f t="shared" si="70"/>
        <v>1.9235898360064871</v>
      </c>
      <c r="E2122" s="83">
        <v>2.7195747574015562E-3</v>
      </c>
      <c r="F2122" s="83">
        <v>2114</v>
      </c>
      <c r="G2122" s="83">
        <f t="shared" ca="1" si="71"/>
        <v>4.5426390035246886E-3</v>
      </c>
    </row>
    <row r="2123" spans="2:7" x14ac:dyDescent="0.2">
      <c r="B2123" s="167">
        <v>39302</v>
      </c>
      <c r="C2123" s="28">
        <v>55.49</v>
      </c>
      <c r="D2123" s="83">
        <f t="shared" si="70"/>
        <v>0.49407646742057082</v>
      </c>
      <c r="E2123" s="83">
        <v>2.7105168052041664E-3</v>
      </c>
      <c r="F2123" s="83">
        <v>2115</v>
      </c>
      <c r="G2123" s="83">
        <f t="shared" ca="1" si="71"/>
        <v>-5.0801145959169125E-4</v>
      </c>
    </row>
    <row r="2124" spans="2:7" x14ac:dyDescent="0.2">
      <c r="B2124" s="167">
        <v>38540</v>
      </c>
      <c r="C2124" s="28">
        <v>37.14</v>
      </c>
      <c r="D2124" s="83">
        <f t="shared" si="70"/>
        <v>-0.85775564917656077</v>
      </c>
      <c r="E2124" s="83">
        <v>2.6997840172786561E-3</v>
      </c>
      <c r="F2124" s="83">
        <v>2116</v>
      </c>
      <c r="G2124" s="83">
        <f t="shared" ca="1" si="71"/>
        <v>-2.3448004935842414E-3</v>
      </c>
    </row>
    <row r="2125" spans="2:7" x14ac:dyDescent="0.2">
      <c r="B2125" s="167">
        <v>44673</v>
      </c>
      <c r="C2125" s="28">
        <v>261.10000000000002</v>
      </c>
      <c r="D2125" s="83">
        <f t="shared" si="70"/>
        <v>0.17602017836230974</v>
      </c>
      <c r="E2125" s="83">
        <v>2.6881720430109277E-3</v>
      </c>
      <c r="F2125" s="83">
        <v>2117</v>
      </c>
      <c r="G2125" s="83">
        <f t="shared" ca="1" si="71"/>
        <v>-3.033143934452906E-3</v>
      </c>
    </row>
    <row r="2126" spans="2:7" x14ac:dyDescent="0.2">
      <c r="B2126" s="167">
        <v>41431</v>
      </c>
      <c r="C2126" s="28">
        <v>222.02</v>
      </c>
      <c r="D2126" s="83">
        <f t="shared" si="70"/>
        <v>2.931645121303347</v>
      </c>
      <c r="E2126" s="83">
        <v>2.6644989387165398E-3</v>
      </c>
      <c r="F2126" s="83">
        <v>2118</v>
      </c>
      <c r="G2126" s="83">
        <f t="shared" ca="1" si="71"/>
        <v>-1.9064780663038557E-3</v>
      </c>
    </row>
    <row r="2127" spans="2:7" x14ac:dyDescent="0.2">
      <c r="B2127" s="167">
        <v>39792</v>
      </c>
      <c r="C2127" s="28">
        <v>56.47</v>
      </c>
      <c r="D2127" s="83">
        <f t="shared" si="70"/>
        <v>-0.76197099983139438</v>
      </c>
      <c r="E2127" s="83">
        <v>2.6633522727272474E-3</v>
      </c>
      <c r="F2127" s="83">
        <v>2119</v>
      </c>
      <c r="G2127" s="83">
        <f t="shared" ca="1" si="71"/>
        <v>-2.1559361657760675E-2</v>
      </c>
    </row>
    <row r="2128" spans="2:7" x14ac:dyDescent="0.2">
      <c r="B2128" s="167">
        <v>42016</v>
      </c>
      <c r="C2128" s="28">
        <v>237.24</v>
      </c>
      <c r="D2128" s="83">
        <f t="shared" si="70"/>
        <v>0.18531101673744693</v>
      </c>
      <c r="E2128" s="83">
        <v>2.6626093571700074E-3</v>
      </c>
      <c r="F2128" s="83">
        <v>2120</v>
      </c>
      <c r="G2128" s="83">
        <f t="shared" ca="1" si="71"/>
        <v>1.701701731426743E-2</v>
      </c>
    </row>
    <row r="2129" spans="2:7" x14ac:dyDescent="0.2">
      <c r="B2129" s="167">
        <v>42173</v>
      </c>
      <c r="C2129" s="28">
        <v>200.15</v>
      </c>
      <c r="D2129" s="83">
        <f t="shared" si="70"/>
        <v>0.46737536656891493</v>
      </c>
      <c r="E2129" s="83">
        <v>2.6550445847109564E-3</v>
      </c>
      <c r="F2129" s="83">
        <v>2121</v>
      </c>
      <c r="G2129" s="83">
        <f t="shared" ca="1" si="71"/>
        <v>3.2505239736409473E-2</v>
      </c>
    </row>
    <row r="2130" spans="2:7" x14ac:dyDescent="0.2">
      <c r="B2130" s="167">
        <v>40833</v>
      </c>
      <c r="C2130" s="28">
        <v>136.4</v>
      </c>
      <c r="D2130" s="83">
        <f t="shared" si="70"/>
        <v>-0.44665314401622713</v>
      </c>
      <c r="E2130" s="83">
        <v>2.6462805057337084E-3</v>
      </c>
      <c r="F2130" s="83">
        <v>2122</v>
      </c>
      <c r="G2130" s="83">
        <f t="shared" ca="1" si="71"/>
        <v>-1.2986838921405635E-2</v>
      </c>
    </row>
    <row r="2131" spans="2:7" x14ac:dyDescent="0.2">
      <c r="B2131" s="167">
        <v>43756</v>
      </c>
      <c r="C2131" s="28">
        <v>246.5</v>
      </c>
      <c r="D2131" s="83">
        <f t="shared" si="70"/>
        <v>-4.0551500405512701E-4</v>
      </c>
      <c r="E2131" s="83">
        <v>2.6438885499288417E-3</v>
      </c>
      <c r="F2131" s="83">
        <v>2123</v>
      </c>
      <c r="G2131" s="83">
        <f t="shared" ca="1" si="71"/>
        <v>-2.2365551124185378E-2</v>
      </c>
    </row>
    <row r="2132" spans="2:7" x14ac:dyDescent="0.2">
      <c r="B2132" s="167">
        <v>44489</v>
      </c>
      <c r="C2132" s="28">
        <v>246.6</v>
      </c>
      <c r="D2132" s="83">
        <f t="shared" si="70"/>
        <v>7.1475124918531335E-2</v>
      </c>
      <c r="E2132" s="83">
        <v>2.6428135799959574E-3</v>
      </c>
      <c r="F2132" s="83">
        <v>2124</v>
      </c>
      <c r="G2132" s="83">
        <f t="shared" ca="1" si="71"/>
        <v>-1.36669934459978E-2</v>
      </c>
    </row>
    <row r="2133" spans="2:7" x14ac:dyDescent="0.2">
      <c r="B2133" s="167">
        <v>42103</v>
      </c>
      <c r="C2133" s="28">
        <v>230.15</v>
      </c>
      <c r="D2133" s="83">
        <f t="shared" si="70"/>
        <v>8.9983424106085716E-2</v>
      </c>
      <c r="E2133" s="83">
        <v>2.613809627532103E-3</v>
      </c>
      <c r="F2133" s="83">
        <v>2125</v>
      </c>
      <c r="G2133" s="83">
        <f t="shared" ca="1" si="71"/>
        <v>8.2588935949766736E-3</v>
      </c>
    </row>
    <row r="2134" spans="2:7" x14ac:dyDescent="0.2">
      <c r="B2134" s="167">
        <v>44343</v>
      </c>
      <c r="C2134" s="28">
        <v>211.15</v>
      </c>
      <c r="D2134" s="83">
        <f t="shared" si="70"/>
        <v>0.5246588201314174</v>
      </c>
      <c r="E2134" s="83">
        <v>2.6115859449193325E-3</v>
      </c>
      <c r="F2134" s="83">
        <v>2126</v>
      </c>
      <c r="G2134" s="83">
        <f t="shared" ca="1" si="71"/>
        <v>-1.4761268177785463E-2</v>
      </c>
    </row>
    <row r="2135" spans="2:7" x14ac:dyDescent="0.2">
      <c r="B2135" s="167">
        <v>40756</v>
      </c>
      <c r="C2135" s="28">
        <v>138.49</v>
      </c>
      <c r="D2135" s="83">
        <f t="shared" si="70"/>
        <v>-0.67024620220010478</v>
      </c>
      <c r="E2135" s="83">
        <v>2.6062404980816164E-3</v>
      </c>
      <c r="F2135" s="83">
        <v>2127</v>
      </c>
      <c r="G2135" s="83">
        <f t="shared" ca="1" si="71"/>
        <v>6.320832240345001E-3</v>
      </c>
    </row>
    <row r="2136" spans="2:7" x14ac:dyDescent="0.2">
      <c r="B2136" s="167">
        <v>45084</v>
      </c>
      <c r="C2136" s="28">
        <v>419.98</v>
      </c>
      <c r="D2136" s="83">
        <f t="shared" si="70"/>
        <v>0.81416846652267827</v>
      </c>
      <c r="E2136" s="83">
        <v>2.6021151137530902E-3</v>
      </c>
      <c r="F2136" s="83">
        <v>2128</v>
      </c>
      <c r="G2136" s="83">
        <f t="shared" ca="1" si="71"/>
        <v>-5.8195546911024758E-3</v>
      </c>
    </row>
    <row r="2137" spans="2:7" x14ac:dyDescent="0.2">
      <c r="B2137" s="167">
        <v>42691</v>
      </c>
      <c r="C2137" s="28">
        <v>231.5</v>
      </c>
      <c r="D2137" s="83">
        <f t="shared" si="70"/>
        <v>0.8154015056461732</v>
      </c>
      <c r="E2137" s="83">
        <v>2.5985275010826951E-3</v>
      </c>
      <c r="F2137" s="83">
        <v>2129</v>
      </c>
      <c r="G2137" s="83">
        <f t="shared" ca="1" si="71"/>
        <v>-1.5117418080907889E-2</v>
      </c>
    </row>
    <row r="2138" spans="2:7" x14ac:dyDescent="0.2">
      <c r="B2138" s="167">
        <v>40662</v>
      </c>
      <c r="C2138" s="28">
        <v>127.52</v>
      </c>
      <c r="D2138" s="83">
        <f t="shared" si="70"/>
        <v>-7.7036806474203951E-3</v>
      </c>
      <c r="E2138" s="83">
        <v>2.5945435961946561E-3</v>
      </c>
      <c r="F2138" s="83">
        <v>2130</v>
      </c>
      <c r="G2138" s="83">
        <f t="shared" ca="1" si="71"/>
        <v>1.7248460286957777E-2</v>
      </c>
    </row>
    <row r="2139" spans="2:7" x14ac:dyDescent="0.2">
      <c r="B2139" s="167">
        <v>40695</v>
      </c>
      <c r="C2139" s="28">
        <v>128.51</v>
      </c>
      <c r="D2139" s="83">
        <f t="shared" si="70"/>
        <v>-0.53098540145985407</v>
      </c>
      <c r="E2139" s="83">
        <v>2.5745046029020447E-3</v>
      </c>
      <c r="F2139" s="83">
        <v>2131</v>
      </c>
      <c r="G2139" s="83">
        <f t="shared" ca="1" si="71"/>
        <v>1.6634775473631886E-3</v>
      </c>
    </row>
    <row r="2140" spans="2:7" x14ac:dyDescent="0.2">
      <c r="B2140" s="167">
        <v>43301</v>
      </c>
      <c r="C2140" s="28">
        <v>274</v>
      </c>
      <c r="D2140" s="83">
        <f t="shared" si="70"/>
        <v>0.18578785649370325</v>
      </c>
      <c r="E2140" s="83">
        <v>2.5612879619465369E-3</v>
      </c>
      <c r="F2140" s="83">
        <v>2132</v>
      </c>
      <c r="G2140" s="83">
        <f t="shared" ca="1" si="71"/>
        <v>1.4029085893672331E-2</v>
      </c>
    </row>
    <row r="2141" spans="2:7" x14ac:dyDescent="0.2">
      <c r="B2141" s="167">
        <v>41556</v>
      </c>
      <c r="C2141" s="28">
        <v>231.07</v>
      </c>
      <c r="D2141" s="83">
        <f t="shared" si="70"/>
        <v>2.9250891795481571</v>
      </c>
      <c r="E2141" s="83">
        <v>2.5598750433877275E-3</v>
      </c>
      <c r="F2141" s="83">
        <v>2133</v>
      </c>
      <c r="G2141" s="83">
        <f t="shared" ca="1" si="71"/>
        <v>-1.0551298044311125E-2</v>
      </c>
    </row>
    <row r="2142" spans="2:7" x14ac:dyDescent="0.2">
      <c r="B2142" s="167">
        <v>39118</v>
      </c>
      <c r="C2142" s="28">
        <v>58.87</v>
      </c>
      <c r="D2142" s="83">
        <f t="shared" si="70"/>
        <v>-0.12408867728016659</v>
      </c>
      <c r="E2142" s="83">
        <v>2.5544959128065152E-3</v>
      </c>
      <c r="F2142" s="83">
        <v>2134</v>
      </c>
      <c r="G2142" s="83">
        <f t="shared" ca="1" si="71"/>
        <v>6.6969365508016097E-3</v>
      </c>
    </row>
    <row r="2143" spans="2:7" x14ac:dyDescent="0.2">
      <c r="B2143" s="167">
        <v>39507</v>
      </c>
      <c r="C2143" s="28">
        <v>67.209999999999994</v>
      </c>
      <c r="D2143" s="83">
        <f t="shared" si="70"/>
        <v>-0.69800044933722771</v>
      </c>
      <c r="E2143" s="83">
        <v>2.5357995226728443E-3</v>
      </c>
      <c r="F2143" s="83">
        <v>2135</v>
      </c>
      <c r="G2143" s="83">
        <f t="shared" ca="1" si="71"/>
        <v>-1.5783475196092579E-3</v>
      </c>
    </row>
    <row r="2144" spans="2:7" x14ac:dyDescent="0.2">
      <c r="B2144" s="167">
        <v>42312</v>
      </c>
      <c r="C2144" s="28">
        <v>222.55</v>
      </c>
      <c r="D2144" s="83">
        <f t="shared" si="70"/>
        <v>-0.2030438675022381</v>
      </c>
      <c r="E2144" s="83">
        <v>2.5226361547817573E-3</v>
      </c>
      <c r="F2144" s="83">
        <v>2136</v>
      </c>
      <c r="G2144" s="83">
        <f t="shared" ca="1" si="71"/>
        <v>8.1276052198905827E-3</v>
      </c>
    </row>
    <row r="2145" spans="2:7" x14ac:dyDescent="0.2">
      <c r="B2145" s="167">
        <v>43620</v>
      </c>
      <c r="C2145" s="28">
        <v>279.25</v>
      </c>
      <c r="D2145" s="83">
        <f t="shared" si="70"/>
        <v>-0.30517541677034082</v>
      </c>
      <c r="E2145" s="83">
        <v>2.513013821575978E-3</v>
      </c>
      <c r="F2145" s="83">
        <v>2137</v>
      </c>
      <c r="G2145" s="83">
        <f t="shared" ca="1" si="71"/>
        <v>-9.9535412129173381E-3</v>
      </c>
    </row>
    <row r="2146" spans="2:7" x14ac:dyDescent="0.2">
      <c r="B2146" s="167">
        <v>45712</v>
      </c>
      <c r="C2146" s="28">
        <v>401.9</v>
      </c>
      <c r="D2146" s="83">
        <f t="shared" si="70"/>
        <v>0.42694834013846977</v>
      </c>
      <c r="E2146" s="83">
        <v>2.4943876278373661E-3</v>
      </c>
      <c r="F2146" s="83">
        <v>2138</v>
      </c>
      <c r="G2146" s="83">
        <f t="shared" ca="1" si="71"/>
        <v>1.1116893586820631E-4</v>
      </c>
    </row>
    <row r="2147" spans="2:7" x14ac:dyDescent="0.2">
      <c r="B2147" s="167">
        <v>43472</v>
      </c>
      <c r="C2147" s="28">
        <v>281.64999999999998</v>
      </c>
      <c r="D2147" s="83">
        <f t="shared" si="70"/>
        <v>3.97439067467326</v>
      </c>
      <c r="E2147" s="83">
        <v>2.4915465385299471E-3</v>
      </c>
      <c r="F2147" s="83">
        <v>2139</v>
      </c>
      <c r="G2147" s="83">
        <f t="shared" ca="1" si="71"/>
        <v>2.7387780837399876E-2</v>
      </c>
    </row>
    <row r="2148" spans="2:7" x14ac:dyDescent="0.2">
      <c r="B2148" s="167">
        <v>39840</v>
      </c>
      <c r="C2148" s="28">
        <v>56.62</v>
      </c>
      <c r="D2148" s="83">
        <f t="shared" si="70"/>
        <v>-0.88166941837864954</v>
      </c>
      <c r="E2148" s="83">
        <v>2.4787535410764976E-3</v>
      </c>
      <c r="F2148" s="83">
        <v>2140</v>
      </c>
      <c r="G2148" s="83">
        <f t="shared" ca="1" si="71"/>
        <v>1.8412611938973877E-2</v>
      </c>
    </row>
    <row r="2149" spans="2:7" x14ac:dyDescent="0.2">
      <c r="B2149" s="167">
        <v>45527</v>
      </c>
      <c r="C2149" s="28">
        <v>478.49</v>
      </c>
      <c r="D2149" s="83">
        <f t="shared" si="70"/>
        <v>0.31384716768719628</v>
      </c>
      <c r="E2149" s="83">
        <v>2.4721878862793713E-3</v>
      </c>
      <c r="F2149" s="83">
        <v>2141</v>
      </c>
      <c r="G2149" s="83">
        <f t="shared" ca="1" si="71"/>
        <v>-3.8942713774106373E-2</v>
      </c>
    </row>
    <row r="2150" spans="2:7" x14ac:dyDescent="0.2">
      <c r="B2150" s="167">
        <v>45022</v>
      </c>
      <c r="C2150" s="28">
        <v>364.19</v>
      </c>
      <c r="D2150" s="83">
        <f t="shared" si="70"/>
        <v>0.34362663715181696</v>
      </c>
      <c r="E2150" s="83">
        <v>2.449766033581025E-3</v>
      </c>
      <c r="F2150" s="83">
        <v>2142</v>
      </c>
      <c r="G2150" s="83">
        <f t="shared" ca="1" si="71"/>
        <v>6.2952742231216193E-3</v>
      </c>
    </row>
    <row r="2151" spans="2:7" x14ac:dyDescent="0.2">
      <c r="B2151" s="167">
        <v>43258</v>
      </c>
      <c r="C2151" s="28">
        <v>271.05</v>
      </c>
      <c r="D2151" s="83">
        <f t="shared" si="70"/>
        <v>0.22375728023838548</v>
      </c>
      <c r="E2151" s="83">
        <v>2.4038461538462802E-3</v>
      </c>
      <c r="F2151" s="83">
        <v>2143</v>
      </c>
      <c r="G2151" s="83">
        <f t="shared" ca="1" si="71"/>
        <v>5.532065959454358E-3</v>
      </c>
    </row>
    <row r="2152" spans="2:7" x14ac:dyDescent="0.2">
      <c r="B2152" s="167">
        <v>41802</v>
      </c>
      <c r="C2152" s="28">
        <v>221.49</v>
      </c>
      <c r="D2152" s="83">
        <f t="shared" si="70"/>
        <v>1.2060756972111553</v>
      </c>
      <c r="E2152" s="83">
        <v>2.3986241853729234E-3</v>
      </c>
      <c r="F2152" s="83">
        <v>2144</v>
      </c>
      <c r="G2152" s="83">
        <f t="shared" ca="1" si="71"/>
        <v>4.1511299120031979E-2</v>
      </c>
    </row>
    <row r="2153" spans="2:7" x14ac:dyDescent="0.2">
      <c r="B2153" s="167">
        <v>40365</v>
      </c>
      <c r="C2153" s="28">
        <v>100.4</v>
      </c>
      <c r="D2153" s="83">
        <f t="shared" si="70"/>
        <v>-0.5792120704107292</v>
      </c>
      <c r="E2153" s="83">
        <v>2.3961661341853945E-3</v>
      </c>
      <c r="F2153" s="83">
        <v>2145</v>
      </c>
      <c r="G2153" s="83">
        <f t="shared" ca="1" si="71"/>
        <v>2.6311986131942692E-2</v>
      </c>
    </row>
    <row r="2154" spans="2:7" x14ac:dyDescent="0.2">
      <c r="B2154" s="167">
        <v>41725</v>
      </c>
      <c r="C2154" s="28">
        <v>238.6</v>
      </c>
      <c r="D2154" s="83">
        <f t="shared" si="70"/>
        <v>7.3035842445222689E-3</v>
      </c>
      <c r="E2154" s="83">
        <v>2.3946561357811756E-3</v>
      </c>
      <c r="F2154" s="83">
        <v>2146</v>
      </c>
      <c r="G2154" s="83">
        <f t="shared" ca="1" si="71"/>
        <v>1.7819979517032444E-2</v>
      </c>
    </row>
    <row r="2155" spans="2:7" x14ac:dyDescent="0.2">
      <c r="B2155" s="167">
        <v>41845</v>
      </c>
      <c r="C2155" s="28">
        <v>236.87</v>
      </c>
      <c r="D2155" s="83">
        <f t="shared" si="70"/>
        <v>1.1498457070248682</v>
      </c>
      <c r="E2155" s="83">
        <v>2.3697685243959303E-3</v>
      </c>
      <c r="F2155" s="83">
        <v>2147</v>
      </c>
      <c r="G2155" s="83">
        <f t="shared" ca="1" si="71"/>
        <v>2.5178152964496991E-2</v>
      </c>
    </row>
    <row r="2156" spans="2:7" x14ac:dyDescent="0.2">
      <c r="B2156" s="167">
        <v>40428</v>
      </c>
      <c r="C2156" s="28">
        <v>110.18</v>
      </c>
      <c r="D2156" s="83">
        <f t="shared" si="70"/>
        <v>0.29455998120079907</v>
      </c>
      <c r="E2156" s="83">
        <v>2.365356622998591E-3</v>
      </c>
      <c r="F2156" s="83">
        <v>2148</v>
      </c>
      <c r="G2156" s="83">
        <f t="shared" ca="1" si="71"/>
        <v>2.1824157706333631E-2</v>
      </c>
    </row>
    <row r="2157" spans="2:7" x14ac:dyDescent="0.2">
      <c r="B2157" s="167">
        <v>40184</v>
      </c>
      <c r="C2157" s="28">
        <v>85.11</v>
      </c>
      <c r="D2157" s="83">
        <f t="shared" si="70"/>
        <v>-0.69235496114223738</v>
      </c>
      <c r="E2157" s="83">
        <v>2.3554351666470715E-3</v>
      </c>
      <c r="F2157" s="83">
        <v>2149</v>
      </c>
      <c r="G2157" s="83">
        <f t="shared" ca="1" si="71"/>
        <v>5.3824817296927088E-3</v>
      </c>
    </row>
    <row r="2158" spans="2:7" x14ac:dyDescent="0.2">
      <c r="B2158" s="167">
        <v>43460</v>
      </c>
      <c r="C2158" s="28">
        <v>276.64999999999998</v>
      </c>
      <c r="D2158" s="83">
        <f t="shared" si="70"/>
        <v>3.330776455854727</v>
      </c>
      <c r="E2158" s="83">
        <v>2.3550724637680337E-3</v>
      </c>
      <c r="F2158" s="83">
        <v>2150</v>
      </c>
      <c r="G2158" s="83">
        <f t="shared" ca="1" si="71"/>
        <v>2.7461512580765905E-3</v>
      </c>
    </row>
    <row r="2159" spans="2:7" x14ac:dyDescent="0.2">
      <c r="B2159" s="167">
        <v>39421</v>
      </c>
      <c r="C2159" s="28">
        <v>63.88</v>
      </c>
      <c r="D2159" s="83">
        <f t="shared" si="70"/>
        <v>-0.67441386340468912</v>
      </c>
      <c r="E2159" s="83">
        <v>2.3536795857524821E-3</v>
      </c>
      <c r="F2159" s="83">
        <v>2151</v>
      </c>
      <c r="G2159" s="83">
        <f t="shared" ca="1" si="71"/>
        <v>7.3708746571197704E-3</v>
      </c>
    </row>
    <row r="2160" spans="2:7" x14ac:dyDescent="0.2">
      <c r="B2160" s="167">
        <v>41257</v>
      </c>
      <c r="C2160" s="28">
        <v>196.2</v>
      </c>
      <c r="D2160" s="83">
        <f t="shared" si="70"/>
        <v>2.1077283372365248E-2</v>
      </c>
      <c r="E2160" s="83">
        <v>2.3500561969959106E-3</v>
      </c>
      <c r="F2160" s="83">
        <v>2152</v>
      </c>
      <c r="G2160" s="83">
        <f t="shared" ca="1" si="71"/>
        <v>1.0731692176161392E-2</v>
      </c>
    </row>
    <row r="2161" spans="2:7" x14ac:dyDescent="0.2">
      <c r="B2161" s="167">
        <v>43978</v>
      </c>
      <c r="C2161" s="28">
        <v>192.15</v>
      </c>
      <c r="D2161" s="83">
        <f t="shared" si="70"/>
        <v>3.9973992197659292</v>
      </c>
      <c r="E2161" s="83">
        <v>2.3474178403756758E-3</v>
      </c>
      <c r="F2161" s="83">
        <v>2153</v>
      </c>
      <c r="G2161" s="83">
        <f t="shared" ca="1" si="71"/>
        <v>-1.4781717211114617E-2</v>
      </c>
    </row>
    <row r="2162" spans="2:7" x14ac:dyDescent="0.2">
      <c r="B2162" s="167">
        <v>38569</v>
      </c>
      <c r="C2162" s="28">
        <v>38.450000000000003</v>
      </c>
      <c r="D2162" s="83">
        <f t="shared" si="70"/>
        <v>-0.83024282560706408</v>
      </c>
      <c r="E2162" s="83">
        <v>2.3461939520334572E-3</v>
      </c>
      <c r="F2162" s="83">
        <v>2154</v>
      </c>
      <c r="G2162" s="83">
        <f t="shared" ca="1" si="71"/>
        <v>-7.7276334114362672E-3</v>
      </c>
    </row>
    <row r="2163" spans="2:7" x14ac:dyDescent="0.2">
      <c r="B2163" s="167">
        <v>41780</v>
      </c>
      <c r="C2163" s="28">
        <v>226.5</v>
      </c>
      <c r="D2163" s="83">
        <f t="shared" si="70"/>
        <v>-4.025423728813559E-2</v>
      </c>
      <c r="E2163" s="83">
        <v>2.3454440854980799E-3</v>
      </c>
      <c r="F2163" s="83">
        <v>2155</v>
      </c>
      <c r="G2163" s="83">
        <f t="shared" ca="1" si="71"/>
        <v>9.5510777125933858E-4</v>
      </c>
    </row>
    <row r="2164" spans="2:7" x14ac:dyDescent="0.2">
      <c r="B2164" s="167">
        <v>42733</v>
      </c>
      <c r="C2164" s="28">
        <v>236</v>
      </c>
      <c r="D2164" s="83">
        <f t="shared" si="70"/>
        <v>2.9267886855241265</v>
      </c>
      <c r="E2164" s="83">
        <v>2.3359524315141704E-3</v>
      </c>
      <c r="F2164" s="83">
        <v>2156</v>
      </c>
      <c r="G2164" s="83">
        <f t="shared" ca="1" si="71"/>
        <v>6.0529759071597366E-3</v>
      </c>
    </row>
    <row r="2165" spans="2:7" x14ac:dyDescent="0.2">
      <c r="B2165" s="167">
        <v>39849</v>
      </c>
      <c r="C2165" s="28">
        <v>60.1</v>
      </c>
      <c r="D2165" s="83">
        <f t="shared" si="70"/>
        <v>-0.85890031459830019</v>
      </c>
      <c r="E2165" s="83">
        <v>2.3348899266177545E-3</v>
      </c>
      <c r="F2165" s="83">
        <v>2157</v>
      </c>
      <c r="G2165" s="83">
        <f t="shared" ca="1" si="71"/>
        <v>-2.0297334210439143E-3</v>
      </c>
    </row>
    <row r="2166" spans="2:7" x14ac:dyDescent="0.2">
      <c r="B2166" s="167">
        <v>45154</v>
      </c>
      <c r="C2166" s="28">
        <v>425.94</v>
      </c>
      <c r="D2166" s="83">
        <f t="shared" si="70"/>
        <v>-9.2064033423571293E-2</v>
      </c>
      <c r="E2166" s="83">
        <v>2.3296858453935973E-3</v>
      </c>
      <c r="F2166" s="83">
        <v>2158</v>
      </c>
      <c r="G2166" s="83">
        <f t="shared" ca="1" si="71"/>
        <v>8.4872731511169853E-3</v>
      </c>
    </row>
    <row r="2167" spans="2:7" x14ac:dyDescent="0.2">
      <c r="B2167" s="167">
        <v>45513</v>
      </c>
      <c r="C2167" s="28">
        <v>469.13</v>
      </c>
      <c r="D2167" s="83">
        <f t="shared" si="70"/>
        <v>0.67188168210976462</v>
      </c>
      <c r="E2167" s="83">
        <v>2.3288607811297645E-3</v>
      </c>
      <c r="F2167" s="83">
        <v>2159</v>
      </c>
      <c r="G2167" s="83">
        <f t="shared" ca="1" si="71"/>
        <v>-3.4077632513416041E-3</v>
      </c>
    </row>
    <row r="2168" spans="2:7" x14ac:dyDescent="0.2">
      <c r="B2168" s="167">
        <v>43629</v>
      </c>
      <c r="C2168" s="28">
        <v>280.60000000000002</v>
      </c>
      <c r="D2168" s="83">
        <f t="shared" si="70"/>
        <v>-4.6115643845333612E-3</v>
      </c>
      <c r="E2168" s="83">
        <v>2.3218431862833868E-3</v>
      </c>
      <c r="F2168" s="83">
        <v>2160</v>
      </c>
      <c r="G2168" s="83">
        <f t="shared" ca="1" si="71"/>
        <v>-8.8141617542949104E-3</v>
      </c>
    </row>
    <row r="2169" spans="2:7" x14ac:dyDescent="0.2">
      <c r="B2169" s="167">
        <v>42814</v>
      </c>
      <c r="C2169" s="28">
        <v>281.89999999999998</v>
      </c>
      <c r="D2169" s="83">
        <f t="shared" si="70"/>
        <v>3.0613744417230944</v>
      </c>
      <c r="E2169" s="83">
        <v>2.3111111111110303E-3</v>
      </c>
      <c r="F2169" s="83">
        <v>2161</v>
      </c>
      <c r="G2169" s="83">
        <f t="shared" ca="1" si="71"/>
        <v>6.5664940780449932E-3</v>
      </c>
    </row>
    <row r="2170" spans="2:7" x14ac:dyDescent="0.2">
      <c r="B2170" s="167">
        <v>38841</v>
      </c>
      <c r="C2170" s="28">
        <v>69.41</v>
      </c>
      <c r="D2170" s="83">
        <f t="shared" si="70"/>
        <v>-0.60244000229108197</v>
      </c>
      <c r="E2170" s="83">
        <v>2.3104693140793731E-3</v>
      </c>
      <c r="F2170" s="83">
        <v>2162</v>
      </c>
      <c r="G2170" s="83">
        <f t="shared" ca="1" si="71"/>
        <v>7.5944434881582571E-3</v>
      </c>
    </row>
    <row r="2171" spans="2:7" x14ac:dyDescent="0.2">
      <c r="B2171" s="167">
        <v>41160</v>
      </c>
      <c r="C2171" s="28">
        <v>174.59</v>
      </c>
      <c r="D2171" s="83">
        <f t="shared" si="70"/>
        <v>-0.5558297504261327</v>
      </c>
      <c r="E2171" s="83">
        <v>2.2963430736552366E-3</v>
      </c>
      <c r="F2171" s="83">
        <v>2163</v>
      </c>
      <c r="G2171" s="83">
        <f t="shared" ca="1" si="71"/>
        <v>-1.8179300534765755E-2</v>
      </c>
    </row>
    <row r="2172" spans="2:7" x14ac:dyDescent="0.2">
      <c r="B2172" s="167">
        <v>45331</v>
      </c>
      <c r="C2172" s="28">
        <v>393.07</v>
      </c>
      <c r="D2172" s="83">
        <f t="shared" si="70"/>
        <v>2.4613420218386755</v>
      </c>
      <c r="E2172" s="83">
        <v>2.2949231200754196E-3</v>
      </c>
      <c r="F2172" s="83">
        <v>2164</v>
      </c>
      <c r="G2172" s="83">
        <f t="shared" ca="1" si="71"/>
        <v>1.2788221693131499E-2</v>
      </c>
    </row>
    <row r="2173" spans="2:7" x14ac:dyDescent="0.2">
      <c r="B2173" s="167">
        <v>40515</v>
      </c>
      <c r="C2173" s="28">
        <v>113.56</v>
      </c>
      <c r="D2173" s="83">
        <f t="shared" si="70"/>
        <v>-0.53603529988560217</v>
      </c>
      <c r="E2173" s="83">
        <v>2.2947925860547671E-3</v>
      </c>
      <c r="F2173" s="83">
        <v>2165</v>
      </c>
      <c r="G2173" s="83">
        <f t="shared" ca="1" si="71"/>
        <v>4.3047895139534977E-2</v>
      </c>
    </row>
    <row r="2174" spans="2:7" x14ac:dyDescent="0.2">
      <c r="B2174" s="167">
        <v>41957</v>
      </c>
      <c r="C2174" s="28">
        <v>244.76</v>
      </c>
      <c r="D2174" s="83">
        <f t="shared" si="70"/>
        <v>-0.29537079686780293</v>
      </c>
      <c r="E2174" s="83">
        <v>2.2932022932023025E-3</v>
      </c>
      <c r="F2174" s="83">
        <v>2166</v>
      </c>
      <c r="G2174" s="83">
        <f t="shared" ca="1" si="71"/>
        <v>-3.6723268156851827E-3</v>
      </c>
    </row>
    <row r="2175" spans="2:7" x14ac:dyDescent="0.2">
      <c r="B2175" s="167">
        <v>44866</v>
      </c>
      <c r="C2175" s="28">
        <v>347.36</v>
      </c>
      <c r="D2175" s="83">
        <f t="shared" si="70"/>
        <v>1.185478797030326</v>
      </c>
      <c r="E2175" s="83">
        <v>2.2794817785729304E-3</v>
      </c>
      <c r="F2175" s="83">
        <v>2167</v>
      </c>
      <c r="G2175" s="83">
        <f t="shared" ca="1" si="71"/>
        <v>2.6977441542597922E-3</v>
      </c>
    </row>
    <row r="2176" spans="2:7" x14ac:dyDescent="0.2">
      <c r="B2176" s="167">
        <v>41071</v>
      </c>
      <c r="C2176" s="28">
        <v>158.94</v>
      </c>
      <c r="D2176" s="83">
        <f t="shared" si="70"/>
        <v>1.3980084490042244</v>
      </c>
      <c r="E2176" s="83">
        <v>2.2701475595912801E-3</v>
      </c>
      <c r="F2176" s="83">
        <v>2168</v>
      </c>
      <c r="G2176" s="83">
        <f t="shared" ca="1" si="71"/>
        <v>-7.7813818522412268E-3</v>
      </c>
    </row>
    <row r="2177" spans="2:7" x14ac:dyDescent="0.2">
      <c r="B2177" s="167">
        <v>39611</v>
      </c>
      <c r="C2177" s="28">
        <v>66.28</v>
      </c>
      <c r="D2177" s="83">
        <f t="shared" si="70"/>
        <v>-0.16859006522829903</v>
      </c>
      <c r="E2177" s="83">
        <v>2.2682594888856146E-3</v>
      </c>
      <c r="F2177" s="83">
        <v>2169</v>
      </c>
      <c r="G2177" s="83">
        <f t="shared" ca="1" si="71"/>
        <v>9.3858625627964553E-3</v>
      </c>
    </row>
    <row r="2178" spans="2:7" x14ac:dyDescent="0.2">
      <c r="B2178" s="167">
        <v>40050</v>
      </c>
      <c r="C2178" s="28">
        <v>79.72</v>
      </c>
      <c r="D2178" s="83">
        <f t="shared" si="70"/>
        <v>-0.63504852591100536</v>
      </c>
      <c r="E2178" s="83">
        <v>2.2630123208447648E-3</v>
      </c>
      <c r="F2178" s="83">
        <v>2170</v>
      </c>
      <c r="G2178" s="83">
        <f t="shared" ca="1" si="71"/>
        <v>-2.1161261175497607E-2</v>
      </c>
    </row>
    <row r="2179" spans="2:7" x14ac:dyDescent="0.2">
      <c r="B2179" s="167">
        <v>42282</v>
      </c>
      <c r="C2179" s="28">
        <v>218.44</v>
      </c>
      <c r="D2179" s="83">
        <f t="shared" si="70"/>
        <v>0.80543846598892477</v>
      </c>
      <c r="E2179" s="83">
        <v>2.2482220692819871E-3</v>
      </c>
      <c r="F2179" s="83">
        <v>2171</v>
      </c>
      <c r="G2179" s="83">
        <f t="shared" ca="1" si="71"/>
        <v>-7.1247258604835812E-3</v>
      </c>
    </row>
    <row r="2180" spans="2:7" x14ac:dyDescent="0.2">
      <c r="B2180" s="167">
        <v>40634</v>
      </c>
      <c r="C2180" s="28">
        <v>120.99</v>
      </c>
      <c r="D2180" s="83">
        <f t="shared" si="70"/>
        <v>1.4506785497265549</v>
      </c>
      <c r="E2180" s="83">
        <v>2.2365805168985753E-3</v>
      </c>
      <c r="F2180" s="83">
        <v>2172</v>
      </c>
      <c r="G2180" s="83">
        <f t="shared" ca="1" si="71"/>
        <v>3.2092013501415799E-3</v>
      </c>
    </row>
    <row r="2181" spans="2:7" x14ac:dyDescent="0.2">
      <c r="B2181" s="167">
        <v>39154</v>
      </c>
      <c r="C2181" s="28">
        <v>49.37</v>
      </c>
      <c r="D2181" s="83">
        <f t="shared" si="70"/>
        <v>-0.8777819037009531</v>
      </c>
      <c r="E2181" s="83">
        <v>2.2330491270807842E-3</v>
      </c>
      <c r="F2181" s="83">
        <v>2173</v>
      </c>
      <c r="G2181" s="83">
        <f t="shared" ca="1" si="71"/>
        <v>-1.6191865546376562E-2</v>
      </c>
    </row>
    <row r="2182" spans="2:7" x14ac:dyDescent="0.2">
      <c r="B2182" s="167">
        <v>45736</v>
      </c>
      <c r="C2182" s="28">
        <v>403.95</v>
      </c>
      <c r="D2182" s="83">
        <f t="shared" si="70"/>
        <v>0.12058921438082548</v>
      </c>
      <c r="E2182" s="83">
        <v>2.2329735764792884E-3</v>
      </c>
      <c r="F2182" s="83">
        <v>2174</v>
      </c>
      <c r="G2182" s="83">
        <f t="shared" ca="1" si="71"/>
        <v>1.1929664781906275E-2</v>
      </c>
    </row>
    <row r="2183" spans="2:7" x14ac:dyDescent="0.2">
      <c r="B2183" s="167">
        <v>44974</v>
      </c>
      <c r="C2183" s="28">
        <v>360.48</v>
      </c>
      <c r="D2183" s="83">
        <f t="shared" si="70"/>
        <v>0.85804855419823733</v>
      </c>
      <c r="E2183" s="83">
        <v>2.2241992882562592E-3</v>
      </c>
      <c r="F2183" s="83">
        <v>2175</v>
      </c>
      <c r="G2183" s="83">
        <f t="shared" ca="1" si="71"/>
        <v>6.9924432367176473E-3</v>
      </c>
    </row>
    <row r="2184" spans="2:7" x14ac:dyDescent="0.2">
      <c r="B2184" s="167">
        <v>41330</v>
      </c>
      <c r="C2184" s="28">
        <v>194.01</v>
      </c>
      <c r="D2184" s="83">
        <f t="shared" si="70"/>
        <v>-4.6165191740413052E-2</v>
      </c>
      <c r="E2184" s="83">
        <v>2.2213038537037834E-3</v>
      </c>
      <c r="F2184" s="83">
        <v>2176</v>
      </c>
      <c r="G2184" s="83">
        <f t="shared" ca="1" si="71"/>
        <v>7.057542735181728E-3</v>
      </c>
    </row>
    <row r="2185" spans="2:7" x14ac:dyDescent="0.2">
      <c r="B2185" s="167">
        <v>44187</v>
      </c>
      <c r="C2185" s="28">
        <v>203.4</v>
      </c>
      <c r="D2185" s="83">
        <f t="shared" ref="D2185:D2248" si="72">(C2185-C2186)/C2186</f>
        <v>2.4167646564757264</v>
      </c>
      <c r="E2185" s="83">
        <v>2.2172949002218136E-3</v>
      </c>
      <c r="F2185" s="83">
        <v>2177</v>
      </c>
      <c r="G2185" s="83">
        <f t="shared" ref="G2185:G2248" ca="1" si="73">_xlfn.NORM.INV(RAND(),$M$10,$M$11)</f>
        <v>-1.6800416312206148E-2</v>
      </c>
    </row>
    <row r="2186" spans="2:7" x14ac:dyDescent="0.2">
      <c r="B2186" s="167">
        <v>39045</v>
      </c>
      <c r="C2186" s="28">
        <v>59.53</v>
      </c>
      <c r="D2186" s="83">
        <f t="shared" si="72"/>
        <v>-0.80016784155756959</v>
      </c>
      <c r="E2186" s="83">
        <v>2.1885521885522318E-3</v>
      </c>
      <c r="F2186" s="83">
        <v>2178</v>
      </c>
      <c r="G2186" s="83">
        <f t="shared" ca="1" si="73"/>
        <v>-1.1527131461474306E-3</v>
      </c>
    </row>
    <row r="2187" spans="2:7" x14ac:dyDescent="0.2">
      <c r="B2187" s="167">
        <v>43557</v>
      </c>
      <c r="C2187" s="28">
        <v>297.89999999999998</v>
      </c>
      <c r="D2187" s="83">
        <f t="shared" si="72"/>
        <v>3.9766120948880714</v>
      </c>
      <c r="E2187" s="83">
        <v>2.18671152228756E-3</v>
      </c>
      <c r="F2187" s="83">
        <v>2179</v>
      </c>
      <c r="G2187" s="83">
        <f t="shared" ca="1" si="73"/>
        <v>-2.9439321279211887E-2</v>
      </c>
    </row>
    <row r="2188" spans="2:7" x14ac:dyDescent="0.2">
      <c r="B2188" s="167">
        <v>39868</v>
      </c>
      <c r="C2188" s="28">
        <v>59.86</v>
      </c>
      <c r="D2188" s="83">
        <f t="shared" si="72"/>
        <v>0.18113654301499604</v>
      </c>
      <c r="E2188" s="83">
        <v>2.1764607399966944E-3</v>
      </c>
      <c r="F2188" s="83">
        <v>2180</v>
      </c>
      <c r="G2188" s="83">
        <f t="shared" ca="1" si="73"/>
        <v>1.8056113074987152E-3</v>
      </c>
    </row>
    <row r="2189" spans="2:7" x14ac:dyDescent="0.2">
      <c r="B2189" s="167">
        <v>39275</v>
      </c>
      <c r="C2189" s="28">
        <v>50.68</v>
      </c>
      <c r="D2189" s="83">
        <f t="shared" si="72"/>
        <v>-0.52175143908653387</v>
      </c>
      <c r="E2189" s="83">
        <v>2.1752026893414956E-3</v>
      </c>
      <c r="F2189" s="83">
        <v>2181</v>
      </c>
      <c r="G2189" s="83">
        <f t="shared" ca="1" si="73"/>
        <v>-1.1044836614466582E-2</v>
      </c>
    </row>
    <row r="2190" spans="2:7" x14ac:dyDescent="0.2">
      <c r="B2190" s="167">
        <v>40414</v>
      </c>
      <c r="C2190" s="28">
        <v>105.97</v>
      </c>
      <c r="D2190" s="83">
        <f t="shared" si="72"/>
        <v>0.63913379737045617</v>
      </c>
      <c r="E2190" s="83">
        <v>2.1751465859656135E-3</v>
      </c>
      <c r="F2190" s="83">
        <v>2182</v>
      </c>
      <c r="G2190" s="83">
        <f t="shared" ca="1" si="73"/>
        <v>-1.2666360647588418E-3</v>
      </c>
    </row>
    <row r="2191" spans="2:7" x14ac:dyDescent="0.2">
      <c r="B2191" s="167">
        <v>39701</v>
      </c>
      <c r="C2191" s="28">
        <v>64.650000000000006</v>
      </c>
      <c r="D2191" s="83">
        <f t="shared" si="72"/>
        <v>-0.42007534983853601</v>
      </c>
      <c r="E2191" s="83">
        <v>2.1702061695861195E-3</v>
      </c>
      <c r="F2191" s="83">
        <v>2183</v>
      </c>
      <c r="G2191" s="83">
        <f t="shared" ca="1" si="73"/>
        <v>5.7306065013839717E-3</v>
      </c>
    </row>
    <row r="2192" spans="2:7" x14ac:dyDescent="0.2">
      <c r="B2192" s="167">
        <v>40571</v>
      </c>
      <c r="C2192" s="28">
        <v>111.48</v>
      </c>
      <c r="D2192" s="83">
        <f t="shared" si="72"/>
        <v>-0.46685796269727398</v>
      </c>
      <c r="E2192" s="83">
        <v>2.1574973031284529E-3</v>
      </c>
      <c r="F2192" s="83">
        <v>2184</v>
      </c>
      <c r="G2192" s="83">
        <f t="shared" ca="1" si="73"/>
        <v>9.4647693265366914E-3</v>
      </c>
    </row>
    <row r="2193" spans="2:7" x14ac:dyDescent="0.2">
      <c r="B2193" s="167">
        <v>44405</v>
      </c>
      <c r="C2193" s="28">
        <v>209.1</v>
      </c>
      <c r="D2193" s="83">
        <f t="shared" si="72"/>
        <v>0.49624329159212877</v>
      </c>
      <c r="E2193" s="83">
        <v>2.1567217828899529E-3</v>
      </c>
      <c r="F2193" s="83">
        <v>2185</v>
      </c>
      <c r="G2193" s="83">
        <f t="shared" ca="1" si="73"/>
        <v>1.0610740773066632E-2</v>
      </c>
    </row>
    <row r="2194" spans="2:7" x14ac:dyDescent="0.2">
      <c r="B2194" s="167">
        <v>40855</v>
      </c>
      <c r="C2194" s="28">
        <v>139.75</v>
      </c>
      <c r="D2194" s="83">
        <f t="shared" si="72"/>
        <v>-0.66855611422066219</v>
      </c>
      <c r="E2194" s="83">
        <v>2.1513087128003684E-3</v>
      </c>
      <c r="F2194" s="83">
        <v>2186</v>
      </c>
      <c r="G2194" s="83">
        <f t="shared" ca="1" si="73"/>
        <v>-5.4698552288488722E-3</v>
      </c>
    </row>
    <row r="2195" spans="2:7" x14ac:dyDescent="0.2">
      <c r="B2195" s="167">
        <v>45103</v>
      </c>
      <c r="C2195" s="28">
        <v>421.64</v>
      </c>
      <c r="D2195" s="83">
        <f t="shared" si="72"/>
        <v>10.243733333333333</v>
      </c>
      <c r="E2195" s="83">
        <v>2.13908827304268E-3</v>
      </c>
      <c r="F2195" s="83">
        <v>2187</v>
      </c>
      <c r="G2195" s="83">
        <f t="shared" ca="1" si="73"/>
        <v>-3.6105816875479368E-2</v>
      </c>
    </row>
    <row r="2196" spans="2:7" x14ac:dyDescent="0.2">
      <c r="B2196" s="167">
        <v>38588</v>
      </c>
      <c r="C2196" s="28">
        <v>37.5</v>
      </c>
      <c r="D2196" s="83">
        <f t="shared" si="72"/>
        <v>-0.86683238636363635</v>
      </c>
      <c r="E2196" s="83">
        <v>2.1378941742383295E-3</v>
      </c>
      <c r="F2196" s="83">
        <v>2188</v>
      </c>
      <c r="G2196" s="83">
        <f t="shared" ca="1" si="73"/>
        <v>-1.8854152216999202E-2</v>
      </c>
    </row>
    <row r="2197" spans="2:7" x14ac:dyDescent="0.2">
      <c r="B2197" s="167">
        <v>42821</v>
      </c>
      <c r="C2197" s="28">
        <v>281.60000000000002</v>
      </c>
      <c r="D2197" s="83">
        <f t="shared" si="72"/>
        <v>0.2225405921680994</v>
      </c>
      <c r="E2197" s="83">
        <v>2.1352313167260595E-3</v>
      </c>
      <c r="F2197" s="83">
        <v>2189</v>
      </c>
      <c r="G2197" s="83">
        <f t="shared" ca="1" si="73"/>
        <v>7.1502278962944591E-3</v>
      </c>
    </row>
    <row r="2198" spans="2:7" x14ac:dyDescent="0.2">
      <c r="B2198" s="167">
        <v>41464</v>
      </c>
      <c r="C2198" s="28">
        <v>230.34</v>
      </c>
      <c r="D2198" s="83">
        <f t="shared" si="72"/>
        <v>3.0696113074204949</v>
      </c>
      <c r="E2198" s="83">
        <v>2.1318251033282973E-3</v>
      </c>
      <c r="F2198" s="83">
        <v>2190</v>
      </c>
      <c r="G2198" s="83">
        <f t="shared" ca="1" si="73"/>
        <v>1.9307708400691296E-2</v>
      </c>
    </row>
    <row r="2199" spans="2:7" x14ac:dyDescent="0.2">
      <c r="B2199" s="167">
        <v>39072</v>
      </c>
      <c r="C2199" s="28">
        <v>56.6</v>
      </c>
      <c r="D2199" s="83">
        <f t="shared" si="72"/>
        <v>-0.33427428840272871</v>
      </c>
      <c r="E2199" s="83">
        <v>2.1246458923513552E-3</v>
      </c>
      <c r="F2199" s="83">
        <v>2191</v>
      </c>
      <c r="G2199" s="83">
        <f t="shared" ca="1" si="73"/>
        <v>6.519837799513927E-3</v>
      </c>
    </row>
    <row r="2200" spans="2:7" x14ac:dyDescent="0.2">
      <c r="B2200" s="167">
        <v>40186</v>
      </c>
      <c r="C2200" s="28">
        <v>85.02</v>
      </c>
      <c r="D2200" s="83">
        <f t="shared" si="72"/>
        <v>-0.48597339782345833</v>
      </c>
      <c r="E2200" s="83">
        <v>2.1216407355020344E-3</v>
      </c>
      <c r="F2200" s="83">
        <v>2192</v>
      </c>
      <c r="G2200" s="83">
        <f t="shared" ca="1" si="73"/>
        <v>-1.954344023772198E-2</v>
      </c>
    </row>
    <row r="2201" spans="2:7" x14ac:dyDescent="0.2">
      <c r="B2201" s="167">
        <v>43964</v>
      </c>
      <c r="C2201" s="28">
        <v>165.4</v>
      </c>
      <c r="D2201" s="83">
        <f t="shared" si="72"/>
        <v>1.6898682712636199</v>
      </c>
      <c r="E2201" s="83">
        <v>2.1205695243865148E-3</v>
      </c>
      <c r="F2201" s="83">
        <v>2193</v>
      </c>
      <c r="G2201" s="83">
        <f t="shared" ca="1" si="73"/>
        <v>1.5310389505847344E-3</v>
      </c>
    </row>
    <row r="2202" spans="2:7" x14ac:dyDescent="0.2">
      <c r="B2202" s="167">
        <v>39001</v>
      </c>
      <c r="C2202" s="28">
        <v>61.49</v>
      </c>
      <c r="D2202" s="83">
        <f t="shared" si="72"/>
        <v>-0.71138230462332785</v>
      </c>
      <c r="E2202" s="83">
        <v>2.1186440677966518E-3</v>
      </c>
      <c r="F2202" s="83">
        <v>2194</v>
      </c>
      <c r="G2202" s="83">
        <f t="shared" ca="1" si="73"/>
        <v>2.7026236845373103E-2</v>
      </c>
    </row>
    <row r="2203" spans="2:7" x14ac:dyDescent="0.2">
      <c r="B2203" s="167">
        <v>43873</v>
      </c>
      <c r="C2203" s="28">
        <v>213.05</v>
      </c>
      <c r="D2203" s="83">
        <f t="shared" si="72"/>
        <v>-0.4001464087620013</v>
      </c>
      <c r="E2203" s="83">
        <v>2.1166509877705414E-3</v>
      </c>
      <c r="F2203" s="83">
        <v>2195</v>
      </c>
      <c r="G2203" s="83">
        <f t="shared" ca="1" si="73"/>
        <v>1.7608456893264877E-2</v>
      </c>
    </row>
    <row r="2204" spans="2:7" x14ac:dyDescent="0.2">
      <c r="B2204" s="167">
        <v>45007</v>
      </c>
      <c r="C2204" s="28">
        <v>355.17</v>
      </c>
      <c r="D2204" s="83">
        <f t="shared" si="72"/>
        <v>0.65967289719626176</v>
      </c>
      <c r="E2204" s="83">
        <v>2.116133401049602E-3</v>
      </c>
      <c r="F2204" s="83">
        <v>2196</v>
      </c>
      <c r="G2204" s="83">
        <f t="shared" ca="1" si="73"/>
        <v>1.6465501457531836E-2</v>
      </c>
    </row>
    <row r="2205" spans="2:7" x14ac:dyDescent="0.2">
      <c r="B2205" s="167">
        <v>44181</v>
      </c>
      <c r="C2205" s="28">
        <v>214</v>
      </c>
      <c r="D2205" s="83">
        <f t="shared" si="72"/>
        <v>4.3291731669266746E-2</v>
      </c>
      <c r="E2205" s="83">
        <v>2.1072348396159618E-3</v>
      </c>
      <c r="F2205" s="83">
        <v>2197</v>
      </c>
      <c r="G2205" s="83">
        <f t="shared" ca="1" si="73"/>
        <v>3.3418200990420914E-2</v>
      </c>
    </row>
    <row r="2206" spans="2:7" x14ac:dyDescent="0.2">
      <c r="B2206" s="167">
        <v>42394</v>
      </c>
      <c r="C2206" s="28">
        <v>205.12</v>
      </c>
      <c r="D2206" s="83">
        <f t="shared" si="72"/>
        <v>-0.33885576148267527</v>
      </c>
      <c r="E2206" s="83">
        <v>2.1007377009136098E-3</v>
      </c>
      <c r="F2206" s="83">
        <v>2198</v>
      </c>
      <c r="G2206" s="83">
        <f t="shared" ca="1" si="73"/>
        <v>6.2895156939084653E-3</v>
      </c>
    </row>
    <row r="2207" spans="2:7" x14ac:dyDescent="0.2">
      <c r="B2207" s="167">
        <v>43348</v>
      </c>
      <c r="C2207" s="28">
        <v>310.25</v>
      </c>
      <c r="D2207" s="83">
        <f t="shared" si="72"/>
        <v>0.32330987417359786</v>
      </c>
      <c r="E2207" s="83">
        <v>2.0994832041342933E-3</v>
      </c>
      <c r="F2207" s="83">
        <v>2199</v>
      </c>
      <c r="G2207" s="83">
        <f t="shared" ca="1" si="73"/>
        <v>-1.2529950885251613E-2</v>
      </c>
    </row>
    <row r="2208" spans="2:7" x14ac:dyDescent="0.2">
      <c r="B2208" s="167">
        <v>41843</v>
      </c>
      <c r="C2208" s="28">
        <v>234.45</v>
      </c>
      <c r="D2208" s="83">
        <f t="shared" si="72"/>
        <v>-0.24766550075409943</v>
      </c>
      <c r="E2208" s="83">
        <v>2.0943751068557902E-3</v>
      </c>
      <c r="F2208" s="83">
        <v>2200</v>
      </c>
      <c r="G2208" s="83">
        <f t="shared" ca="1" si="73"/>
        <v>-1.4434798723081874E-2</v>
      </c>
    </row>
    <row r="2209" spans="2:7" x14ac:dyDescent="0.2">
      <c r="B2209" s="167">
        <v>44802</v>
      </c>
      <c r="C2209" s="28">
        <v>311.63</v>
      </c>
      <c r="D2209" s="83">
        <f t="shared" si="72"/>
        <v>0.17286413248024091</v>
      </c>
      <c r="E2209" s="83">
        <v>2.0901665701973673E-3</v>
      </c>
      <c r="F2209" s="83">
        <v>2201</v>
      </c>
      <c r="G2209" s="83">
        <f t="shared" ca="1" si="73"/>
        <v>1.0146794102132756E-2</v>
      </c>
    </row>
    <row r="2210" spans="2:7" x14ac:dyDescent="0.2">
      <c r="B2210" s="167">
        <v>43039</v>
      </c>
      <c r="C2210" s="28">
        <v>265.7</v>
      </c>
      <c r="D2210" s="83">
        <f t="shared" si="72"/>
        <v>0.1601606846563618</v>
      </c>
      <c r="E2210" s="83">
        <v>2.0742975674147139E-3</v>
      </c>
      <c r="F2210" s="83">
        <v>2202</v>
      </c>
      <c r="G2210" s="83">
        <f t="shared" ca="1" si="73"/>
        <v>2.4754644782139328E-2</v>
      </c>
    </row>
    <row r="2211" spans="2:7" x14ac:dyDescent="0.2">
      <c r="B2211" s="167">
        <v>41736</v>
      </c>
      <c r="C2211" s="28">
        <v>229.02</v>
      </c>
      <c r="D2211" s="83">
        <f t="shared" si="72"/>
        <v>2.607182233422586</v>
      </c>
      <c r="E2211" s="83">
        <v>2.056442791511699E-3</v>
      </c>
      <c r="F2211" s="83">
        <v>2203</v>
      </c>
      <c r="G2211" s="83">
        <f t="shared" ca="1" si="73"/>
        <v>8.826801757812806E-3</v>
      </c>
    </row>
    <row r="2212" spans="2:7" x14ac:dyDescent="0.2">
      <c r="B2212" s="167">
        <v>39532</v>
      </c>
      <c r="C2212" s="28">
        <v>63.49</v>
      </c>
      <c r="D2212" s="83">
        <f t="shared" si="72"/>
        <v>-7.8690588605598299E-4</v>
      </c>
      <c r="E2212" s="83">
        <v>2.0517676767677173E-3</v>
      </c>
      <c r="F2212" s="83">
        <v>2204</v>
      </c>
      <c r="G2212" s="83">
        <f t="shared" ca="1" si="73"/>
        <v>-2.2152458370872034E-2</v>
      </c>
    </row>
    <row r="2213" spans="2:7" x14ac:dyDescent="0.2">
      <c r="B2213" s="167">
        <v>39996</v>
      </c>
      <c r="C2213" s="28">
        <v>63.54</v>
      </c>
      <c r="D2213" s="83">
        <f t="shared" si="72"/>
        <v>-7.3426027183253542E-3</v>
      </c>
      <c r="E2213" s="83">
        <v>2.0501498186406334E-3</v>
      </c>
      <c r="F2213" s="83">
        <v>2205</v>
      </c>
      <c r="G2213" s="83">
        <f t="shared" ca="1" si="73"/>
        <v>7.2868786325222196E-3</v>
      </c>
    </row>
    <row r="2214" spans="2:7" x14ac:dyDescent="0.2">
      <c r="B2214" s="167">
        <v>39422</v>
      </c>
      <c r="C2214" s="28">
        <v>64.010000000000005</v>
      </c>
      <c r="D2214" s="83">
        <f t="shared" si="72"/>
        <v>-0.7833840947546532</v>
      </c>
      <c r="E2214" s="83">
        <v>2.0350657482780614E-3</v>
      </c>
      <c r="F2214" s="83">
        <v>2206</v>
      </c>
      <c r="G2214" s="83">
        <f t="shared" ca="1" si="73"/>
        <v>-6.5850759558573552E-3</v>
      </c>
    </row>
    <row r="2215" spans="2:7" x14ac:dyDescent="0.2">
      <c r="B2215" s="167">
        <v>43538</v>
      </c>
      <c r="C2215" s="28">
        <v>295.5</v>
      </c>
      <c r="D2215" s="83">
        <f t="shared" si="72"/>
        <v>-0.33610424623680074</v>
      </c>
      <c r="E2215" s="83">
        <v>2.0345879959309011E-3</v>
      </c>
      <c r="F2215" s="83">
        <v>2207</v>
      </c>
      <c r="G2215" s="83">
        <f t="shared" ca="1" si="73"/>
        <v>3.310796806344167E-2</v>
      </c>
    </row>
    <row r="2216" spans="2:7" x14ac:dyDescent="0.2">
      <c r="B2216" s="167">
        <v>45644</v>
      </c>
      <c r="C2216" s="28">
        <v>445.1</v>
      </c>
      <c r="D2216" s="83">
        <f t="shared" si="72"/>
        <v>2.3179276928811037</v>
      </c>
      <c r="E2216" s="83">
        <v>2.0261143628996716E-3</v>
      </c>
      <c r="F2216" s="83">
        <v>2208</v>
      </c>
      <c r="G2216" s="83">
        <f t="shared" ca="1" si="73"/>
        <v>6.2049936689220165E-3</v>
      </c>
    </row>
    <row r="2217" spans="2:7" x14ac:dyDescent="0.2">
      <c r="B2217" s="167">
        <v>40780</v>
      </c>
      <c r="C2217" s="28">
        <v>134.15</v>
      </c>
      <c r="D2217" s="83">
        <f t="shared" si="72"/>
        <v>-0.68693115519253212</v>
      </c>
      <c r="E2217" s="83">
        <v>2.0167314012549315E-3</v>
      </c>
      <c r="F2217" s="83">
        <v>2209</v>
      </c>
      <c r="G2217" s="83">
        <f t="shared" ca="1" si="73"/>
        <v>-3.1188789159460805E-3</v>
      </c>
    </row>
    <row r="2218" spans="2:7" x14ac:dyDescent="0.2">
      <c r="B2218" s="167">
        <v>45189</v>
      </c>
      <c r="C2218" s="28">
        <v>428.5</v>
      </c>
      <c r="D2218" s="83">
        <f t="shared" si="72"/>
        <v>2.7029035603180089</v>
      </c>
      <c r="E2218" s="83">
        <v>2.0110373211112472E-3</v>
      </c>
      <c r="F2218" s="83">
        <v>2210</v>
      </c>
      <c r="G2218" s="83">
        <f t="shared" ca="1" si="73"/>
        <v>-1.8321483645337821E-2</v>
      </c>
    </row>
    <row r="2219" spans="2:7" x14ac:dyDescent="0.2">
      <c r="B2219" s="167">
        <v>40542</v>
      </c>
      <c r="C2219" s="28">
        <v>115.72</v>
      </c>
      <c r="D2219" s="83">
        <f t="shared" si="72"/>
        <v>-0.42882527147087857</v>
      </c>
      <c r="E2219" s="83">
        <v>1.9915144168326606E-3</v>
      </c>
      <c r="F2219" s="83">
        <v>2211</v>
      </c>
      <c r="G2219" s="83">
        <f t="shared" ca="1" si="73"/>
        <v>2.3045125737782834E-2</v>
      </c>
    </row>
    <row r="2220" spans="2:7" x14ac:dyDescent="0.2">
      <c r="B2220" s="167">
        <v>41355</v>
      </c>
      <c r="C2220" s="28">
        <v>202.6</v>
      </c>
      <c r="D2220" s="83">
        <f t="shared" si="72"/>
        <v>-0.14970411717799142</v>
      </c>
      <c r="E2220" s="83">
        <v>1.9782393669634307E-3</v>
      </c>
      <c r="F2220" s="83">
        <v>2212</v>
      </c>
      <c r="G2220" s="83">
        <f t="shared" ca="1" si="73"/>
        <v>1.6068913929542513E-2</v>
      </c>
    </row>
    <row r="2221" spans="2:7" x14ac:dyDescent="0.2">
      <c r="B2221" s="167">
        <v>41901</v>
      </c>
      <c r="C2221" s="28">
        <v>238.27</v>
      </c>
      <c r="D2221" s="83">
        <f t="shared" si="72"/>
        <v>-0.33920350546341999</v>
      </c>
      <c r="E2221" s="83">
        <v>1.9764507989907436E-3</v>
      </c>
      <c r="F2221" s="83">
        <v>2213</v>
      </c>
      <c r="G2221" s="83">
        <f t="shared" ca="1" si="73"/>
        <v>1.6780346458511956E-2</v>
      </c>
    </row>
    <row r="2222" spans="2:7" x14ac:dyDescent="0.2">
      <c r="B2222" s="167">
        <v>45016</v>
      </c>
      <c r="C2222" s="28">
        <v>360.58</v>
      </c>
      <c r="D2222" s="83">
        <f t="shared" si="72"/>
        <v>-0.11594380562434113</v>
      </c>
      <c r="E2222" s="83">
        <v>1.9729346708533069E-3</v>
      </c>
      <c r="F2222" s="83">
        <v>2214</v>
      </c>
      <c r="G2222" s="83">
        <f t="shared" ca="1" si="73"/>
        <v>2.4078426178616989E-2</v>
      </c>
    </row>
    <row r="2223" spans="2:7" x14ac:dyDescent="0.2">
      <c r="B2223" s="167">
        <v>45457</v>
      </c>
      <c r="C2223" s="28">
        <v>407.87</v>
      </c>
      <c r="D2223" s="83">
        <f t="shared" si="72"/>
        <v>5.6471642764015648</v>
      </c>
      <c r="E2223" s="83">
        <v>1.9652639595155903E-3</v>
      </c>
      <c r="F2223" s="83">
        <v>2215</v>
      </c>
      <c r="G2223" s="83">
        <f t="shared" ca="1" si="73"/>
        <v>2.4763646319029525E-2</v>
      </c>
    </row>
    <row r="2224" spans="2:7" x14ac:dyDescent="0.2">
      <c r="B2224" s="167">
        <v>39000</v>
      </c>
      <c r="C2224" s="28">
        <v>61.36</v>
      </c>
      <c r="D2224" s="83">
        <f t="shared" si="72"/>
        <v>-0.86128944750881631</v>
      </c>
      <c r="E2224" s="83">
        <v>1.9595035924232108E-3</v>
      </c>
      <c r="F2224" s="83">
        <v>2216</v>
      </c>
      <c r="G2224" s="83">
        <f t="shared" ca="1" si="73"/>
        <v>-5.1611998006285305E-3</v>
      </c>
    </row>
    <row r="2225" spans="2:7" x14ac:dyDescent="0.2">
      <c r="B2225" s="167">
        <v>45306</v>
      </c>
      <c r="C2225" s="28">
        <v>442.36</v>
      </c>
      <c r="D2225" s="83">
        <f t="shared" si="72"/>
        <v>2.7348868625464373</v>
      </c>
      <c r="E2225" s="83">
        <v>1.9479048697622053E-3</v>
      </c>
      <c r="F2225" s="83">
        <v>2217</v>
      </c>
      <c r="G2225" s="83">
        <f t="shared" ca="1" si="73"/>
        <v>1.8471126762430981E-4</v>
      </c>
    </row>
    <row r="2226" spans="2:7" x14ac:dyDescent="0.2">
      <c r="B2226" s="167">
        <v>40452</v>
      </c>
      <c r="C2226" s="28">
        <v>118.44</v>
      </c>
      <c r="D2226" s="83">
        <f t="shared" si="72"/>
        <v>-0.46646245326366054</v>
      </c>
      <c r="E2226" s="83">
        <v>1.9456898739531681E-3</v>
      </c>
      <c r="F2226" s="83">
        <v>2218</v>
      </c>
      <c r="G2226" s="83">
        <f t="shared" ca="1" si="73"/>
        <v>-2.1314765499200625E-2</v>
      </c>
    </row>
    <row r="2227" spans="2:7" x14ac:dyDescent="0.2">
      <c r="B2227" s="167">
        <v>41500</v>
      </c>
      <c r="C2227" s="28">
        <v>221.99</v>
      </c>
      <c r="D2227" s="83">
        <f t="shared" si="72"/>
        <v>6.2661560555289625E-2</v>
      </c>
      <c r="E2227" s="83">
        <v>1.9407835349341345E-3</v>
      </c>
      <c r="F2227" s="83">
        <v>2219</v>
      </c>
      <c r="G2227" s="83">
        <f t="shared" ca="1" si="73"/>
        <v>-3.066871785465182E-2</v>
      </c>
    </row>
    <row r="2228" spans="2:7" x14ac:dyDescent="0.2">
      <c r="B2228" s="167">
        <v>42208</v>
      </c>
      <c r="C2228" s="28">
        <v>208.9</v>
      </c>
      <c r="D2228" s="83">
        <f t="shared" si="72"/>
        <v>-2.0541728371471207E-3</v>
      </c>
      <c r="E2228" s="83">
        <v>1.9184652278177732E-3</v>
      </c>
      <c r="F2228" s="83">
        <v>2220</v>
      </c>
      <c r="G2228" s="83">
        <f t="shared" ca="1" si="73"/>
        <v>4.4521782763656356E-2</v>
      </c>
    </row>
    <row r="2229" spans="2:7" x14ac:dyDescent="0.2">
      <c r="B2229" s="167">
        <v>42382</v>
      </c>
      <c r="C2229" s="28">
        <v>209.33</v>
      </c>
      <c r="D2229" s="83">
        <f t="shared" si="72"/>
        <v>-0.27479646630867821</v>
      </c>
      <c r="E2229" s="83">
        <v>1.9145168238166165E-3</v>
      </c>
      <c r="F2229" s="83">
        <v>2221</v>
      </c>
      <c r="G2229" s="83">
        <f t="shared" ca="1" si="73"/>
        <v>9.5033348306768021E-3</v>
      </c>
    </row>
    <row r="2230" spans="2:7" x14ac:dyDescent="0.2">
      <c r="B2230" s="167">
        <v>43615</v>
      </c>
      <c r="C2230" s="28">
        <v>288.64999999999998</v>
      </c>
      <c r="D2230" s="83">
        <f t="shared" si="72"/>
        <v>-0.35478463017189354</v>
      </c>
      <c r="E2230" s="83">
        <v>1.9090593543906785E-3</v>
      </c>
      <c r="F2230" s="83">
        <v>2222</v>
      </c>
      <c r="G2230" s="83">
        <f t="shared" ca="1" si="73"/>
        <v>6.3848956472328257E-4</v>
      </c>
    </row>
    <row r="2231" spans="2:7" x14ac:dyDescent="0.2">
      <c r="B2231" s="167">
        <v>45121</v>
      </c>
      <c r="C2231" s="28">
        <v>447.37</v>
      </c>
      <c r="D2231" s="83">
        <f t="shared" si="72"/>
        <v>0.97226998192478942</v>
      </c>
      <c r="E2231" s="83">
        <v>1.9036101406432473E-3</v>
      </c>
      <c r="F2231" s="83">
        <v>2223</v>
      </c>
      <c r="G2231" s="83">
        <f t="shared" ca="1" si="73"/>
        <v>-1.3225461311938851E-2</v>
      </c>
    </row>
    <row r="2232" spans="2:7" x14ac:dyDescent="0.2">
      <c r="B2232" s="167">
        <v>41830</v>
      </c>
      <c r="C2232" s="28">
        <v>226.83</v>
      </c>
      <c r="D2232" s="83">
        <f t="shared" si="72"/>
        <v>-0.50161492320875356</v>
      </c>
      <c r="E2232" s="83">
        <v>1.8992932862191114E-3</v>
      </c>
      <c r="F2232" s="83">
        <v>2224</v>
      </c>
      <c r="G2232" s="83">
        <f t="shared" ca="1" si="73"/>
        <v>1.9716251726492159E-2</v>
      </c>
    </row>
    <row r="2233" spans="2:7" x14ac:dyDescent="0.2">
      <c r="B2233" s="167">
        <v>45602</v>
      </c>
      <c r="C2233" s="28">
        <v>455.13</v>
      </c>
      <c r="D2233" s="83">
        <f t="shared" si="72"/>
        <v>2.7068740837269916</v>
      </c>
      <c r="E2233" s="83">
        <v>1.8931472472318526E-3</v>
      </c>
      <c r="F2233" s="83">
        <v>2225</v>
      </c>
      <c r="G2233" s="83">
        <f t="shared" ca="1" si="73"/>
        <v>-2.3492738771377437E-2</v>
      </c>
    </row>
    <row r="2234" spans="2:7" x14ac:dyDescent="0.2">
      <c r="B2234" s="167">
        <v>40716</v>
      </c>
      <c r="C2234" s="28">
        <v>122.78</v>
      </c>
      <c r="D2234" s="83">
        <f t="shared" si="72"/>
        <v>2.281133083912346</v>
      </c>
      <c r="E2234" s="83">
        <v>1.8767849857201468E-3</v>
      </c>
      <c r="F2234" s="83">
        <v>2226</v>
      </c>
      <c r="G2234" s="83">
        <f t="shared" ca="1" si="73"/>
        <v>9.639972153670337E-3</v>
      </c>
    </row>
    <row r="2235" spans="2:7" x14ac:dyDescent="0.2">
      <c r="B2235" s="167">
        <v>38587</v>
      </c>
      <c r="C2235" s="28">
        <v>37.42</v>
      </c>
      <c r="D2235" s="83">
        <f t="shared" si="72"/>
        <v>-0.82227499406316784</v>
      </c>
      <c r="E2235" s="83">
        <v>1.87416331994646E-3</v>
      </c>
      <c r="F2235" s="83">
        <v>2227</v>
      </c>
      <c r="G2235" s="83">
        <f t="shared" ca="1" si="73"/>
        <v>1.0909118915763193E-2</v>
      </c>
    </row>
    <row r="2236" spans="2:7" x14ac:dyDescent="0.2">
      <c r="B2236" s="167">
        <v>41387</v>
      </c>
      <c r="C2236" s="28">
        <v>210.55</v>
      </c>
      <c r="D2236" s="83">
        <f t="shared" si="72"/>
        <v>-0.22591911764705877</v>
      </c>
      <c r="E2236" s="83">
        <v>1.8557289684050951E-3</v>
      </c>
      <c r="F2236" s="83">
        <v>2228</v>
      </c>
      <c r="G2236" s="83">
        <f t="shared" ca="1" si="73"/>
        <v>-3.8577869330132328E-3</v>
      </c>
    </row>
    <row r="2237" spans="2:7" x14ac:dyDescent="0.2">
      <c r="B2237" s="167">
        <v>42992</v>
      </c>
      <c r="C2237" s="28">
        <v>272</v>
      </c>
      <c r="D2237" s="83">
        <f t="shared" si="72"/>
        <v>-9.1091358684755708E-2</v>
      </c>
      <c r="E2237" s="83">
        <v>1.841620626151013E-3</v>
      </c>
      <c r="F2237" s="83">
        <v>2229</v>
      </c>
      <c r="G2237" s="83">
        <f t="shared" ca="1" si="73"/>
        <v>-2.7901949599525872E-3</v>
      </c>
    </row>
    <row r="2238" spans="2:7" x14ac:dyDescent="0.2">
      <c r="B2238" s="167">
        <v>44767</v>
      </c>
      <c r="C2238" s="28">
        <v>299.26</v>
      </c>
      <c r="D2238" s="83">
        <f t="shared" si="72"/>
        <v>0.21675137223012808</v>
      </c>
      <c r="E2238" s="83">
        <v>1.8412507113923584E-3</v>
      </c>
      <c r="F2238" s="83">
        <v>2230</v>
      </c>
      <c r="G2238" s="83">
        <f t="shared" ca="1" si="73"/>
        <v>4.2974666091402667E-3</v>
      </c>
    </row>
    <row r="2239" spans="2:7" x14ac:dyDescent="0.2">
      <c r="B2239" s="167">
        <v>43705</v>
      </c>
      <c r="C2239" s="28">
        <v>245.95</v>
      </c>
      <c r="D2239" s="83">
        <f t="shared" si="72"/>
        <v>-0.25124817340477357</v>
      </c>
      <c r="E2239" s="83">
        <v>1.8329938900203202E-3</v>
      </c>
      <c r="F2239" s="83">
        <v>2231</v>
      </c>
      <c r="G2239" s="83">
        <f t="shared" ca="1" si="73"/>
        <v>-1.1615954674334438E-2</v>
      </c>
    </row>
    <row r="2240" spans="2:7" x14ac:dyDescent="0.2">
      <c r="B2240" s="167">
        <v>44813</v>
      </c>
      <c r="C2240" s="28">
        <v>328.48</v>
      </c>
      <c r="D2240" s="83">
        <f t="shared" si="72"/>
        <v>0.19014492753623194</v>
      </c>
      <c r="E2240" s="83">
        <v>1.8299377821154774E-3</v>
      </c>
      <c r="F2240" s="83">
        <v>2232</v>
      </c>
      <c r="G2240" s="83">
        <f t="shared" ca="1" si="73"/>
        <v>-6.8190050130226276E-3</v>
      </c>
    </row>
    <row r="2241" spans="2:7" x14ac:dyDescent="0.2">
      <c r="B2241" s="167">
        <v>43214</v>
      </c>
      <c r="C2241" s="28">
        <v>276</v>
      </c>
      <c r="D2241" s="83">
        <f t="shared" si="72"/>
        <v>9.2852900415759207E-2</v>
      </c>
      <c r="E2241" s="83">
        <v>1.8148820326678765E-3</v>
      </c>
      <c r="F2241" s="83">
        <v>2233</v>
      </c>
      <c r="G2241" s="83">
        <f t="shared" ca="1" si="73"/>
        <v>1.4723572345743847E-2</v>
      </c>
    </row>
    <row r="2242" spans="2:7" x14ac:dyDescent="0.2">
      <c r="B2242" s="167">
        <v>42587</v>
      </c>
      <c r="C2242" s="28">
        <v>252.55</v>
      </c>
      <c r="D2242" s="83">
        <f t="shared" si="72"/>
        <v>-0.18741956241956242</v>
      </c>
      <c r="E2242" s="83">
        <v>1.7850059500199012E-3</v>
      </c>
      <c r="F2242" s="83">
        <v>2234</v>
      </c>
      <c r="G2242" s="83">
        <f t="shared" ca="1" si="73"/>
        <v>2.920856249750153E-2</v>
      </c>
    </row>
    <row r="2243" spans="2:7" x14ac:dyDescent="0.2">
      <c r="B2243" s="167">
        <v>43349</v>
      </c>
      <c r="C2243" s="28">
        <v>310.8</v>
      </c>
      <c r="D2243" s="83">
        <f t="shared" si="72"/>
        <v>0.48544663767146218</v>
      </c>
      <c r="E2243" s="83">
        <v>1.7727639000806169E-3</v>
      </c>
      <c r="F2243" s="83">
        <v>2235</v>
      </c>
      <c r="G2243" s="83">
        <f t="shared" ca="1" si="73"/>
        <v>1.6883052088971721E-2</v>
      </c>
    </row>
    <row r="2244" spans="2:7" x14ac:dyDescent="0.2">
      <c r="B2244" s="167">
        <v>42188</v>
      </c>
      <c r="C2244" s="28">
        <v>209.23</v>
      </c>
      <c r="D2244" s="83">
        <f t="shared" si="72"/>
        <v>-0.56483850169505634</v>
      </c>
      <c r="E2244" s="83">
        <v>1.7715215934117404E-3</v>
      </c>
      <c r="F2244" s="83">
        <v>2236</v>
      </c>
      <c r="G2244" s="83">
        <f t="shared" ca="1" si="73"/>
        <v>1.7834068073138646E-2</v>
      </c>
    </row>
    <row r="2245" spans="2:7" x14ac:dyDescent="0.2">
      <c r="B2245" s="167">
        <v>45554</v>
      </c>
      <c r="C2245" s="28">
        <v>480.81</v>
      </c>
      <c r="D2245" s="83">
        <f t="shared" si="72"/>
        <v>1.350919225503618</v>
      </c>
      <c r="E2245" s="83">
        <v>1.7709809150763037E-3</v>
      </c>
      <c r="F2245" s="83">
        <v>2237</v>
      </c>
      <c r="G2245" s="83">
        <f t="shared" ca="1" si="73"/>
        <v>2.3041095332653732E-3</v>
      </c>
    </row>
    <row r="2246" spans="2:7" x14ac:dyDescent="0.2">
      <c r="B2246" s="167">
        <v>41509</v>
      </c>
      <c r="C2246" s="28">
        <v>204.52</v>
      </c>
      <c r="D2246" s="83">
        <f t="shared" si="72"/>
        <v>-0.55065363067120721</v>
      </c>
      <c r="E2246" s="83">
        <v>1.7633228840126061E-3</v>
      </c>
      <c r="F2246" s="83">
        <v>2238</v>
      </c>
      <c r="G2246" s="83">
        <f t="shared" ca="1" si="73"/>
        <v>-7.8183803037077879E-3</v>
      </c>
    </row>
    <row r="2247" spans="2:7" x14ac:dyDescent="0.2">
      <c r="B2247" s="167">
        <v>45692</v>
      </c>
      <c r="C2247" s="28">
        <v>455.15</v>
      </c>
      <c r="D2247" s="83">
        <f t="shared" si="72"/>
        <v>7.8550583657587554</v>
      </c>
      <c r="E2247" s="83">
        <v>1.7607571255638923E-3</v>
      </c>
      <c r="F2247" s="83">
        <v>2239</v>
      </c>
      <c r="G2247" s="83">
        <f t="shared" ca="1" si="73"/>
        <v>-7.6511576963834401E-3</v>
      </c>
    </row>
    <row r="2248" spans="2:7" x14ac:dyDescent="0.2">
      <c r="B2248" s="167">
        <v>38749</v>
      </c>
      <c r="C2248" s="28">
        <v>51.4</v>
      </c>
      <c r="D2248" s="83">
        <f t="shared" si="72"/>
        <v>-0.87336470472295458</v>
      </c>
      <c r="E2248" s="83">
        <v>1.7540440459948607E-3</v>
      </c>
      <c r="F2248" s="83">
        <v>2240</v>
      </c>
      <c r="G2248" s="83">
        <f t="shared" ca="1" si="73"/>
        <v>-4.3418567137365471E-3</v>
      </c>
    </row>
    <row r="2249" spans="2:7" x14ac:dyDescent="0.2">
      <c r="B2249" s="167">
        <v>45477</v>
      </c>
      <c r="C2249" s="28">
        <v>405.89</v>
      </c>
      <c r="D2249" s="83">
        <f t="shared" ref="D2249:D2312" si="74">(C2249-C2250)/C2250</f>
        <v>0.41845186091210912</v>
      </c>
      <c r="E2249" s="83">
        <v>1.7523076163679834E-3</v>
      </c>
      <c r="F2249" s="83">
        <v>2241</v>
      </c>
      <c r="G2249" s="83">
        <f t="shared" ref="G2249:G2312" ca="1" si="75">_xlfn.NORM.INV(RAND(),$M$10,$M$11)</f>
        <v>-1.503198542358856E-3</v>
      </c>
    </row>
    <row r="2250" spans="2:7" x14ac:dyDescent="0.2">
      <c r="B2250" s="167">
        <v>43306</v>
      </c>
      <c r="C2250" s="28">
        <v>286.14999999999998</v>
      </c>
      <c r="D2250" s="83">
        <f t="shared" si="74"/>
        <v>2.3226892707849509</v>
      </c>
      <c r="E2250" s="83">
        <v>1.7503938386136883E-3</v>
      </c>
      <c r="F2250" s="83">
        <v>2242</v>
      </c>
      <c r="G2250" s="83">
        <f t="shared" ca="1" si="75"/>
        <v>2.2596519571792813E-2</v>
      </c>
    </row>
    <row r="2251" spans="2:7" x14ac:dyDescent="0.2">
      <c r="B2251" s="167">
        <v>40253</v>
      </c>
      <c r="C2251" s="28">
        <v>86.12</v>
      </c>
      <c r="D2251" s="83">
        <f t="shared" si="74"/>
        <v>-0.72306900765322524</v>
      </c>
      <c r="E2251" s="83">
        <v>1.7447946958241908E-3</v>
      </c>
      <c r="F2251" s="83">
        <v>2243</v>
      </c>
      <c r="G2251" s="83">
        <f t="shared" ca="1" si="75"/>
        <v>-1.5688339277655842E-2</v>
      </c>
    </row>
    <row r="2252" spans="2:7" x14ac:dyDescent="0.2">
      <c r="B2252" s="167">
        <v>44799</v>
      </c>
      <c r="C2252" s="28">
        <v>310.98</v>
      </c>
      <c r="D2252" s="83">
        <f t="shared" si="74"/>
        <v>0.63389901749592814</v>
      </c>
      <c r="E2252" s="83">
        <v>1.7394665635872325E-3</v>
      </c>
      <c r="F2252" s="83">
        <v>2244</v>
      </c>
      <c r="G2252" s="83">
        <f t="shared" ca="1" si="75"/>
        <v>1.9089154923786471E-2</v>
      </c>
    </row>
    <row r="2253" spans="2:7" x14ac:dyDescent="0.2">
      <c r="B2253" s="167">
        <v>41239</v>
      </c>
      <c r="C2253" s="28">
        <v>190.33</v>
      </c>
      <c r="D2253" s="83">
        <f t="shared" si="74"/>
        <v>2.2951869806094187</v>
      </c>
      <c r="E2253" s="83">
        <v>1.7368421052632236E-3</v>
      </c>
      <c r="F2253" s="83">
        <v>2245</v>
      </c>
      <c r="G2253" s="83">
        <f t="shared" ca="1" si="75"/>
        <v>2.2313978168836991E-2</v>
      </c>
    </row>
    <row r="2254" spans="2:7" x14ac:dyDescent="0.2">
      <c r="B2254" s="167">
        <v>39128</v>
      </c>
      <c r="C2254" s="28">
        <v>57.76</v>
      </c>
      <c r="D2254" s="83">
        <f t="shared" si="74"/>
        <v>-0.72976513521100406</v>
      </c>
      <c r="E2254" s="83">
        <v>1.7343045438779298E-3</v>
      </c>
      <c r="F2254" s="83">
        <v>2246</v>
      </c>
      <c r="G2254" s="83">
        <f t="shared" ca="1" si="75"/>
        <v>1.1744308973671519E-2</v>
      </c>
    </row>
    <row r="2255" spans="2:7" x14ac:dyDescent="0.2">
      <c r="B2255" s="167">
        <v>41640</v>
      </c>
      <c r="C2255" s="28">
        <v>213.74</v>
      </c>
      <c r="D2255" s="83">
        <f t="shared" si="74"/>
        <v>-7.5319056889465705E-2</v>
      </c>
      <c r="E2255" s="83">
        <v>1.7340769555232907E-3</v>
      </c>
      <c r="F2255" s="83">
        <v>2247</v>
      </c>
      <c r="G2255" s="83">
        <f t="shared" ca="1" si="75"/>
        <v>5.7987165118352536E-3</v>
      </c>
    </row>
    <row r="2256" spans="2:7" x14ac:dyDescent="0.2">
      <c r="B2256" s="167">
        <v>44456</v>
      </c>
      <c r="C2256" s="28">
        <v>231.15</v>
      </c>
      <c r="D2256" s="83">
        <f t="shared" si="74"/>
        <v>-0.39609677082244743</v>
      </c>
      <c r="E2256" s="83">
        <v>1.7334777898158427E-3</v>
      </c>
      <c r="F2256" s="83">
        <v>2248</v>
      </c>
      <c r="G2256" s="83">
        <f t="shared" ca="1" si="75"/>
        <v>2.3348382467897364E-2</v>
      </c>
    </row>
    <row r="2257" spans="2:7" x14ac:dyDescent="0.2">
      <c r="B2257" s="167">
        <v>45338</v>
      </c>
      <c r="C2257" s="28">
        <v>382.76</v>
      </c>
      <c r="D2257" s="83">
        <f t="shared" si="74"/>
        <v>0.99676561114299123</v>
      </c>
      <c r="E2257" s="83">
        <v>1.7272965192357188E-3</v>
      </c>
      <c r="F2257" s="83">
        <v>2249</v>
      </c>
      <c r="G2257" s="83">
        <f t="shared" ca="1" si="75"/>
        <v>-3.1693170889233818E-2</v>
      </c>
    </row>
    <row r="2258" spans="2:7" x14ac:dyDescent="0.2">
      <c r="B2258" s="167">
        <v>41219</v>
      </c>
      <c r="C2258" s="28">
        <v>191.69</v>
      </c>
      <c r="D2258" s="83">
        <f t="shared" si="74"/>
        <v>-0.56642992852619201</v>
      </c>
      <c r="E2258" s="83">
        <v>1.724498327759114E-3</v>
      </c>
      <c r="F2258" s="83">
        <v>2250</v>
      </c>
      <c r="G2258" s="83">
        <f t="shared" ca="1" si="75"/>
        <v>3.2131800634829663E-2</v>
      </c>
    </row>
    <row r="2259" spans="2:7" x14ac:dyDescent="0.2">
      <c r="B2259" s="167">
        <v>45615</v>
      </c>
      <c r="C2259" s="28">
        <v>442.12</v>
      </c>
      <c r="D2259" s="83">
        <f t="shared" si="74"/>
        <v>2.3013739545997618</v>
      </c>
      <c r="E2259" s="83">
        <v>1.7219503353271498E-3</v>
      </c>
      <c r="F2259" s="83">
        <v>2251</v>
      </c>
      <c r="G2259" s="83">
        <f t="shared" ca="1" si="75"/>
        <v>1.9889096820757901E-2</v>
      </c>
    </row>
    <row r="2260" spans="2:7" x14ac:dyDescent="0.2">
      <c r="B2260" s="167">
        <v>40917</v>
      </c>
      <c r="C2260" s="28">
        <v>133.91999999999999</v>
      </c>
      <c r="D2260" s="83">
        <f t="shared" si="74"/>
        <v>-0.69379215731107824</v>
      </c>
      <c r="E2260" s="83">
        <v>1.7203979355224009E-3</v>
      </c>
      <c r="F2260" s="83">
        <v>2252</v>
      </c>
      <c r="G2260" s="83">
        <f t="shared" ca="1" si="75"/>
        <v>-1.6298303800801585E-2</v>
      </c>
    </row>
    <row r="2261" spans="2:7" x14ac:dyDescent="0.2">
      <c r="B2261" s="167">
        <v>45672</v>
      </c>
      <c r="C2261" s="28">
        <v>437.35</v>
      </c>
      <c r="D2261" s="83">
        <f t="shared" si="74"/>
        <v>1.8714463922263804</v>
      </c>
      <c r="E2261" s="83">
        <v>1.7178195144296837E-3</v>
      </c>
      <c r="F2261" s="83">
        <v>2253</v>
      </c>
      <c r="G2261" s="83">
        <f t="shared" ca="1" si="75"/>
        <v>-2.8251177877547916E-4</v>
      </c>
    </row>
    <row r="2262" spans="2:7" x14ac:dyDescent="0.2">
      <c r="B2262" s="167">
        <v>41010</v>
      </c>
      <c r="C2262" s="28">
        <v>152.31</v>
      </c>
      <c r="D2262" s="83">
        <f t="shared" si="74"/>
        <v>-0.23700030057108507</v>
      </c>
      <c r="E2262" s="83">
        <v>1.7099638276882004E-3</v>
      </c>
      <c r="F2262" s="83">
        <v>2254</v>
      </c>
      <c r="G2262" s="83">
        <f t="shared" ca="1" si="75"/>
        <v>2.1645034218050991E-2</v>
      </c>
    </row>
    <row r="2263" spans="2:7" x14ac:dyDescent="0.2">
      <c r="B2263" s="167">
        <v>42165</v>
      </c>
      <c r="C2263" s="28">
        <v>199.62</v>
      </c>
      <c r="D2263" s="83">
        <f t="shared" si="74"/>
        <v>-0.48499780707412088</v>
      </c>
      <c r="E2263" s="83">
        <v>1.7061421116017835E-3</v>
      </c>
      <c r="F2263" s="83">
        <v>2255</v>
      </c>
      <c r="G2263" s="83">
        <f t="shared" ca="1" si="75"/>
        <v>-1.2749729884040285E-2</v>
      </c>
    </row>
    <row r="2264" spans="2:7" x14ac:dyDescent="0.2">
      <c r="B2264" s="167">
        <v>45042</v>
      </c>
      <c r="C2264" s="28">
        <v>387.61</v>
      </c>
      <c r="D2264" s="83">
        <f t="shared" si="74"/>
        <v>3.3728564981949463</v>
      </c>
      <c r="E2264" s="83">
        <v>1.7056467243830599E-3</v>
      </c>
      <c r="F2264" s="83">
        <v>2256</v>
      </c>
      <c r="G2264" s="83">
        <f t="shared" ca="1" si="75"/>
        <v>2.5885207641661773E-2</v>
      </c>
    </row>
    <row r="2265" spans="2:7" x14ac:dyDescent="0.2">
      <c r="B2265" s="167">
        <v>40294</v>
      </c>
      <c r="C2265" s="28">
        <v>88.64</v>
      </c>
      <c r="D2265" s="83">
        <f t="shared" si="74"/>
        <v>-0.75452103353734523</v>
      </c>
      <c r="E2265" s="83">
        <v>1.6951067917279432E-3</v>
      </c>
      <c r="F2265" s="83">
        <v>2257</v>
      </c>
      <c r="G2265" s="83">
        <f t="shared" ca="1" si="75"/>
        <v>-1.1563649691742433E-2</v>
      </c>
    </row>
    <row r="2266" spans="2:7" x14ac:dyDescent="0.2">
      <c r="B2266" s="167">
        <v>44977</v>
      </c>
      <c r="C2266" s="28">
        <v>361.09</v>
      </c>
      <c r="D2266" s="83">
        <f t="shared" si="74"/>
        <v>0.55555076896566569</v>
      </c>
      <c r="E2266" s="83">
        <v>1.6921881935196316E-3</v>
      </c>
      <c r="F2266" s="83">
        <v>2258</v>
      </c>
      <c r="G2266" s="83">
        <f t="shared" ca="1" si="75"/>
        <v>1.7225595412690409E-2</v>
      </c>
    </row>
    <row r="2267" spans="2:7" x14ac:dyDescent="0.2">
      <c r="B2267" s="167">
        <v>41940</v>
      </c>
      <c r="C2267" s="28">
        <v>232.13</v>
      </c>
      <c r="D2267" s="83">
        <f t="shared" si="74"/>
        <v>-2.5073498530029395E-2</v>
      </c>
      <c r="E2267" s="83">
        <v>1.6829205143694933E-3</v>
      </c>
      <c r="F2267" s="83">
        <v>2259</v>
      </c>
      <c r="G2267" s="83">
        <f t="shared" ca="1" si="75"/>
        <v>-4.1194677471776825E-2</v>
      </c>
    </row>
    <row r="2268" spans="2:7" x14ac:dyDescent="0.2">
      <c r="B2268" s="167">
        <v>43831</v>
      </c>
      <c r="C2268" s="28">
        <v>238.1</v>
      </c>
      <c r="D2268" s="83">
        <f t="shared" si="74"/>
        <v>0.14005266937993777</v>
      </c>
      <c r="E2268" s="83">
        <v>1.6827934371056192E-3</v>
      </c>
      <c r="F2268" s="83">
        <v>2260</v>
      </c>
      <c r="G2268" s="83">
        <f t="shared" ca="1" si="75"/>
        <v>-1.7736542472481045E-2</v>
      </c>
    </row>
    <row r="2269" spans="2:7" x14ac:dyDescent="0.2">
      <c r="B2269" s="167">
        <v>44251</v>
      </c>
      <c r="C2269" s="28">
        <v>208.85</v>
      </c>
      <c r="D2269" s="83">
        <f t="shared" si="74"/>
        <v>5.8754942715198238E-2</v>
      </c>
      <c r="E2269" s="83">
        <v>1.6786570743405004E-3</v>
      </c>
      <c r="F2269" s="83">
        <v>2261</v>
      </c>
      <c r="G2269" s="83">
        <f t="shared" ca="1" si="75"/>
        <v>1.1652861704736329E-2</v>
      </c>
    </row>
    <row r="2270" spans="2:7" x14ac:dyDescent="0.2">
      <c r="B2270" s="167">
        <v>42167</v>
      </c>
      <c r="C2270" s="28">
        <v>197.26</v>
      </c>
      <c r="D2270" s="83">
        <f t="shared" si="74"/>
        <v>-3.1835868411743671E-3</v>
      </c>
      <c r="E2270" s="83">
        <v>1.6757223378864778E-3</v>
      </c>
      <c r="F2270" s="83">
        <v>2262</v>
      </c>
      <c r="G2270" s="83">
        <f t="shared" ca="1" si="75"/>
        <v>-1.7606567395615285E-3</v>
      </c>
    </row>
    <row r="2271" spans="2:7" x14ac:dyDescent="0.2">
      <c r="B2271" s="167">
        <v>41243</v>
      </c>
      <c r="C2271" s="28">
        <v>197.89</v>
      </c>
      <c r="D2271" s="83">
        <f t="shared" si="74"/>
        <v>-6.9190968955785553E-2</v>
      </c>
      <c r="E2271" s="83">
        <v>1.6703786191535942E-3</v>
      </c>
      <c r="F2271" s="83">
        <v>2263</v>
      </c>
      <c r="G2271" s="83">
        <f t="shared" ca="1" si="75"/>
        <v>1.301544123000104E-2</v>
      </c>
    </row>
    <row r="2272" spans="2:7" x14ac:dyDescent="0.2">
      <c r="B2272" s="167">
        <v>44333</v>
      </c>
      <c r="C2272" s="28">
        <v>212.6</v>
      </c>
      <c r="D2272" s="83">
        <f t="shared" si="74"/>
        <v>-0.18814679039217935</v>
      </c>
      <c r="E2272" s="83">
        <v>1.6489988221436718E-3</v>
      </c>
      <c r="F2272" s="83">
        <v>2264</v>
      </c>
      <c r="G2272" s="83">
        <f t="shared" ca="1" si="75"/>
        <v>-2.4034738114809107E-2</v>
      </c>
    </row>
    <row r="2273" spans="2:7" x14ac:dyDescent="0.2">
      <c r="B2273" s="167">
        <v>41983</v>
      </c>
      <c r="C2273" s="28">
        <v>261.87</v>
      </c>
      <c r="D2273" s="83">
        <f t="shared" si="74"/>
        <v>7.5915354330708666</v>
      </c>
      <c r="E2273" s="83">
        <v>1.6447368421052893E-3</v>
      </c>
      <c r="F2273" s="83">
        <v>2265</v>
      </c>
      <c r="G2273" s="83">
        <f t="shared" ca="1" si="75"/>
        <v>-4.059712588912736E-2</v>
      </c>
    </row>
    <row r="2274" spans="2:7" x14ac:dyDescent="0.2">
      <c r="B2274" s="167">
        <v>38460</v>
      </c>
      <c r="C2274" s="28">
        <v>30.48</v>
      </c>
      <c r="D2274" s="83">
        <f t="shared" si="74"/>
        <v>-0.88946509519492301</v>
      </c>
      <c r="E2274" s="83">
        <v>1.6431153466973615E-3</v>
      </c>
      <c r="F2274" s="83">
        <v>2266</v>
      </c>
      <c r="G2274" s="83">
        <f t="shared" ca="1" si="75"/>
        <v>1.2795035944922739E-2</v>
      </c>
    </row>
    <row r="2275" spans="2:7" x14ac:dyDescent="0.2">
      <c r="B2275" s="167">
        <v>43448</v>
      </c>
      <c r="C2275" s="28">
        <v>275.75</v>
      </c>
      <c r="D2275" s="83">
        <f t="shared" si="74"/>
        <v>6.4446544276457889</v>
      </c>
      <c r="E2275" s="83">
        <v>1.6345804576824868E-3</v>
      </c>
      <c r="F2275" s="83">
        <v>2267</v>
      </c>
      <c r="G2275" s="83">
        <f t="shared" ca="1" si="75"/>
        <v>-2.7972080234197182E-2</v>
      </c>
    </row>
    <row r="2276" spans="2:7" x14ac:dyDescent="0.2">
      <c r="B2276" s="167">
        <v>38539</v>
      </c>
      <c r="C2276" s="28">
        <v>37.04</v>
      </c>
      <c r="D2276" s="83">
        <f t="shared" si="74"/>
        <v>-0.4027732989358272</v>
      </c>
      <c r="E2276" s="83">
        <v>1.622498647917855E-3</v>
      </c>
      <c r="F2276" s="83">
        <v>2268</v>
      </c>
      <c r="G2276" s="83">
        <f t="shared" ca="1" si="75"/>
        <v>-1.1242522584918429E-2</v>
      </c>
    </row>
    <row r="2277" spans="2:7" x14ac:dyDescent="0.2">
      <c r="B2277" s="167">
        <v>39661</v>
      </c>
      <c r="C2277" s="28">
        <v>62.02</v>
      </c>
      <c r="D2277" s="83">
        <f t="shared" si="74"/>
        <v>-0.81499269158488208</v>
      </c>
      <c r="E2277" s="83">
        <v>1.6149870801033821E-3</v>
      </c>
      <c r="F2277" s="83">
        <v>2269</v>
      </c>
      <c r="G2277" s="83">
        <f t="shared" ca="1" si="75"/>
        <v>-2.2469943452258053E-2</v>
      </c>
    </row>
    <row r="2278" spans="2:7" x14ac:dyDescent="0.2">
      <c r="B2278" s="167">
        <v>44901</v>
      </c>
      <c r="C2278" s="28">
        <v>335.23</v>
      </c>
      <c r="D2278" s="83">
        <f t="shared" si="74"/>
        <v>0.19789172771127386</v>
      </c>
      <c r="E2278" s="83">
        <v>1.613433326361769E-3</v>
      </c>
      <c r="F2278" s="83">
        <v>2270</v>
      </c>
      <c r="G2278" s="83">
        <f t="shared" ca="1" si="75"/>
        <v>-2.1106418304564969E-2</v>
      </c>
    </row>
    <row r="2279" spans="2:7" x14ac:dyDescent="0.2">
      <c r="B2279" s="167">
        <v>43627</v>
      </c>
      <c r="C2279" s="28">
        <v>279.85000000000002</v>
      </c>
      <c r="D2279" s="83">
        <f t="shared" si="74"/>
        <v>0.25000000000000011</v>
      </c>
      <c r="E2279" s="83">
        <v>1.6105941302793326E-3</v>
      </c>
      <c r="F2279" s="83">
        <v>2271</v>
      </c>
      <c r="G2279" s="83">
        <f t="shared" ca="1" si="75"/>
        <v>-3.8258153402373598E-3</v>
      </c>
    </row>
    <row r="2280" spans="2:7" x14ac:dyDescent="0.2">
      <c r="B2280" s="167">
        <v>42314</v>
      </c>
      <c r="C2280" s="28">
        <v>223.88</v>
      </c>
      <c r="D2280" s="83">
        <f t="shared" si="74"/>
        <v>-0.44816366773477939</v>
      </c>
      <c r="E2280" s="83">
        <v>1.6105941302791034E-3</v>
      </c>
      <c r="F2280" s="83">
        <v>2272</v>
      </c>
      <c r="G2280" s="83">
        <f t="shared" ca="1" si="75"/>
        <v>2.3545535193318388E-2</v>
      </c>
    </row>
    <row r="2281" spans="2:7" x14ac:dyDescent="0.2">
      <c r="B2281" s="167">
        <v>45722</v>
      </c>
      <c r="C2281" s="28">
        <v>405.7</v>
      </c>
      <c r="D2281" s="83">
        <f t="shared" si="74"/>
        <v>0.43509020162716661</v>
      </c>
      <c r="E2281" s="83">
        <v>1.6047401555362973E-3</v>
      </c>
      <c r="F2281" s="83">
        <v>2273</v>
      </c>
      <c r="G2281" s="83">
        <f t="shared" ca="1" si="75"/>
        <v>-7.9509056186903519E-3</v>
      </c>
    </row>
    <row r="2282" spans="2:7" x14ac:dyDescent="0.2">
      <c r="B2282" s="167">
        <v>43228</v>
      </c>
      <c r="C2282" s="28">
        <v>282.7</v>
      </c>
      <c r="D2282" s="83">
        <f t="shared" si="74"/>
        <v>0.49466004018187593</v>
      </c>
      <c r="E2282" s="83">
        <v>1.594331266607577E-3</v>
      </c>
      <c r="F2282" s="83">
        <v>2274</v>
      </c>
      <c r="G2282" s="83">
        <f t="shared" ca="1" si="75"/>
        <v>2.0636120787033918E-2</v>
      </c>
    </row>
    <row r="2283" spans="2:7" x14ac:dyDescent="0.2">
      <c r="B2283" s="167">
        <v>41375</v>
      </c>
      <c r="C2283" s="28">
        <v>189.14</v>
      </c>
      <c r="D2283" s="83">
        <f t="shared" si="74"/>
        <v>2.3066433566433564</v>
      </c>
      <c r="E2283" s="83">
        <v>1.588646473204739E-3</v>
      </c>
      <c r="F2283" s="83">
        <v>2275</v>
      </c>
      <c r="G2283" s="83">
        <f t="shared" ca="1" si="75"/>
        <v>-1.3242755164824102E-2</v>
      </c>
    </row>
    <row r="2284" spans="2:7" x14ac:dyDescent="0.2">
      <c r="B2284" s="167">
        <v>39763</v>
      </c>
      <c r="C2284" s="28">
        <v>57.2</v>
      </c>
      <c r="D2284" s="83">
        <f t="shared" si="74"/>
        <v>-0.55559008624038542</v>
      </c>
      <c r="E2284" s="83">
        <v>1.5759061460340292E-3</v>
      </c>
      <c r="F2284" s="83">
        <v>2276</v>
      </c>
      <c r="G2284" s="83">
        <f t="shared" ca="1" si="75"/>
        <v>-5.8018722514114435E-4</v>
      </c>
    </row>
    <row r="2285" spans="2:7" x14ac:dyDescent="0.2">
      <c r="B2285" s="167">
        <v>40709</v>
      </c>
      <c r="C2285" s="28">
        <v>128.71</v>
      </c>
      <c r="D2285" s="83">
        <f t="shared" si="74"/>
        <v>-0.50352941176470589</v>
      </c>
      <c r="E2285" s="83">
        <v>1.5562991206911295E-3</v>
      </c>
      <c r="F2285" s="83">
        <v>2277</v>
      </c>
      <c r="G2285" s="83">
        <f t="shared" ca="1" si="75"/>
        <v>-1.124155114713782E-2</v>
      </c>
    </row>
    <row r="2286" spans="2:7" x14ac:dyDescent="0.2">
      <c r="B2286" s="167">
        <v>43168</v>
      </c>
      <c r="C2286" s="28">
        <v>259.25</v>
      </c>
      <c r="D2286" s="83">
        <f t="shared" si="74"/>
        <v>5.6372247823860722</v>
      </c>
      <c r="E2286" s="83">
        <v>1.5452965037665723E-3</v>
      </c>
      <c r="F2286" s="83">
        <v>2278</v>
      </c>
      <c r="G2286" s="83">
        <f t="shared" ca="1" si="75"/>
        <v>-3.7920558809894792E-3</v>
      </c>
    </row>
    <row r="2287" spans="2:7" x14ac:dyDescent="0.2">
      <c r="B2287" s="167">
        <v>38548</v>
      </c>
      <c r="C2287" s="28">
        <v>39.06</v>
      </c>
      <c r="D2287" s="83">
        <f t="shared" si="74"/>
        <v>-0.64804469273743015</v>
      </c>
      <c r="E2287" s="83">
        <v>1.5384615384615968E-3</v>
      </c>
      <c r="F2287" s="83">
        <v>2279</v>
      </c>
      <c r="G2287" s="83">
        <f t="shared" ca="1" si="75"/>
        <v>-5.2775335147230637E-3</v>
      </c>
    </row>
    <row r="2288" spans="2:7" x14ac:dyDescent="0.2">
      <c r="B2288" s="167">
        <v>40534</v>
      </c>
      <c r="C2288" s="28">
        <v>110.98</v>
      </c>
      <c r="D2288" s="83">
        <f t="shared" si="74"/>
        <v>-0.57503350564809486</v>
      </c>
      <c r="E2288" s="83">
        <v>1.5341575670066033E-3</v>
      </c>
      <c r="F2288" s="83">
        <v>2280</v>
      </c>
      <c r="G2288" s="83">
        <f t="shared" ca="1" si="75"/>
        <v>7.0803879431716255E-3</v>
      </c>
    </row>
    <row r="2289" spans="2:7" x14ac:dyDescent="0.2">
      <c r="B2289" s="167">
        <v>43103</v>
      </c>
      <c r="C2289" s="28">
        <v>261.14999999999998</v>
      </c>
      <c r="D2289" s="83">
        <f t="shared" si="74"/>
        <v>0.21166426947524694</v>
      </c>
      <c r="E2289" s="83">
        <v>1.5340364333652052E-3</v>
      </c>
      <c r="F2289" s="83">
        <v>2281</v>
      </c>
      <c r="G2289" s="83">
        <f t="shared" ca="1" si="75"/>
        <v>5.0322026848021824E-3</v>
      </c>
    </row>
    <row r="2290" spans="2:7" x14ac:dyDescent="0.2">
      <c r="B2290" s="167">
        <v>41670</v>
      </c>
      <c r="C2290" s="28">
        <v>215.53</v>
      </c>
      <c r="D2290" s="83">
        <f t="shared" si="74"/>
        <v>-0.17595106098260374</v>
      </c>
      <c r="E2290" s="83">
        <v>1.5334572490706901E-3</v>
      </c>
      <c r="F2290" s="83">
        <v>2282</v>
      </c>
      <c r="G2290" s="83">
        <f t="shared" ca="1" si="75"/>
        <v>8.8791856157268111E-3</v>
      </c>
    </row>
    <row r="2291" spans="2:7" x14ac:dyDescent="0.2">
      <c r="B2291" s="167">
        <v>43104</v>
      </c>
      <c r="C2291" s="28">
        <v>261.55</v>
      </c>
      <c r="D2291" s="83">
        <f t="shared" si="74"/>
        <v>0.37347056661240352</v>
      </c>
      <c r="E2291" s="83">
        <v>1.5316867700556544E-3</v>
      </c>
      <c r="F2291" s="83">
        <v>2283</v>
      </c>
      <c r="G2291" s="83">
        <f t="shared" ca="1" si="75"/>
        <v>4.7781213546207258E-3</v>
      </c>
    </row>
    <row r="2292" spans="2:7" x14ac:dyDescent="0.2">
      <c r="B2292" s="167">
        <v>41275</v>
      </c>
      <c r="C2292" s="28">
        <v>190.43</v>
      </c>
      <c r="D2292" s="83">
        <f t="shared" si="74"/>
        <v>-0.52518326434947393</v>
      </c>
      <c r="E2292" s="83">
        <v>1.5251919638162431E-3</v>
      </c>
      <c r="F2292" s="83">
        <v>2284</v>
      </c>
      <c r="G2292" s="83">
        <f t="shared" ca="1" si="75"/>
        <v>-2.7259120044664485E-2</v>
      </c>
    </row>
    <row r="2293" spans="2:7" x14ac:dyDescent="0.2">
      <c r="B2293" s="167">
        <v>45469</v>
      </c>
      <c r="C2293" s="28">
        <v>401.06</v>
      </c>
      <c r="D2293" s="83">
        <f t="shared" si="74"/>
        <v>1.0236137040213937</v>
      </c>
      <c r="E2293" s="83">
        <v>1.5232863029092613E-3</v>
      </c>
      <c r="F2293" s="83">
        <v>2285</v>
      </c>
      <c r="G2293" s="83">
        <f t="shared" ca="1" si="75"/>
        <v>-5.6469366994165056E-2</v>
      </c>
    </row>
    <row r="2294" spans="2:7" x14ac:dyDescent="0.2">
      <c r="B2294" s="167">
        <v>42171</v>
      </c>
      <c r="C2294" s="28">
        <v>198.19</v>
      </c>
      <c r="D2294" s="83">
        <f t="shared" si="74"/>
        <v>-0.25295891443648705</v>
      </c>
      <c r="E2294" s="83">
        <v>1.5159937338926242E-3</v>
      </c>
      <c r="F2294" s="83">
        <v>2286</v>
      </c>
      <c r="G2294" s="83">
        <f t="shared" ca="1" si="75"/>
        <v>2.7516495593490563E-3</v>
      </c>
    </row>
    <row r="2295" spans="2:7" x14ac:dyDescent="0.2">
      <c r="B2295" s="167">
        <v>43046</v>
      </c>
      <c r="C2295" s="28">
        <v>265.3</v>
      </c>
      <c r="D2295" s="83">
        <f t="shared" si="74"/>
        <v>0.32530722349885105</v>
      </c>
      <c r="E2295" s="83">
        <v>1.5100037750095665E-3</v>
      </c>
      <c r="F2295" s="83">
        <v>2287</v>
      </c>
      <c r="G2295" s="83">
        <f t="shared" ca="1" si="75"/>
        <v>-3.679198027156215E-2</v>
      </c>
    </row>
    <row r="2296" spans="2:7" x14ac:dyDescent="0.2">
      <c r="B2296" s="167">
        <v>41253</v>
      </c>
      <c r="C2296" s="28">
        <v>200.18</v>
      </c>
      <c r="D2296" s="83">
        <f t="shared" si="74"/>
        <v>-0.19405749255173521</v>
      </c>
      <c r="E2296" s="83">
        <v>1.5009005403242514E-3</v>
      </c>
      <c r="F2296" s="83">
        <v>2288</v>
      </c>
      <c r="G2296" s="83">
        <f t="shared" ca="1" si="75"/>
        <v>-2.7569504598619492E-2</v>
      </c>
    </row>
    <row r="2297" spans="2:7" x14ac:dyDescent="0.2">
      <c r="B2297" s="167">
        <v>41996</v>
      </c>
      <c r="C2297" s="28">
        <v>248.38</v>
      </c>
      <c r="D2297" s="83">
        <f t="shared" si="74"/>
        <v>-0.40376398290844495</v>
      </c>
      <c r="E2297" s="83">
        <v>1.4918753276077761E-3</v>
      </c>
      <c r="F2297" s="83">
        <v>2289</v>
      </c>
      <c r="G2297" s="83">
        <f t="shared" ca="1" si="75"/>
        <v>6.6689710740889677E-3</v>
      </c>
    </row>
    <row r="2298" spans="2:7" x14ac:dyDescent="0.2">
      <c r="B2298" s="167">
        <v>45253</v>
      </c>
      <c r="C2298" s="28">
        <v>416.58</v>
      </c>
      <c r="D2298" s="83">
        <f t="shared" si="74"/>
        <v>2.6395247247946885</v>
      </c>
      <c r="E2298" s="83">
        <v>1.4905279353784127E-3</v>
      </c>
      <c r="F2298" s="83">
        <v>2290</v>
      </c>
      <c r="G2298" s="83">
        <f t="shared" ca="1" si="75"/>
        <v>-5.0746944472590183E-3</v>
      </c>
    </row>
    <row r="2299" spans="2:7" x14ac:dyDescent="0.2">
      <c r="B2299" s="167">
        <v>40609</v>
      </c>
      <c r="C2299" s="28">
        <v>114.46</v>
      </c>
      <c r="D2299" s="83">
        <f t="shared" si="74"/>
        <v>-0.72604772504248349</v>
      </c>
      <c r="E2299" s="83">
        <v>1.487444220841609E-3</v>
      </c>
      <c r="F2299" s="83">
        <v>2291</v>
      </c>
      <c r="G2299" s="83">
        <f t="shared" ca="1" si="75"/>
        <v>9.4486985916680914E-3</v>
      </c>
    </row>
    <row r="2300" spans="2:7" x14ac:dyDescent="0.2">
      <c r="B2300" s="167">
        <v>45156</v>
      </c>
      <c r="C2300" s="28">
        <v>417.81</v>
      </c>
      <c r="D2300" s="83">
        <f t="shared" si="74"/>
        <v>0.54859154929577458</v>
      </c>
      <c r="E2300" s="83">
        <v>1.4861334164289761E-3</v>
      </c>
      <c r="F2300" s="83">
        <v>2292</v>
      </c>
      <c r="G2300" s="83">
        <f t="shared" ca="1" si="75"/>
        <v>1.5663763702061059E-2</v>
      </c>
    </row>
    <row r="2301" spans="2:7" x14ac:dyDescent="0.2">
      <c r="B2301" s="167">
        <v>43111</v>
      </c>
      <c r="C2301" s="28">
        <v>269.8</v>
      </c>
      <c r="D2301" s="83">
        <f t="shared" si="74"/>
        <v>0.32906403940886703</v>
      </c>
      <c r="E2301" s="83">
        <v>1.4847809948033933E-3</v>
      </c>
      <c r="F2301" s="83">
        <v>2293</v>
      </c>
      <c r="G2301" s="83">
        <f t="shared" ca="1" si="75"/>
        <v>4.9237908824004842E-3</v>
      </c>
    </row>
    <row r="2302" spans="2:7" x14ac:dyDescent="0.2">
      <c r="B2302" s="167">
        <v>44378</v>
      </c>
      <c r="C2302" s="28">
        <v>203</v>
      </c>
      <c r="D2302" s="83">
        <f t="shared" si="74"/>
        <v>-4.560388368557872E-3</v>
      </c>
      <c r="E2302" s="83">
        <v>1.480019733596504E-3</v>
      </c>
      <c r="F2302" s="83">
        <v>2294</v>
      </c>
      <c r="G2302" s="83">
        <f t="shared" ca="1" si="75"/>
        <v>1.7033549454563261E-2</v>
      </c>
    </row>
    <row r="2303" spans="2:7" x14ac:dyDescent="0.2">
      <c r="B2303" s="167">
        <v>41367</v>
      </c>
      <c r="C2303" s="28">
        <v>203.93</v>
      </c>
      <c r="D2303" s="83">
        <f t="shared" si="74"/>
        <v>-0.14351112977740441</v>
      </c>
      <c r="E2303" s="83">
        <v>1.473260325099501E-3</v>
      </c>
      <c r="F2303" s="83">
        <v>2295</v>
      </c>
      <c r="G2303" s="83">
        <f t="shared" ca="1" si="75"/>
        <v>-3.6365516133036978E-2</v>
      </c>
    </row>
    <row r="2304" spans="2:7" x14ac:dyDescent="0.2">
      <c r="B2304" s="167">
        <v>44468</v>
      </c>
      <c r="C2304" s="28">
        <v>238.1</v>
      </c>
      <c r="D2304" s="83">
        <f t="shared" si="74"/>
        <v>-0.4292768283036506</v>
      </c>
      <c r="E2304" s="83">
        <v>1.4721345951629625E-3</v>
      </c>
      <c r="F2304" s="83">
        <v>2296</v>
      </c>
      <c r="G2304" s="83">
        <f t="shared" ca="1" si="75"/>
        <v>-1.6737221543176632E-2</v>
      </c>
    </row>
    <row r="2305" spans="2:7" x14ac:dyDescent="0.2">
      <c r="B2305" s="167">
        <v>45420</v>
      </c>
      <c r="C2305" s="28">
        <v>417.19</v>
      </c>
      <c r="D2305" s="83">
        <f t="shared" si="74"/>
        <v>-0.14260758765259565</v>
      </c>
      <c r="E2305" s="83">
        <v>1.464304575351706E-3</v>
      </c>
      <c r="F2305" s="83">
        <v>2297</v>
      </c>
      <c r="G2305" s="83">
        <f t="shared" ca="1" si="75"/>
        <v>-1.5347177484034739E-2</v>
      </c>
    </row>
    <row r="2306" spans="2:7" x14ac:dyDescent="0.2">
      <c r="B2306" s="167">
        <v>45546</v>
      </c>
      <c r="C2306" s="28">
        <v>486.58</v>
      </c>
      <c r="D2306" s="83">
        <f t="shared" si="74"/>
        <v>2.5387636363636363</v>
      </c>
      <c r="E2306" s="83">
        <v>1.4612962315022117E-3</v>
      </c>
      <c r="F2306" s="83">
        <v>2298</v>
      </c>
      <c r="G2306" s="83">
        <f t="shared" ca="1" si="75"/>
        <v>-1.4883901186877036E-2</v>
      </c>
    </row>
    <row r="2307" spans="2:7" x14ac:dyDescent="0.2">
      <c r="B2307" s="167">
        <v>40746</v>
      </c>
      <c r="C2307" s="28">
        <v>137.5</v>
      </c>
      <c r="D2307" s="83">
        <f t="shared" si="74"/>
        <v>0.5366562360303978</v>
      </c>
      <c r="E2307" s="83">
        <v>1.4566642388928522E-3</v>
      </c>
      <c r="F2307" s="83">
        <v>2299</v>
      </c>
      <c r="G2307" s="83">
        <f t="shared" ca="1" si="75"/>
        <v>-1.2748270449636084E-2</v>
      </c>
    </row>
    <row r="2308" spans="2:7" x14ac:dyDescent="0.2">
      <c r="B2308" s="167">
        <v>40296</v>
      </c>
      <c r="C2308" s="28">
        <v>89.48</v>
      </c>
      <c r="D2308" s="83">
        <f t="shared" si="74"/>
        <v>-0.79124673385591637</v>
      </c>
      <c r="E2308" s="83">
        <v>1.4549524342474501E-3</v>
      </c>
      <c r="F2308" s="83">
        <v>2300</v>
      </c>
      <c r="G2308" s="83">
        <f t="shared" ca="1" si="75"/>
        <v>-4.8884326236329299E-3</v>
      </c>
    </row>
    <row r="2309" spans="2:7" x14ac:dyDescent="0.2">
      <c r="B2309" s="167">
        <v>45272</v>
      </c>
      <c r="C2309" s="28">
        <v>428.64</v>
      </c>
      <c r="D2309" s="83">
        <f t="shared" si="74"/>
        <v>1.0494382022471909</v>
      </c>
      <c r="E2309" s="83">
        <v>1.4485304425026974E-3</v>
      </c>
      <c r="F2309" s="83">
        <v>2301</v>
      </c>
      <c r="G2309" s="83">
        <f t="shared" ca="1" si="75"/>
        <v>3.4662029812497316E-2</v>
      </c>
    </row>
    <row r="2310" spans="2:7" x14ac:dyDescent="0.2">
      <c r="B2310" s="167">
        <v>44252</v>
      </c>
      <c r="C2310" s="28">
        <v>209.15</v>
      </c>
      <c r="D2310" s="83">
        <f t="shared" si="74"/>
        <v>-0.51632671939318253</v>
      </c>
      <c r="E2310" s="83">
        <v>1.4364376346660828E-3</v>
      </c>
      <c r="F2310" s="83">
        <v>2302</v>
      </c>
      <c r="G2310" s="83">
        <f t="shared" ca="1" si="75"/>
        <v>4.0534421857900495E-2</v>
      </c>
    </row>
    <row r="2311" spans="2:7" x14ac:dyDescent="0.2">
      <c r="B2311" s="167">
        <v>45287</v>
      </c>
      <c r="C2311" s="28">
        <v>432.42</v>
      </c>
      <c r="D2311" s="83">
        <f t="shared" si="74"/>
        <v>1.0150046598322462</v>
      </c>
      <c r="E2311" s="83">
        <v>1.4126583451055177E-3</v>
      </c>
      <c r="F2311" s="83">
        <v>2303</v>
      </c>
      <c r="G2311" s="83">
        <f t="shared" ca="1" si="75"/>
        <v>-2.5432478388540663E-2</v>
      </c>
    </row>
    <row r="2312" spans="2:7" x14ac:dyDescent="0.2">
      <c r="B2312" s="167">
        <v>44588</v>
      </c>
      <c r="C2312" s="28">
        <v>214.6</v>
      </c>
      <c r="D2312" s="83">
        <f t="shared" si="74"/>
        <v>-0.14365522745411013</v>
      </c>
      <c r="E2312" s="83">
        <v>1.3999066728883946E-3</v>
      </c>
      <c r="F2312" s="83">
        <v>2304</v>
      </c>
      <c r="G2312" s="83">
        <f t="shared" ca="1" si="75"/>
        <v>7.3011565624820762E-3</v>
      </c>
    </row>
    <row r="2313" spans="2:7" x14ac:dyDescent="0.2">
      <c r="B2313" s="167">
        <v>42572</v>
      </c>
      <c r="C2313" s="28">
        <v>250.6</v>
      </c>
      <c r="D2313" s="83">
        <f t="shared" ref="D2313:D2376" si="76">(C2313-C2314)/C2314</f>
        <v>3.3236714975845407</v>
      </c>
      <c r="E2313" s="83">
        <v>1.3986013986013758E-3</v>
      </c>
      <c r="F2313" s="83">
        <v>2305</v>
      </c>
      <c r="G2313" s="83">
        <f t="shared" ref="G2313:G2376" ca="1" si="77">_xlfn.NORM.INV(RAND(),$M$10,$M$11)</f>
        <v>-7.9559198096953807E-3</v>
      </c>
    </row>
    <row r="2314" spans="2:7" x14ac:dyDescent="0.2">
      <c r="B2314" s="167">
        <v>39114</v>
      </c>
      <c r="C2314" s="28">
        <v>57.96</v>
      </c>
      <c r="D2314" s="83">
        <f t="shared" si="76"/>
        <v>-0.77163120567375887</v>
      </c>
      <c r="E2314" s="83">
        <v>1.3821700069108205E-3</v>
      </c>
      <c r="F2314" s="83">
        <v>2306</v>
      </c>
      <c r="G2314" s="83">
        <f t="shared" ca="1" si="77"/>
        <v>-2.4338219176082147E-3</v>
      </c>
    </row>
    <row r="2315" spans="2:7" x14ac:dyDescent="0.2">
      <c r="B2315" s="167">
        <v>42608</v>
      </c>
      <c r="C2315" s="28">
        <v>253.8</v>
      </c>
      <c r="D2315" s="83">
        <f t="shared" si="76"/>
        <v>-0.12738525012893248</v>
      </c>
      <c r="E2315" s="83">
        <v>1.3809429867824925E-3</v>
      </c>
      <c r="F2315" s="83">
        <v>2307</v>
      </c>
      <c r="G2315" s="83">
        <f t="shared" ca="1" si="77"/>
        <v>2.4984183639355499E-2</v>
      </c>
    </row>
    <row r="2316" spans="2:7" x14ac:dyDescent="0.2">
      <c r="B2316" s="167">
        <v>43612</v>
      </c>
      <c r="C2316" s="28">
        <v>290.85000000000002</v>
      </c>
      <c r="D2316" s="83">
        <f t="shared" si="76"/>
        <v>-0.30006738220147278</v>
      </c>
      <c r="E2316" s="83">
        <v>1.3771733516957621E-3</v>
      </c>
      <c r="F2316" s="83">
        <v>2308</v>
      </c>
      <c r="G2316" s="83">
        <f t="shared" ca="1" si="77"/>
        <v>-1.562230471373386E-2</v>
      </c>
    </row>
    <row r="2317" spans="2:7" x14ac:dyDescent="0.2">
      <c r="B2317" s="167">
        <v>45247</v>
      </c>
      <c r="C2317" s="28">
        <v>415.54</v>
      </c>
      <c r="D2317" s="83">
        <f t="shared" si="76"/>
        <v>0.88410791203808659</v>
      </c>
      <c r="E2317" s="83">
        <v>1.3735932718027643E-3</v>
      </c>
      <c r="F2317" s="83">
        <v>2309</v>
      </c>
      <c r="G2317" s="83">
        <f t="shared" ca="1" si="77"/>
        <v>2.2968064252542452E-2</v>
      </c>
    </row>
    <row r="2318" spans="2:7" x14ac:dyDescent="0.2">
      <c r="B2318" s="167">
        <v>44566</v>
      </c>
      <c r="C2318" s="28">
        <v>220.55</v>
      </c>
      <c r="D2318" s="83">
        <f t="shared" si="76"/>
        <v>-0.25211936249576117</v>
      </c>
      <c r="E2318" s="83">
        <v>1.3620885357548756E-3</v>
      </c>
      <c r="F2318" s="83">
        <v>2310</v>
      </c>
      <c r="G2318" s="83">
        <f t="shared" ca="1" si="77"/>
        <v>1.3492308224494974E-2</v>
      </c>
    </row>
    <row r="2319" spans="2:7" x14ac:dyDescent="0.2">
      <c r="B2319" s="167">
        <v>43537</v>
      </c>
      <c r="C2319" s="28">
        <v>294.89999999999998</v>
      </c>
      <c r="D2319" s="83">
        <f t="shared" si="76"/>
        <v>0.64960563852995445</v>
      </c>
      <c r="E2319" s="83">
        <v>1.3582342954158821E-3</v>
      </c>
      <c r="F2319" s="83">
        <v>2311</v>
      </c>
      <c r="G2319" s="83">
        <f t="shared" ca="1" si="77"/>
        <v>2.9430967087787748E-2</v>
      </c>
    </row>
    <row r="2320" spans="2:7" x14ac:dyDescent="0.2">
      <c r="B2320" s="167">
        <v>41165</v>
      </c>
      <c r="C2320" s="28">
        <v>178.77</v>
      </c>
      <c r="D2320" s="83">
        <f t="shared" si="76"/>
        <v>-0.57907748816839721</v>
      </c>
      <c r="E2320" s="83">
        <v>1.3443118803562937E-3</v>
      </c>
      <c r="F2320" s="83">
        <v>2312</v>
      </c>
      <c r="G2320" s="83">
        <f t="shared" ca="1" si="77"/>
        <v>-9.7158002810287646E-3</v>
      </c>
    </row>
    <row r="2321" spans="2:7" x14ac:dyDescent="0.2">
      <c r="B2321" s="167">
        <v>45215</v>
      </c>
      <c r="C2321" s="28">
        <v>424.71</v>
      </c>
      <c r="D2321" s="83">
        <f t="shared" si="76"/>
        <v>3.5246800731261373E-2</v>
      </c>
      <c r="E2321" s="83">
        <v>1.343895883434699E-3</v>
      </c>
      <c r="F2321" s="83">
        <v>2313</v>
      </c>
      <c r="G2321" s="83">
        <f t="shared" ca="1" si="77"/>
        <v>-1.0770988502332502E-2</v>
      </c>
    </row>
    <row r="2322" spans="2:7" x14ac:dyDescent="0.2">
      <c r="B2322" s="167">
        <v>45702</v>
      </c>
      <c r="C2322" s="28">
        <v>410.25</v>
      </c>
      <c r="D2322" s="83">
        <f t="shared" si="76"/>
        <v>0.82333333333333336</v>
      </c>
      <c r="E2322" s="83">
        <v>1.3424456919697617E-3</v>
      </c>
      <c r="F2322" s="83">
        <v>2314</v>
      </c>
      <c r="G2322" s="83">
        <f t="shared" ca="1" si="77"/>
        <v>3.6374668519457823E-2</v>
      </c>
    </row>
    <row r="2323" spans="2:7" x14ac:dyDescent="0.2">
      <c r="B2323" s="167">
        <v>42730</v>
      </c>
      <c r="C2323" s="28">
        <v>225</v>
      </c>
      <c r="D2323" s="83">
        <f t="shared" si="76"/>
        <v>1.1351300056936802</v>
      </c>
      <c r="E2323" s="83">
        <v>1.3351134846462456E-3</v>
      </c>
      <c r="F2323" s="83">
        <v>2315</v>
      </c>
      <c r="G2323" s="83">
        <f t="shared" ca="1" si="77"/>
        <v>-4.842331263780892E-2</v>
      </c>
    </row>
    <row r="2324" spans="2:7" x14ac:dyDescent="0.2">
      <c r="B2324" s="167">
        <v>40399</v>
      </c>
      <c r="C2324" s="28">
        <v>105.38</v>
      </c>
      <c r="D2324" s="83">
        <f t="shared" si="76"/>
        <v>-0.53351040283311202</v>
      </c>
      <c r="E2324" s="83">
        <v>1.3302926643861705E-3</v>
      </c>
      <c r="F2324" s="83">
        <v>2316</v>
      </c>
      <c r="G2324" s="83">
        <f t="shared" ca="1" si="77"/>
        <v>-7.5600570988087867E-2</v>
      </c>
    </row>
    <row r="2325" spans="2:7" x14ac:dyDescent="0.2">
      <c r="B2325" s="167">
        <v>41759</v>
      </c>
      <c r="C2325" s="28">
        <v>225.9</v>
      </c>
      <c r="D2325" s="83">
        <f t="shared" si="76"/>
        <v>0.49840806579994706</v>
      </c>
      <c r="E2325" s="83">
        <v>1.3297872340426037E-3</v>
      </c>
      <c r="F2325" s="83">
        <v>2317</v>
      </c>
      <c r="G2325" s="83">
        <f t="shared" ca="1" si="77"/>
        <v>8.0998391600910699E-3</v>
      </c>
    </row>
    <row r="2326" spans="2:7" x14ac:dyDescent="0.2">
      <c r="B2326" s="167">
        <v>41003</v>
      </c>
      <c r="C2326" s="28">
        <v>150.76</v>
      </c>
      <c r="D2326" s="83">
        <f t="shared" si="76"/>
        <v>-0.42941488153811225</v>
      </c>
      <c r="E2326" s="83">
        <v>1.3283740701380755E-3</v>
      </c>
      <c r="F2326" s="83">
        <v>2318</v>
      </c>
      <c r="G2326" s="83">
        <f t="shared" ca="1" si="77"/>
        <v>5.7200352751964625E-2</v>
      </c>
    </row>
    <row r="2327" spans="2:7" x14ac:dyDescent="0.2">
      <c r="B2327" s="167">
        <v>44736</v>
      </c>
      <c r="C2327" s="28">
        <v>264.22000000000003</v>
      </c>
      <c r="D2327" s="83">
        <f t="shared" si="76"/>
        <v>-1.4361300075585617E-3</v>
      </c>
      <c r="E2327" s="83">
        <v>1.3264107325577849E-3</v>
      </c>
      <c r="F2327" s="83">
        <v>2319</v>
      </c>
      <c r="G2327" s="83">
        <f t="shared" ca="1" si="77"/>
        <v>-7.6937078647470224E-3</v>
      </c>
    </row>
    <row r="2328" spans="2:7" x14ac:dyDescent="0.2">
      <c r="B2328" s="167">
        <v>43084</v>
      </c>
      <c r="C2328" s="28">
        <v>264.60000000000002</v>
      </c>
      <c r="D2328" s="83">
        <f t="shared" si="76"/>
        <v>-0.37517710399546611</v>
      </c>
      <c r="E2328" s="83">
        <v>1.3245033112583642E-3</v>
      </c>
      <c r="F2328" s="83">
        <v>2320</v>
      </c>
      <c r="G2328" s="83">
        <f t="shared" ca="1" si="77"/>
        <v>-1.2259040583354716E-2</v>
      </c>
    </row>
    <row r="2329" spans="2:7" x14ac:dyDescent="0.2">
      <c r="B2329" s="167">
        <v>45099</v>
      </c>
      <c r="C2329" s="28">
        <v>423.48</v>
      </c>
      <c r="D2329" s="83">
        <f t="shared" si="76"/>
        <v>5.9777558082056359</v>
      </c>
      <c r="E2329" s="83">
        <v>1.3241274945616245E-3</v>
      </c>
      <c r="F2329" s="83">
        <v>2321</v>
      </c>
      <c r="G2329" s="83">
        <f t="shared" ca="1" si="77"/>
        <v>-1.337949961476083E-2</v>
      </c>
    </row>
    <row r="2330" spans="2:7" x14ac:dyDescent="0.2">
      <c r="B2330" s="167">
        <v>38974</v>
      </c>
      <c r="C2330" s="28">
        <v>60.69</v>
      </c>
      <c r="D2330" s="83">
        <f t="shared" si="76"/>
        <v>-0.83363942874372965</v>
      </c>
      <c r="E2330" s="83">
        <v>1.3199142055766095E-3</v>
      </c>
      <c r="F2330" s="83">
        <v>2322</v>
      </c>
      <c r="G2330" s="83">
        <f t="shared" ca="1" si="77"/>
        <v>2.81459545910396E-2</v>
      </c>
    </row>
    <row r="2331" spans="2:7" x14ac:dyDescent="0.2">
      <c r="B2331" s="167">
        <v>44995</v>
      </c>
      <c r="C2331" s="28">
        <v>364.81</v>
      </c>
      <c r="D2331" s="83">
        <f t="shared" si="76"/>
        <v>0.1978657034969627</v>
      </c>
      <c r="E2331" s="83">
        <v>1.3174868937502215E-3</v>
      </c>
      <c r="F2331" s="83">
        <v>2323</v>
      </c>
      <c r="G2331" s="83">
        <f t="shared" ca="1" si="77"/>
        <v>-1.3262826592213878E-3</v>
      </c>
    </row>
    <row r="2332" spans="2:7" x14ac:dyDescent="0.2">
      <c r="B2332" s="167">
        <v>43581</v>
      </c>
      <c r="C2332" s="28">
        <v>304.55</v>
      </c>
      <c r="D2332" s="83">
        <f t="shared" si="76"/>
        <v>0.58950939457202511</v>
      </c>
      <c r="E2332" s="83">
        <v>1.315140555646997E-3</v>
      </c>
      <c r="F2332" s="83">
        <v>2324</v>
      </c>
      <c r="G2332" s="83">
        <f t="shared" ca="1" si="77"/>
        <v>-2.7041601429712895E-3</v>
      </c>
    </row>
    <row r="2333" spans="2:7" x14ac:dyDescent="0.2">
      <c r="B2333" s="167">
        <v>44077</v>
      </c>
      <c r="C2333" s="28">
        <v>191.6</v>
      </c>
      <c r="D2333" s="83">
        <f t="shared" si="76"/>
        <v>-3.9020964991473575E-2</v>
      </c>
      <c r="E2333" s="83">
        <v>1.3065064018813694E-3</v>
      </c>
      <c r="F2333" s="83">
        <v>2325</v>
      </c>
      <c r="G2333" s="83">
        <f t="shared" ca="1" si="77"/>
        <v>-3.4254089369411933E-2</v>
      </c>
    </row>
    <row r="2334" spans="2:7" x14ac:dyDescent="0.2">
      <c r="B2334" s="167">
        <v>41319</v>
      </c>
      <c r="C2334" s="28">
        <v>199.38</v>
      </c>
      <c r="D2334" s="83">
        <f t="shared" si="76"/>
        <v>1.347856806406029</v>
      </c>
      <c r="E2334" s="83">
        <v>1.3057452792285601E-3</v>
      </c>
      <c r="F2334" s="83">
        <v>2326</v>
      </c>
      <c r="G2334" s="83">
        <f t="shared" ca="1" si="77"/>
        <v>3.0171485980297806E-2</v>
      </c>
    </row>
    <row r="2335" spans="2:7" x14ac:dyDescent="0.2">
      <c r="B2335" s="167">
        <v>40176</v>
      </c>
      <c r="C2335" s="28">
        <v>84.92</v>
      </c>
      <c r="D2335" s="83">
        <f t="shared" si="76"/>
        <v>-0.78893473181885965</v>
      </c>
      <c r="E2335" s="83">
        <v>1.2970168612191891E-3</v>
      </c>
      <c r="F2335" s="83">
        <v>2327</v>
      </c>
      <c r="G2335" s="83">
        <f t="shared" ca="1" si="77"/>
        <v>2.0083827162871153E-2</v>
      </c>
    </row>
    <row r="2336" spans="2:7" x14ac:dyDescent="0.2">
      <c r="B2336" s="167">
        <v>45404</v>
      </c>
      <c r="C2336" s="28">
        <v>402.34</v>
      </c>
      <c r="D2336" s="83">
        <f t="shared" si="76"/>
        <v>2.0374452664955456</v>
      </c>
      <c r="E2336" s="83">
        <v>1.2941117913493152E-3</v>
      </c>
      <c r="F2336" s="83">
        <v>2328</v>
      </c>
      <c r="G2336" s="83">
        <f t="shared" ca="1" si="77"/>
        <v>3.4821861145688591E-3</v>
      </c>
    </row>
    <row r="2337" spans="2:7" x14ac:dyDescent="0.2">
      <c r="B2337" s="167">
        <v>40913</v>
      </c>
      <c r="C2337" s="28">
        <v>132.46</v>
      </c>
      <c r="D2337" s="83">
        <f t="shared" si="76"/>
        <v>0.54472303206997097</v>
      </c>
      <c r="E2337" s="83">
        <v>1.285055559755204E-3</v>
      </c>
      <c r="F2337" s="83">
        <v>2329</v>
      </c>
      <c r="G2337" s="83">
        <f t="shared" ca="1" si="77"/>
        <v>-2.4458311951752004E-2</v>
      </c>
    </row>
    <row r="2338" spans="2:7" x14ac:dyDescent="0.2">
      <c r="B2338" s="167">
        <v>40100</v>
      </c>
      <c r="C2338" s="28">
        <v>85.75</v>
      </c>
      <c r="D2338" s="83">
        <f t="shared" si="76"/>
        <v>-0.68687237538798618</v>
      </c>
      <c r="E2338" s="83">
        <v>1.284446520317602E-3</v>
      </c>
      <c r="F2338" s="83">
        <v>2330</v>
      </c>
      <c r="G2338" s="83">
        <f t="shared" ca="1" si="77"/>
        <v>-2.1543044609803583E-2</v>
      </c>
    </row>
    <row r="2339" spans="2:7" x14ac:dyDescent="0.2">
      <c r="B2339" s="167">
        <v>43644</v>
      </c>
      <c r="C2339" s="28">
        <v>273.85000000000002</v>
      </c>
      <c r="D2339" s="83">
        <f t="shared" si="76"/>
        <v>0.16393233594015649</v>
      </c>
      <c r="E2339" s="83">
        <v>1.2797074954296992E-3</v>
      </c>
      <c r="F2339" s="83">
        <v>2331</v>
      </c>
      <c r="G2339" s="83">
        <f t="shared" ca="1" si="77"/>
        <v>-3.4816327223877825E-3</v>
      </c>
    </row>
    <row r="2340" spans="2:7" x14ac:dyDescent="0.2">
      <c r="B2340" s="167">
        <v>41942</v>
      </c>
      <c r="C2340" s="28">
        <v>235.28</v>
      </c>
      <c r="D2340" s="83">
        <f t="shared" si="76"/>
        <v>0.19918450560652404</v>
      </c>
      <c r="E2340" s="83">
        <v>1.2767044003745484E-3</v>
      </c>
      <c r="F2340" s="83">
        <v>2332</v>
      </c>
      <c r="G2340" s="83">
        <f t="shared" ca="1" si="77"/>
        <v>-1.3528675113560458E-2</v>
      </c>
    </row>
    <row r="2341" spans="2:7" x14ac:dyDescent="0.2">
      <c r="B2341" s="167">
        <v>44168</v>
      </c>
      <c r="C2341" s="28">
        <v>196.2</v>
      </c>
      <c r="D2341" s="83">
        <f t="shared" si="76"/>
        <v>-0.55546492659053837</v>
      </c>
      <c r="E2341" s="83">
        <v>1.2758356723653994E-3</v>
      </c>
      <c r="F2341" s="83">
        <v>2333</v>
      </c>
      <c r="G2341" s="83">
        <f t="shared" ca="1" si="77"/>
        <v>-1.7766145457427374E-2</v>
      </c>
    </row>
    <row r="2342" spans="2:7" x14ac:dyDescent="0.2">
      <c r="B2342" s="167">
        <v>45614</v>
      </c>
      <c r="C2342" s="28">
        <v>441.36</v>
      </c>
      <c r="D2342" s="83">
        <f t="shared" si="76"/>
        <v>5.9714105196651399</v>
      </c>
      <c r="E2342" s="83">
        <v>1.2704174228675188E-3</v>
      </c>
      <c r="F2342" s="83">
        <v>2334</v>
      </c>
      <c r="G2342" s="83">
        <f t="shared" ca="1" si="77"/>
        <v>-3.5329743791594039E-3</v>
      </c>
    </row>
    <row r="2343" spans="2:7" x14ac:dyDescent="0.2">
      <c r="B2343" s="167">
        <v>39517</v>
      </c>
      <c r="C2343" s="28">
        <v>63.31</v>
      </c>
      <c r="D2343" s="83">
        <f t="shared" si="76"/>
        <v>-0.60044177974124324</v>
      </c>
      <c r="E2343" s="83">
        <v>1.265222204649777E-3</v>
      </c>
      <c r="F2343" s="83">
        <v>2335</v>
      </c>
      <c r="G2343" s="83">
        <f t="shared" ca="1" si="77"/>
        <v>-9.7499651283377113E-3</v>
      </c>
    </row>
    <row r="2344" spans="2:7" x14ac:dyDescent="0.2">
      <c r="B2344" s="167">
        <v>43962</v>
      </c>
      <c r="C2344" s="28">
        <v>158.44999999999999</v>
      </c>
      <c r="D2344" s="83">
        <f t="shared" si="76"/>
        <v>-0.13292109007332834</v>
      </c>
      <c r="E2344" s="83">
        <v>1.2638230647708602E-3</v>
      </c>
      <c r="F2344" s="83">
        <v>2336</v>
      </c>
      <c r="G2344" s="83">
        <f t="shared" ca="1" si="77"/>
        <v>-1.6593227190226715E-2</v>
      </c>
    </row>
    <row r="2345" spans="2:7" x14ac:dyDescent="0.2">
      <c r="B2345" s="167">
        <v>41187</v>
      </c>
      <c r="C2345" s="28">
        <v>182.74</v>
      </c>
      <c r="D2345" s="83">
        <f t="shared" si="76"/>
        <v>-0.23539748953974893</v>
      </c>
      <c r="E2345" s="83">
        <v>1.2602049202784407E-3</v>
      </c>
      <c r="F2345" s="83">
        <v>2337</v>
      </c>
      <c r="G2345" s="83">
        <f t="shared" ca="1" si="77"/>
        <v>2.0205893353578532E-3</v>
      </c>
    </row>
    <row r="2346" spans="2:7" x14ac:dyDescent="0.2">
      <c r="B2346" s="167">
        <v>42542</v>
      </c>
      <c r="C2346" s="28">
        <v>239</v>
      </c>
      <c r="D2346" s="83">
        <f t="shared" si="76"/>
        <v>3.2816194912217842</v>
      </c>
      <c r="E2346" s="83">
        <v>1.2568077084206594E-3</v>
      </c>
      <c r="F2346" s="83">
        <v>2338</v>
      </c>
      <c r="G2346" s="83">
        <f t="shared" ca="1" si="77"/>
        <v>-3.2026277216761503E-2</v>
      </c>
    </row>
    <row r="2347" spans="2:7" x14ac:dyDescent="0.2">
      <c r="B2347" s="167">
        <v>38936</v>
      </c>
      <c r="C2347" s="28">
        <v>55.82</v>
      </c>
      <c r="D2347" s="83">
        <f t="shared" si="76"/>
        <v>-0.73163461538461538</v>
      </c>
      <c r="E2347" s="83">
        <v>1.2556053811659245E-3</v>
      </c>
      <c r="F2347" s="83">
        <v>2339</v>
      </c>
      <c r="G2347" s="83">
        <f t="shared" ca="1" si="77"/>
        <v>1.1979581994273221E-3</v>
      </c>
    </row>
    <row r="2348" spans="2:7" x14ac:dyDescent="0.2">
      <c r="B2348" s="167">
        <v>42258</v>
      </c>
      <c r="C2348" s="28">
        <v>208</v>
      </c>
      <c r="D2348" s="83">
        <f t="shared" si="76"/>
        <v>0.85532066720185529</v>
      </c>
      <c r="E2348" s="83">
        <v>1.2515644555694181E-3</v>
      </c>
      <c r="F2348" s="83">
        <v>2340</v>
      </c>
      <c r="G2348" s="83">
        <f t="shared" ca="1" si="77"/>
        <v>-1.8611519046259829E-2</v>
      </c>
    </row>
    <row r="2349" spans="2:7" x14ac:dyDescent="0.2">
      <c r="B2349" s="167">
        <v>40567</v>
      </c>
      <c r="C2349" s="28">
        <v>112.11</v>
      </c>
      <c r="D2349" s="83">
        <f t="shared" si="76"/>
        <v>-0.12761652789666167</v>
      </c>
      <c r="E2349" s="83">
        <v>1.2503349111369169E-3</v>
      </c>
      <c r="F2349" s="83">
        <v>2341</v>
      </c>
      <c r="G2349" s="83">
        <f t="shared" ca="1" si="77"/>
        <v>-2.7429258045182834E-3</v>
      </c>
    </row>
    <row r="2350" spans="2:7" x14ac:dyDescent="0.2">
      <c r="B2350" s="167">
        <v>40722</v>
      </c>
      <c r="C2350" s="28">
        <v>128.51</v>
      </c>
      <c r="D2350" s="83">
        <f t="shared" si="76"/>
        <v>-0.20897451680413651</v>
      </c>
      <c r="E2350" s="83">
        <v>1.2465913517724705E-3</v>
      </c>
      <c r="F2350" s="83">
        <v>2342</v>
      </c>
      <c r="G2350" s="83">
        <f t="shared" ca="1" si="77"/>
        <v>2.7800609695020542E-3</v>
      </c>
    </row>
    <row r="2351" spans="2:7" x14ac:dyDescent="0.2">
      <c r="B2351" s="167">
        <v>41023</v>
      </c>
      <c r="C2351" s="28">
        <v>162.46</v>
      </c>
      <c r="D2351" s="83">
        <f t="shared" si="76"/>
        <v>-0.63905798711397466</v>
      </c>
      <c r="E2351" s="83">
        <v>1.2325896708986631E-3</v>
      </c>
      <c r="F2351" s="83">
        <v>2343</v>
      </c>
      <c r="G2351" s="83">
        <f t="shared" ca="1" si="77"/>
        <v>-6.9135985930251801E-3</v>
      </c>
    </row>
    <row r="2352" spans="2:7" x14ac:dyDescent="0.2">
      <c r="B2352" s="167">
        <v>45666</v>
      </c>
      <c r="C2352" s="28">
        <v>450.1</v>
      </c>
      <c r="D2352" s="83">
        <f t="shared" si="76"/>
        <v>1.1908006814310053</v>
      </c>
      <c r="E2352" s="83">
        <v>1.2234456678901376E-3</v>
      </c>
      <c r="F2352" s="83">
        <v>2344</v>
      </c>
      <c r="G2352" s="83">
        <f t="shared" ca="1" si="77"/>
        <v>3.0436577943739294E-2</v>
      </c>
    </row>
    <row r="2353" spans="2:7" x14ac:dyDescent="0.2">
      <c r="B2353" s="167">
        <v>44270</v>
      </c>
      <c r="C2353" s="28">
        <v>205.45</v>
      </c>
      <c r="D2353" s="83">
        <f t="shared" si="76"/>
        <v>-1.6515078985160445E-2</v>
      </c>
      <c r="E2353" s="83">
        <v>1.2183235867446395E-3</v>
      </c>
      <c r="F2353" s="83">
        <v>2345</v>
      </c>
      <c r="G2353" s="83">
        <f t="shared" ca="1" si="77"/>
        <v>-1.8606781844686091E-2</v>
      </c>
    </row>
    <row r="2354" spans="2:7" x14ac:dyDescent="0.2">
      <c r="B2354" s="167">
        <v>44420</v>
      </c>
      <c r="C2354" s="28">
        <v>208.9</v>
      </c>
      <c r="D2354" s="83">
        <f t="shared" si="76"/>
        <v>0.24604831494184312</v>
      </c>
      <c r="E2354" s="83">
        <v>1.1981787682722263E-3</v>
      </c>
      <c r="F2354" s="83">
        <v>2346</v>
      </c>
      <c r="G2354" s="83">
        <f t="shared" ca="1" si="77"/>
        <v>-1.5396681681656515E-2</v>
      </c>
    </row>
    <row r="2355" spans="2:7" x14ac:dyDescent="0.2">
      <c r="B2355" s="167">
        <v>44125</v>
      </c>
      <c r="C2355" s="28">
        <v>167.65</v>
      </c>
      <c r="D2355" s="83">
        <f t="shared" si="76"/>
        <v>-0.200715137067938</v>
      </c>
      <c r="E2355" s="83">
        <v>1.1943863839953244E-3</v>
      </c>
      <c r="F2355" s="83">
        <v>2347</v>
      </c>
      <c r="G2355" s="83">
        <f t="shared" ca="1" si="77"/>
        <v>9.2120936319148548E-3</v>
      </c>
    </row>
    <row r="2356" spans="2:7" x14ac:dyDescent="0.2">
      <c r="B2356" s="167">
        <v>44441</v>
      </c>
      <c r="C2356" s="28">
        <v>209.75</v>
      </c>
      <c r="D2356" s="83">
        <f t="shared" si="76"/>
        <v>-0.36220999179006902</v>
      </c>
      <c r="E2356" s="83">
        <v>1.1933174224343676E-3</v>
      </c>
      <c r="F2356" s="83">
        <v>2348</v>
      </c>
      <c r="G2356" s="83">
        <f t="shared" ca="1" si="77"/>
        <v>-1.2653382021070778E-2</v>
      </c>
    </row>
    <row r="2357" spans="2:7" x14ac:dyDescent="0.2">
      <c r="B2357" s="167">
        <v>44816</v>
      </c>
      <c r="C2357" s="28">
        <v>328.87</v>
      </c>
      <c r="D2357" s="83">
        <f t="shared" si="76"/>
        <v>1.4317509612540666</v>
      </c>
      <c r="E2357" s="83">
        <v>1.1872868972235336E-3</v>
      </c>
      <c r="F2357" s="83">
        <v>2349</v>
      </c>
      <c r="G2357" s="83">
        <f t="shared" ca="1" si="77"/>
        <v>1.4804363874832669E-2</v>
      </c>
    </row>
    <row r="2358" spans="2:7" x14ac:dyDescent="0.2">
      <c r="B2358" s="167">
        <v>40900</v>
      </c>
      <c r="C2358" s="28">
        <v>135.24</v>
      </c>
      <c r="D2358" s="83">
        <f t="shared" si="76"/>
        <v>0.22046746683512325</v>
      </c>
      <c r="E2358" s="83">
        <v>1.1844832691737975E-3</v>
      </c>
      <c r="F2358" s="83">
        <v>2350</v>
      </c>
      <c r="G2358" s="83">
        <f t="shared" ca="1" si="77"/>
        <v>-2.2076110543873668E-2</v>
      </c>
    </row>
    <row r="2359" spans="2:7" x14ac:dyDescent="0.2">
      <c r="B2359" s="167">
        <v>40533</v>
      </c>
      <c r="C2359" s="28">
        <v>110.81</v>
      </c>
      <c r="D2359" s="83">
        <f t="shared" si="76"/>
        <v>-0.66817392345930404</v>
      </c>
      <c r="E2359" s="83">
        <v>1.1745572822551087E-3</v>
      </c>
      <c r="F2359" s="83">
        <v>2351</v>
      </c>
      <c r="G2359" s="83">
        <f t="shared" ca="1" si="77"/>
        <v>3.263892759094747E-2</v>
      </c>
    </row>
    <row r="2360" spans="2:7" x14ac:dyDescent="0.2">
      <c r="B2360" s="167">
        <v>44824</v>
      </c>
      <c r="C2360" s="28">
        <v>333.94</v>
      </c>
      <c r="D2360" s="83">
        <f t="shared" si="76"/>
        <v>4.5628852240546385</v>
      </c>
      <c r="E2360" s="83">
        <v>1.1692399940038565E-3</v>
      </c>
      <c r="F2360" s="83">
        <v>2352</v>
      </c>
      <c r="G2360" s="83">
        <f t="shared" ca="1" si="77"/>
        <v>-3.6564059380666718E-3</v>
      </c>
    </row>
    <row r="2361" spans="2:7" x14ac:dyDescent="0.2">
      <c r="B2361" s="167">
        <v>38946</v>
      </c>
      <c r="C2361" s="28">
        <v>60.03</v>
      </c>
      <c r="D2361" s="83">
        <f t="shared" si="76"/>
        <v>-0.74188416390764067</v>
      </c>
      <c r="E2361" s="83">
        <v>1.1674449633088772E-3</v>
      </c>
      <c r="F2361" s="83">
        <v>2353</v>
      </c>
      <c r="G2361" s="83">
        <f t="shared" ca="1" si="77"/>
        <v>-8.0004407437046145E-3</v>
      </c>
    </row>
    <row r="2362" spans="2:7" x14ac:dyDescent="0.2">
      <c r="B2362" s="167">
        <v>41887</v>
      </c>
      <c r="C2362" s="28">
        <v>232.57</v>
      </c>
      <c r="D2362" s="83">
        <f t="shared" si="76"/>
        <v>0.57525060959089691</v>
      </c>
      <c r="E2362" s="83">
        <v>1.1622901420576058E-3</v>
      </c>
      <c r="F2362" s="83">
        <v>2354</v>
      </c>
      <c r="G2362" s="83">
        <f t="shared" ca="1" si="77"/>
        <v>1.9753702501931505E-2</v>
      </c>
    </row>
    <row r="2363" spans="2:7" x14ac:dyDescent="0.2">
      <c r="B2363" s="167">
        <v>40994</v>
      </c>
      <c r="C2363" s="28">
        <v>147.63999999999999</v>
      </c>
      <c r="D2363" s="83">
        <f t="shared" si="76"/>
        <v>1.1124624409786805</v>
      </c>
      <c r="E2363" s="83">
        <v>1.1527768359665526E-3</v>
      </c>
      <c r="F2363" s="83">
        <v>2355</v>
      </c>
      <c r="G2363" s="83">
        <f t="shared" ca="1" si="77"/>
        <v>1.8288095814421642E-2</v>
      </c>
    </row>
    <row r="2364" spans="2:7" x14ac:dyDescent="0.2">
      <c r="B2364" s="167">
        <v>40007</v>
      </c>
      <c r="C2364" s="28">
        <v>69.89</v>
      </c>
      <c r="D2364" s="83">
        <f t="shared" si="76"/>
        <v>0.14124755062050945</v>
      </c>
      <c r="E2364" s="83">
        <v>1.1459676264145293E-3</v>
      </c>
      <c r="F2364" s="83">
        <v>2356</v>
      </c>
      <c r="G2364" s="83">
        <f t="shared" ca="1" si="77"/>
        <v>5.8771174070160869E-3</v>
      </c>
    </row>
    <row r="2365" spans="2:7" x14ac:dyDescent="0.2">
      <c r="B2365" s="167">
        <v>38999</v>
      </c>
      <c r="C2365" s="28">
        <v>61.24</v>
      </c>
      <c r="D2365" s="83">
        <f t="shared" si="76"/>
        <v>-0.80061859026534266</v>
      </c>
      <c r="E2365" s="83">
        <v>1.1443518064410704E-3</v>
      </c>
      <c r="F2365" s="83">
        <v>2357</v>
      </c>
      <c r="G2365" s="83">
        <f t="shared" ca="1" si="77"/>
        <v>-7.0383330208446124E-3</v>
      </c>
    </row>
    <row r="2366" spans="2:7" x14ac:dyDescent="0.2">
      <c r="B2366" s="167">
        <v>43357</v>
      </c>
      <c r="C2366" s="28">
        <v>307.14999999999998</v>
      </c>
      <c r="D2366" s="83">
        <f t="shared" si="76"/>
        <v>0.16587587777566898</v>
      </c>
      <c r="E2366" s="83">
        <v>1.1408083441980636E-3</v>
      </c>
      <c r="F2366" s="83">
        <v>2358</v>
      </c>
      <c r="G2366" s="83">
        <f t="shared" ca="1" si="77"/>
        <v>-1.9338003810065021E-2</v>
      </c>
    </row>
    <row r="2367" spans="2:7" x14ac:dyDescent="0.2">
      <c r="B2367" s="167">
        <v>42788</v>
      </c>
      <c r="C2367" s="28">
        <v>263.45</v>
      </c>
      <c r="D2367" s="83">
        <f t="shared" si="76"/>
        <v>-0.15506735086593978</v>
      </c>
      <c r="E2367" s="83">
        <v>1.1400342010260741E-3</v>
      </c>
      <c r="F2367" s="83">
        <v>2359</v>
      </c>
      <c r="G2367" s="83">
        <f t="shared" ca="1" si="77"/>
        <v>1.8327084773310066E-2</v>
      </c>
    </row>
    <row r="2368" spans="2:7" x14ac:dyDescent="0.2">
      <c r="B2368" s="167">
        <v>42886</v>
      </c>
      <c r="C2368" s="28">
        <v>311.8</v>
      </c>
      <c r="D2368" s="83">
        <f t="shared" si="76"/>
        <v>5.8708682238871752</v>
      </c>
      <c r="E2368" s="83">
        <v>1.1237758869803267E-3</v>
      </c>
      <c r="F2368" s="83">
        <v>2360</v>
      </c>
      <c r="G2368" s="83">
        <f t="shared" ca="1" si="77"/>
        <v>-3.4663075751693757E-3</v>
      </c>
    </row>
    <row r="2369" spans="2:7" x14ac:dyDescent="0.2">
      <c r="B2369" s="167">
        <v>38628</v>
      </c>
      <c r="C2369" s="28">
        <v>45.38</v>
      </c>
      <c r="D2369" s="83">
        <f t="shared" si="76"/>
        <v>-0.17023221795575053</v>
      </c>
      <c r="E2369" s="83">
        <v>1.1030222810501714E-3</v>
      </c>
      <c r="F2369" s="83">
        <v>2361</v>
      </c>
      <c r="G2369" s="83">
        <f t="shared" ca="1" si="77"/>
        <v>2.0904685382262617E-2</v>
      </c>
    </row>
    <row r="2370" spans="2:7" x14ac:dyDescent="0.2">
      <c r="B2370" s="167">
        <v>39308</v>
      </c>
      <c r="C2370" s="28">
        <v>54.69</v>
      </c>
      <c r="D2370" s="83">
        <f t="shared" si="76"/>
        <v>-0.87255016196313295</v>
      </c>
      <c r="E2370" s="83">
        <v>1.0982976386599884E-3</v>
      </c>
      <c r="F2370" s="83">
        <v>2362</v>
      </c>
      <c r="G2370" s="83">
        <f t="shared" ca="1" si="77"/>
        <v>-3.0658629032409214E-2</v>
      </c>
    </row>
    <row r="2371" spans="2:7" x14ac:dyDescent="0.2">
      <c r="B2371" s="167">
        <v>45096</v>
      </c>
      <c r="C2371" s="28">
        <v>429.11</v>
      </c>
      <c r="D2371" s="83">
        <f t="shared" si="76"/>
        <v>0.1166887865303043</v>
      </c>
      <c r="E2371" s="83">
        <v>1.0964912280702391E-3</v>
      </c>
      <c r="F2371" s="83">
        <v>2363</v>
      </c>
      <c r="G2371" s="83">
        <f t="shared" ca="1" si="77"/>
        <v>-1.5812537897961675E-2</v>
      </c>
    </row>
    <row r="2372" spans="2:7" x14ac:dyDescent="0.2">
      <c r="B2372" s="167">
        <v>45040</v>
      </c>
      <c r="C2372" s="28">
        <v>384.27</v>
      </c>
      <c r="D2372" s="83">
        <f t="shared" si="76"/>
        <v>0.38675568386863929</v>
      </c>
      <c r="E2372" s="83">
        <v>1.0941774130518668E-3</v>
      </c>
      <c r="F2372" s="83">
        <v>2364</v>
      </c>
      <c r="G2372" s="83">
        <f t="shared" ca="1" si="77"/>
        <v>3.5847647688537639E-3</v>
      </c>
    </row>
    <row r="2373" spans="2:7" x14ac:dyDescent="0.2">
      <c r="B2373" s="167">
        <v>42773</v>
      </c>
      <c r="C2373" s="28">
        <v>277.10000000000002</v>
      </c>
      <c r="D2373" s="83">
        <f t="shared" si="76"/>
        <v>0.86725067385444754</v>
      </c>
      <c r="E2373" s="83">
        <v>1.0838150289017752E-3</v>
      </c>
      <c r="F2373" s="83">
        <v>2365</v>
      </c>
      <c r="G2373" s="83">
        <f t="shared" ca="1" si="77"/>
        <v>-2.3165805711055618E-2</v>
      </c>
    </row>
    <row r="2374" spans="2:7" x14ac:dyDescent="0.2">
      <c r="B2374" s="167">
        <v>40989</v>
      </c>
      <c r="C2374" s="28">
        <v>148.4</v>
      </c>
      <c r="D2374" s="83">
        <f t="shared" si="76"/>
        <v>-0.46848137535816614</v>
      </c>
      <c r="E2374" s="83">
        <v>1.0793308148947423E-3</v>
      </c>
      <c r="F2374" s="83">
        <v>2366</v>
      </c>
      <c r="G2374" s="83">
        <f t="shared" ca="1" si="77"/>
        <v>-5.1968213214033266E-3</v>
      </c>
    </row>
    <row r="2375" spans="2:7" x14ac:dyDescent="0.2">
      <c r="B2375" s="167">
        <v>43490</v>
      </c>
      <c r="C2375" s="28">
        <v>279.2</v>
      </c>
      <c r="D2375" s="83">
        <f t="shared" si="76"/>
        <v>-0.36591569767441862</v>
      </c>
      <c r="E2375" s="83">
        <v>1.0756543564001842E-3</v>
      </c>
      <c r="F2375" s="83">
        <v>2367</v>
      </c>
      <c r="G2375" s="83">
        <f t="shared" ca="1" si="77"/>
        <v>-2.1739656385740603E-3</v>
      </c>
    </row>
    <row r="2376" spans="2:7" x14ac:dyDescent="0.2">
      <c r="B2376" s="167">
        <v>45636</v>
      </c>
      <c r="C2376" s="28">
        <v>440.32</v>
      </c>
      <c r="D2376" s="83">
        <f t="shared" si="76"/>
        <v>0.80141553819089306</v>
      </c>
      <c r="E2376" s="83">
        <v>1.0685460952596804E-3</v>
      </c>
      <c r="F2376" s="83">
        <v>2368</v>
      </c>
      <c r="G2376" s="83">
        <f t="shared" ca="1" si="77"/>
        <v>-1.8057027852800493E-2</v>
      </c>
    </row>
    <row r="2377" spans="2:7" x14ac:dyDescent="0.2">
      <c r="B2377" s="167">
        <v>42004</v>
      </c>
      <c r="C2377" s="28">
        <v>244.43</v>
      </c>
      <c r="D2377" s="83">
        <f t="shared" ref="D2377:D2440" si="78">(C2377-C2378)/C2378</f>
        <v>-9.400801111746496E-4</v>
      </c>
      <c r="E2377" s="83">
        <v>1.0648318794283464E-3</v>
      </c>
      <c r="F2377" s="83">
        <v>2369</v>
      </c>
      <c r="G2377" s="83">
        <f t="shared" ref="G2377:G2440" ca="1" si="79">_xlfn.NORM.INV(RAND(),$M$10,$M$11)</f>
        <v>1.7962012972479527E-2</v>
      </c>
    </row>
    <row r="2378" spans="2:7" x14ac:dyDescent="0.2">
      <c r="B2378" s="167">
        <v>41474</v>
      </c>
      <c r="C2378" s="28">
        <v>244.66</v>
      </c>
      <c r="D2378" s="83">
        <f t="shared" si="78"/>
        <v>3.955810495007437E-2</v>
      </c>
      <c r="E2378" s="83">
        <v>1.0638297872340053E-3</v>
      </c>
      <c r="F2378" s="83">
        <v>2370</v>
      </c>
      <c r="G2378" s="83">
        <f t="shared" ca="1" si="79"/>
        <v>3.1708489324258748E-3</v>
      </c>
    </row>
    <row r="2379" spans="2:7" x14ac:dyDescent="0.2">
      <c r="B2379" s="167">
        <v>43837</v>
      </c>
      <c r="C2379" s="28">
        <v>235.35</v>
      </c>
      <c r="D2379" s="83">
        <f t="shared" si="78"/>
        <v>-1.1757295821960997E-2</v>
      </c>
      <c r="E2379" s="83">
        <v>1.0633772862611655E-3</v>
      </c>
      <c r="F2379" s="83">
        <v>2371</v>
      </c>
      <c r="G2379" s="83">
        <f t="shared" ca="1" si="79"/>
        <v>1.019425117382906E-2</v>
      </c>
    </row>
    <row r="2380" spans="2:7" x14ac:dyDescent="0.2">
      <c r="B2380" s="167">
        <v>43854</v>
      </c>
      <c r="C2380" s="28">
        <v>238.15</v>
      </c>
      <c r="D2380" s="83">
        <f t="shared" si="78"/>
        <v>-2.3041474654377169E-3</v>
      </c>
      <c r="E2380" s="83">
        <v>1.0508617065994115E-3</v>
      </c>
      <c r="F2380" s="83">
        <v>2372</v>
      </c>
      <c r="G2380" s="83">
        <f t="shared" ca="1" si="79"/>
        <v>1.4531290605557448E-2</v>
      </c>
    </row>
    <row r="2381" spans="2:7" x14ac:dyDescent="0.2">
      <c r="B2381" s="167">
        <v>44466</v>
      </c>
      <c r="C2381" s="28">
        <v>238.7</v>
      </c>
      <c r="D2381" s="83">
        <f t="shared" si="78"/>
        <v>1.7528543420597396</v>
      </c>
      <c r="E2381" s="83">
        <v>1.0484378276368212E-3</v>
      </c>
      <c r="F2381" s="83">
        <v>2373</v>
      </c>
      <c r="G2381" s="83">
        <f t="shared" ca="1" si="79"/>
        <v>5.6581474073443753E-4</v>
      </c>
    </row>
    <row r="2382" spans="2:7" x14ac:dyDescent="0.2">
      <c r="B2382" s="167">
        <v>40259</v>
      </c>
      <c r="C2382" s="28">
        <v>86.71</v>
      </c>
      <c r="D2382" s="83">
        <f t="shared" si="78"/>
        <v>-0.55315640298892044</v>
      </c>
      <c r="E2382" s="83">
        <v>1.0390210113136596E-3</v>
      </c>
      <c r="F2382" s="83">
        <v>2374</v>
      </c>
      <c r="G2382" s="83">
        <f t="shared" ca="1" si="79"/>
        <v>1.1227980269446349E-2</v>
      </c>
    </row>
    <row r="2383" spans="2:7" x14ac:dyDescent="0.2">
      <c r="B2383" s="167">
        <v>44029</v>
      </c>
      <c r="C2383" s="28">
        <v>194.05</v>
      </c>
      <c r="D2383" s="83">
        <f t="shared" si="78"/>
        <v>0.2482310562202496</v>
      </c>
      <c r="E2383" s="83">
        <v>1.0317255610008617E-3</v>
      </c>
      <c r="F2383" s="83">
        <v>2375</v>
      </c>
      <c r="G2383" s="83">
        <f t="shared" ca="1" si="79"/>
        <v>-1.5714000443952337E-3</v>
      </c>
    </row>
    <row r="2384" spans="2:7" x14ac:dyDescent="0.2">
      <c r="B2384" s="167">
        <v>41043</v>
      </c>
      <c r="C2384" s="28">
        <v>155.46</v>
      </c>
      <c r="D2384" s="83">
        <f t="shared" si="78"/>
        <v>-0.6341687257324391</v>
      </c>
      <c r="E2384" s="83">
        <v>1.0302640051512979E-3</v>
      </c>
      <c r="F2384" s="83">
        <v>2376</v>
      </c>
      <c r="G2384" s="83">
        <f t="shared" ca="1" si="79"/>
        <v>-1.2697647901997424E-2</v>
      </c>
    </row>
    <row r="2385" spans="2:7" x14ac:dyDescent="0.2">
      <c r="B2385" s="167">
        <v>45152</v>
      </c>
      <c r="C2385" s="28">
        <v>424.95</v>
      </c>
      <c r="D2385" s="83">
        <f t="shared" si="78"/>
        <v>1.1495776215286559</v>
      </c>
      <c r="E2385" s="83">
        <v>1.0129086968811995E-3</v>
      </c>
      <c r="F2385" s="83">
        <v>2377</v>
      </c>
      <c r="G2385" s="83">
        <f t="shared" ca="1" si="79"/>
        <v>3.804746671200647E-2</v>
      </c>
    </row>
    <row r="2386" spans="2:7" x14ac:dyDescent="0.2">
      <c r="B2386" s="167">
        <v>41514</v>
      </c>
      <c r="C2386" s="28">
        <v>197.69</v>
      </c>
      <c r="D2386" s="83">
        <f t="shared" si="78"/>
        <v>-0.53654819954988753</v>
      </c>
      <c r="E2386" s="83">
        <v>1.01270950427864E-3</v>
      </c>
      <c r="F2386" s="83">
        <v>2378</v>
      </c>
      <c r="G2386" s="83">
        <f t="shared" ca="1" si="79"/>
        <v>-3.7138107876016763E-3</v>
      </c>
    </row>
    <row r="2387" spans="2:7" x14ac:dyDescent="0.2">
      <c r="B2387" s="167">
        <v>45162</v>
      </c>
      <c r="C2387" s="28">
        <v>426.56</v>
      </c>
      <c r="D2387" s="83">
        <f t="shared" si="78"/>
        <v>-1.2175704785988147E-3</v>
      </c>
      <c r="E2387" s="83">
        <v>1.0090817356206013E-3</v>
      </c>
      <c r="F2387" s="83">
        <v>2379</v>
      </c>
      <c r="G2387" s="83">
        <f t="shared" ca="1" si="79"/>
        <v>-1.2836181474150997E-2</v>
      </c>
    </row>
    <row r="2388" spans="2:7" x14ac:dyDescent="0.2">
      <c r="B2388" s="167">
        <v>45281</v>
      </c>
      <c r="C2388" s="28">
        <v>427.08</v>
      </c>
      <c r="D2388" s="83">
        <f t="shared" si="78"/>
        <v>13.30753768844221</v>
      </c>
      <c r="E2388" s="83">
        <v>1.0078518692136571E-3</v>
      </c>
      <c r="F2388" s="83">
        <v>2380</v>
      </c>
      <c r="G2388" s="83">
        <f t="shared" ca="1" si="79"/>
        <v>4.1920681385910104E-2</v>
      </c>
    </row>
    <row r="2389" spans="2:7" x14ac:dyDescent="0.2">
      <c r="B2389" s="167">
        <v>38447</v>
      </c>
      <c r="C2389" s="28">
        <v>29.85</v>
      </c>
      <c r="D2389" s="83">
        <f t="shared" si="78"/>
        <v>-0.85009039775010042</v>
      </c>
      <c r="E2389" s="83">
        <v>1.006036217303861E-3</v>
      </c>
      <c r="F2389" s="83">
        <v>2381</v>
      </c>
      <c r="G2389" s="83">
        <f t="shared" ca="1" si="79"/>
        <v>3.5851731698311975E-2</v>
      </c>
    </row>
    <row r="2390" spans="2:7" x14ac:dyDescent="0.2">
      <c r="B2390" s="167">
        <v>41318</v>
      </c>
      <c r="C2390" s="28">
        <v>199.12</v>
      </c>
      <c r="D2390" s="83">
        <f t="shared" si="78"/>
        <v>-0.43778411497303554</v>
      </c>
      <c r="E2390" s="83">
        <v>1.005429318319008E-3</v>
      </c>
      <c r="F2390" s="83">
        <v>2382</v>
      </c>
      <c r="G2390" s="83">
        <f t="shared" ca="1" si="79"/>
        <v>-9.1750491963669568E-3</v>
      </c>
    </row>
    <row r="2391" spans="2:7" x14ac:dyDescent="0.2">
      <c r="B2391" s="167">
        <v>44876</v>
      </c>
      <c r="C2391" s="28">
        <v>354.17</v>
      </c>
      <c r="D2391" s="83">
        <f t="shared" si="78"/>
        <v>1.0425028835063437</v>
      </c>
      <c r="E2391" s="83">
        <v>9.8920354982766031E-4</v>
      </c>
      <c r="F2391" s="83">
        <v>2383</v>
      </c>
      <c r="G2391" s="83">
        <f t="shared" ca="1" si="79"/>
        <v>2.1644139371372273E-2</v>
      </c>
    </row>
    <row r="2392" spans="2:7" x14ac:dyDescent="0.2">
      <c r="B2392" s="167">
        <v>41129</v>
      </c>
      <c r="C2392" s="28">
        <v>173.4</v>
      </c>
      <c r="D2392" s="83">
        <f t="shared" si="78"/>
        <v>2.3933463796477499</v>
      </c>
      <c r="E2392" s="83">
        <v>9.8135426889116154E-4</v>
      </c>
      <c r="F2392" s="83">
        <v>2384</v>
      </c>
      <c r="G2392" s="83">
        <f t="shared" ca="1" si="79"/>
        <v>-2.2490771205062432E-2</v>
      </c>
    </row>
    <row r="2393" spans="2:7" x14ac:dyDescent="0.2">
      <c r="B2393" s="167">
        <v>39258</v>
      </c>
      <c r="C2393" s="28">
        <v>51.1</v>
      </c>
      <c r="D2393" s="83">
        <f t="shared" si="78"/>
        <v>-0.75139868645098518</v>
      </c>
      <c r="E2393" s="83">
        <v>9.7943192948098459E-4</v>
      </c>
      <c r="F2393" s="83">
        <v>2385</v>
      </c>
      <c r="G2393" s="83">
        <f t="shared" ca="1" si="79"/>
        <v>6.039899726862541E-2</v>
      </c>
    </row>
    <row r="2394" spans="2:7" x14ac:dyDescent="0.2">
      <c r="B2394" s="167">
        <v>44326</v>
      </c>
      <c r="C2394" s="28">
        <v>205.55</v>
      </c>
      <c r="D2394" s="83">
        <f t="shared" si="78"/>
        <v>1.4954473716158796</v>
      </c>
      <c r="E2394" s="83">
        <v>9.7394691989294887E-4</v>
      </c>
      <c r="F2394" s="83">
        <v>2386</v>
      </c>
      <c r="G2394" s="83">
        <f t="shared" ca="1" si="79"/>
        <v>8.3312503450696431E-3</v>
      </c>
    </row>
    <row r="2395" spans="2:7" x14ac:dyDescent="0.2">
      <c r="B2395" s="167">
        <v>40228</v>
      </c>
      <c r="C2395" s="28">
        <v>82.37</v>
      </c>
      <c r="D2395" s="83">
        <f t="shared" si="78"/>
        <v>0.59662725334367128</v>
      </c>
      <c r="E2395" s="83">
        <v>9.721715882853116E-4</v>
      </c>
      <c r="F2395" s="83">
        <v>2387</v>
      </c>
      <c r="G2395" s="83">
        <f t="shared" ca="1" si="79"/>
        <v>3.1315318698702708E-3</v>
      </c>
    </row>
    <row r="2396" spans="2:7" x14ac:dyDescent="0.2">
      <c r="B2396" s="167">
        <v>39272</v>
      </c>
      <c r="C2396" s="28">
        <v>51.59</v>
      </c>
      <c r="D2396" s="83">
        <f t="shared" si="78"/>
        <v>-0.80042553191489363</v>
      </c>
      <c r="E2396" s="83">
        <v>9.7012029491665239E-4</v>
      </c>
      <c r="F2396" s="83">
        <v>2388</v>
      </c>
      <c r="G2396" s="83">
        <f t="shared" ca="1" si="79"/>
        <v>2.8174761206910856E-2</v>
      </c>
    </row>
    <row r="2397" spans="2:7" x14ac:dyDescent="0.2">
      <c r="B2397" s="167">
        <v>43193</v>
      </c>
      <c r="C2397" s="28">
        <v>258.5</v>
      </c>
      <c r="D2397" s="83">
        <f t="shared" si="78"/>
        <v>0.24879227053140096</v>
      </c>
      <c r="E2397" s="83">
        <v>9.6805421103581804E-4</v>
      </c>
      <c r="F2397" s="83">
        <v>2389</v>
      </c>
      <c r="G2397" s="83">
        <f t="shared" ca="1" si="79"/>
        <v>-1.0640505967970055E-2</v>
      </c>
    </row>
    <row r="2398" spans="2:7" x14ac:dyDescent="0.2">
      <c r="B2398" s="167">
        <v>44399</v>
      </c>
      <c r="C2398" s="28">
        <v>207</v>
      </c>
      <c r="D2398" s="83">
        <f t="shared" si="78"/>
        <v>2.991515618974161</v>
      </c>
      <c r="E2398" s="83">
        <v>9.6711798839452907E-4</v>
      </c>
      <c r="F2398" s="83">
        <v>2390</v>
      </c>
      <c r="G2398" s="83">
        <f t="shared" ca="1" si="79"/>
        <v>-1.9326603129311774E-2</v>
      </c>
    </row>
    <row r="2399" spans="2:7" x14ac:dyDescent="0.2">
      <c r="B2399" s="167">
        <v>39196</v>
      </c>
      <c r="C2399" s="28">
        <v>51.86</v>
      </c>
      <c r="D2399" s="83">
        <f t="shared" si="78"/>
        <v>-0.7512351897155467</v>
      </c>
      <c r="E2399" s="83">
        <v>9.6506465933212033E-4</v>
      </c>
      <c r="F2399" s="83">
        <v>2391</v>
      </c>
      <c r="G2399" s="83">
        <f t="shared" ca="1" si="79"/>
        <v>3.4151052227933215E-2</v>
      </c>
    </row>
    <row r="2400" spans="2:7" x14ac:dyDescent="0.2">
      <c r="B2400" s="167">
        <v>41592</v>
      </c>
      <c r="C2400" s="28">
        <v>208.47</v>
      </c>
      <c r="D2400" s="83">
        <f t="shared" si="78"/>
        <v>-0.53821105794790003</v>
      </c>
      <c r="E2400" s="83">
        <v>9.6029192874628425E-4</v>
      </c>
      <c r="F2400" s="83">
        <v>2392</v>
      </c>
      <c r="G2400" s="83">
        <f t="shared" ca="1" si="79"/>
        <v>9.7233909013322226E-3</v>
      </c>
    </row>
    <row r="2401" spans="2:7" x14ac:dyDescent="0.2">
      <c r="B2401" s="167">
        <v>45628</v>
      </c>
      <c r="C2401" s="28">
        <v>451.44</v>
      </c>
      <c r="D2401" s="83">
        <f t="shared" si="78"/>
        <v>1.1273267046793269</v>
      </c>
      <c r="E2401" s="83">
        <v>9.5341566705839527E-4</v>
      </c>
      <c r="F2401" s="83">
        <v>2393</v>
      </c>
      <c r="G2401" s="83">
        <f t="shared" ca="1" si="79"/>
        <v>3.2736191455474495E-4</v>
      </c>
    </row>
    <row r="2402" spans="2:7" x14ac:dyDescent="0.2">
      <c r="B2402" s="167">
        <v>41687</v>
      </c>
      <c r="C2402" s="28">
        <v>212.21</v>
      </c>
      <c r="D2402" s="83">
        <f t="shared" si="78"/>
        <v>2.3137101811367895</v>
      </c>
      <c r="E2402" s="83">
        <v>9.4335172869212329E-4</v>
      </c>
      <c r="F2402" s="83">
        <v>2394</v>
      </c>
      <c r="G2402" s="83">
        <f t="shared" ca="1" si="79"/>
        <v>2.5394800806171317E-3</v>
      </c>
    </row>
    <row r="2403" spans="2:7" x14ac:dyDescent="0.2">
      <c r="B2403" s="167">
        <v>38805</v>
      </c>
      <c r="C2403" s="28">
        <v>64.040000000000006</v>
      </c>
      <c r="D2403" s="83">
        <f t="shared" si="78"/>
        <v>-0.76144533432669015</v>
      </c>
      <c r="E2403" s="83">
        <v>9.3779306033150024E-4</v>
      </c>
      <c r="F2403" s="83">
        <v>2395</v>
      </c>
      <c r="G2403" s="83">
        <f t="shared" ca="1" si="79"/>
        <v>-4.8565274033130256E-3</v>
      </c>
    </row>
    <row r="2404" spans="2:7" x14ac:dyDescent="0.2">
      <c r="B2404" s="167">
        <v>42810</v>
      </c>
      <c r="C2404" s="28">
        <v>268.45</v>
      </c>
      <c r="D2404" s="83">
        <f t="shared" si="78"/>
        <v>-0.34282356973242922</v>
      </c>
      <c r="E2404" s="83">
        <v>9.3214019388516034E-4</v>
      </c>
      <c r="F2404" s="83">
        <v>2396</v>
      </c>
      <c r="G2404" s="83">
        <f t="shared" ca="1" si="79"/>
        <v>1.5534306476791295E-2</v>
      </c>
    </row>
    <row r="2405" spans="2:7" x14ac:dyDescent="0.2">
      <c r="B2405" s="167">
        <v>45329</v>
      </c>
      <c r="C2405" s="28">
        <v>408.49</v>
      </c>
      <c r="D2405" s="83">
        <f t="shared" si="78"/>
        <v>0.13570395907473309</v>
      </c>
      <c r="E2405" s="83">
        <v>9.3112151135722092E-4</v>
      </c>
      <c r="F2405" s="83">
        <v>2397</v>
      </c>
      <c r="G2405" s="83">
        <f t="shared" ca="1" si="79"/>
        <v>5.767930728451505E-3</v>
      </c>
    </row>
    <row r="2406" spans="2:7" x14ac:dyDescent="0.2">
      <c r="B2406" s="167">
        <v>44973</v>
      </c>
      <c r="C2406" s="28">
        <v>359.68</v>
      </c>
      <c r="D2406" s="83">
        <f t="shared" si="78"/>
        <v>0.31702673013548144</v>
      </c>
      <c r="E2406" s="83">
        <v>9.183247530262531E-4</v>
      </c>
      <c r="F2406" s="83">
        <v>2398</v>
      </c>
      <c r="G2406" s="83">
        <f t="shared" ca="1" si="79"/>
        <v>1.6121910300597113E-2</v>
      </c>
    </row>
    <row r="2407" spans="2:7" x14ac:dyDescent="0.2">
      <c r="B2407" s="167">
        <v>42957</v>
      </c>
      <c r="C2407" s="28">
        <v>273.10000000000002</v>
      </c>
      <c r="D2407" s="83">
        <f t="shared" si="78"/>
        <v>3.8533854629465081</v>
      </c>
      <c r="E2407" s="83">
        <v>9.1625435220817292E-4</v>
      </c>
      <c r="F2407" s="83">
        <v>2399</v>
      </c>
      <c r="G2407" s="83">
        <f t="shared" ca="1" si="79"/>
        <v>2.2491439644826607E-3</v>
      </c>
    </row>
    <row r="2408" spans="2:7" x14ac:dyDescent="0.2">
      <c r="B2408" s="167">
        <v>39891</v>
      </c>
      <c r="C2408" s="28">
        <v>56.27</v>
      </c>
      <c r="D2408" s="83">
        <f t="shared" si="78"/>
        <v>-0.80063773250664305</v>
      </c>
      <c r="E2408" s="83">
        <v>8.8936321593746463E-4</v>
      </c>
      <c r="F2408" s="83">
        <v>2400</v>
      </c>
      <c r="G2408" s="83">
        <f t="shared" ca="1" si="79"/>
        <v>-2.7632885864882144E-2</v>
      </c>
    </row>
    <row r="2409" spans="2:7" x14ac:dyDescent="0.2">
      <c r="B2409" s="167">
        <v>42978</v>
      </c>
      <c r="C2409" s="28">
        <v>282.25</v>
      </c>
      <c r="D2409" s="83">
        <f t="shared" si="78"/>
        <v>-0.11512054425181059</v>
      </c>
      <c r="E2409" s="83">
        <v>8.8652482269503544E-4</v>
      </c>
      <c r="F2409" s="83">
        <v>2401</v>
      </c>
      <c r="G2409" s="83">
        <f t="shared" ca="1" si="79"/>
        <v>3.5805582765247E-2</v>
      </c>
    </row>
    <row r="2410" spans="2:7" x14ac:dyDescent="0.2">
      <c r="B2410" s="167">
        <v>44951</v>
      </c>
      <c r="C2410" s="28">
        <v>318.97000000000003</v>
      </c>
      <c r="D2410" s="83">
        <f t="shared" si="78"/>
        <v>-0.26550302807009457</v>
      </c>
      <c r="E2410" s="83">
        <v>8.7859675546778863E-4</v>
      </c>
      <c r="F2410" s="83">
        <v>2402</v>
      </c>
      <c r="G2410" s="83">
        <f t="shared" ca="1" si="79"/>
        <v>5.4010224000861379E-3</v>
      </c>
    </row>
    <row r="2411" spans="2:7" x14ac:dyDescent="0.2">
      <c r="B2411" s="167">
        <v>45485</v>
      </c>
      <c r="C2411" s="28">
        <v>434.27</v>
      </c>
      <c r="D2411" s="83">
        <f t="shared" si="78"/>
        <v>6.5120221414980097</v>
      </c>
      <c r="E2411" s="83">
        <v>8.7579801332133829E-4</v>
      </c>
      <c r="F2411" s="83">
        <v>2403</v>
      </c>
      <c r="G2411" s="83">
        <f t="shared" ca="1" si="79"/>
        <v>-9.7011316610051915E-3</v>
      </c>
    </row>
    <row r="2412" spans="2:7" x14ac:dyDescent="0.2">
      <c r="B2412" s="167">
        <v>39132</v>
      </c>
      <c r="C2412" s="28">
        <v>57.81</v>
      </c>
      <c r="D2412" s="83">
        <f t="shared" si="78"/>
        <v>-0.75130135513013552</v>
      </c>
      <c r="E2412" s="83">
        <v>8.6565096952915968E-4</v>
      </c>
      <c r="F2412" s="83">
        <v>2404</v>
      </c>
      <c r="G2412" s="83">
        <f t="shared" ca="1" si="79"/>
        <v>8.4764706238247081E-4</v>
      </c>
    </row>
    <row r="2413" spans="2:7" x14ac:dyDescent="0.2">
      <c r="B2413" s="167">
        <v>44603</v>
      </c>
      <c r="C2413" s="28">
        <v>232.45</v>
      </c>
      <c r="D2413" s="83">
        <f t="shared" si="78"/>
        <v>-0.47440419662641886</v>
      </c>
      <c r="E2413" s="83">
        <v>8.6114101184063996E-4</v>
      </c>
      <c r="F2413" s="83">
        <v>2405</v>
      </c>
      <c r="G2413" s="83">
        <f t="shared" ca="1" si="79"/>
        <v>1.4923757077369579E-2</v>
      </c>
    </row>
    <row r="2414" spans="2:7" x14ac:dyDescent="0.2">
      <c r="B2414" s="167">
        <v>45631</v>
      </c>
      <c r="C2414" s="28">
        <v>442.26</v>
      </c>
      <c r="D2414" s="83">
        <f t="shared" si="78"/>
        <v>2.7658378746594003</v>
      </c>
      <c r="E2414" s="83">
        <v>8.5996198062821461E-4</v>
      </c>
      <c r="F2414" s="83">
        <v>2406</v>
      </c>
      <c r="G2414" s="83">
        <f t="shared" ca="1" si="79"/>
        <v>7.8063863035293798E-3</v>
      </c>
    </row>
    <row r="2415" spans="2:7" x14ac:dyDescent="0.2">
      <c r="B2415" s="167">
        <v>40487</v>
      </c>
      <c r="C2415" s="28">
        <v>117.44</v>
      </c>
      <c r="D2415" s="83">
        <f t="shared" si="78"/>
        <v>-0.41324006994753937</v>
      </c>
      <c r="E2415" s="83">
        <v>8.5222430543714265E-4</v>
      </c>
      <c r="F2415" s="83">
        <v>2407</v>
      </c>
      <c r="G2415" s="83">
        <f t="shared" ca="1" si="79"/>
        <v>-6.6717251221988785E-3</v>
      </c>
    </row>
    <row r="2416" spans="2:7" x14ac:dyDescent="0.2">
      <c r="B2416" s="167">
        <v>41347</v>
      </c>
      <c r="C2416" s="28">
        <v>200.15</v>
      </c>
      <c r="D2416" s="83">
        <f t="shared" si="78"/>
        <v>-0.15003397316120259</v>
      </c>
      <c r="E2416" s="83">
        <v>8.5008500850092977E-4</v>
      </c>
      <c r="F2416" s="83">
        <v>2408</v>
      </c>
      <c r="G2416" s="83">
        <f t="shared" ca="1" si="79"/>
        <v>3.2231122383693203E-2</v>
      </c>
    </row>
    <row r="2417" spans="2:7" x14ac:dyDescent="0.2">
      <c r="B2417" s="167">
        <v>41943</v>
      </c>
      <c r="C2417" s="28">
        <v>235.48</v>
      </c>
      <c r="D2417" s="83">
        <f t="shared" si="78"/>
        <v>-0.41889790982898606</v>
      </c>
      <c r="E2417" s="83">
        <v>8.5005100306013526E-4</v>
      </c>
      <c r="F2417" s="83">
        <v>2409</v>
      </c>
      <c r="G2417" s="83">
        <f t="shared" ca="1" si="79"/>
        <v>2.2939507591067554E-2</v>
      </c>
    </row>
    <row r="2418" spans="2:7" x14ac:dyDescent="0.2">
      <c r="B2418" s="167">
        <v>45379</v>
      </c>
      <c r="C2418" s="28">
        <v>405.23</v>
      </c>
      <c r="D2418" s="83">
        <f t="shared" si="78"/>
        <v>0.65806055646481187</v>
      </c>
      <c r="E2418" s="83">
        <v>8.3973424880839692E-4</v>
      </c>
      <c r="F2418" s="83">
        <v>2410</v>
      </c>
      <c r="G2418" s="83">
        <f t="shared" ca="1" si="79"/>
        <v>1.0902592571106295E-2</v>
      </c>
    </row>
    <row r="2419" spans="2:7" x14ac:dyDescent="0.2">
      <c r="B2419" s="167">
        <v>41473</v>
      </c>
      <c r="C2419" s="28">
        <v>244.4</v>
      </c>
      <c r="D2419" s="83">
        <f t="shared" si="78"/>
        <v>-0.39637926350366764</v>
      </c>
      <c r="E2419" s="83">
        <v>8.1900081900088888E-4</v>
      </c>
      <c r="F2419" s="83">
        <v>2411</v>
      </c>
      <c r="G2419" s="83">
        <f t="shared" ca="1" si="79"/>
        <v>-9.486922914528859E-3</v>
      </c>
    </row>
    <row r="2420" spans="2:7" x14ac:dyDescent="0.2">
      <c r="B2420" s="167">
        <v>45378</v>
      </c>
      <c r="C2420" s="28">
        <v>404.89</v>
      </c>
      <c r="D2420" s="83">
        <f t="shared" si="78"/>
        <v>5.5825069094456188</v>
      </c>
      <c r="E2420" s="83">
        <v>8.1570100850302571E-4</v>
      </c>
      <c r="F2420" s="83">
        <v>2412</v>
      </c>
      <c r="G2420" s="83">
        <f t="shared" ca="1" si="79"/>
        <v>-1.4662630978608563E-2</v>
      </c>
    </row>
    <row r="2421" spans="2:7" x14ac:dyDescent="0.2">
      <c r="B2421" s="167">
        <v>39490</v>
      </c>
      <c r="C2421" s="28">
        <v>61.51</v>
      </c>
      <c r="D2421" s="83">
        <f t="shared" si="78"/>
        <v>-0.7059751434034417</v>
      </c>
      <c r="E2421" s="83">
        <v>8.1353726000646203E-4</v>
      </c>
      <c r="F2421" s="83">
        <v>2413</v>
      </c>
      <c r="G2421" s="83">
        <f t="shared" ca="1" si="79"/>
        <v>-2.3244114989707992E-2</v>
      </c>
    </row>
    <row r="2422" spans="2:7" x14ac:dyDescent="0.2">
      <c r="B2422" s="167">
        <v>41626</v>
      </c>
      <c r="C2422" s="28">
        <v>209.2</v>
      </c>
      <c r="D2422" s="83">
        <f t="shared" si="78"/>
        <v>-0.32286777795759836</v>
      </c>
      <c r="E2422" s="83">
        <v>8.1328039037452751E-4</v>
      </c>
      <c r="F2422" s="83">
        <v>2414</v>
      </c>
      <c r="G2422" s="83">
        <f t="shared" ca="1" si="79"/>
        <v>-1.0305678483374664E-2</v>
      </c>
    </row>
    <row r="2423" spans="2:7" x14ac:dyDescent="0.2">
      <c r="B2423" s="167">
        <v>42907</v>
      </c>
      <c r="C2423" s="28">
        <v>308.95</v>
      </c>
      <c r="D2423" s="83">
        <f t="shared" si="78"/>
        <v>3.9614581660510675</v>
      </c>
      <c r="E2423" s="83">
        <v>8.0984774862325891E-4</v>
      </c>
      <c r="F2423" s="83">
        <v>2415</v>
      </c>
      <c r="G2423" s="83">
        <f t="shared" ca="1" si="79"/>
        <v>1.2921992881582439E-2</v>
      </c>
    </row>
    <row r="2424" spans="2:7" x14ac:dyDescent="0.2">
      <c r="B2424" s="167">
        <v>38993</v>
      </c>
      <c r="C2424" s="28">
        <v>62.27</v>
      </c>
      <c r="D2424" s="83">
        <f t="shared" si="78"/>
        <v>-0.64603228740336505</v>
      </c>
      <c r="E2424" s="83">
        <v>8.0360012857608914E-4</v>
      </c>
      <c r="F2424" s="83">
        <v>2416</v>
      </c>
      <c r="G2424" s="83">
        <f t="shared" ca="1" si="79"/>
        <v>3.1257586734950351E-3</v>
      </c>
    </row>
    <row r="2425" spans="2:7" x14ac:dyDescent="0.2">
      <c r="B2425" s="167">
        <v>41148</v>
      </c>
      <c r="C2425" s="28">
        <v>175.92</v>
      </c>
      <c r="D2425" s="83">
        <f t="shared" si="78"/>
        <v>0.51812219537452531</v>
      </c>
      <c r="E2425" s="83">
        <v>7.9645010808957991E-4</v>
      </c>
      <c r="F2425" s="83">
        <v>2417</v>
      </c>
      <c r="G2425" s="83">
        <f t="shared" ca="1" si="79"/>
        <v>-3.5883330393942849E-2</v>
      </c>
    </row>
    <row r="2426" spans="2:7" x14ac:dyDescent="0.2">
      <c r="B2426" s="167">
        <v>40546</v>
      </c>
      <c r="C2426" s="28">
        <v>115.88</v>
      </c>
      <c r="D2426" s="83">
        <f t="shared" si="78"/>
        <v>-0.55405041370021169</v>
      </c>
      <c r="E2426" s="83">
        <v>7.7726919423084205E-4</v>
      </c>
      <c r="F2426" s="83">
        <v>2418</v>
      </c>
      <c r="G2426" s="83">
        <f t="shared" ca="1" si="79"/>
        <v>-1.8070622471571415E-2</v>
      </c>
    </row>
    <row r="2427" spans="2:7" x14ac:dyDescent="0.2">
      <c r="B2427" s="167">
        <v>42759</v>
      </c>
      <c r="C2427" s="28">
        <v>259.85000000000002</v>
      </c>
      <c r="D2427" s="83">
        <f t="shared" si="78"/>
        <v>-9.9066488855018703E-3</v>
      </c>
      <c r="E2427" s="83">
        <v>7.7026766801481029E-4</v>
      </c>
      <c r="F2427" s="83">
        <v>2419</v>
      </c>
      <c r="G2427" s="83">
        <f t="shared" ca="1" si="79"/>
        <v>-9.6281740244353268E-3</v>
      </c>
    </row>
    <row r="2428" spans="2:7" x14ac:dyDescent="0.2">
      <c r="B2428" s="167">
        <v>43004</v>
      </c>
      <c r="C2428" s="28">
        <v>262.45</v>
      </c>
      <c r="D2428" s="83">
        <f t="shared" si="78"/>
        <v>-1.3318112633181991E-3</v>
      </c>
      <c r="E2428" s="83">
        <v>7.6263107721635326E-4</v>
      </c>
      <c r="F2428" s="83">
        <v>2420</v>
      </c>
      <c r="G2428" s="83">
        <f t="shared" ca="1" si="79"/>
        <v>-2.3602678664060718E-2</v>
      </c>
    </row>
    <row r="2429" spans="2:7" x14ac:dyDescent="0.2">
      <c r="B2429" s="167">
        <v>42620</v>
      </c>
      <c r="C2429" s="28">
        <v>262.8</v>
      </c>
      <c r="D2429" s="83">
        <f t="shared" si="78"/>
        <v>-2.9542097488921712E-2</v>
      </c>
      <c r="E2429" s="83">
        <v>7.6161462300071826E-4</v>
      </c>
      <c r="F2429" s="83">
        <v>2421</v>
      </c>
      <c r="G2429" s="83">
        <f t="shared" ca="1" si="79"/>
        <v>1.6565645650123646E-2</v>
      </c>
    </row>
    <row r="2430" spans="2:7" x14ac:dyDescent="0.2">
      <c r="B2430" s="167">
        <v>42780</v>
      </c>
      <c r="C2430" s="28">
        <v>270.8</v>
      </c>
      <c r="D2430" s="83">
        <f t="shared" si="78"/>
        <v>-1.8460402436777318E-4</v>
      </c>
      <c r="E2430" s="83">
        <v>7.3909830007386776E-4</v>
      </c>
      <c r="F2430" s="83">
        <v>2422</v>
      </c>
      <c r="G2430" s="83">
        <f t="shared" ca="1" si="79"/>
        <v>1.8953097788432297E-2</v>
      </c>
    </row>
    <row r="2431" spans="2:7" x14ac:dyDescent="0.2">
      <c r="B2431" s="167">
        <v>43670</v>
      </c>
      <c r="C2431" s="28">
        <v>270.85000000000002</v>
      </c>
      <c r="D2431" s="83">
        <f t="shared" si="78"/>
        <v>-0.418140024490322</v>
      </c>
      <c r="E2431" s="83">
        <v>7.3896175872915383E-4</v>
      </c>
      <c r="F2431" s="83">
        <v>2423</v>
      </c>
      <c r="G2431" s="83">
        <f t="shared" ca="1" si="79"/>
        <v>-1.4410748571949608E-2</v>
      </c>
    </row>
    <row r="2432" spans="2:7" x14ac:dyDescent="0.2">
      <c r="B2432" s="167">
        <v>45575</v>
      </c>
      <c r="C2432" s="28">
        <v>465.49</v>
      </c>
      <c r="D2432" s="83">
        <f t="shared" si="78"/>
        <v>0.97534479100360705</v>
      </c>
      <c r="E2432" s="83">
        <v>7.3094700634210872E-4</v>
      </c>
      <c r="F2432" s="83">
        <v>2424</v>
      </c>
      <c r="G2432" s="83">
        <f t="shared" ca="1" si="79"/>
        <v>1.2810183231062772E-2</v>
      </c>
    </row>
    <row r="2433" spans="2:7" x14ac:dyDescent="0.2">
      <c r="B2433" s="167">
        <v>41946</v>
      </c>
      <c r="C2433" s="28">
        <v>235.65</v>
      </c>
      <c r="D2433" s="83">
        <f t="shared" si="78"/>
        <v>-0.10694660249365218</v>
      </c>
      <c r="E2433" s="83">
        <v>7.2192967555637815E-4</v>
      </c>
      <c r="F2433" s="83">
        <v>2425</v>
      </c>
      <c r="G2433" s="83">
        <f t="shared" ca="1" si="79"/>
        <v>-2.8816183298572932E-3</v>
      </c>
    </row>
    <row r="2434" spans="2:7" x14ac:dyDescent="0.2">
      <c r="B2434" s="167">
        <v>44735</v>
      </c>
      <c r="C2434" s="28">
        <v>263.87</v>
      </c>
      <c r="D2434" s="83">
        <f t="shared" si="78"/>
        <v>0.8922194334887058</v>
      </c>
      <c r="E2434" s="83">
        <v>7.2057038834950589E-4</v>
      </c>
      <c r="F2434" s="83">
        <v>2426</v>
      </c>
      <c r="G2434" s="83">
        <f t="shared" ca="1" si="79"/>
        <v>1.6226713623040015E-3</v>
      </c>
    </row>
    <row r="2435" spans="2:7" x14ac:dyDescent="0.2">
      <c r="B2435" s="167">
        <v>40851</v>
      </c>
      <c r="C2435" s="28">
        <v>139.44999999999999</v>
      </c>
      <c r="D2435" s="83">
        <f t="shared" si="78"/>
        <v>0.62245491564863276</v>
      </c>
      <c r="E2435" s="83">
        <v>7.1761750986720004E-4</v>
      </c>
      <c r="F2435" s="83">
        <v>2427</v>
      </c>
      <c r="G2435" s="83">
        <f t="shared" ca="1" si="79"/>
        <v>-7.7866062464771848E-3</v>
      </c>
    </row>
    <row r="2436" spans="2:7" x14ac:dyDescent="0.2">
      <c r="B2436" s="167">
        <v>40115</v>
      </c>
      <c r="C2436" s="28">
        <v>85.95</v>
      </c>
      <c r="D2436" s="83">
        <f t="shared" si="78"/>
        <v>0.43921634293369061</v>
      </c>
      <c r="E2436" s="83">
        <v>6.9856793573177633E-4</v>
      </c>
      <c r="F2436" s="83">
        <v>2428</v>
      </c>
      <c r="G2436" s="83">
        <f t="shared" ca="1" si="79"/>
        <v>-5.3346951414115357E-3</v>
      </c>
    </row>
    <row r="2437" spans="2:7" x14ac:dyDescent="0.2">
      <c r="B2437" s="167">
        <v>38954</v>
      </c>
      <c r="C2437" s="28">
        <v>59.72</v>
      </c>
      <c r="D2437" s="83">
        <f t="shared" si="78"/>
        <v>-0.60334750265674819</v>
      </c>
      <c r="E2437" s="83">
        <v>6.7024128686325648E-4</v>
      </c>
      <c r="F2437" s="83">
        <v>2429</v>
      </c>
      <c r="G2437" s="83">
        <f t="shared" ca="1" si="79"/>
        <v>3.5145094266380537E-2</v>
      </c>
    </row>
    <row r="2438" spans="2:7" x14ac:dyDescent="0.2">
      <c r="B2438" s="167">
        <v>41002</v>
      </c>
      <c r="C2438" s="28">
        <v>150.56</v>
      </c>
      <c r="D2438" s="83">
        <f t="shared" si="78"/>
        <v>-0.67273122486686232</v>
      </c>
      <c r="E2438" s="83">
        <v>6.6462847268373201E-4</v>
      </c>
      <c r="F2438" s="83">
        <v>2430</v>
      </c>
      <c r="G2438" s="83">
        <f t="shared" ca="1" si="79"/>
        <v>2.5814773699722984E-3</v>
      </c>
    </row>
    <row r="2439" spans="2:7" x14ac:dyDescent="0.2">
      <c r="B2439" s="167">
        <v>45510</v>
      </c>
      <c r="C2439" s="28">
        <v>460.05</v>
      </c>
      <c r="D2439" s="83">
        <f t="shared" si="78"/>
        <v>1.040947606583559</v>
      </c>
      <c r="E2439" s="83">
        <v>6.3076387680533429E-4</v>
      </c>
      <c r="F2439" s="83">
        <v>2431</v>
      </c>
      <c r="G2439" s="83">
        <f t="shared" ca="1" si="79"/>
        <v>1.6941329313674394E-2</v>
      </c>
    </row>
    <row r="2440" spans="2:7" x14ac:dyDescent="0.2">
      <c r="B2440" s="167">
        <v>41562</v>
      </c>
      <c r="C2440" s="28">
        <v>225.41</v>
      </c>
      <c r="D2440" s="83">
        <f t="shared" si="78"/>
        <v>7.5121625488886776E-2</v>
      </c>
      <c r="E2440" s="83">
        <v>6.2147645048158371E-4</v>
      </c>
      <c r="F2440" s="83">
        <v>2432</v>
      </c>
      <c r="G2440" s="83">
        <f t="shared" ca="1" si="79"/>
        <v>2.8096362908610092E-3</v>
      </c>
    </row>
    <row r="2441" spans="2:7" x14ac:dyDescent="0.2">
      <c r="B2441" s="167">
        <v>41816</v>
      </c>
      <c r="C2441" s="28">
        <v>209.66</v>
      </c>
      <c r="D2441" s="83">
        <f t="shared" ref="D2441:D2504" si="80">(C2441-C2442)/C2442</f>
        <v>-6.1151931737378155E-3</v>
      </c>
      <c r="E2441" s="83">
        <v>6.2043621438455333E-4</v>
      </c>
      <c r="F2441" s="83">
        <v>2433</v>
      </c>
      <c r="G2441" s="83">
        <f t="shared" ref="G2441:G2504" ca="1" si="81">_xlfn.NORM.INV(RAND(),$M$10,$M$11)</f>
        <v>-4.1853274620877092E-3</v>
      </c>
    </row>
    <row r="2442" spans="2:7" x14ac:dyDescent="0.2">
      <c r="B2442" s="167">
        <v>42502</v>
      </c>
      <c r="C2442" s="28">
        <v>210.95</v>
      </c>
      <c r="D2442" s="83">
        <f t="shared" si="80"/>
        <v>-0.13580499795165918</v>
      </c>
      <c r="E2442" s="83">
        <v>6.1663978749642093E-4</v>
      </c>
      <c r="F2442" s="83">
        <v>2434</v>
      </c>
      <c r="G2442" s="83">
        <f t="shared" ca="1" si="81"/>
        <v>4.827949255612818E-3</v>
      </c>
    </row>
    <row r="2443" spans="2:7" x14ac:dyDescent="0.2">
      <c r="B2443" s="167">
        <v>43752</v>
      </c>
      <c r="C2443" s="28">
        <v>244.1</v>
      </c>
      <c r="D2443" s="83">
        <f t="shared" si="80"/>
        <v>-0.34891040516390609</v>
      </c>
      <c r="E2443" s="83">
        <v>6.1488009838083911E-4</v>
      </c>
      <c r="F2443" s="83">
        <v>2435</v>
      </c>
      <c r="G2443" s="83">
        <f t="shared" ca="1" si="81"/>
        <v>-2.16629409219103E-2</v>
      </c>
    </row>
    <row r="2444" spans="2:7" x14ac:dyDescent="0.2">
      <c r="B2444" s="167">
        <v>45035</v>
      </c>
      <c r="C2444" s="28">
        <v>374.91</v>
      </c>
      <c r="D2444" s="83">
        <f t="shared" si="80"/>
        <v>-0.18109737451400107</v>
      </c>
      <c r="E2444" s="83">
        <v>6.1385715810830096E-4</v>
      </c>
      <c r="F2444" s="83">
        <v>2436</v>
      </c>
      <c r="G2444" s="83">
        <f t="shared" ca="1" si="81"/>
        <v>5.2005020072400853E-3</v>
      </c>
    </row>
    <row r="2445" spans="2:7" x14ac:dyDescent="0.2">
      <c r="B2445" s="167">
        <v>45658</v>
      </c>
      <c r="C2445" s="28">
        <v>457.82</v>
      </c>
      <c r="D2445" s="83">
        <f t="shared" si="80"/>
        <v>1.7788770864946888</v>
      </c>
      <c r="E2445" s="83">
        <v>6.1196835249371136E-4</v>
      </c>
      <c r="F2445" s="83">
        <v>2437</v>
      </c>
      <c r="G2445" s="83">
        <f t="shared" ca="1" si="81"/>
        <v>1.243331334679735E-3</v>
      </c>
    </row>
    <row r="2446" spans="2:7" x14ac:dyDescent="0.2">
      <c r="B2446" s="167">
        <v>43969</v>
      </c>
      <c r="C2446" s="28">
        <v>164.75</v>
      </c>
      <c r="D2446" s="83">
        <f t="shared" si="80"/>
        <v>0.42283444166162876</v>
      </c>
      <c r="E2446" s="83">
        <v>6.0734892195562899E-4</v>
      </c>
      <c r="F2446" s="83">
        <v>2438</v>
      </c>
      <c r="G2446" s="83">
        <f t="shared" ca="1" si="81"/>
        <v>2.7758296383353979E-2</v>
      </c>
    </row>
    <row r="2447" spans="2:7" x14ac:dyDescent="0.2">
      <c r="B2447" s="167">
        <v>40543</v>
      </c>
      <c r="C2447" s="28">
        <v>115.79</v>
      </c>
      <c r="D2447" s="83">
        <f t="shared" si="80"/>
        <v>-0.53469961824392209</v>
      </c>
      <c r="E2447" s="83">
        <v>6.0490839958526952E-4</v>
      </c>
      <c r="F2447" s="83">
        <v>2439</v>
      </c>
      <c r="G2447" s="83">
        <f t="shared" ca="1" si="81"/>
        <v>1.9172574131417257E-2</v>
      </c>
    </row>
    <row r="2448" spans="2:7" x14ac:dyDescent="0.2">
      <c r="B2448" s="167">
        <v>42566</v>
      </c>
      <c r="C2448" s="28">
        <v>248.85</v>
      </c>
      <c r="D2448" s="83">
        <f t="shared" si="80"/>
        <v>-8.0305159606511561E-4</v>
      </c>
      <c r="E2448" s="83">
        <v>6.0313630880581295E-4</v>
      </c>
      <c r="F2448" s="83">
        <v>2440</v>
      </c>
      <c r="G2448" s="83">
        <f t="shared" ca="1" si="81"/>
        <v>-3.1414989159593745E-2</v>
      </c>
    </row>
    <row r="2449" spans="2:7" x14ac:dyDescent="0.2">
      <c r="B2449" s="167">
        <v>42570</v>
      </c>
      <c r="C2449" s="28">
        <v>249.05</v>
      </c>
      <c r="D2449" s="83">
        <f t="shared" si="80"/>
        <v>0.14970916812852</v>
      </c>
      <c r="E2449" s="83">
        <v>6.0265166733630248E-4</v>
      </c>
      <c r="F2449" s="83">
        <v>2441</v>
      </c>
      <c r="G2449" s="83">
        <f t="shared" ca="1" si="81"/>
        <v>-4.4437181264729538E-3</v>
      </c>
    </row>
    <row r="2450" spans="2:7" x14ac:dyDescent="0.2">
      <c r="B2450" s="167">
        <v>42088</v>
      </c>
      <c r="C2450" s="28">
        <v>216.62</v>
      </c>
      <c r="D2450" s="83">
        <f t="shared" si="80"/>
        <v>-3.484227410443768E-2</v>
      </c>
      <c r="E2450" s="83">
        <v>6.0048963000598385E-4</v>
      </c>
      <c r="F2450" s="83">
        <v>2442</v>
      </c>
      <c r="G2450" s="83">
        <f t="shared" ca="1" si="81"/>
        <v>1.2086020526110517E-2</v>
      </c>
    </row>
    <row r="2451" spans="2:7" x14ac:dyDescent="0.2">
      <c r="B2451" s="167">
        <v>42073</v>
      </c>
      <c r="C2451" s="28">
        <v>224.44</v>
      </c>
      <c r="D2451" s="83">
        <f t="shared" si="80"/>
        <v>-0.13543913713405248</v>
      </c>
      <c r="E2451" s="83">
        <v>5.7955508002316197E-4</v>
      </c>
      <c r="F2451" s="83">
        <v>2443</v>
      </c>
      <c r="G2451" s="83">
        <f t="shared" ca="1" si="81"/>
        <v>2.1180037517763732E-3</v>
      </c>
    </row>
    <row r="2452" spans="2:7" x14ac:dyDescent="0.2">
      <c r="B2452" s="167">
        <v>44657</v>
      </c>
      <c r="C2452" s="28">
        <v>259.60000000000002</v>
      </c>
      <c r="D2452" s="83">
        <f t="shared" si="80"/>
        <v>0.15152590489709025</v>
      </c>
      <c r="E2452" s="83">
        <v>5.7814607824256735E-4</v>
      </c>
      <c r="F2452" s="83">
        <v>2444</v>
      </c>
      <c r="G2452" s="83">
        <f t="shared" ca="1" si="81"/>
        <v>1.2862340807284291E-2</v>
      </c>
    </row>
    <row r="2453" spans="2:7" x14ac:dyDescent="0.2">
      <c r="B2453" s="167">
        <v>41554</v>
      </c>
      <c r="C2453" s="28">
        <v>225.44</v>
      </c>
      <c r="D2453" s="83">
        <f t="shared" si="80"/>
        <v>-0.14686849574266794</v>
      </c>
      <c r="E2453" s="83">
        <v>5.7698282366515222E-4</v>
      </c>
      <c r="F2453" s="83">
        <v>2445</v>
      </c>
      <c r="G2453" s="83">
        <f t="shared" ca="1" si="81"/>
        <v>-2.5286802919953902E-2</v>
      </c>
    </row>
    <row r="2454" spans="2:7" x14ac:dyDescent="0.2">
      <c r="B2454" s="167">
        <v>42801</v>
      </c>
      <c r="C2454" s="28">
        <v>264.25</v>
      </c>
      <c r="D2454" s="83">
        <f t="shared" si="80"/>
        <v>0.15116532345894135</v>
      </c>
      <c r="E2454" s="83">
        <v>5.6796667928806226E-4</v>
      </c>
      <c r="F2454" s="83">
        <v>2446</v>
      </c>
      <c r="G2454" s="83">
        <f t="shared" ca="1" si="81"/>
        <v>5.3094243467898705E-2</v>
      </c>
    </row>
    <row r="2455" spans="2:7" x14ac:dyDescent="0.2">
      <c r="B2455" s="167">
        <v>41858</v>
      </c>
      <c r="C2455" s="28">
        <v>229.55</v>
      </c>
      <c r="D2455" s="83">
        <f t="shared" si="80"/>
        <v>2.1859819569743233</v>
      </c>
      <c r="E2455" s="83">
        <v>5.6664632551662404E-4</v>
      </c>
      <c r="F2455" s="83">
        <v>2447</v>
      </c>
      <c r="G2455" s="83">
        <f t="shared" ca="1" si="81"/>
        <v>-3.4048690223941469E-3</v>
      </c>
    </row>
    <row r="2456" spans="2:7" x14ac:dyDescent="0.2">
      <c r="B2456" s="167">
        <v>40010</v>
      </c>
      <c r="C2456" s="28">
        <v>72.05</v>
      </c>
      <c r="D2456" s="83">
        <f t="shared" si="80"/>
        <v>-0.42876397367795133</v>
      </c>
      <c r="E2456" s="83">
        <v>5.5547840577686489E-4</v>
      </c>
      <c r="F2456" s="83">
        <v>2448</v>
      </c>
      <c r="G2456" s="83">
        <f t="shared" ca="1" si="81"/>
        <v>-2.1073255774043939E-2</v>
      </c>
    </row>
    <row r="2457" spans="2:7" x14ac:dyDescent="0.2">
      <c r="B2457" s="167">
        <v>40658</v>
      </c>
      <c r="C2457" s="28">
        <v>126.13</v>
      </c>
      <c r="D2457" s="83">
        <f t="shared" si="80"/>
        <v>-0.53739226114065652</v>
      </c>
      <c r="E2457" s="83">
        <v>5.5529113120730746E-4</v>
      </c>
      <c r="F2457" s="83">
        <v>2449</v>
      </c>
      <c r="G2457" s="83">
        <f t="shared" ca="1" si="81"/>
        <v>-2.0251586134750741E-3</v>
      </c>
    </row>
    <row r="2458" spans="2:7" x14ac:dyDescent="0.2">
      <c r="B2458" s="167">
        <v>43287</v>
      </c>
      <c r="C2458" s="28">
        <v>272.64999999999998</v>
      </c>
      <c r="D2458" s="83">
        <f t="shared" si="80"/>
        <v>-3.5379444542720684E-2</v>
      </c>
      <c r="E2458" s="83">
        <v>5.5045871559624684E-4</v>
      </c>
      <c r="F2458" s="83">
        <v>2450</v>
      </c>
      <c r="G2458" s="83">
        <f t="shared" ca="1" si="81"/>
        <v>-2.7660963516963982E-2</v>
      </c>
    </row>
    <row r="2459" spans="2:7" x14ac:dyDescent="0.2">
      <c r="B2459" s="167">
        <v>43389</v>
      </c>
      <c r="C2459" s="28">
        <v>282.64999999999998</v>
      </c>
      <c r="D2459" s="83">
        <f t="shared" si="80"/>
        <v>1.0792261291746357</v>
      </c>
      <c r="E2459" s="83">
        <v>5.3097345132735311E-4</v>
      </c>
      <c r="F2459" s="83">
        <v>2451</v>
      </c>
      <c r="G2459" s="83">
        <f t="shared" ca="1" si="81"/>
        <v>-1.1497958884786991E-2</v>
      </c>
    </row>
    <row r="2460" spans="2:7" x14ac:dyDescent="0.2">
      <c r="B2460" s="167">
        <v>40904</v>
      </c>
      <c r="C2460" s="28">
        <v>135.94</v>
      </c>
      <c r="D2460" s="83">
        <f t="shared" si="80"/>
        <v>-0.53651551312649171</v>
      </c>
      <c r="E2460" s="83">
        <v>5.1519835136522546E-4</v>
      </c>
      <c r="F2460" s="83">
        <v>2452</v>
      </c>
      <c r="G2460" s="83">
        <f t="shared" ca="1" si="81"/>
        <v>6.3655187200027143E-3</v>
      </c>
    </row>
    <row r="2461" spans="2:7" x14ac:dyDescent="0.2">
      <c r="B2461" s="167">
        <v>43370</v>
      </c>
      <c r="C2461" s="28">
        <v>293.3</v>
      </c>
      <c r="D2461" s="83">
        <f t="shared" si="80"/>
        <v>0.46738042825695425</v>
      </c>
      <c r="E2461" s="83">
        <v>5.1168343851282314E-4</v>
      </c>
      <c r="F2461" s="83">
        <v>2453</v>
      </c>
      <c r="G2461" s="83">
        <f t="shared" ca="1" si="81"/>
        <v>7.7027237594014617E-3</v>
      </c>
    </row>
    <row r="2462" spans="2:7" x14ac:dyDescent="0.2">
      <c r="B2462" s="167">
        <v>41250</v>
      </c>
      <c r="C2462" s="28">
        <v>199.88</v>
      </c>
      <c r="D2462" s="83">
        <f t="shared" si="80"/>
        <v>-0.33384435927345446</v>
      </c>
      <c r="E2462" s="83">
        <v>5.0055060566620436E-4</v>
      </c>
      <c r="F2462" s="83">
        <v>2454</v>
      </c>
      <c r="G2462" s="83">
        <f t="shared" ca="1" si="81"/>
        <v>-1.5643858467088836E-2</v>
      </c>
    </row>
    <row r="2463" spans="2:7" x14ac:dyDescent="0.2">
      <c r="B2463" s="167">
        <v>42880</v>
      </c>
      <c r="C2463" s="28">
        <v>300.05</v>
      </c>
      <c r="D2463" s="83">
        <f t="shared" si="80"/>
        <v>0.46080817916260958</v>
      </c>
      <c r="E2463" s="83">
        <v>5.0016672224086067E-4</v>
      </c>
      <c r="F2463" s="83">
        <v>2455</v>
      </c>
      <c r="G2463" s="83">
        <f t="shared" ca="1" si="81"/>
        <v>2.1000572985777122E-2</v>
      </c>
    </row>
    <row r="2464" spans="2:7" x14ac:dyDescent="0.2">
      <c r="B2464" s="167">
        <v>44313</v>
      </c>
      <c r="C2464" s="28">
        <v>205.4</v>
      </c>
      <c r="D2464" s="83">
        <f t="shared" si="80"/>
        <v>-4.8661800486615237E-4</v>
      </c>
      <c r="E2464" s="83">
        <v>4.8709206039938775E-4</v>
      </c>
      <c r="F2464" s="83">
        <v>2456</v>
      </c>
      <c r="G2464" s="83">
        <f t="shared" ca="1" si="81"/>
        <v>-1.0896232362539761E-3</v>
      </c>
    </row>
    <row r="2465" spans="2:7" x14ac:dyDescent="0.2">
      <c r="B2465" s="167">
        <v>44314</v>
      </c>
      <c r="C2465" s="28">
        <v>205.5</v>
      </c>
      <c r="D2465" s="83">
        <f t="shared" si="80"/>
        <v>0.63967126785286843</v>
      </c>
      <c r="E2465" s="83">
        <v>4.8685491723463639E-4</v>
      </c>
      <c r="F2465" s="83">
        <v>2457</v>
      </c>
      <c r="G2465" s="83">
        <f t="shared" ca="1" si="81"/>
        <v>-9.1874092472213134E-3</v>
      </c>
    </row>
    <row r="2466" spans="2:7" x14ac:dyDescent="0.2">
      <c r="B2466" s="167">
        <v>40682</v>
      </c>
      <c r="C2466" s="28">
        <v>125.33</v>
      </c>
      <c r="D2466" s="83">
        <f t="shared" si="80"/>
        <v>-0.4033609444920499</v>
      </c>
      <c r="E2466" s="83">
        <v>4.789654346611501E-4</v>
      </c>
      <c r="F2466" s="83">
        <v>2458</v>
      </c>
      <c r="G2466" s="83">
        <f t="shared" ca="1" si="81"/>
        <v>-4.2382543111957735E-3</v>
      </c>
    </row>
    <row r="2467" spans="2:7" x14ac:dyDescent="0.2">
      <c r="B2467" s="167">
        <v>41647</v>
      </c>
      <c r="C2467" s="28">
        <v>210.06</v>
      </c>
      <c r="D2467" s="83">
        <f t="shared" si="80"/>
        <v>-1.1482352941176459E-2</v>
      </c>
      <c r="E2467" s="83">
        <v>4.762811964183383E-4</v>
      </c>
      <c r="F2467" s="83">
        <v>2459</v>
      </c>
      <c r="G2467" s="83">
        <f t="shared" ca="1" si="81"/>
        <v>-1.8595777908554448E-2</v>
      </c>
    </row>
    <row r="2468" spans="2:7" x14ac:dyDescent="0.2">
      <c r="B2468" s="167">
        <v>44551</v>
      </c>
      <c r="C2468" s="28">
        <v>212.5</v>
      </c>
      <c r="D2468" s="83">
        <f t="shared" si="80"/>
        <v>1.498236538913708</v>
      </c>
      <c r="E2468" s="83">
        <v>4.7080979284366435E-4</v>
      </c>
      <c r="F2468" s="83">
        <v>2460</v>
      </c>
      <c r="G2468" s="83">
        <f t="shared" ca="1" si="81"/>
        <v>6.9893511934649322E-4</v>
      </c>
    </row>
    <row r="2469" spans="2:7" x14ac:dyDescent="0.2">
      <c r="B2469" s="167">
        <v>40189</v>
      </c>
      <c r="C2469" s="28">
        <v>85.06</v>
      </c>
      <c r="D2469" s="83">
        <f t="shared" si="80"/>
        <v>-0.6</v>
      </c>
      <c r="E2469" s="83">
        <v>4.7047753469779176E-4</v>
      </c>
      <c r="F2469" s="83">
        <v>2461</v>
      </c>
      <c r="G2469" s="83">
        <f t="shared" ca="1" si="81"/>
        <v>1.1289134993418961E-2</v>
      </c>
    </row>
    <row r="2470" spans="2:7" x14ac:dyDescent="0.2">
      <c r="B2470" s="167">
        <v>44292</v>
      </c>
      <c r="C2470" s="28">
        <v>212.65</v>
      </c>
      <c r="D2470" s="83">
        <f t="shared" si="80"/>
        <v>-1.3636996150099716E-2</v>
      </c>
      <c r="E2470" s="83">
        <v>4.7047753469769141E-4</v>
      </c>
      <c r="F2470" s="83">
        <v>2462</v>
      </c>
      <c r="G2470" s="83">
        <f t="shared" ca="1" si="81"/>
        <v>2.7877409605590285E-2</v>
      </c>
    </row>
    <row r="2471" spans="2:7" x14ac:dyDescent="0.2">
      <c r="B2471" s="167">
        <v>41821</v>
      </c>
      <c r="C2471" s="28">
        <v>215.59</v>
      </c>
      <c r="D2471" s="83">
        <f t="shared" si="80"/>
        <v>-0.34713221488704504</v>
      </c>
      <c r="E2471" s="83">
        <v>4.640586570142202E-4</v>
      </c>
      <c r="F2471" s="83">
        <v>2463</v>
      </c>
      <c r="G2471" s="83">
        <f t="shared" ca="1" si="81"/>
        <v>1.26874766586522E-2</v>
      </c>
    </row>
    <row r="2472" spans="2:7" x14ac:dyDescent="0.2">
      <c r="B2472" s="167">
        <v>44851</v>
      </c>
      <c r="C2472" s="28">
        <v>330.22</v>
      </c>
      <c r="D2472" s="83">
        <f t="shared" si="80"/>
        <v>6.2735682819383269</v>
      </c>
      <c r="E2472" s="83">
        <v>4.5444905626089649E-4</v>
      </c>
      <c r="F2472" s="83">
        <v>2464</v>
      </c>
      <c r="G2472" s="83">
        <f t="shared" ca="1" si="81"/>
        <v>-8.6977757450569862E-3</v>
      </c>
    </row>
    <row r="2473" spans="2:7" x14ac:dyDescent="0.2">
      <c r="B2473" s="167">
        <v>38629</v>
      </c>
      <c r="C2473" s="28">
        <v>45.4</v>
      </c>
      <c r="D2473" s="83">
        <f t="shared" si="80"/>
        <v>-0.66764275256222538</v>
      </c>
      <c r="E2473" s="83">
        <v>4.4072278536791583E-4</v>
      </c>
      <c r="F2473" s="83">
        <v>2465</v>
      </c>
      <c r="G2473" s="83">
        <f t="shared" ca="1" si="81"/>
        <v>-2.0808806562124877E-2</v>
      </c>
    </row>
    <row r="2474" spans="2:7" x14ac:dyDescent="0.2">
      <c r="B2474" s="167">
        <v>40933</v>
      </c>
      <c r="C2474" s="28">
        <v>136.6</v>
      </c>
      <c r="D2474" s="83">
        <f t="shared" si="80"/>
        <v>-0.41330584546664956</v>
      </c>
      <c r="E2474" s="83">
        <v>4.3943166837558426E-4</v>
      </c>
      <c r="F2474" s="83">
        <v>2466</v>
      </c>
      <c r="G2474" s="83">
        <f t="shared" ca="1" si="81"/>
        <v>1.9009010151314364E-2</v>
      </c>
    </row>
    <row r="2475" spans="2:7" x14ac:dyDescent="0.2">
      <c r="B2475" s="167">
        <v>41893</v>
      </c>
      <c r="C2475" s="28">
        <v>232.83</v>
      </c>
      <c r="D2475" s="83">
        <f t="shared" si="80"/>
        <v>-6.2315933245122692E-3</v>
      </c>
      <c r="E2475" s="83">
        <v>4.2968246465871501E-4</v>
      </c>
      <c r="F2475" s="83">
        <v>2467</v>
      </c>
      <c r="G2475" s="83">
        <f t="shared" ca="1" si="81"/>
        <v>2.8513267017860781E-2</v>
      </c>
    </row>
    <row r="2476" spans="2:7" x14ac:dyDescent="0.2">
      <c r="B2476" s="167">
        <v>41750</v>
      </c>
      <c r="C2476" s="28">
        <v>234.29</v>
      </c>
      <c r="D2476" s="83">
        <f t="shared" si="80"/>
        <v>-1.1017306880540369E-2</v>
      </c>
      <c r="E2476" s="83">
        <v>4.2700371493229562E-4</v>
      </c>
      <c r="F2476" s="83">
        <v>2468</v>
      </c>
      <c r="G2476" s="83">
        <f t="shared" ca="1" si="81"/>
        <v>1.3923179968695517E-2</v>
      </c>
    </row>
    <row r="2477" spans="2:7" x14ac:dyDescent="0.2">
      <c r="B2477" s="167">
        <v>43826</v>
      </c>
      <c r="C2477" s="28">
        <v>236.9</v>
      </c>
      <c r="D2477" s="83">
        <f t="shared" si="80"/>
        <v>-0.47501385041551247</v>
      </c>
      <c r="E2477" s="83">
        <v>4.2229729729727325E-4</v>
      </c>
      <c r="F2477" s="83">
        <v>2469</v>
      </c>
      <c r="G2477" s="83">
        <f t="shared" ca="1" si="81"/>
        <v>2.0851991149244832E-2</v>
      </c>
    </row>
    <row r="2478" spans="2:7" x14ac:dyDescent="0.2">
      <c r="B2478" s="167">
        <v>45622</v>
      </c>
      <c r="C2478" s="28">
        <v>451.25</v>
      </c>
      <c r="D2478" s="83">
        <f t="shared" si="80"/>
        <v>0.82139253279515645</v>
      </c>
      <c r="E2478" s="83">
        <v>4.212299915753951E-4</v>
      </c>
      <c r="F2478" s="83">
        <v>2470</v>
      </c>
      <c r="G2478" s="83">
        <f t="shared" ca="1" si="81"/>
        <v>-1.2691439564524891E-2</v>
      </c>
    </row>
    <row r="2479" spans="2:7" x14ac:dyDescent="0.2">
      <c r="B2479" s="167">
        <v>43794</v>
      </c>
      <c r="C2479" s="28">
        <v>247.75</v>
      </c>
      <c r="D2479" s="83">
        <f t="shared" si="80"/>
        <v>-1.1964107676969093E-2</v>
      </c>
      <c r="E2479" s="83">
        <v>4.0379567938620759E-4</v>
      </c>
      <c r="F2479" s="83">
        <v>2471</v>
      </c>
      <c r="G2479" s="83">
        <f t="shared" ca="1" si="81"/>
        <v>-6.7821188069808007E-4</v>
      </c>
    </row>
    <row r="2480" spans="2:7" x14ac:dyDescent="0.2">
      <c r="B2480" s="167">
        <v>43787</v>
      </c>
      <c r="C2480" s="28">
        <v>250.75</v>
      </c>
      <c r="D2480" s="83">
        <f t="shared" si="80"/>
        <v>-3.0355761794276962E-2</v>
      </c>
      <c r="E2480" s="83">
        <v>3.9896269698780893E-4</v>
      </c>
      <c r="F2480" s="83">
        <v>2472</v>
      </c>
      <c r="G2480" s="83">
        <f t="shared" ca="1" si="81"/>
        <v>1.023926958666257E-2</v>
      </c>
    </row>
    <row r="2481" spans="2:7" x14ac:dyDescent="0.2">
      <c r="B2481" s="167">
        <v>43194</v>
      </c>
      <c r="C2481" s="28">
        <v>258.60000000000002</v>
      </c>
      <c r="D2481" s="83">
        <f t="shared" si="80"/>
        <v>-2.562170308967579E-2</v>
      </c>
      <c r="E2481" s="83">
        <v>3.8684719535792163E-4</v>
      </c>
      <c r="F2481" s="83">
        <v>2473</v>
      </c>
      <c r="G2481" s="83">
        <f t="shared" ca="1" si="81"/>
        <v>9.632869742610092E-3</v>
      </c>
    </row>
    <row r="2482" spans="2:7" x14ac:dyDescent="0.2">
      <c r="B2482" s="167">
        <v>43047</v>
      </c>
      <c r="C2482" s="28">
        <v>265.39999999999998</v>
      </c>
      <c r="D2482" s="83">
        <f t="shared" si="80"/>
        <v>-2.7838827838827924E-2</v>
      </c>
      <c r="E2482" s="83">
        <v>3.7693177534853332E-4</v>
      </c>
      <c r="F2482" s="83">
        <v>2474</v>
      </c>
      <c r="G2482" s="83">
        <f t="shared" ca="1" si="81"/>
        <v>-2.9743642863724842E-2</v>
      </c>
    </row>
    <row r="2483" spans="2:7" x14ac:dyDescent="0.2">
      <c r="B2483" s="167">
        <v>43664</v>
      </c>
      <c r="C2483" s="28">
        <v>273</v>
      </c>
      <c r="D2483" s="83">
        <f t="shared" si="80"/>
        <v>-7.6335877862596241E-3</v>
      </c>
      <c r="E2483" s="83">
        <v>3.6643459142551393E-4</v>
      </c>
      <c r="F2483" s="83">
        <v>2475</v>
      </c>
      <c r="G2483" s="83">
        <f t="shared" ca="1" si="81"/>
        <v>-6.0854922767248337E-3</v>
      </c>
    </row>
    <row r="2484" spans="2:7" x14ac:dyDescent="0.2">
      <c r="B2484" s="167">
        <v>43634</v>
      </c>
      <c r="C2484" s="28">
        <v>275.10000000000002</v>
      </c>
      <c r="D2484" s="83">
        <f t="shared" si="80"/>
        <v>2.3092746300974381</v>
      </c>
      <c r="E2484" s="83">
        <v>3.6363636363644634E-4</v>
      </c>
      <c r="F2484" s="83">
        <v>2476</v>
      </c>
      <c r="G2484" s="83">
        <f t="shared" ca="1" si="81"/>
        <v>-1.5380580581863132E-2</v>
      </c>
    </row>
    <row r="2485" spans="2:7" x14ac:dyDescent="0.2">
      <c r="B2485" s="167">
        <v>40178</v>
      </c>
      <c r="C2485" s="28">
        <v>83.13</v>
      </c>
      <c r="D2485" s="83">
        <f t="shared" si="80"/>
        <v>-0.57145066501701203</v>
      </c>
      <c r="E2485" s="83">
        <v>3.6101083032492344E-4</v>
      </c>
      <c r="F2485" s="83">
        <v>2477</v>
      </c>
      <c r="G2485" s="83">
        <f t="shared" ca="1" si="81"/>
        <v>-1.0290898899044651E-2</v>
      </c>
    </row>
    <row r="2486" spans="2:7" x14ac:dyDescent="0.2">
      <c r="B2486" s="167">
        <v>41338</v>
      </c>
      <c r="C2486" s="28">
        <v>193.98</v>
      </c>
      <c r="D2486" s="83">
        <f t="shared" si="80"/>
        <v>-0.30709055188426504</v>
      </c>
      <c r="E2486" s="83">
        <v>3.6099221288222978E-4</v>
      </c>
      <c r="F2486" s="83">
        <v>2478</v>
      </c>
      <c r="G2486" s="83">
        <f t="shared" ca="1" si="81"/>
        <v>3.0859628426235745E-3</v>
      </c>
    </row>
    <row r="2487" spans="2:7" x14ac:dyDescent="0.2">
      <c r="B2487" s="167">
        <v>43628</v>
      </c>
      <c r="C2487" s="28">
        <v>279.95</v>
      </c>
      <c r="D2487" s="83">
        <f t="shared" si="80"/>
        <v>-0.29081697276757446</v>
      </c>
      <c r="E2487" s="83">
        <v>3.5733428622464138E-4</v>
      </c>
      <c r="F2487" s="83">
        <v>2479</v>
      </c>
      <c r="G2487" s="83">
        <f t="shared" ca="1" si="81"/>
        <v>-1.7560488241809755E-2</v>
      </c>
    </row>
    <row r="2488" spans="2:7" x14ac:dyDescent="0.2">
      <c r="B2488" s="167">
        <v>45065</v>
      </c>
      <c r="C2488" s="28">
        <v>394.75</v>
      </c>
      <c r="D2488" s="83">
        <f t="shared" si="80"/>
        <v>2.474911971830986</v>
      </c>
      <c r="E2488" s="83">
        <v>3.5478066952177175E-4</v>
      </c>
      <c r="F2488" s="83">
        <v>2480</v>
      </c>
      <c r="G2488" s="83">
        <f t="shared" ca="1" si="81"/>
        <v>-1.6323099896519196E-2</v>
      </c>
    </row>
    <row r="2489" spans="2:7" x14ac:dyDescent="0.2">
      <c r="B2489" s="167">
        <v>40613</v>
      </c>
      <c r="C2489" s="28">
        <v>113.6</v>
      </c>
      <c r="D2489" s="83">
        <f t="shared" si="80"/>
        <v>0.32246798603026761</v>
      </c>
      <c r="E2489" s="83">
        <v>3.5223670306438923E-4</v>
      </c>
      <c r="F2489" s="83">
        <v>2481</v>
      </c>
      <c r="G2489" s="83">
        <f t="shared" ca="1" si="81"/>
        <v>3.2825964118462607E-3</v>
      </c>
    </row>
    <row r="2490" spans="2:7" x14ac:dyDescent="0.2">
      <c r="B2490" s="167">
        <v>40305</v>
      </c>
      <c r="C2490" s="28">
        <v>85.9</v>
      </c>
      <c r="D2490" s="83">
        <f t="shared" si="80"/>
        <v>0.40750450598066529</v>
      </c>
      <c r="E2490" s="83">
        <v>3.4936531966928071E-4</v>
      </c>
      <c r="F2490" s="83">
        <v>2482</v>
      </c>
      <c r="G2490" s="83">
        <f t="shared" ca="1" si="81"/>
        <v>-1.3953210132696294E-2</v>
      </c>
    </row>
    <row r="2491" spans="2:7" x14ac:dyDescent="0.2">
      <c r="B2491" s="167">
        <v>39960</v>
      </c>
      <c r="C2491" s="28">
        <v>61.03</v>
      </c>
      <c r="D2491" s="83">
        <f t="shared" si="80"/>
        <v>-0.71683756321625758</v>
      </c>
      <c r="E2491" s="83">
        <v>3.2781511227672721E-4</v>
      </c>
      <c r="F2491" s="83">
        <v>2483</v>
      </c>
      <c r="G2491" s="83">
        <f t="shared" ca="1" si="81"/>
        <v>9.1546200557995406E-4</v>
      </c>
    </row>
    <row r="2492" spans="2:7" x14ac:dyDescent="0.2">
      <c r="B2492" s="167">
        <v>41681</v>
      </c>
      <c r="C2492" s="28">
        <v>215.53</v>
      </c>
      <c r="D2492" s="83">
        <f t="shared" si="80"/>
        <v>0.14515700547261035</v>
      </c>
      <c r="E2492" s="83">
        <v>3.2488628979853882E-4</v>
      </c>
      <c r="F2492" s="83">
        <v>2484</v>
      </c>
      <c r="G2492" s="83">
        <f t="shared" ca="1" si="81"/>
        <v>-3.1181011882004542E-3</v>
      </c>
    </row>
    <row r="2493" spans="2:7" x14ac:dyDescent="0.2">
      <c r="B2493" s="167">
        <v>41226</v>
      </c>
      <c r="C2493" s="28">
        <v>188.21</v>
      </c>
      <c r="D2493" s="83">
        <f t="shared" si="80"/>
        <v>-0.57893912615494747</v>
      </c>
      <c r="E2493" s="83">
        <v>3.1889449906990309E-4</v>
      </c>
      <c r="F2493" s="83">
        <v>2485</v>
      </c>
      <c r="G2493" s="83">
        <f t="shared" ca="1" si="81"/>
        <v>-1.1388458640291194E-2</v>
      </c>
    </row>
    <row r="2494" spans="2:7" x14ac:dyDescent="0.2">
      <c r="B2494" s="167">
        <v>45125</v>
      </c>
      <c r="C2494" s="28">
        <v>446.99</v>
      </c>
      <c r="D2494" s="83">
        <f t="shared" si="80"/>
        <v>5.9864020006251959</v>
      </c>
      <c r="E2494" s="83">
        <v>3.1330424079665739E-4</v>
      </c>
      <c r="F2494" s="83">
        <v>2486</v>
      </c>
      <c r="G2494" s="83">
        <f t="shared" ca="1" si="81"/>
        <v>-1.0399276451540651E-2</v>
      </c>
    </row>
    <row r="2495" spans="2:7" x14ac:dyDescent="0.2">
      <c r="B2495" s="167">
        <v>38804</v>
      </c>
      <c r="C2495" s="28">
        <v>63.98</v>
      </c>
      <c r="D2495" s="83">
        <f t="shared" si="80"/>
        <v>-0.33774971535037784</v>
      </c>
      <c r="E2495" s="83">
        <v>3.1269543464659193E-4</v>
      </c>
      <c r="F2495" s="83">
        <v>2487</v>
      </c>
      <c r="G2495" s="83">
        <f t="shared" ca="1" si="81"/>
        <v>-2.3135039717900655E-2</v>
      </c>
    </row>
    <row r="2496" spans="2:7" x14ac:dyDescent="0.2">
      <c r="B2496" s="167">
        <v>40379</v>
      </c>
      <c r="C2496" s="28">
        <v>96.61</v>
      </c>
      <c r="D2496" s="83">
        <f t="shared" si="80"/>
        <v>-0.78637449142048466</v>
      </c>
      <c r="E2496" s="83">
        <v>3.106233174570422E-4</v>
      </c>
      <c r="F2496" s="83">
        <v>2488</v>
      </c>
      <c r="G2496" s="83">
        <f t="shared" ca="1" si="81"/>
        <v>-1.5082913022151281E-3</v>
      </c>
    </row>
    <row r="2497" spans="2:7" x14ac:dyDescent="0.2">
      <c r="B2497" s="167">
        <v>45604</v>
      </c>
      <c r="C2497" s="28">
        <v>452.24</v>
      </c>
      <c r="D2497" s="83">
        <f t="shared" si="80"/>
        <v>2.498143564356436</v>
      </c>
      <c r="E2497" s="83">
        <v>3.0966600309662983E-4</v>
      </c>
      <c r="F2497" s="83">
        <v>2489</v>
      </c>
      <c r="G2497" s="83">
        <f t="shared" ca="1" si="81"/>
        <v>1.7025457554415774E-2</v>
      </c>
    </row>
    <row r="2498" spans="2:7" x14ac:dyDescent="0.2">
      <c r="B2498" s="167">
        <v>40703</v>
      </c>
      <c r="C2498" s="28">
        <v>129.28</v>
      </c>
      <c r="D2498" s="83">
        <f t="shared" si="80"/>
        <v>-3.8452956489401176E-2</v>
      </c>
      <c r="E2498" s="83">
        <v>3.0950170225930084E-4</v>
      </c>
      <c r="F2498" s="83">
        <v>2490</v>
      </c>
      <c r="G2498" s="83">
        <f t="shared" ca="1" si="81"/>
        <v>-1.3033901924814234E-3</v>
      </c>
    </row>
    <row r="2499" spans="2:7" x14ac:dyDescent="0.2">
      <c r="B2499" s="167">
        <v>40792</v>
      </c>
      <c r="C2499" s="28">
        <v>134.44999999999999</v>
      </c>
      <c r="D2499" s="83">
        <f t="shared" si="80"/>
        <v>-0.38886363636363641</v>
      </c>
      <c r="E2499" s="83">
        <v>2.9759690499212889E-4</v>
      </c>
      <c r="F2499" s="83">
        <v>2491</v>
      </c>
      <c r="G2499" s="83">
        <f t="shared" ca="1" si="81"/>
        <v>8.8411100415681787E-3</v>
      </c>
    </row>
    <row r="2500" spans="2:7" x14ac:dyDescent="0.2">
      <c r="B2500" s="167">
        <v>41442</v>
      </c>
      <c r="C2500" s="28">
        <v>220</v>
      </c>
      <c r="D2500" s="83">
        <f t="shared" si="80"/>
        <v>-1.0880316518298658E-2</v>
      </c>
      <c r="E2500" s="83">
        <v>2.7280167318360584E-4</v>
      </c>
      <c r="F2500" s="83">
        <v>2492</v>
      </c>
      <c r="G2500" s="83">
        <f t="shared" ca="1" si="81"/>
        <v>2.3638111942097303E-2</v>
      </c>
    </row>
    <row r="2501" spans="2:7" x14ac:dyDescent="0.2">
      <c r="B2501" s="167">
        <v>42480</v>
      </c>
      <c r="C2501" s="28">
        <v>222.42</v>
      </c>
      <c r="D2501" s="83">
        <f t="shared" si="80"/>
        <v>0.47826664894324056</v>
      </c>
      <c r="E2501" s="83">
        <v>2.6983270372357368E-4</v>
      </c>
      <c r="F2501" s="83">
        <v>2493</v>
      </c>
      <c r="G2501" s="83">
        <f t="shared" ca="1" si="81"/>
        <v>-3.6495382291065324E-2</v>
      </c>
    </row>
    <row r="2502" spans="2:7" x14ac:dyDescent="0.2">
      <c r="B2502" s="167">
        <v>41001</v>
      </c>
      <c r="C2502" s="28">
        <v>150.46</v>
      </c>
      <c r="D2502" s="83">
        <f t="shared" si="80"/>
        <v>2.9305120167189131</v>
      </c>
      <c r="E2502" s="83">
        <v>2.6592208482928111E-4</v>
      </c>
      <c r="F2502" s="83">
        <v>2494</v>
      </c>
      <c r="G2502" s="83">
        <f t="shared" ca="1" si="81"/>
        <v>-7.7822663094817808E-3</v>
      </c>
    </row>
    <row r="2503" spans="2:7" x14ac:dyDescent="0.2">
      <c r="B2503" s="167">
        <v>38597</v>
      </c>
      <c r="C2503" s="28">
        <v>38.28</v>
      </c>
      <c r="D2503" s="83">
        <f t="shared" si="80"/>
        <v>-0.81688591246113373</v>
      </c>
      <c r="E2503" s="83">
        <v>2.6130128037622183E-4</v>
      </c>
      <c r="F2503" s="83">
        <v>2495</v>
      </c>
      <c r="G2503" s="83">
        <f t="shared" ca="1" si="81"/>
        <v>2.4074008594964041E-2</v>
      </c>
    </row>
    <row r="2504" spans="2:7" x14ac:dyDescent="0.2">
      <c r="B2504" s="167">
        <v>44350</v>
      </c>
      <c r="C2504" s="28">
        <v>209.05</v>
      </c>
      <c r="D2504" s="83">
        <f t="shared" si="80"/>
        <v>-4.2867349368896279E-3</v>
      </c>
      <c r="E2504" s="83">
        <v>2.3923444976081996E-4</v>
      </c>
      <c r="F2504" s="83">
        <v>2496</v>
      </c>
      <c r="G2504" s="83">
        <f t="shared" ca="1" si="81"/>
        <v>-4.1256108860161456E-2</v>
      </c>
    </row>
    <row r="2505" spans="2:7" x14ac:dyDescent="0.2">
      <c r="B2505" s="167">
        <v>44258</v>
      </c>
      <c r="C2505" s="28">
        <v>209.95</v>
      </c>
      <c r="D2505" s="83">
        <f t="shared" ref="D2505:D2568" si="82">(C2505-C2506)/C2506</f>
        <v>1.4238051258369888</v>
      </c>
      <c r="E2505" s="83">
        <v>2.3820867079553572E-4</v>
      </c>
      <c r="F2505" s="83">
        <v>2497</v>
      </c>
      <c r="G2505" s="83">
        <f t="shared" ref="G2505:G2568" ca="1" si="83">_xlfn.NORM.INV(RAND(),$M$10,$M$11)</f>
        <v>1.7788081433376759E-2</v>
      </c>
    </row>
    <row r="2506" spans="2:7" x14ac:dyDescent="0.2">
      <c r="B2506" s="167">
        <v>40256</v>
      </c>
      <c r="C2506" s="28">
        <v>86.62</v>
      </c>
      <c r="D2506" s="83">
        <f t="shared" si="82"/>
        <v>-0.37363511461421645</v>
      </c>
      <c r="E2506" s="83">
        <v>2.3094688221720824E-4</v>
      </c>
      <c r="F2506" s="83">
        <v>2498</v>
      </c>
      <c r="G2506" s="83">
        <f t="shared" ca="1" si="83"/>
        <v>-9.2663912488547967E-3</v>
      </c>
    </row>
    <row r="2507" spans="2:7" x14ac:dyDescent="0.2">
      <c r="B2507" s="167">
        <v>40962</v>
      </c>
      <c r="C2507" s="28">
        <v>138.29</v>
      </c>
      <c r="D2507" s="83">
        <f t="shared" si="82"/>
        <v>1.868492014104957</v>
      </c>
      <c r="E2507" s="83">
        <v>2.1698249674527079E-4</v>
      </c>
      <c r="F2507" s="83">
        <v>2499</v>
      </c>
      <c r="G2507" s="83">
        <f t="shared" ca="1" si="83"/>
        <v>-2.278984459256677E-2</v>
      </c>
    </row>
    <row r="2508" spans="2:7" x14ac:dyDescent="0.2">
      <c r="B2508" s="167">
        <v>38723</v>
      </c>
      <c r="C2508" s="28">
        <v>48.21</v>
      </c>
      <c r="D2508" s="83">
        <f t="shared" si="82"/>
        <v>-0.89159471127900702</v>
      </c>
      <c r="E2508" s="83">
        <v>2.0746887966800851E-4</v>
      </c>
      <c r="F2508" s="83">
        <v>2500</v>
      </c>
      <c r="G2508" s="83">
        <f t="shared" ca="1" si="83"/>
        <v>1.568172603653013E-2</v>
      </c>
    </row>
    <row r="2509" spans="2:7" x14ac:dyDescent="0.2">
      <c r="B2509" s="167">
        <v>45642</v>
      </c>
      <c r="C2509" s="28">
        <v>444.72</v>
      </c>
      <c r="D2509" s="83">
        <f t="shared" si="82"/>
        <v>0.78674166331860196</v>
      </c>
      <c r="E2509" s="83">
        <v>2.0241549153235687E-4</v>
      </c>
      <c r="F2509" s="83">
        <v>2501</v>
      </c>
      <c r="G2509" s="83">
        <f t="shared" ca="1" si="83"/>
        <v>1.9464066938816662E-2</v>
      </c>
    </row>
    <row r="2510" spans="2:7" x14ac:dyDescent="0.2">
      <c r="B2510" s="167">
        <v>42569</v>
      </c>
      <c r="C2510" s="28">
        <v>248.9</v>
      </c>
      <c r="D2510" s="83">
        <f t="shared" si="82"/>
        <v>3.9063670411985023</v>
      </c>
      <c r="E2510" s="83">
        <v>2.0092425155720863E-4</v>
      </c>
      <c r="F2510" s="83">
        <v>2502</v>
      </c>
      <c r="G2510" s="83">
        <f t="shared" ca="1" si="83"/>
        <v>2.0335987557016898E-2</v>
      </c>
    </row>
    <row r="2511" spans="2:7" x14ac:dyDescent="0.2">
      <c r="B2511" s="167">
        <v>39252</v>
      </c>
      <c r="C2511" s="28">
        <v>50.73</v>
      </c>
      <c r="D2511" s="83">
        <f t="shared" si="82"/>
        <v>-0.80019692792437969</v>
      </c>
      <c r="E2511" s="83">
        <v>1.9716088328071787E-4</v>
      </c>
      <c r="F2511" s="83">
        <v>2503</v>
      </c>
      <c r="G2511" s="83">
        <f t="shared" ca="1" si="83"/>
        <v>-4.1556037104439967E-4</v>
      </c>
    </row>
    <row r="2512" spans="2:7" x14ac:dyDescent="0.2">
      <c r="B2512" s="167">
        <v>43783</v>
      </c>
      <c r="C2512" s="28">
        <v>253.9</v>
      </c>
      <c r="D2512" s="83">
        <f t="shared" si="82"/>
        <v>-2.0447530864197466E-2</v>
      </c>
      <c r="E2512" s="83">
        <v>1.9696671262561108E-4</v>
      </c>
      <c r="F2512" s="83">
        <v>2504</v>
      </c>
      <c r="G2512" s="83">
        <f t="shared" ca="1" si="83"/>
        <v>1.3055884205485866E-2</v>
      </c>
    </row>
    <row r="2513" spans="2:7" x14ac:dyDescent="0.2">
      <c r="B2513" s="167">
        <v>43179</v>
      </c>
      <c r="C2513" s="28">
        <v>259.2</v>
      </c>
      <c r="D2513" s="83">
        <f t="shared" si="82"/>
        <v>-1.4823261117445967E-2</v>
      </c>
      <c r="E2513" s="83">
        <v>1.9293845263365376E-4</v>
      </c>
      <c r="F2513" s="83">
        <v>2505</v>
      </c>
      <c r="G2513" s="83">
        <f t="shared" ca="1" si="83"/>
        <v>-2.9312110085984752E-3</v>
      </c>
    </row>
    <row r="2514" spans="2:7" x14ac:dyDescent="0.2">
      <c r="B2514" s="167">
        <v>43091</v>
      </c>
      <c r="C2514" s="28">
        <v>263.10000000000002</v>
      </c>
      <c r="D2514" s="83">
        <f t="shared" si="82"/>
        <v>-5.4810054810054375E-3</v>
      </c>
      <c r="E2514" s="83">
        <v>1.9007793195214358E-4</v>
      </c>
      <c r="F2514" s="83">
        <v>2506</v>
      </c>
      <c r="G2514" s="83">
        <f t="shared" ca="1" si="83"/>
        <v>3.0397122267664246E-3</v>
      </c>
    </row>
    <row r="2515" spans="2:7" x14ac:dyDescent="0.2">
      <c r="B2515" s="167">
        <v>43269</v>
      </c>
      <c r="C2515" s="28">
        <v>264.55</v>
      </c>
      <c r="D2515" s="83">
        <f t="shared" si="82"/>
        <v>-1.1397608370702583E-2</v>
      </c>
      <c r="E2515" s="83">
        <v>1.8903591682423957E-4</v>
      </c>
      <c r="F2515" s="83">
        <v>2507</v>
      </c>
      <c r="G2515" s="83">
        <f t="shared" ca="1" si="83"/>
        <v>-7.2271889562398354E-3</v>
      </c>
    </row>
    <row r="2516" spans="2:7" x14ac:dyDescent="0.2">
      <c r="B2516" s="167">
        <v>43115</v>
      </c>
      <c r="C2516" s="28">
        <v>267.60000000000002</v>
      </c>
      <c r="D2516" s="83">
        <f t="shared" si="82"/>
        <v>-2.0318506315211256E-2</v>
      </c>
      <c r="E2516" s="83">
        <v>1.8688095683054145E-4</v>
      </c>
      <c r="F2516" s="83">
        <v>2508</v>
      </c>
      <c r="G2516" s="83">
        <f t="shared" ca="1" si="83"/>
        <v>-2.2830890495817349E-2</v>
      </c>
    </row>
    <row r="2517" spans="2:7" x14ac:dyDescent="0.2">
      <c r="B2517" s="167">
        <v>43656</v>
      </c>
      <c r="C2517" s="28">
        <v>273.14999999999998</v>
      </c>
      <c r="D2517" s="83">
        <f t="shared" si="82"/>
        <v>-7.989831124024134E-3</v>
      </c>
      <c r="E2517" s="83">
        <v>1.8308311973619379E-4</v>
      </c>
      <c r="F2517" s="83">
        <v>2509</v>
      </c>
      <c r="G2517" s="83">
        <f t="shared" ca="1" si="83"/>
        <v>-1.1972579855225651E-2</v>
      </c>
    </row>
    <row r="2518" spans="2:7" x14ac:dyDescent="0.2">
      <c r="B2518" s="167">
        <v>43133</v>
      </c>
      <c r="C2518" s="28">
        <v>275.35000000000002</v>
      </c>
      <c r="D2518" s="83">
        <f t="shared" si="82"/>
        <v>-2.4791924915884538E-2</v>
      </c>
      <c r="E2518" s="83">
        <v>1.8162005085365553E-4</v>
      </c>
      <c r="F2518" s="83">
        <v>2510</v>
      </c>
      <c r="G2518" s="83">
        <f t="shared" ca="1" si="83"/>
        <v>8.8804978375910722E-3</v>
      </c>
    </row>
    <row r="2519" spans="2:7" x14ac:dyDescent="0.2">
      <c r="B2519" s="167">
        <v>43241</v>
      </c>
      <c r="C2519" s="28">
        <v>282.35000000000002</v>
      </c>
      <c r="D2519" s="83">
        <f t="shared" si="82"/>
        <v>0.24674349803505993</v>
      </c>
      <c r="E2519" s="83">
        <v>1.7711654268512706E-4</v>
      </c>
      <c r="F2519" s="83">
        <v>2511</v>
      </c>
      <c r="G2519" s="83">
        <f t="shared" ca="1" si="83"/>
        <v>3.2805582698776626E-3</v>
      </c>
    </row>
    <row r="2520" spans="2:7" x14ac:dyDescent="0.2">
      <c r="B2520" s="167">
        <v>41570</v>
      </c>
      <c r="C2520" s="28">
        <v>226.47</v>
      </c>
      <c r="D2520" s="83">
        <f t="shared" si="82"/>
        <v>-1.0145566828407137E-3</v>
      </c>
      <c r="E2520" s="83">
        <v>1.7665503687670379E-4</v>
      </c>
      <c r="F2520" s="83">
        <v>2512</v>
      </c>
      <c r="G2520" s="83">
        <f t="shared" ca="1" si="83"/>
        <v>-2.7230039757443987E-2</v>
      </c>
    </row>
    <row r="2521" spans="2:7" x14ac:dyDescent="0.2">
      <c r="B2521" s="167">
        <v>42115</v>
      </c>
      <c r="C2521" s="28">
        <v>226.7</v>
      </c>
      <c r="D2521" s="83">
        <f t="shared" si="82"/>
        <v>2.9432944859975643</v>
      </c>
      <c r="E2521" s="83">
        <v>1.764757786993384E-4</v>
      </c>
      <c r="F2521" s="83">
        <v>2513</v>
      </c>
      <c r="G2521" s="83">
        <f t="shared" ca="1" si="83"/>
        <v>-7.963751305460785E-3</v>
      </c>
    </row>
    <row r="2522" spans="2:7" x14ac:dyDescent="0.2">
      <c r="B2522" s="167">
        <v>39064</v>
      </c>
      <c r="C2522" s="28">
        <v>57.49</v>
      </c>
      <c r="D2522" s="83">
        <f t="shared" si="82"/>
        <v>-0.76231033199652698</v>
      </c>
      <c r="E2522" s="83">
        <v>1.7397355601957406E-4</v>
      </c>
      <c r="F2522" s="83">
        <v>2514</v>
      </c>
      <c r="G2522" s="83">
        <f t="shared" ca="1" si="83"/>
        <v>-2.2516459932410606E-2</v>
      </c>
    </row>
    <row r="2523" spans="2:7" x14ac:dyDescent="0.2">
      <c r="B2523" s="167">
        <v>42529</v>
      </c>
      <c r="C2523" s="28">
        <v>241.87</v>
      </c>
      <c r="D2523" s="83">
        <f t="shared" si="82"/>
        <v>0.24476352220678299</v>
      </c>
      <c r="E2523" s="83">
        <v>1.6540545010954819E-4</v>
      </c>
      <c r="F2523" s="83">
        <v>2515</v>
      </c>
      <c r="G2523" s="83">
        <f t="shared" ca="1" si="83"/>
        <v>1.9460471470063058E-2</v>
      </c>
    </row>
    <row r="2524" spans="2:7" x14ac:dyDescent="0.2">
      <c r="B2524" s="167">
        <v>41261</v>
      </c>
      <c r="C2524" s="28">
        <v>194.31</v>
      </c>
      <c r="D2524" s="83">
        <f t="shared" si="82"/>
        <v>-3.6972790801407578E-2</v>
      </c>
      <c r="E2524" s="83">
        <v>1.5441630636195766E-4</v>
      </c>
      <c r="F2524" s="83">
        <v>2516</v>
      </c>
      <c r="G2524" s="83">
        <f t="shared" ca="1" si="83"/>
        <v>-2.4844870442905457E-2</v>
      </c>
    </row>
    <row r="2525" spans="2:7" x14ac:dyDescent="0.2">
      <c r="B2525" s="167">
        <v>42163</v>
      </c>
      <c r="C2525" s="28">
        <v>201.77</v>
      </c>
      <c r="D2525" s="83">
        <f t="shared" si="82"/>
        <v>1.9258990719257543</v>
      </c>
      <c r="E2525" s="83">
        <v>1.4870625557649022E-4</v>
      </c>
      <c r="F2525" s="83">
        <v>2517</v>
      </c>
      <c r="G2525" s="83">
        <f t="shared" ca="1" si="83"/>
        <v>-2.2316380420099556E-3</v>
      </c>
    </row>
    <row r="2526" spans="2:7" x14ac:dyDescent="0.2">
      <c r="B2526" s="167">
        <v>39541</v>
      </c>
      <c r="C2526" s="28">
        <v>68.959999999999994</v>
      </c>
      <c r="D2526" s="83">
        <f t="shared" si="82"/>
        <v>-0.67258569936378321</v>
      </c>
      <c r="E2526" s="83">
        <v>1.4503263234214511E-4</v>
      </c>
      <c r="F2526" s="83">
        <v>2518</v>
      </c>
      <c r="G2526" s="83">
        <f t="shared" ca="1" si="83"/>
        <v>-2.3971675801688033E-2</v>
      </c>
    </row>
    <row r="2527" spans="2:7" x14ac:dyDescent="0.2">
      <c r="B2527" s="167">
        <v>42496</v>
      </c>
      <c r="C2527" s="28">
        <v>210.62</v>
      </c>
      <c r="D2527" s="83">
        <f t="shared" si="82"/>
        <v>-5.4030990343588596E-2</v>
      </c>
      <c r="E2527" s="83">
        <v>1.4245690678570271E-4</v>
      </c>
      <c r="F2527" s="83">
        <v>2519</v>
      </c>
      <c r="G2527" s="83">
        <f t="shared" ca="1" si="83"/>
        <v>5.35863257210224E-3</v>
      </c>
    </row>
    <row r="2528" spans="2:7" x14ac:dyDescent="0.2">
      <c r="B2528" s="167">
        <v>41408</v>
      </c>
      <c r="C2528" s="28">
        <v>222.65</v>
      </c>
      <c r="D2528" s="83">
        <f t="shared" si="82"/>
        <v>-2.397860775030685E-2</v>
      </c>
      <c r="E2528" s="83">
        <v>1.3475878178061779E-4</v>
      </c>
      <c r="F2528" s="83">
        <v>2520</v>
      </c>
      <c r="G2528" s="83">
        <f t="shared" ca="1" si="83"/>
        <v>-2.5578264240005099E-4</v>
      </c>
    </row>
    <row r="2529" spans="2:7" x14ac:dyDescent="0.2">
      <c r="B2529" s="167">
        <v>42291</v>
      </c>
      <c r="C2529" s="28">
        <v>228.12</v>
      </c>
      <c r="D2529" s="83">
        <f t="shared" si="82"/>
        <v>-4.381736920515043E-4</v>
      </c>
      <c r="E2529" s="83">
        <v>1.315270288044243E-4</v>
      </c>
      <c r="F2529" s="83">
        <v>2521</v>
      </c>
      <c r="G2529" s="83">
        <f t="shared" ca="1" si="83"/>
        <v>-1.47925945658672E-2</v>
      </c>
    </row>
    <row r="2530" spans="2:7" x14ac:dyDescent="0.2">
      <c r="B2530" s="167">
        <v>41837</v>
      </c>
      <c r="C2530" s="28">
        <v>228.22</v>
      </c>
      <c r="D2530" s="83">
        <f t="shared" si="82"/>
        <v>-0.42269553779216834</v>
      </c>
      <c r="E2530" s="83">
        <v>1.314693895438062E-4</v>
      </c>
      <c r="F2530" s="83">
        <v>2522</v>
      </c>
      <c r="G2530" s="83">
        <f t="shared" ca="1" si="83"/>
        <v>-1.9362424186925385E-3</v>
      </c>
    </row>
    <row r="2531" spans="2:7" x14ac:dyDescent="0.2">
      <c r="B2531" s="167">
        <v>45058</v>
      </c>
      <c r="C2531" s="28">
        <v>395.32</v>
      </c>
      <c r="D2531" s="83">
        <f t="shared" si="82"/>
        <v>0.61052717347021912</v>
      </c>
      <c r="E2531" s="83">
        <v>1.2649581298861885E-4</v>
      </c>
      <c r="F2531" s="83">
        <v>2523</v>
      </c>
      <c r="G2531" s="83">
        <f t="shared" ca="1" si="83"/>
        <v>-6.2286968313361949E-3</v>
      </c>
    </row>
    <row r="2532" spans="2:7" x14ac:dyDescent="0.2">
      <c r="B2532" s="167">
        <v>41961</v>
      </c>
      <c r="C2532" s="28">
        <v>245.46</v>
      </c>
      <c r="D2532" s="83">
        <f t="shared" si="82"/>
        <v>-1.4644862094214679E-3</v>
      </c>
      <c r="E2532" s="83">
        <v>1.2223444566679352E-4</v>
      </c>
      <c r="F2532" s="83">
        <v>2524</v>
      </c>
      <c r="G2532" s="83">
        <f t="shared" ca="1" si="83"/>
        <v>-8.2798157540700575E-3</v>
      </c>
    </row>
    <row r="2533" spans="2:7" x14ac:dyDescent="0.2">
      <c r="B2533" s="167">
        <v>41905</v>
      </c>
      <c r="C2533" s="28">
        <v>245.82</v>
      </c>
      <c r="D2533" s="83">
        <f t="shared" si="82"/>
        <v>-1.332584089267076E-2</v>
      </c>
      <c r="E2533" s="83">
        <v>1.2205541315757817E-4</v>
      </c>
      <c r="F2533" s="83">
        <v>2525</v>
      </c>
      <c r="G2533" s="83">
        <f t="shared" ca="1" si="83"/>
        <v>4.5570904402145798E-3</v>
      </c>
    </row>
    <row r="2534" spans="2:7" x14ac:dyDescent="0.2">
      <c r="B2534" s="167">
        <v>41479</v>
      </c>
      <c r="C2534" s="28">
        <v>249.14</v>
      </c>
      <c r="D2534" s="83">
        <f t="shared" si="82"/>
        <v>-0.37784991884130353</v>
      </c>
      <c r="E2534" s="83">
        <v>1.2042872626539566E-4</v>
      </c>
      <c r="F2534" s="83">
        <v>2526</v>
      </c>
      <c r="G2534" s="83">
        <f t="shared" ca="1" si="83"/>
        <v>1.16174056884626E-2</v>
      </c>
    </row>
    <row r="2535" spans="2:7" x14ac:dyDescent="0.2">
      <c r="B2535" s="167">
        <v>45468</v>
      </c>
      <c r="C2535" s="28">
        <v>400.45</v>
      </c>
      <c r="D2535" s="83">
        <f t="shared" si="82"/>
        <v>-6.105581891737699E-3</v>
      </c>
      <c r="E2535" s="83">
        <v>0</v>
      </c>
      <c r="F2535" s="83">
        <v>2527</v>
      </c>
      <c r="G2535" s="83">
        <f t="shared" ca="1" si="83"/>
        <v>-2.3355758699517441E-2</v>
      </c>
    </row>
    <row r="2536" spans="2:7" x14ac:dyDescent="0.2">
      <c r="B2536" s="167">
        <v>45398</v>
      </c>
      <c r="C2536" s="28">
        <v>402.91</v>
      </c>
      <c r="D2536" s="83">
        <f t="shared" si="82"/>
        <v>0.17234054934823095</v>
      </c>
      <c r="E2536" s="83">
        <v>0</v>
      </c>
      <c r="F2536" s="83">
        <v>2528</v>
      </c>
      <c r="G2536" s="83">
        <f t="shared" ca="1" si="83"/>
        <v>-1.2758989893554378E-2</v>
      </c>
    </row>
    <row r="2537" spans="2:7" x14ac:dyDescent="0.2">
      <c r="B2537" s="167">
        <v>44862</v>
      </c>
      <c r="C2537" s="28">
        <v>343.68</v>
      </c>
      <c r="D2537" s="83">
        <f t="shared" si="82"/>
        <v>0.73971146545178434</v>
      </c>
      <c r="E2537" s="83">
        <v>0</v>
      </c>
      <c r="F2537" s="83">
        <v>2529</v>
      </c>
      <c r="G2537" s="83">
        <f t="shared" ca="1" si="83"/>
        <v>7.1246059170539718E-3</v>
      </c>
    </row>
    <row r="2538" spans="2:7" x14ac:dyDescent="0.2">
      <c r="B2538" s="167">
        <v>43889</v>
      </c>
      <c r="C2538" s="28">
        <v>197.55</v>
      </c>
      <c r="D2538" s="83">
        <f t="shared" si="82"/>
        <v>-0.29079159935379645</v>
      </c>
      <c r="E2538" s="83">
        <v>0</v>
      </c>
      <c r="F2538" s="83">
        <v>2530</v>
      </c>
      <c r="G2538" s="83">
        <f t="shared" ca="1" si="83"/>
        <v>8.8111192316001983E-3</v>
      </c>
    </row>
    <row r="2539" spans="2:7" x14ac:dyDescent="0.2">
      <c r="B2539" s="167">
        <v>43619</v>
      </c>
      <c r="C2539" s="28">
        <v>278.55</v>
      </c>
      <c r="D2539" s="83">
        <f t="shared" si="82"/>
        <v>-6.2910008410428889E-2</v>
      </c>
      <c r="E2539" s="83">
        <v>0</v>
      </c>
      <c r="F2539" s="83">
        <v>2531</v>
      </c>
      <c r="G2539" s="83">
        <f t="shared" ca="1" si="83"/>
        <v>-3.642251343540432E-2</v>
      </c>
    </row>
    <row r="2540" spans="2:7" x14ac:dyDescent="0.2">
      <c r="B2540" s="167">
        <v>43556</v>
      </c>
      <c r="C2540" s="28">
        <v>297.25</v>
      </c>
      <c r="D2540" s="83">
        <f t="shared" si="82"/>
        <v>-7.0658120994216103E-2</v>
      </c>
      <c r="E2540" s="83">
        <v>0</v>
      </c>
      <c r="F2540" s="83">
        <v>2532</v>
      </c>
      <c r="G2540" s="83">
        <f t="shared" ca="1" si="83"/>
        <v>2.7231288953380273E-2</v>
      </c>
    </row>
    <row r="2541" spans="2:7" x14ac:dyDescent="0.2">
      <c r="B2541" s="167">
        <v>43343</v>
      </c>
      <c r="C2541" s="28">
        <v>319.85000000000002</v>
      </c>
      <c r="D2541" s="83">
        <f t="shared" si="82"/>
        <v>0.2390083284911875</v>
      </c>
      <c r="E2541" s="83">
        <v>0</v>
      </c>
      <c r="F2541" s="83">
        <v>2533</v>
      </c>
      <c r="G2541" s="83">
        <f t="shared" ca="1" si="83"/>
        <v>9.1400930991839251E-3</v>
      </c>
    </row>
    <row r="2542" spans="2:7" x14ac:dyDescent="0.2">
      <c r="B2542" s="167">
        <v>43062</v>
      </c>
      <c r="C2542" s="28">
        <v>258.14999999999998</v>
      </c>
      <c r="D2542" s="83">
        <f t="shared" si="82"/>
        <v>6.1908679555738311E-2</v>
      </c>
      <c r="E2542" s="83">
        <v>0</v>
      </c>
      <c r="F2542" s="83">
        <v>2534</v>
      </c>
      <c r="G2542" s="83">
        <f t="shared" ca="1" si="83"/>
        <v>1.6935930601564317E-3</v>
      </c>
    </row>
    <row r="2543" spans="2:7" x14ac:dyDescent="0.2">
      <c r="B2543" s="167">
        <v>42671</v>
      </c>
      <c r="C2543" s="28">
        <v>243.1</v>
      </c>
      <c r="D2543" s="83">
        <f t="shared" si="82"/>
        <v>1.8219895287958091E-2</v>
      </c>
      <c r="E2543" s="83">
        <v>0</v>
      </c>
      <c r="F2543" s="83">
        <v>2535</v>
      </c>
      <c r="G2543" s="83">
        <f t="shared" ca="1" si="83"/>
        <v>1.4405314667839548E-2</v>
      </c>
    </row>
    <row r="2544" spans="2:7" x14ac:dyDescent="0.2">
      <c r="B2544" s="167">
        <v>42669</v>
      </c>
      <c r="C2544" s="28">
        <v>238.75</v>
      </c>
      <c r="D2544" s="83">
        <f t="shared" si="82"/>
        <v>-5.1638530287984111E-2</v>
      </c>
      <c r="E2544" s="83">
        <v>0</v>
      </c>
      <c r="F2544" s="83">
        <v>2536</v>
      </c>
      <c r="G2544" s="83">
        <f t="shared" ca="1" si="83"/>
        <v>8.6393533849387846E-3</v>
      </c>
    </row>
    <row r="2545" spans="2:7" x14ac:dyDescent="0.2">
      <c r="B2545" s="167">
        <v>42577</v>
      </c>
      <c r="C2545" s="28">
        <v>251.75</v>
      </c>
      <c r="D2545" s="83">
        <f t="shared" si="82"/>
        <v>0.25780664501623779</v>
      </c>
      <c r="E2545" s="83">
        <v>0</v>
      </c>
      <c r="F2545" s="83">
        <v>2537</v>
      </c>
      <c r="G2545" s="83">
        <f t="shared" ca="1" si="83"/>
        <v>1.2350844441793501E-2</v>
      </c>
    </row>
    <row r="2546" spans="2:7" x14ac:dyDescent="0.2">
      <c r="B2546" s="167">
        <v>41348</v>
      </c>
      <c r="C2546" s="28">
        <v>200.15</v>
      </c>
      <c r="D2546" s="83">
        <f t="shared" si="82"/>
        <v>2.4099467867376219E-2</v>
      </c>
      <c r="E2546" s="83">
        <v>0</v>
      </c>
      <c r="F2546" s="83">
        <v>2538</v>
      </c>
      <c r="G2546" s="83">
        <f t="shared" ca="1" si="83"/>
        <v>-1.0659307448335098E-2</v>
      </c>
    </row>
    <row r="2547" spans="2:7" x14ac:dyDescent="0.2">
      <c r="B2547" s="167">
        <v>41333</v>
      </c>
      <c r="C2547" s="28">
        <v>195.44</v>
      </c>
      <c r="D2547" s="83">
        <f t="shared" si="82"/>
        <v>2.700998423541769E-2</v>
      </c>
      <c r="E2547" s="83">
        <v>0</v>
      </c>
      <c r="F2547" s="83">
        <v>2539</v>
      </c>
      <c r="G2547" s="83">
        <f t="shared" ca="1" si="83"/>
        <v>3.743216088556703E-4</v>
      </c>
    </row>
    <row r="2548" spans="2:7" x14ac:dyDescent="0.2">
      <c r="B2548" s="167">
        <v>41267</v>
      </c>
      <c r="C2548" s="28">
        <v>190.3</v>
      </c>
      <c r="D2548" s="83">
        <f t="shared" si="82"/>
        <v>1.2503325352487485E-2</v>
      </c>
      <c r="E2548" s="83">
        <v>0</v>
      </c>
      <c r="F2548" s="83">
        <v>2540</v>
      </c>
      <c r="G2548" s="83">
        <f t="shared" ca="1" si="83"/>
        <v>9.5068005300059811E-3</v>
      </c>
    </row>
    <row r="2549" spans="2:7" x14ac:dyDescent="0.2">
      <c r="B2549" s="167">
        <v>41194</v>
      </c>
      <c r="C2549" s="28">
        <v>187.95</v>
      </c>
      <c r="D2549" s="83">
        <f t="shared" si="82"/>
        <v>0.41114197762594784</v>
      </c>
      <c r="E2549" s="83">
        <v>0</v>
      </c>
      <c r="F2549" s="83">
        <v>2541</v>
      </c>
      <c r="G2549" s="83">
        <f t="shared" ca="1" si="83"/>
        <v>-3.1716224041010454E-5</v>
      </c>
    </row>
    <row r="2550" spans="2:7" x14ac:dyDescent="0.2">
      <c r="B2550" s="167">
        <v>40751</v>
      </c>
      <c r="C2550" s="28">
        <v>133.19</v>
      </c>
      <c r="D2550" s="83">
        <f t="shared" si="82"/>
        <v>0.12615202502747952</v>
      </c>
      <c r="E2550" s="83">
        <v>0</v>
      </c>
      <c r="F2550" s="83">
        <v>2542</v>
      </c>
      <c r="G2550" s="83">
        <f t="shared" ca="1" si="83"/>
        <v>1.9974086076157461E-2</v>
      </c>
    </row>
    <row r="2551" spans="2:7" x14ac:dyDescent="0.2">
      <c r="B2551" s="167">
        <v>40449</v>
      </c>
      <c r="C2551" s="28">
        <v>118.27</v>
      </c>
      <c r="D2551" s="83">
        <f t="shared" si="82"/>
        <v>9.3472633136094677E-2</v>
      </c>
      <c r="E2551" s="83">
        <v>0</v>
      </c>
      <c r="F2551" s="83">
        <v>2543</v>
      </c>
      <c r="G2551" s="83">
        <f t="shared" ca="1" si="83"/>
        <v>-2.2779146907245815E-3</v>
      </c>
    </row>
    <row r="2552" spans="2:7" x14ac:dyDescent="0.2">
      <c r="B2552" s="167">
        <v>40422</v>
      </c>
      <c r="C2552" s="28">
        <v>108.16</v>
      </c>
      <c r="D2552" s="83">
        <f t="shared" si="82"/>
        <v>0.15223180994993066</v>
      </c>
      <c r="E2552" s="83">
        <v>0</v>
      </c>
      <c r="F2552" s="83">
        <v>2544</v>
      </c>
      <c r="G2552" s="83">
        <f t="shared" ca="1" si="83"/>
        <v>8.2926511654939257E-3</v>
      </c>
    </row>
    <row r="2553" spans="2:7" x14ac:dyDescent="0.2">
      <c r="B2553" s="167">
        <v>40329</v>
      </c>
      <c r="C2553" s="28">
        <v>93.87</v>
      </c>
      <c r="D2553" s="83">
        <f t="shared" si="82"/>
        <v>0.16103896103896118</v>
      </c>
      <c r="E2553" s="83">
        <v>0</v>
      </c>
      <c r="F2553" s="83">
        <v>2545</v>
      </c>
      <c r="G2553" s="83">
        <f t="shared" ca="1" si="83"/>
        <v>1.2368514714418691E-2</v>
      </c>
    </row>
    <row r="2554" spans="2:7" x14ac:dyDescent="0.2">
      <c r="B2554" s="167">
        <v>40219</v>
      </c>
      <c r="C2554" s="28">
        <v>80.849999999999994</v>
      </c>
      <c r="D2554" s="83">
        <f t="shared" si="82"/>
        <v>0.27242681775259669</v>
      </c>
      <c r="E2554" s="83">
        <v>0</v>
      </c>
      <c r="F2554" s="83">
        <v>2546</v>
      </c>
      <c r="G2554" s="83">
        <f t="shared" ca="1" si="83"/>
        <v>-3.0291825783123307E-2</v>
      </c>
    </row>
    <row r="2555" spans="2:7" x14ac:dyDescent="0.2">
      <c r="B2555" s="167">
        <v>39997</v>
      </c>
      <c r="C2555" s="28">
        <v>63.54</v>
      </c>
      <c r="D2555" s="83">
        <f t="shared" si="82"/>
        <v>5.9706470980653743E-2</v>
      </c>
      <c r="E2555" s="83">
        <v>0</v>
      </c>
      <c r="F2555" s="83">
        <v>2547</v>
      </c>
      <c r="G2555" s="83">
        <f t="shared" ca="1" si="83"/>
        <v>-1.0741317846814447E-3</v>
      </c>
    </row>
    <row r="2556" spans="2:7" x14ac:dyDescent="0.2">
      <c r="B2556" s="167">
        <v>39848</v>
      </c>
      <c r="C2556" s="28">
        <v>59.96</v>
      </c>
      <c r="D2556" s="83">
        <f t="shared" si="82"/>
        <v>5.9925755700901549E-2</v>
      </c>
      <c r="E2556" s="83">
        <v>0</v>
      </c>
      <c r="F2556" s="83">
        <v>2548</v>
      </c>
      <c r="G2556" s="83">
        <f t="shared" ca="1" si="83"/>
        <v>-1.011447544122614E-2</v>
      </c>
    </row>
    <row r="2557" spans="2:7" x14ac:dyDescent="0.2">
      <c r="B2557" s="167">
        <v>39833</v>
      </c>
      <c r="C2557" s="28">
        <v>56.57</v>
      </c>
      <c r="D2557" s="83">
        <f t="shared" si="82"/>
        <v>0.10704500978473579</v>
      </c>
      <c r="E2557" s="83">
        <v>0</v>
      </c>
      <c r="F2557" s="83">
        <v>2549</v>
      </c>
      <c r="G2557" s="83">
        <f t="shared" ca="1" si="83"/>
        <v>-7.9119319990300797E-3</v>
      </c>
    </row>
    <row r="2558" spans="2:7" x14ac:dyDescent="0.2">
      <c r="B2558" s="167">
        <v>39259</v>
      </c>
      <c r="C2558" s="28">
        <v>51.1</v>
      </c>
      <c r="D2558" s="83">
        <f t="shared" si="82"/>
        <v>-0.11637558360712429</v>
      </c>
      <c r="E2558" s="83">
        <v>0</v>
      </c>
      <c r="F2558" s="83">
        <v>2550</v>
      </c>
      <c r="G2558" s="83">
        <f t="shared" ca="1" si="83"/>
        <v>2.8207607172571033E-2</v>
      </c>
    </row>
    <row r="2559" spans="2:7" x14ac:dyDescent="0.2">
      <c r="B2559" s="167">
        <v>39135</v>
      </c>
      <c r="C2559" s="28">
        <v>57.83</v>
      </c>
      <c r="D2559" s="83">
        <f t="shared" si="82"/>
        <v>-3.6181943487250318E-3</v>
      </c>
      <c r="E2559" s="83">
        <v>0</v>
      </c>
      <c r="F2559" s="83">
        <v>2551</v>
      </c>
      <c r="G2559" s="83">
        <f t="shared" ca="1" si="83"/>
        <v>-3.5086039895033776E-3</v>
      </c>
    </row>
    <row r="2560" spans="2:7" x14ac:dyDescent="0.2">
      <c r="B2560" s="167">
        <v>38908</v>
      </c>
      <c r="C2560" s="28">
        <v>58.04</v>
      </c>
      <c r="D2560" s="83">
        <f t="shared" si="82"/>
        <v>0.51659263130389321</v>
      </c>
      <c r="E2560" s="83">
        <v>0</v>
      </c>
      <c r="F2560" s="83">
        <v>2552</v>
      </c>
      <c r="G2560" s="83">
        <f t="shared" ca="1" si="83"/>
        <v>-3.595267969133344E-3</v>
      </c>
    </row>
    <row r="2561" spans="2:7" x14ac:dyDescent="0.2">
      <c r="B2561" s="167">
        <v>38596</v>
      </c>
      <c r="C2561" s="28">
        <v>38.270000000000003</v>
      </c>
      <c r="D2561" s="83">
        <f t="shared" si="82"/>
        <v>9.4992846924177393E-2</v>
      </c>
      <c r="E2561" s="83">
        <v>0</v>
      </c>
      <c r="F2561" s="83">
        <v>2553</v>
      </c>
      <c r="G2561" s="83">
        <f t="shared" ca="1" si="83"/>
        <v>7.5962997705378843E-3</v>
      </c>
    </row>
    <row r="2562" spans="2:7" x14ac:dyDescent="0.2">
      <c r="B2562" s="167">
        <v>38509</v>
      </c>
      <c r="C2562" s="28">
        <v>34.950000000000003</v>
      </c>
      <c r="D2562" s="83">
        <f t="shared" si="82"/>
        <v>-0.92931968937065201</v>
      </c>
      <c r="E2562" s="83">
        <v>0</v>
      </c>
      <c r="F2562" s="83">
        <v>2554</v>
      </c>
      <c r="G2562" s="83">
        <f t="shared" ca="1" si="83"/>
        <v>2.453022789020954E-2</v>
      </c>
    </row>
    <row r="2563" spans="2:7" x14ac:dyDescent="0.2">
      <c r="B2563" s="167">
        <v>45562</v>
      </c>
      <c r="C2563" s="28">
        <v>494.48</v>
      </c>
      <c r="D2563" s="83">
        <f t="shared" si="82"/>
        <v>9.5921985815602906E-2</v>
      </c>
      <c r="E2563" s="83">
        <v>-1.0110610074202683E-4</v>
      </c>
      <c r="F2563" s="83">
        <v>2555</v>
      </c>
      <c r="G2563" s="83">
        <f t="shared" ca="1" si="83"/>
        <v>7.4283414290836017E-3</v>
      </c>
    </row>
    <row r="2564" spans="2:7" x14ac:dyDescent="0.2">
      <c r="B2564" s="167">
        <v>45623</v>
      </c>
      <c r="C2564" s="28">
        <v>451.2</v>
      </c>
      <c r="D2564" s="83">
        <f t="shared" si="82"/>
        <v>4.8473300181252066E-2</v>
      </c>
      <c r="E2564" s="83">
        <v>-1.1080332409974818E-4</v>
      </c>
      <c r="F2564" s="83">
        <v>2556</v>
      </c>
      <c r="G2564" s="83">
        <f t="shared" ca="1" si="83"/>
        <v>3.2979298912411407E-2</v>
      </c>
    </row>
    <row r="2565" spans="2:7" x14ac:dyDescent="0.2">
      <c r="B2565" s="167">
        <v>45145</v>
      </c>
      <c r="C2565" s="28">
        <v>430.34</v>
      </c>
      <c r="D2565" s="83">
        <f t="shared" si="82"/>
        <v>4.3223194589222039E-2</v>
      </c>
      <c r="E2565" s="83">
        <v>-1.1617370292063331E-4</v>
      </c>
      <c r="F2565" s="83">
        <v>2557</v>
      </c>
      <c r="G2565" s="83">
        <f t="shared" ca="1" si="83"/>
        <v>-1.8891223079982929E-2</v>
      </c>
    </row>
    <row r="2566" spans="2:7" x14ac:dyDescent="0.2">
      <c r="B2566" s="167">
        <v>45204</v>
      </c>
      <c r="C2566" s="28">
        <v>412.51</v>
      </c>
      <c r="D2566" s="83">
        <f t="shared" si="82"/>
        <v>0.89268180775407213</v>
      </c>
      <c r="E2566" s="83">
        <v>-1.2119449292226917E-4</v>
      </c>
      <c r="F2566" s="83">
        <v>2558</v>
      </c>
      <c r="G2566" s="83">
        <f t="shared" ca="1" si="83"/>
        <v>8.0245927592487616E-3</v>
      </c>
    </row>
    <row r="2567" spans="2:7" x14ac:dyDescent="0.2">
      <c r="B2567" s="167">
        <v>42278</v>
      </c>
      <c r="C2567" s="28">
        <v>217.95</v>
      </c>
      <c r="D2567" s="83">
        <f t="shared" si="82"/>
        <v>1.4051086400223244E-2</v>
      </c>
      <c r="E2567" s="83">
        <v>-1.3762730525736829E-4</v>
      </c>
      <c r="F2567" s="83">
        <v>2559</v>
      </c>
      <c r="G2567" s="83">
        <f t="shared" ca="1" si="83"/>
        <v>-1.8709998481231383E-2</v>
      </c>
    </row>
    <row r="2568" spans="2:7" x14ac:dyDescent="0.2">
      <c r="B2568" s="167">
        <v>41666</v>
      </c>
      <c r="C2568" s="28">
        <v>214.93</v>
      </c>
      <c r="D2568" s="83">
        <f t="shared" si="82"/>
        <v>5.5675119303826969E-3</v>
      </c>
      <c r="E2568" s="83">
        <v>-1.3956084852996434E-4</v>
      </c>
      <c r="F2568" s="83">
        <v>2560</v>
      </c>
      <c r="G2568" s="83">
        <f t="shared" ca="1" si="83"/>
        <v>-7.976192006402455E-3</v>
      </c>
    </row>
    <row r="2569" spans="2:7" x14ac:dyDescent="0.2">
      <c r="B2569" s="167">
        <v>41638</v>
      </c>
      <c r="C2569" s="28">
        <v>213.74</v>
      </c>
      <c r="D2569" s="83">
        <f t="shared" ref="D2569:D2632" si="84">(C2569-C2570)/C2570</f>
        <v>4.9648872955851367E-2</v>
      </c>
      <c r="E2569" s="83">
        <v>-1.4033774617580174E-4</v>
      </c>
      <c r="F2569" s="83">
        <v>2561</v>
      </c>
      <c r="G2569" s="83">
        <f t="shared" ref="G2569:G2632" ca="1" si="85">_xlfn.NORM.INV(RAND(),$M$10,$M$11)</f>
        <v>-2.1061210014803967E-2</v>
      </c>
    </row>
    <row r="2570" spans="2:7" x14ac:dyDescent="0.2">
      <c r="B2570" s="167">
        <v>41366</v>
      </c>
      <c r="C2570" s="28">
        <v>203.63</v>
      </c>
      <c r="D2570" s="83">
        <f t="shared" si="84"/>
        <v>7.004729374671563E-2</v>
      </c>
      <c r="E2570" s="83">
        <v>-1.4730433074732955E-4</v>
      </c>
      <c r="F2570" s="83">
        <v>2562</v>
      </c>
      <c r="G2570" s="83">
        <f t="shared" ca="1" si="85"/>
        <v>-6.2976338604619625E-3</v>
      </c>
    </row>
    <row r="2571" spans="2:7" x14ac:dyDescent="0.2">
      <c r="B2571" s="167">
        <v>41264</v>
      </c>
      <c r="C2571" s="28">
        <v>190.3</v>
      </c>
      <c r="D2571" s="83">
        <f t="shared" si="84"/>
        <v>2.1506622516556293</v>
      </c>
      <c r="E2571" s="83">
        <v>-1.5762097409762588E-4</v>
      </c>
      <c r="F2571" s="83">
        <v>2563</v>
      </c>
      <c r="G2571" s="83">
        <f t="shared" ca="1" si="85"/>
        <v>8.8878319094625284E-3</v>
      </c>
    </row>
    <row r="2572" spans="2:7" x14ac:dyDescent="0.2">
      <c r="B2572" s="167">
        <v>39682</v>
      </c>
      <c r="C2572" s="28">
        <v>60.4</v>
      </c>
      <c r="D2572" s="83">
        <f t="shared" si="84"/>
        <v>-0.65954568513612533</v>
      </c>
      <c r="E2572" s="83">
        <v>-1.6553550736629716E-4</v>
      </c>
      <c r="F2572" s="83">
        <v>2564</v>
      </c>
      <c r="G2572" s="83">
        <f t="shared" ca="1" si="85"/>
        <v>-2.7314227485082097E-3</v>
      </c>
    </row>
    <row r="2573" spans="2:7" x14ac:dyDescent="0.2">
      <c r="B2573" s="167">
        <v>41155</v>
      </c>
      <c r="C2573" s="28">
        <v>177.41</v>
      </c>
      <c r="D2573" s="83">
        <f t="shared" si="84"/>
        <v>2.11792618629174</v>
      </c>
      <c r="E2573" s="83">
        <v>-1.6907123534716601E-4</v>
      </c>
      <c r="F2573" s="83">
        <v>2565</v>
      </c>
      <c r="G2573" s="83">
        <f t="shared" ca="1" si="85"/>
        <v>-7.9026744879376401E-3</v>
      </c>
    </row>
    <row r="2574" spans="2:7" x14ac:dyDescent="0.2">
      <c r="B2574" s="167">
        <v>39814</v>
      </c>
      <c r="C2574" s="28">
        <v>56.9</v>
      </c>
      <c r="D2574" s="83">
        <f t="shared" si="84"/>
        <v>4.9452490286118183E-3</v>
      </c>
      <c r="E2574" s="83">
        <v>-1.7571604287467952E-4</v>
      </c>
      <c r="F2574" s="83">
        <v>2566</v>
      </c>
      <c r="G2574" s="83">
        <f t="shared" ca="1" si="85"/>
        <v>4.2427670222867334E-4</v>
      </c>
    </row>
    <row r="2575" spans="2:7" x14ac:dyDescent="0.2">
      <c r="B2575" s="167">
        <v>38891</v>
      </c>
      <c r="C2575" s="28">
        <v>56.62</v>
      </c>
      <c r="D2575" s="83">
        <f t="shared" si="84"/>
        <v>-0.79713364385524899</v>
      </c>
      <c r="E2575" s="83">
        <v>-1.7658484902004443E-4</v>
      </c>
      <c r="F2575" s="83">
        <v>2567</v>
      </c>
      <c r="G2575" s="83">
        <f t="shared" ca="1" si="85"/>
        <v>3.0236022021292424E-3</v>
      </c>
    </row>
    <row r="2576" spans="2:7" x14ac:dyDescent="0.2">
      <c r="B2576" s="167">
        <v>42842</v>
      </c>
      <c r="C2576" s="28">
        <v>279.10000000000002</v>
      </c>
      <c r="D2576" s="83">
        <f t="shared" si="84"/>
        <v>1.7917935853793717E-4</v>
      </c>
      <c r="E2576" s="83">
        <v>-1.7911517105482548E-4</v>
      </c>
      <c r="F2576" s="83">
        <v>2568</v>
      </c>
      <c r="G2576" s="83">
        <f t="shared" ca="1" si="85"/>
        <v>1.3782389633548395E-2</v>
      </c>
    </row>
    <row r="2577" spans="2:7" x14ac:dyDescent="0.2">
      <c r="B2577" s="167">
        <v>42843</v>
      </c>
      <c r="C2577" s="28">
        <v>279.05</v>
      </c>
      <c r="D2577" s="83">
        <f t="shared" si="84"/>
        <v>1.1600507522204054E-2</v>
      </c>
      <c r="E2577" s="83">
        <v>-1.7914725904697731E-4</v>
      </c>
      <c r="F2577" s="83">
        <v>2569</v>
      </c>
      <c r="G2577" s="83">
        <f t="shared" ca="1" si="85"/>
        <v>9.8253269842554173E-3</v>
      </c>
    </row>
    <row r="2578" spans="2:7" x14ac:dyDescent="0.2">
      <c r="B2578" s="167">
        <v>43516</v>
      </c>
      <c r="C2578" s="28">
        <v>275.85000000000002</v>
      </c>
      <c r="D2578" s="83">
        <f t="shared" si="84"/>
        <v>0.26897598675131118</v>
      </c>
      <c r="E2578" s="83">
        <v>-1.8122508155112189E-4</v>
      </c>
      <c r="F2578" s="83">
        <v>2570</v>
      </c>
      <c r="G2578" s="83">
        <f t="shared" ca="1" si="85"/>
        <v>3.0350521260219334E-2</v>
      </c>
    </row>
    <row r="2579" spans="2:7" x14ac:dyDescent="0.2">
      <c r="B2579" s="167">
        <v>41576</v>
      </c>
      <c r="C2579" s="28">
        <v>217.38</v>
      </c>
      <c r="D2579" s="83">
        <f t="shared" si="84"/>
        <v>1.5203870076018616E-3</v>
      </c>
      <c r="E2579" s="83">
        <v>-1.8397571520555628E-4</v>
      </c>
      <c r="F2579" s="83">
        <v>2571</v>
      </c>
      <c r="G2579" s="83">
        <f t="shared" ca="1" si="85"/>
        <v>2.6972906032371353E-2</v>
      </c>
    </row>
    <row r="2580" spans="2:7" x14ac:dyDescent="0.2">
      <c r="B2580" s="167">
        <v>42086</v>
      </c>
      <c r="C2580" s="28">
        <v>217.05</v>
      </c>
      <c r="D2580" s="83">
        <f t="shared" si="84"/>
        <v>-0.18707865168539323</v>
      </c>
      <c r="E2580" s="83">
        <v>-1.8425537795380736E-4</v>
      </c>
      <c r="F2580" s="83">
        <v>2572</v>
      </c>
      <c r="G2580" s="83">
        <f t="shared" ca="1" si="85"/>
        <v>2.0954770948307187E-2</v>
      </c>
    </row>
    <row r="2581" spans="2:7" x14ac:dyDescent="0.2">
      <c r="B2581" s="167">
        <v>43032</v>
      </c>
      <c r="C2581" s="28">
        <v>267</v>
      </c>
      <c r="D2581" s="83">
        <f t="shared" si="84"/>
        <v>4.0028105677346826</v>
      </c>
      <c r="E2581" s="83">
        <v>-1.8723085564505287E-4</v>
      </c>
      <c r="F2581" s="83">
        <v>2573</v>
      </c>
      <c r="G2581" s="83">
        <f t="shared" ca="1" si="85"/>
        <v>-3.6298266291142764E-3</v>
      </c>
    </row>
    <row r="2582" spans="2:7" x14ac:dyDescent="0.2">
      <c r="B2582" s="167">
        <v>39209</v>
      </c>
      <c r="C2582" s="28">
        <v>53.37</v>
      </c>
      <c r="D2582" s="83">
        <f t="shared" si="84"/>
        <v>-0.88844063545150498</v>
      </c>
      <c r="E2582" s="83">
        <v>-1.873360809292828E-4</v>
      </c>
      <c r="F2582" s="83">
        <v>2574</v>
      </c>
      <c r="G2582" s="83">
        <f t="shared" ca="1" si="85"/>
        <v>-2.2089989823022127E-2</v>
      </c>
    </row>
    <row r="2583" spans="2:7" x14ac:dyDescent="0.2">
      <c r="B2583" s="167">
        <v>45530</v>
      </c>
      <c r="C2583" s="28">
        <v>478.4</v>
      </c>
      <c r="D2583" s="83">
        <f t="shared" si="84"/>
        <v>8.3803921568627455</v>
      </c>
      <c r="E2583" s="83">
        <v>-1.8809170515586915E-4</v>
      </c>
      <c r="F2583" s="83">
        <v>2575</v>
      </c>
      <c r="G2583" s="83">
        <f t="shared" ca="1" si="85"/>
        <v>1.6957973334895651E-2</v>
      </c>
    </row>
    <row r="2584" spans="2:7" x14ac:dyDescent="0.2">
      <c r="B2584" s="167">
        <v>39245</v>
      </c>
      <c r="C2584" s="28">
        <v>51</v>
      </c>
      <c r="D2584" s="83">
        <f t="shared" si="84"/>
        <v>-0.70199836391258619</v>
      </c>
      <c r="E2584" s="83">
        <v>-1.9603999215836131E-4</v>
      </c>
      <c r="F2584" s="83">
        <v>2576</v>
      </c>
      <c r="G2584" s="83">
        <f t="shared" ca="1" si="85"/>
        <v>1.3504305524760214E-2</v>
      </c>
    </row>
    <row r="2585" spans="2:7" x14ac:dyDescent="0.2">
      <c r="B2585" s="167">
        <v>41121</v>
      </c>
      <c r="C2585" s="28">
        <v>171.14</v>
      </c>
      <c r="D2585" s="83">
        <f t="shared" si="84"/>
        <v>-0.18075634274772628</v>
      </c>
      <c r="E2585" s="83">
        <v>-2.3367215796249831E-4</v>
      </c>
      <c r="F2585" s="83">
        <v>2577</v>
      </c>
      <c r="G2585" s="83">
        <f t="shared" ca="1" si="85"/>
        <v>-2.6506538106884275E-2</v>
      </c>
    </row>
    <row r="2586" spans="2:7" x14ac:dyDescent="0.2">
      <c r="B2586" s="167">
        <v>44428</v>
      </c>
      <c r="C2586" s="28">
        <v>208.9</v>
      </c>
      <c r="D2586" s="83">
        <f t="shared" si="84"/>
        <v>1.5162611418935199</v>
      </c>
      <c r="E2586" s="83">
        <v>-2.3929169657804715E-4</v>
      </c>
      <c r="F2586" s="83">
        <v>2578</v>
      </c>
      <c r="G2586" s="83">
        <f t="shared" ca="1" si="85"/>
        <v>-7.0371071337598746E-3</v>
      </c>
    </row>
    <row r="2587" spans="2:7" x14ac:dyDescent="0.2">
      <c r="B2587" s="167">
        <v>40106</v>
      </c>
      <c r="C2587" s="28">
        <v>83.02</v>
      </c>
      <c r="D2587" s="83">
        <f t="shared" si="84"/>
        <v>-0.32961886304909566</v>
      </c>
      <c r="E2587" s="83">
        <v>-2.4084778420050855E-4</v>
      </c>
      <c r="F2587" s="83">
        <v>2579</v>
      </c>
      <c r="G2587" s="83">
        <f t="shared" ca="1" si="85"/>
        <v>-1.4072155010800296E-2</v>
      </c>
    </row>
    <row r="2588" spans="2:7" x14ac:dyDescent="0.2">
      <c r="B2588" s="167">
        <v>40667</v>
      </c>
      <c r="C2588" s="28">
        <v>123.84</v>
      </c>
      <c r="D2588" s="83">
        <f t="shared" si="84"/>
        <v>-0.3967851924013639</v>
      </c>
      <c r="E2588" s="83">
        <v>-2.42189392104635E-4</v>
      </c>
      <c r="F2588" s="83">
        <v>2580</v>
      </c>
      <c r="G2588" s="83">
        <f t="shared" ca="1" si="85"/>
        <v>5.4938197478310215E-5</v>
      </c>
    </row>
    <row r="2589" spans="2:7" x14ac:dyDescent="0.2">
      <c r="B2589" s="167">
        <v>44312</v>
      </c>
      <c r="C2589" s="28">
        <v>205.3</v>
      </c>
      <c r="D2589" s="83">
        <f t="shared" si="84"/>
        <v>1.5015230900450838</v>
      </c>
      <c r="E2589" s="83">
        <v>-2.4348672997313343E-4</v>
      </c>
      <c r="F2589" s="83">
        <v>2581</v>
      </c>
      <c r="G2589" s="83">
        <f t="shared" ca="1" si="85"/>
        <v>-1.7207228451157955E-3</v>
      </c>
    </row>
    <row r="2590" spans="2:7" x14ac:dyDescent="0.2">
      <c r="B2590" s="167">
        <v>40234</v>
      </c>
      <c r="C2590" s="28">
        <v>82.07</v>
      </c>
      <c r="D2590" s="83">
        <f t="shared" si="84"/>
        <v>-0.6534352434441113</v>
      </c>
      <c r="E2590" s="83">
        <v>-2.4363503471811707E-4</v>
      </c>
      <c r="F2590" s="83">
        <v>2582</v>
      </c>
      <c r="G2590" s="83">
        <f t="shared" ca="1" si="85"/>
        <v>1.1259002703378068E-2</v>
      </c>
    </row>
    <row r="2591" spans="2:7" x14ac:dyDescent="0.2">
      <c r="B2591" s="167">
        <v>41848</v>
      </c>
      <c r="C2591" s="28">
        <v>236.81</v>
      </c>
      <c r="D2591" s="83">
        <f t="shared" si="84"/>
        <v>-0.32598053167871571</v>
      </c>
      <c r="E2591" s="83">
        <v>-2.5330349981003198E-4</v>
      </c>
      <c r="F2591" s="83">
        <v>2583</v>
      </c>
      <c r="G2591" s="83">
        <f t="shared" ca="1" si="85"/>
        <v>-5.4809127547571354E-3</v>
      </c>
    </row>
    <row r="2592" spans="2:7" x14ac:dyDescent="0.2">
      <c r="B2592" s="167">
        <v>44872</v>
      </c>
      <c r="C2592" s="28">
        <v>351.34</v>
      </c>
      <c r="D2592" s="83">
        <f t="shared" si="84"/>
        <v>2.0274881516587677</v>
      </c>
      <c r="E2592" s="83">
        <v>-2.5609651993293637E-4</v>
      </c>
      <c r="F2592" s="83">
        <v>2584</v>
      </c>
      <c r="G2592" s="83">
        <f t="shared" ca="1" si="85"/>
        <v>-6.7391199797359217E-3</v>
      </c>
    </row>
    <row r="2593" spans="2:7" x14ac:dyDescent="0.2">
      <c r="B2593" s="167">
        <v>40465</v>
      </c>
      <c r="C2593" s="28">
        <v>116.05</v>
      </c>
      <c r="D2593" s="83">
        <f t="shared" si="84"/>
        <v>-0.69840692325684139</v>
      </c>
      <c r="E2593" s="83">
        <v>-2.5844245348036817E-4</v>
      </c>
      <c r="F2593" s="83">
        <v>2585</v>
      </c>
      <c r="G2593" s="83">
        <f t="shared" ca="1" si="85"/>
        <v>1.8526535729288918E-2</v>
      </c>
    </row>
    <row r="2594" spans="2:7" x14ac:dyDescent="0.2">
      <c r="B2594" s="167">
        <v>45335</v>
      </c>
      <c r="C2594" s="28">
        <v>384.79</v>
      </c>
      <c r="D2594" s="83">
        <f t="shared" si="84"/>
        <v>2.3442551712150186</v>
      </c>
      <c r="E2594" s="83">
        <v>-2.5981449245230038E-4</v>
      </c>
      <c r="F2594" s="83">
        <v>2586</v>
      </c>
      <c r="G2594" s="83">
        <f t="shared" ca="1" si="85"/>
        <v>-3.5162973889564623E-2</v>
      </c>
    </row>
    <row r="2595" spans="2:7" x14ac:dyDescent="0.2">
      <c r="B2595" s="167">
        <v>40605</v>
      </c>
      <c r="C2595" s="28">
        <v>115.06</v>
      </c>
      <c r="D2595" s="83">
        <f t="shared" si="84"/>
        <v>3.3689695445153177E-2</v>
      </c>
      <c r="E2595" s="83">
        <v>-2.6066556607873086E-4</v>
      </c>
      <c r="F2595" s="83">
        <v>2587</v>
      </c>
      <c r="G2595" s="83">
        <f t="shared" ca="1" si="85"/>
        <v>-3.139015052617844E-2</v>
      </c>
    </row>
    <row r="2596" spans="2:7" x14ac:dyDescent="0.2">
      <c r="B2596" s="167">
        <v>40623</v>
      </c>
      <c r="C2596" s="28">
        <v>111.31</v>
      </c>
      <c r="D2596" s="83">
        <f t="shared" si="84"/>
        <v>0.52709562354232409</v>
      </c>
      <c r="E2596" s="83">
        <v>-2.6944494341657211E-4</v>
      </c>
      <c r="F2596" s="83">
        <v>2588</v>
      </c>
      <c r="G2596" s="83">
        <f t="shared" ca="1" si="85"/>
        <v>-1.9531580290000492E-2</v>
      </c>
    </row>
    <row r="2597" spans="2:7" x14ac:dyDescent="0.2">
      <c r="B2597" s="167">
        <v>39602</v>
      </c>
      <c r="C2597" s="28">
        <v>72.89</v>
      </c>
      <c r="D2597" s="83">
        <f t="shared" si="84"/>
        <v>-0.65642234268206456</v>
      </c>
      <c r="E2597" s="83">
        <v>-2.7431079412969445E-4</v>
      </c>
      <c r="F2597" s="83">
        <v>2589</v>
      </c>
      <c r="G2597" s="83">
        <f t="shared" ca="1" si="85"/>
        <v>7.5634811799294033E-3</v>
      </c>
    </row>
    <row r="2598" spans="2:7" x14ac:dyDescent="0.2">
      <c r="B2598" s="167">
        <v>42250</v>
      </c>
      <c r="C2598" s="28">
        <v>212.15</v>
      </c>
      <c r="D2598" s="83">
        <f t="shared" si="84"/>
        <v>-0.3963235921805196</v>
      </c>
      <c r="E2598" s="83">
        <v>-2.827387964752004E-4</v>
      </c>
      <c r="F2598" s="83">
        <v>2590</v>
      </c>
      <c r="G2598" s="83">
        <f t="shared" ca="1" si="85"/>
        <v>-5.3214381632901526E-3</v>
      </c>
    </row>
    <row r="2599" spans="2:7" x14ac:dyDescent="0.2">
      <c r="B2599" s="167">
        <v>44869</v>
      </c>
      <c r="C2599" s="28">
        <v>351.43</v>
      </c>
      <c r="D2599" s="83">
        <f t="shared" si="84"/>
        <v>0.69005482350678082</v>
      </c>
      <c r="E2599" s="83">
        <v>-2.8447074218406935E-4</v>
      </c>
      <c r="F2599" s="83">
        <v>2591</v>
      </c>
      <c r="G2599" s="83">
        <f t="shared" ca="1" si="85"/>
        <v>6.7104282805353337E-3</v>
      </c>
    </row>
    <row r="2600" spans="2:7" x14ac:dyDescent="0.2">
      <c r="B2600" s="167">
        <v>42261</v>
      </c>
      <c r="C2600" s="28">
        <v>207.94</v>
      </c>
      <c r="D2600" s="83">
        <f t="shared" si="84"/>
        <v>-0.1098077828674173</v>
      </c>
      <c r="E2600" s="83">
        <v>-2.8846153846154938E-4</v>
      </c>
      <c r="F2600" s="83">
        <v>2592</v>
      </c>
      <c r="G2600" s="83">
        <f t="shared" ca="1" si="85"/>
        <v>-5.5762468536765131E-3</v>
      </c>
    </row>
    <row r="2601" spans="2:7" x14ac:dyDescent="0.2">
      <c r="B2601" s="167">
        <v>41878</v>
      </c>
      <c r="C2601" s="28">
        <v>233.59</v>
      </c>
      <c r="D2601" s="83">
        <f t="shared" si="84"/>
        <v>0.76707769120205771</v>
      </c>
      <c r="E2601" s="83">
        <v>-2.9958058717792166E-4</v>
      </c>
      <c r="F2601" s="83">
        <v>2593</v>
      </c>
      <c r="G2601" s="83">
        <f t="shared" ca="1" si="85"/>
        <v>4.2167678435694415E-3</v>
      </c>
    </row>
    <row r="2602" spans="2:7" x14ac:dyDescent="0.2">
      <c r="B2602" s="167">
        <v>40801</v>
      </c>
      <c r="C2602" s="28">
        <v>132.19</v>
      </c>
      <c r="D2602" s="83">
        <f t="shared" si="84"/>
        <v>-0.42792227463539184</v>
      </c>
      <c r="E2602" s="83">
        <v>-3.0250321409658961E-4</v>
      </c>
      <c r="F2602" s="83">
        <v>2594</v>
      </c>
      <c r="G2602" s="83">
        <f t="shared" ca="1" si="85"/>
        <v>-2.0227795765558137E-3</v>
      </c>
    </row>
    <row r="2603" spans="2:7" x14ac:dyDescent="0.2">
      <c r="B2603" s="167">
        <v>42298</v>
      </c>
      <c r="C2603" s="28">
        <v>231.07</v>
      </c>
      <c r="D2603" s="83">
        <f t="shared" si="84"/>
        <v>0.8130247155747351</v>
      </c>
      <c r="E2603" s="83">
        <v>-3.0284675953964343E-4</v>
      </c>
      <c r="F2603" s="83">
        <v>2595</v>
      </c>
      <c r="G2603" s="83">
        <f t="shared" ca="1" si="85"/>
        <v>-6.6348742467118686E-3</v>
      </c>
    </row>
    <row r="2604" spans="2:7" x14ac:dyDescent="0.2">
      <c r="B2604" s="167">
        <v>40872</v>
      </c>
      <c r="C2604" s="28">
        <v>127.45</v>
      </c>
      <c r="D2604" s="83">
        <f t="shared" si="84"/>
        <v>-0.69550363149847094</v>
      </c>
      <c r="E2604" s="83">
        <v>-3.1375009804684322E-4</v>
      </c>
      <c r="F2604" s="83">
        <v>2596</v>
      </c>
      <c r="G2604" s="83">
        <f t="shared" ca="1" si="85"/>
        <v>-6.9977197306758032E-3</v>
      </c>
    </row>
    <row r="2605" spans="2:7" x14ac:dyDescent="0.2">
      <c r="B2605" s="167">
        <v>45195</v>
      </c>
      <c r="C2605" s="28">
        <v>418.56</v>
      </c>
      <c r="D2605" s="83">
        <f t="shared" si="84"/>
        <v>6.0110552763819092</v>
      </c>
      <c r="E2605" s="83">
        <v>-3.3436828278000084E-4</v>
      </c>
      <c r="F2605" s="83">
        <v>2597</v>
      </c>
      <c r="G2605" s="83">
        <f t="shared" ca="1" si="85"/>
        <v>-2.2181582794670276E-2</v>
      </c>
    </row>
    <row r="2606" spans="2:7" x14ac:dyDescent="0.2">
      <c r="B2606" s="167">
        <v>38957</v>
      </c>
      <c r="C2606" s="28">
        <v>59.7</v>
      </c>
      <c r="D2606" s="83">
        <f t="shared" si="84"/>
        <v>-0.79690423541418609</v>
      </c>
      <c r="E2606" s="83">
        <v>-3.3489618218345647E-4</v>
      </c>
      <c r="F2606" s="83">
        <v>2598</v>
      </c>
      <c r="G2606" s="83">
        <f t="shared" ca="1" si="85"/>
        <v>4.0448046810315228E-3</v>
      </c>
    </row>
    <row r="2607" spans="2:7" x14ac:dyDescent="0.2">
      <c r="B2607" s="167">
        <v>43482</v>
      </c>
      <c r="C2607" s="28">
        <v>293.95</v>
      </c>
      <c r="D2607" s="83">
        <f t="shared" si="84"/>
        <v>4.0273644604070462</v>
      </c>
      <c r="E2607" s="83">
        <v>-3.4007821799021502E-4</v>
      </c>
      <c r="F2607" s="83">
        <v>2599</v>
      </c>
      <c r="G2607" s="83">
        <f t="shared" ca="1" si="85"/>
        <v>8.580843339075838E-3</v>
      </c>
    </row>
    <row r="2608" spans="2:7" x14ac:dyDescent="0.2">
      <c r="B2608" s="167">
        <v>39122</v>
      </c>
      <c r="C2608" s="28">
        <v>58.47</v>
      </c>
      <c r="D2608" s="83">
        <f t="shared" si="84"/>
        <v>-0.86636955776482694</v>
      </c>
      <c r="E2608" s="83">
        <v>-3.4193879295611431E-4</v>
      </c>
      <c r="F2608" s="83">
        <v>2600</v>
      </c>
      <c r="G2608" s="83">
        <f t="shared" ca="1" si="85"/>
        <v>4.3637642529430172E-3</v>
      </c>
    </row>
    <row r="2609" spans="2:7" x14ac:dyDescent="0.2">
      <c r="B2609" s="167">
        <v>45678</v>
      </c>
      <c r="C2609" s="28">
        <v>437.55</v>
      </c>
      <c r="D2609" s="83">
        <f t="shared" si="84"/>
        <v>1.3239324410452518</v>
      </c>
      <c r="E2609" s="83">
        <v>-3.4270047978061973E-4</v>
      </c>
      <c r="F2609" s="83">
        <v>2601</v>
      </c>
      <c r="G2609" s="83">
        <f t="shared" ca="1" si="85"/>
        <v>-9.7427813733561193E-3</v>
      </c>
    </row>
    <row r="2610" spans="2:7" x14ac:dyDescent="0.2">
      <c r="B2610" s="167">
        <v>41290</v>
      </c>
      <c r="C2610" s="28">
        <v>188.28</v>
      </c>
      <c r="D2610" s="83">
        <f t="shared" si="84"/>
        <v>2.5061452513966476</v>
      </c>
      <c r="E2610" s="83">
        <v>-3.7164852667901873E-4</v>
      </c>
      <c r="F2610" s="83">
        <v>2602</v>
      </c>
      <c r="G2610" s="83">
        <f t="shared" ca="1" si="85"/>
        <v>3.0136986259713068E-2</v>
      </c>
    </row>
    <row r="2611" spans="2:7" x14ac:dyDescent="0.2">
      <c r="B2611" s="167">
        <v>39217</v>
      </c>
      <c r="C2611" s="28">
        <v>53.7</v>
      </c>
      <c r="D2611" s="83">
        <f t="shared" si="84"/>
        <v>-0.79670641680863152</v>
      </c>
      <c r="E2611" s="83">
        <v>-3.7230081906172789E-4</v>
      </c>
      <c r="F2611" s="83">
        <v>2603</v>
      </c>
      <c r="G2611" s="83">
        <f t="shared" ca="1" si="85"/>
        <v>6.5010075065840668E-3</v>
      </c>
    </row>
    <row r="2612" spans="2:7" x14ac:dyDescent="0.2">
      <c r="B2612" s="167">
        <v>42802</v>
      </c>
      <c r="C2612" s="28">
        <v>264.14999999999998</v>
      </c>
      <c r="D2612" s="83">
        <f t="shared" si="84"/>
        <v>3.5476283810270418E-2</v>
      </c>
      <c r="E2612" s="83">
        <v>-3.7842951750245122E-4</v>
      </c>
      <c r="F2612" s="83">
        <v>2604</v>
      </c>
      <c r="G2612" s="83">
        <f t="shared" ca="1" si="85"/>
        <v>1.2806852514334893E-2</v>
      </c>
    </row>
    <row r="2613" spans="2:7" x14ac:dyDescent="0.2">
      <c r="B2613" s="167">
        <v>43073</v>
      </c>
      <c r="C2613" s="28">
        <v>255.1</v>
      </c>
      <c r="D2613" s="83">
        <f t="shared" si="84"/>
        <v>2.4022405974926646</v>
      </c>
      <c r="E2613" s="83">
        <v>-3.9184952978054202E-4</v>
      </c>
      <c r="F2613" s="83">
        <v>2605</v>
      </c>
      <c r="G2613" s="83">
        <f t="shared" ca="1" si="85"/>
        <v>3.4829530860927438E-2</v>
      </c>
    </row>
    <row r="2614" spans="2:7" x14ac:dyDescent="0.2">
      <c r="B2614" s="167">
        <v>39583</v>
      </c>
      <c r="C2614" s="28">
        <v>74.98</v>
      </c>
      <c r="D2614" s="83">
        <f t="shared" si="84"/>
        <v>-0.68673490703989981</v>
      </c>
      <c r="E2614" s="83">
        <v>-3.999466737768449E-4</v>
      </c>
      <c r="F2614" s="83">
        <v>2606</v>
      </c>
      <c r="G2614" s="83">
        <f t="shared" ca="1" si="85"/>
        <v>2.4895207487740507E-2</v>
      </c>
    </row>
    <row r="2615" spans="2:7" x14ac:dyDescent="0.2">
      <c r="B2615" s="167">
        <v>42663</v>
      </c>
      <c r="C2615" s="28">
        <v>239.35</v>
      </c>
      <c r="D2615" s="83">
        <f t="shared" si="84"/>
        <v>1.6132455954149787E-2</v>
      </c>
      <c r="E2615" s="83">
        <v>-4.1762372102733061E-4</v>
      </c>
      <c r="F2615" s="83">
        <v>2607</v>
      </c>
      <c r="G2615" s="83">
        <f t="shared" ca="1" si="85"/>
        <v>1.3281249959237702E-2</v>
      </c>
    </row>
    <row r="2616" spans="2:7" x14ac:dyDescent="0.2">
      <c r="B2616" s="167">
        <v>41537</v>
      </c>
      <c r="C2616" s="28">
        <v>235.55</v>
      </c>
      <c r="D2616" s="83">
        <f t="shared" si="84"/>
        <v>-0.46481721309613067</v>
      </c>
      <c r="E2616" s="83">
        <v>-4.243581582855689E-4</v>
      </c>
      <c r="F2616" s="83">
        <v>2608</v>
      </c>
      <c r="G2616" s="83">
        <f t="shared" ca="1" si="85"/>
        <v>-8.0796998783406737E-3</v>
      </c>
    </row>
    <row r="2617" spans="2:7" x14ac:dyDescent="0.2">
      <c r="B2617" s="167">
        <v>45637</v>
      </c>
      <c r="C2617" s="28">
        <v>440.13</v>
      </c>
      <c r="D2617" s="83">
        <f t="shared" si="84"/>
        <v>0.92937927406628085</v>
      </c>
      <c r="E2617" s="83">
        <v>-4.3150436046511114E-4</v>
      </c>
      <c r="F2617" s="83">
        <v>2609</v>
      </c>
      <c r="G2617" s="83">
        <f t="shared" ca="1" si="85"/>
        <v>4.2729542829598403E-3</v>
      </c>
    </row>
    <row r="2618" spans="2:7" x14ac:dyDescent="0.2">
      <c r="B2618" s="167">
        <v>41838</v>
      </c>
      <c r="C2618" s="28">
        <v>228.12</v>
      </c>
      <c r="D2618" s="83">
        <f t="shared" si="84"/>
        <v>2.4027446300715987</v>
      </c>
      <c r="E2618" s="83">
        <v>-4.381736920515043E-4</v>
      </c>
      <c r="F2618" s="83">
        <v>2610</v>
      </c>
      <c r="G2618" s="83">
        <f t="shared" ca="1" si="85"/>
        <v>-1.0253810222810158E-2</v>
      </c>
    </row>
    <row r="2619" spans="2:7" x14ac:dyDescent="0.2">
      <c r="B2619" s="167">
        <v>39506</v>
      </c>
      <c r="C2619" s="28">
        <v>67.040000000000006</v>
      </c>
      <c r="D2619" s="83">
        <f t="shared" si="84"/>
        <v>-0.49854140175031786</v>
      </c>
      <c r="E2619" s="83">
        <v>-4.4729387207375769E-4</v>
      </c>
      <c r="F2619" s="83">
        <v>2611</v>
      </c>
      <c r="G2619" s="83">
        <f t="shared" ca="1" si="85"/>
        <v>-1.9132713381705451E-2</v>
      </c>
    </row>
    <row r="2620" spans="2:7" x14ac:dyDescent="0.2">
      <c r="B2620" s="167">
        <v>40742</v>
      </c>
      <c r="C2620" s="28">
        <v>133.69</v>
      </c>
      <c r="D2620" s="83">
        <f t="shared" si="84"/>
        <v>-0.39992818349118003</v>
      </c>
      <c r="E2620" s="83">
        <v>-4.4859813084113852E-4</v>
      </c>
      <c r="F2620" s="83">
        <v>2612</v>
      </c>
      <c r="G2620" s="83">
        <f t="shared" ca="1" si="85"/>
        <v>2.613112506509255E-3</v>
      </c>
    </row>
    <row r="2621" spans="2:7" x14ac:dyDescent="0.2">
      <c r="B2621" s="167">
        <v>41807</v>
      </c>
      <c r="C2621" s="28">
        <v>222.79</v>
      </c>
      <c r="D2621" s="83">
        <f t="shared" si="84"/>
        <v>6.2878958005832628E-4</v>
      </c>
      <c r="E2621" s="83">
        <v>-4.4865180133695691E-4</v>
      </c>
      <c r="F2621" s="83">
        <v>2613</v>
      </c>
      <c r="G2621" s="83">
        <f t="shared" ca="1" si="85"/>
        <v>-2.1177147551219862E-2</v>
      </c>
    </row>
    <row r="2622" spans="2:7" x14ac:dyDescent="0.2">
      <c r="B2622" s="167">
        <v>44609</v>
      </c>
      <c r="C2622" s="28">
        <v>222.65</v>
      </c>
      <c r="D2622" s="83">
        <f t="shared" si="84"/>
        <v>3.0787037037037064E-2</v>
      </c>
      <c r="E2622" s="83">
        <v>-4.4893378226709007E-4</v>
      </c>
      <c r="F2622" s="83">
        <v>2614</v>
      </c>
      <c r="G2622" s="83">
        <f t="shared" ca="1" si="85"/>
        <v>-6.8996686840756983E-3</v>
      </c>
    </row>
    <row r="2623" spans="2:7" x14ac:dyDescent="0.2">
      <c r="B2623" s="167">
        <v>44454</v>
      </c>
      <c r="C2623" s="28">
        <v>216</v>
      </c>
      <c r="D2623" s="83">
        <f t="shared" si="84"/>
        <v>1.2468360363738617E-2</v>
      </c>
      <c r="E2623" s="83">
        <v>-4.6274872744097326E-4</v>
      </c>
      <c r="F2623" s="83">
        <v>2615</v>
      </c>
      <c r="G2623" s="83">
        <f t="shared" ca="1" si="85"/>
        <v>3.3935094872928388E-2</v>
      </c>
    </row>
    <row r="2624" spans="2:7" x14ac:dyDescent="0.2">
      <c r="B2624" s="167">
        <v>42404</v>
      </c>
      <c r="C2624" s="28">
        <v>213.34</v>
      </c>
      <c r="D2624" s="83">
        <f t="shared" si="84"/>
        <v>8.6043872919818135E-3</v>
      </c>
      <c r="E2624" s="83">
        <v>-4.6851574212890891E-4</v>
      </c>
      <c r="F2624" s="83">
        <v>2616</v>
      </c>
      <c r="G2624" s="83">
        <f t="shared" ca="1" si="85"/>
        <v>1.6571737604317443E-2</v>
      </c>
    </row>
    <row r="2625" spans="2:7" x14ac:dyDescent="0.2">
      <c r="B2625" s="167">
        <v>41632</v>
      </c>
      <c r="C2625" s="28">
        <v>211.52</v>
      </c>
      <c r="D2625" s="83">
        <f t="shared" si="84"/>
        <v>-0.48371979497193063</v>
      </c>
      <c r="E2625" s="83">
        <v>-4.7254512805970281E-4</v>
      </c>
      <c r="F2625" s="83">
        <v>2617</v>
      </c>
      <c r="G2625" s="83">
        <f t="shared" ca="1" si="85"/>
        <v>-2.9912494645514165E-3</v>
      </c>
    </row>
    <row r="2626" spans="2:7" x14ac:dyDescent="0.2">
      <c r="B2626" s="167">
        <v>45701</v>
      </c>
      <c r="C2626" s="28">
        <v>409.7</v>
      </c>
      <c r="D2626" s="83">
        <f t="shared" si="84"/>
        <v>1.0039129371484472</v>
      </c>
      <c r="E2626" s="83">
        <v>-4.8792388387408793E-4</v>
      </c>
      <c r="F2626" s="83">
        <v>2618</v>
      </c>
      <c r="G2626" s="83">
        <f t="shared" ca="1" si="85"/>
        <v>1.6268930254640327E-2</v>
      </c>
    </row>
    <row r="2627" spans="2:7" x14ac:dyDescent="0.2">
      <c r="B2627" s="167">
        <v>44368</v>
      </c>
      <c r="C2627" s="28">
        <v>204.45</v>
      </c>
      <c r="D2627" s="83">
        <f t="shared" si="84"/>
        <v>-0.3206512709752451</v>
      </c>
      <c r="E2627" s="83">
        <v>-4.8887802493289038E-4</v>
      </c>
      <c r="F2627" s="83">
        <v>2619</v>
      </c>
      <c r="G2627" s="83">
        <f t="shared" ca="1" si="85"/>
        <v>-4.8738143431859204E-3</v>
      </c>
    </row>
    <row r="2628" spans="2:7" x14ac:dyDescent="0.2">
      <c r="B2628" s="167">
        <v>43320</v>
      </c>
      <c r="C2628" s="28">
        <v>300.95</v>
      </c>
      <c r="D2628" s="83">
        <f t="shared" si="84"/>
        <v>4.0200166805671387</v>
      </c>
      <c r="E2628" s="83">
        <v>-4.9817336433090038E-4</v>
      </c>
      <c r="F2628" s="83">
        <v>2620</v>
      </c>
      <c r="G2628" s="83">
        <f t="shared" ca="1" si="85"/>
        <v>2.3221388814138658E-2</v>
      </c>
    </row>
    <row r="2629" spans="2:7" x14ac:dyDescent="0.2">
      <c r="B2629" s="167">
        <v>39342</v>
      </c>
      <c r="C2629" s="28">
        <v>59.95</v>
      </c>
      <c r="D2629" s="83">
        <f t="shared" si="84"/>
        <v>-0.6991670012043355</v>
      </c>
      <c r="E2629" s="83">
        <v>-5.0016672224064741E-4</v>
      </c>
      <c r="F2629" s="83">
        <v>2621</v>
      </c>
      <c r="G2629" s="83">
        <f t="shared" ca="1" si="85"/>
        <v>-2.4947441951089198E-2</v>
      </c>
    </row>
    <row r="2630" spans="2:7" x14ac:dyDescent="0.2">
      <c r="B2630" s="167">
        <v>41320</v>
      </c>
      <c r="C2630" s="28">
        <v>199.28</v>
      </c>
      <c r="D2630" s="83">
        <f t="shared" si="84"/>
        <v>4.1824137062232937E-3</v>
      </c>
      <c r="E2630" s="83">
        <v>-5.0155481994179109E-4</v>
      </c>
      <c r="F2630" s="83">
        <v>2622</v>
      </c>
      <c r="G2630" s="83">
        <f t="shared" ca="1" si="85"/>
        <v>-7.4871798861658552E-3</v>
      </c>
    </row>
    <row r="2631" spans="2:7" x14ac:dyDescent="0.2">
      <c r="B2631" s="167">
        <v>44062</v>
      </c>
      <c r="C2631" s="28">
        <v>198.45</v>
      </c>
      <c r="D2631" s="83">
        <f t="shared" si="84"/>
        <v>6.0326472675656384E-3</v>
      </c>
      <c r="E2631" s="83">
        <v>-5.036514731806735E-4</v>
      </c>
      <c r="F2631" s="83">
        <v>2623</v>
      </c>
      <c r="G2631" s="83">
        <f t="shared" ca="1" si="85"/>
        <v>-4.1159051231774253E-3</v>
      </c>
    </row>
    <row r="2632" spans="2:7" x14ac:dyDescent="0.2">
      <c r="B2632" s="167">
        <v>41344</v>
      </c>
      <c r="C2632" s="28">
        <v>197.26</v>
      </c>
      <c r="D2632" s="83">
        <f t="shared" si="84"/>
        <v>2.8469750889679834E-3</v>
      </c>
      <c r="E2632" s="83">
        <v>-5.0668828536695753E-4</v>
      </c>
      <c r="F2632" s="83">
        <v>2624</v>
      </c>
      <c r="G2632" s="83">
        <f t="shared" ca="1" si="85"/>
        <v>9.469254136558674E-3</v>
      </c>
    </row>
    <row r="2633" spans="2:7" x14ac:dyDescent="0.2">
      <c r="B2633" s="167">
        <v>44067</v>
      </c>
      <c r="C2633" s="28">
        <v>196.7</v>
      </c>
      <c r="D2633" s="83">
        <f t="shared" ref="D2633:D2696" si="86">(C2633-C2634)/C2634</f>
        <v>-0.32113891285591029</v>
      </c>
      <c r="E2633" s="83">
        <v>-5.0813008130092853E-4</v>
      </c>
      <c r="F2633" s="83">
        <v>2625</v>
      </c>
      <c r="G2633" s="83">
        <f t="shared" ref="G2633:G2696" ca="1" si="87">_xlfn.NORM.INV(RAND(),$M$10,$M$11)</f>
        <v>-1.3541311483533471E-2</v>
      </c>
    </row>
    <row r="2634" spans="2:7" x14ac:dyDescent="0.2">
      <c r="B2634" s="167">
        <v>43487</v>
      </c>
      <c r="C2634" s="28">
        <v>289.75</v>
      </c>
      <c r="D2634" s="83">
        <f t="shared" si="86"/>
        <v>1.144548886092813</v>
      </c>
      <c r="E2634" s="83">
        <v>-5.1741979993093234E-4</v>
      </c>
      <c r="F2634" s="83">
        <v>2626</v>
      </c>
      <c r="G2634" s="83">
        <f t="shared" ca="1" si="87"/>
        <v>1.6864114685234573E-2</v>
      </c>
    </row>
    <row r="2635" spans="2:7" x14ac:dyDescent="0.2">
      <c r="B2635" s="167">
        <v>40949</v>
      </c>
      <c r="C2635" s="28">
        <v>135.11000000000001</v>
      </c>
      <c r="D2635" s="83">
        <f t="shared" si="86"/>
        <v>-0.52071656615821205</v>
      </c>
      <c r="E2635" s="83">
        <v>-5.1782808107703193E-4</v>
      </c>
      <c r="F2635" s="83">
        <v>2627</v>
      </c>
      <c r="G2635" s="83">
        <f t="shared" ca="1" si="87"/>
        <v>3.7314082090110029E-2</v>
      </c>
    </row>
    <row r="2636" spans="2:7" x14ac:dyDescent="0.2">
      <c r="B2636" s="167">
        <v>42837</v>
      </c>
      <c r="C2636" s="28">
        <v>281.89999999999998</v>
      </c>
      <c r="D2636" s="83">
        <f t="shared" si="86"/>
        <v>0.16338574553258212</v>
      </c>
      <c r="E2636" s="83">
        <v>-5.3182059918466262E-4</v>
      </c>
      <c r="F2636" s="83">
        <v>2628</v>
      </c>
      <c r="G2636" s="83">
        <f t="shared" ca="1" si="87"/>
        <v>1.2888230971656494E-2</v>
      </c>
    </row>
    <row r="2637" spans="2:7" x14ac:dyDescent="0.2">
      <c r="B2637" s="167">
        <v>41921</v>
      </c>
      <c r="C2637" s="28">
        <v>242.31</v>
      </c>
      <c r="D2637" s="83">
        <f t="shared" si="86"/>
        <v>0.33100796484482276</v>
      </c>
      <c r="E2637" s="83">
        <v>-5.3621514601549021E-4</v>
      </c>
      <c r="F2637" s="83">
        <v>2629</v>
      </c>
      <c r="G2637" s="83">
        <f t="shared" ca="1" si="87"/>
        <v>1.4771288062064153E-2</v>
      </c>
    </row>
    <row r="2638" spans="2:7" x14ac:dyDescent="0.2">
      <c r="B2638" s="167">
        <v>43951</v>
      </c>
      <c r="C2638" s="28">
        <v>182.05</v>
      </c>
      <c r="D2638" s="83">
        <f t="shared" si="86"/>
        <v>-0.46969034926738323</v>
      </c>
      <c r="E2638" s="83">
        <v>-5.4899807850669396E-4</v>
      </c>
      <c r="F2638" s="83">
        <v>2630</v>
      </c>
      <c r="G2638" s="83">
        <f t="shared" ca="1" si="87"/>
        <v>1.7911762559767595E-3</v>
      </c>
    </row>
    <row r="2639" spans="2:7" x14ac:dyDescent="0.2">
      <c r="B2639" s="167">
        <v>44909</v>
      </c>
      <c r="C2639" s="28">
        <v>343.29</v>
      </c>
      <c r="D2639" s="83">
        <f t="shared" si="86"/>
        <v>5.3536923931149358</v>
      </c>
      <c r="E2639" s="83">
        <v>-5.5316175614300025E-4</v>
      </c>
      <c r="F2639" s="83">
        <v>2631</v>
      </c>
      <c r="G2639" s="83">
        <f t="shared" ca="1" si="87"/>
        <v>-4.2001641972221997E-2</v>
      </c>
    </row>
    <row r="2640" spans="2:7" x14ac:dyDescent="0.2">
      <c r="B2640" s="167">
        <v>38761</v>
      </c>
      <c r="C2640" s="28">
        <v>54.03</v>
      </c>
      <c r="D2640" s="83">
        <f t="shared" si="86"/>
        <v>5.7706626954579726E-3</v>
      </c>
      <c r="E2640" s="83">
        <v>-5.5493895671478242E-4</v>
      </c>
      <c r="F2640" s="83">
        <v>2632</v>
      </c>
      <c r="G2640" s="83">
        <f t="shared" ca="1" si="87"/>
        <v>9.6347797608899791E-3</v>
      </c>
    </row>
    <row r="2641" spans="2:7" x14ac:dyDescent="0.2">
      <c r="B2641" s="167">
        <v>39216</v>
      </c>
      <c r="C2641" s="28">
        <v>53.72</v>
      </c>
      <c r="D2641" s="83">
        <f t="shared" si="86"/>
        <v>0</v>
      </c>
      <c r="E2641" s="83">
        <v>-5.5813953488374204E-4</v>
      </c>
      <c r="F2641" s="83">
        <v>2633</v>
      </c>
      <c r="G2641" s="83">
        <f t="shared" ca="1" si="87"/>
        <v>-3.7081885558956085E-2</v>
      </c>
    </row>
    <row r="2642" spans="2:7" x14ac:dyDescent="0.2">
      <c r="B2642" s="167">
        <v>39147</v>
      </c>
      <c r="C2642" s="28">
        <v>53.72</v>
      </c>
      <c r="D2642" s="83">
        <f t="shared" si="86"/>
        <v>-0.79910246821241582</v>
      </c>
      <c r="E2642" s="83">
        <v>-5.5813953488374204E-4</v>
      </c>
      <c r="F2642" s="83">
        <v>2634</v>
      </c>
      <c r="G2642" s="83">
        <f t="shared" ca="1" si="87"/>
        <v>1.5885614854246888E-2</v>
      </c>
    </row>
    <row r="2643" spans="2:7" x14ac:dyDescent="0.2">
      <c r="B2643" s="167">
        <v>44711</v>
      </c>
      <c r="C2643" s="28">
        <v>267.39999999999998</v>
      </c>
      <c r="D2643" s="83">
        <f t="shared" si="86"/>
        <v>3.7537537537537542E-3</v>
      </c>
      <c r="E2643" s="83">
        <v>-5.606428704916244E-4</v>
      </c>
      <c r="F2643" s="83">
        <v>2635</v>
      </c>
      <c r="G2643" s="83">
        <f t="shared" ca="1" si="87"/>
        <v>3.8606128429317731E-2</v>
      </c>
    </row>
    <row r="2644" spans="2:7" x14ac:dyDescent="0.2">
      <c r="B2644" s="167">
        <v>43158</v>
      </c>
      <c r="C2644" s="28">
        <v>266.39999999999998</v>
      </c>
      <c r="D2644" s="83">
        <f t="shared" si="86"/>
        <v>6.6223175965665231</v>
      </c>
      <c r="E2644" s="83">
        <v>-5.6274620146326809E-4</v>
      </c>
      <c r="F2644" s="83">
        <v>2636</v>
      </c>
      <c r="G2644" s="83">
        <f t="shared" ca="1" si="87"/>
        <v>-1.4257458195578533E-2</v>
      </c>
    </row>
    <row r="2645" spans="2:7" x14ac:dyDescent="0.2">
      <c r="B2645" s="167">
        <v>38507</v>
      </c>
      <c r="C2645" s="28">
        <v>34.950000000000003</v>
      </c>
      <c r="D2645" s="83">
        <f t="shared" si="86"/>
        <v>-0.59781357882623709</v>
      </c>
      <c r="E2645" s="83">
        <v>-5.7191878753205664E-4</v>
      </c>
      <c r="F2645" s="83">
        <v>2637</v>
      </c>
      <c r="G2645" s="83">
        <f t="shared" ca="1" si="87"/>
        <v>-3.5959868472392915E-2</v>
      </c>
    </row>
    <row r="2646" spans="2:7" x14ac:dyDescent="0.2">
      <c r="B2646" s="167">
        <v>40303</v>
      </c>
      <c r="C2646" s="28">
        <v>86.9</v>
      </c>
      <c r="D2646" s="83">
        <f t="shared" si="86"/>
        <v>-0.66454352441613584</v>
      </c>
      <c r="E2646" s="83">
        <v>-5.7504312823458486E-4</v>
      </c>
      <c r="F2646" s="83">
        <v>2638</v>
      </c>
      <c r="G2646" s="83">
        <f t="shared" ca="1" si="87"/>
        <v>4.4357426151198261E-2</v>
      </c>
    </row>
    <row r="2647" spans="2:7" x14ac:dyDescent="0.2">
      <c r="B2647" s="167">
        <v>43180</v>
      </c>
      <c r="C2647" s="28">
        <v>259.05</v>
      </c>
      <c r="D2647" s="83">
        <f t="shared" si="86"/>
        <v>6.8262839879154082</v>
      </c>
      <c r="E2647" s="83">
        <v>-5.7870370370361596E-4</v>
      </c>
      <c r="F2647" s="83">
        <v>2639</v>
      </c>
      <c r="G2647" s="83">
        <f t="shared" ca="1" si="87"/>
        <v>-1.9269863080476285E-3</v>
      </c>
    </row>
    <row r="2648" spans="2:7" x14ac:dyDescent="0.2">
      <c r="B2648" s="167">
        <v>38492</v>
      </c>
      <c r="C2648" s="28">
        <v>33.1</v>
      </c>
      <c r="D2648" s="83">
        <f t="shared" si="86"/>
        <v>-0.59937061244250789</v>
      </c>
      <c r="E2648" s="83">
        <v>-6.0386473429939686E-4</v>
      </c>
      <c r="F2648" s="83">
        <v>2640</v>
      </c>
      <c r="G2648" s="83">
        <f t="shared" ca="1" si="87"/>
        <v>-1.8831603389565552E-2</v>
      </c>
    </row>
    <row r="2649" spans="2:7" x14ac:dyDescent="0.2">
      <c r="B2649" s="167">
        <v>40164</v>
      </c>
      <c r="C2649" s="28">
        <v>82.62</v>
      </c>
      <c r="D2649" s="83">
        <f t="shared" si="86"/>
        <v>0.71481942714819435</v>
      </c>
      <c r="E2649" s="83">
        <v>-6.0481432200311066E-4</v>
      </c>
      <c r="F2649" s="83">
        <v>2641</v>
      </c>
      <c r="G2649" s="83">
        <f t="shared" ca="1" si="87"/>
        <v>-3.5408861204577575E-3</v>
      </c>
    </row>
    <row r="2650" spans="2:7" x14ac:dyDescent="0.2">
      <c r="B2650" s="167">
        <v>38726</v>
      </c>
      <c r="C2650" s="28">
        <v>48.18</v>
      </c>
      <c r="D2650" s="83">
        <f t="shared" si="86"/>
        <v>-0.76910911966262518</v>
      </c>
      <c r="E2650" s="83">
        <v>-6.2227753578098183E-4</v>
      </c>
      <c r="F2650" s="83">
        <v>2642</v>
      </c>
      <c r="G2650" s="83">
        <f t="shared" ca="1" si="87"/>
        <v>9.3027843475545092E-3</v>
      </c>
    </row>
    <row r="2651" spans="2:7" x14ac:dyDescent="0.2">
      <c r="B2651" s="167">
        <v>41642</v>
      </c>
      <c r="C2651" s="28">
        <v>208.67</v>
      </c>
      <c r="D2651" s="83">
        <f t="shared" si="86"/>
        <v>-0.53267490817880503</v>
      </c>
      <c r="E2651" s="83">
        <v>-6.2260536398478863E-4</v>
      </c>
      <c r="F2651" s="83">
        <v>2643</v>
      </c>
      <c r="G2651" s="83">
        <f t="shared" ca="1" si="87"/>
        <v>-6.5829927275705908E-3</v>
      </c>
    </row>
    <row r="2652" spans="2:7" x14ac:dyDescent="0.2">
      <c r="B2652" s="167">
        <v>45120</v>
      </c>
      <c r="C2652" s="28">
        <v>446.52</v>
      </c>
      <c r="D2652" s="83">
        <f t="shared" si="86"/>
        <v>0.87024083769633498</v>
      </c>
      <c r="E2652" s="83">
        <v>-6.2667860340203567E-4</v>
      </c>
      <c r="F2652" s="83">
        <v>2644</v>
      </c>
      <c r="G2652" s="83">
        <f t="shared" ca="1" si="87"/>
        <v>-8.3296534024390797E-3</v>
      </c>
    </row>
    <row r="2653" spans="2:7" x14ac:dyDescent="0.2">
      <c r="B2653" s="167">
        <v>43823</v>
      </c>
      <c r="C2653" s="28">
        <v>238.75</v>
      </c>
      <c r="D2653" s="83">
        <f t="shared" si="86"/>
        <v>1.1443326746901383</v>
      </c>
      <c r="E2653" s="83">
        <v>-6.2787777312685506E-4</v>
      </c>
      <c r="F2653" s="83">
        <v>2645</v>
      </c>
      <c r="G2653" s="83">
        <f t="shared" ca="1" si="87"/>
        <v>3.0583332844182104E-2</v>
      </c>
    </row>
    <row r="2654" spans="2:7" x14ac:dyDescent="0.2">
      <c r="B2654" s="167">
        <v>40620</v>
      </c>
      <c r="C2654" s="28">
        <v>111.34</v>
      </c>
      <c r="D2654" s="83">
        <f t="shared" si="86"/>
        <v>-0.53198823034888609</v>
      </c>
      <c r="E2654" s="83">
        <v>-6.2830984651281912E-4</v>
      </c>
      <c r="F2654" s="83">
        <v>2646</v>
      </c>
      <c r="G2654" s="83">
        <f t="shared" ca="1" si="87"/>
        <v>-4.0737085899216425E-3</v>
      </c>
    </row>
    <row r="2655" spans="2:7" x14ac:dyDescent="0.2">
      <c r="B2655" s="167">
        <v>43853</v>
      </c>
      <c r="C2655" s="28">
        <v>237.9</v>
      </c>
      <c r="D2655" s="83">
        <f t="shared" si="86"/>
        <v>1.5359769747361689</v>
      </c>
      <c r="E2655" s="83">
        <v>-6.3011972274734586E-4</v>
      </c>
      <c r="F2655" s="83">
        <v>2647</v>
      </c>
      <c r="G2655" s="83">
        <f t="shared" ca="1" si="87"/>
        <v>-2.4908752425052215E-2</v>
      </c>
    </row>
    <row r="2656" spans="2:7" x14ac:dyDescent="0.2">
      <c r="B2656" s="167">
        <v>40330</v>
      </c>
      <c r="C2656" s="28">
        <v>93.81</v>
      </c>
      <c r="D2656" s="83">
        <f t="shared" si="86"/>
        <v>-0.59961587708066577</v>
      </c>
      <c r="E2656" s="83">
        <v>-6.3918184723556269E-4</v>
      </c>
      <c r="F2656" s="83">
        <v>2648</v>
      </c>
      <c r="G2656" s="83">
        <f t="shared" ca="1" si="87"/>
        <v>2.6432844987121704E-2</v>
      </c>
    </row>
    <row r="2657" spans="2:7" x14ac:dyDescent="0.2">
      <c r="B2657" s="167">
        <v>44596</v>
      </c>
      <c r="C2657" s="28">
        <v>234.3</v>
      </c>
      <c r="D2657" s="83">
        <f t="shared" si="86"/>
        <v>-4.1717791411042898E-2</v>
      </c>
      <c r="E2657" s="83">
        <v>-6.3979526551493824E-4</v>
      </c>
      <c r="F2657" s="83">
        <v>2649</v>
      </c>
      <c r="G2657" s="83">
        <f t="shared" ca="1" si="87"/>
        <v>1.3725140555106595E-2</v>
      </c>
    </row>
    <row r="2658" spans="2:7" x14ac:dyDescent="0.2">
      <c r="B2658" s="167">
        <v>41477</v>
      </c>
      <c r="C2658" s="28">
        <v>244.5</v>
      </c>
      <c r="D2658" s="83">
        <f t="shared" si="86"/>
        <v>-0.39628138966394233</v>
      </c>
      <c r="E2658" s="83">
        <v>-6.5396877299107577E-4</v>
      </c>
      <c r="F2658" s="83">
        <v>2650</v>
      </c>
      <c r="G2658" s="83">
        <f t="shared" ca="1" si="87"/>
        <v>-1.9324360324357E-3</v>
      </c>
    </row>
    <row r="2659" spans="2:7" x14ac:dyDescent="0.2">
      <c r="B2659" s="167">
        <v>45231</v>
      </c>
      <c r="C2659" s="28">
        <v>404.99</v>
      </c>
      <c r="D2659" s="83">
        <f t="shared" si="86"/>
        <v>0.40841592766475393</v>
      </c>
      <c r="E2659" s="83">
        <v>-6.9089742640701939E-4</v>
      </c>
      <c r="F2659" s="83">
        <v>2651</v>
      </c>
      <c r="G2659" s="83">
        <f t="shared" ca="1" si="87"/>
        <v>-1.7883303028984471E-2</v>
      </c>
    </row>
    <row r="2660" spans="2:7" x14ac:dyDescent="0.2">
      <c r="B2660" s="167">
        <v>43398</v>
      </c>
      <c r="C2660" s="28">
        <v>287.55</v>
      </c>
      <c r="D2660" s="83">
        <f t="shared" si="86"/>
        <v>0.34746954076850983</v>
      </c>
      <c r="E2660" s="83">
        <v>-6.9504778453514731E-4</v>
      </c>
      <c r="F2660" s="83">
        <v>2652</v>
      </c>
      <c r="G2660" s="83">
        <f t="shared" ca="1" si="87"/>
        <v>-1.684463534922611E-2</v>
      </c>
    </row>
    <row r="2661" spans="2:7" x14ac:dyDescent="0.2">
      <c r="B2661" s="167">
        <v>43868</v>
      </c>
      <c r="C2661" s="28">
        <v>213.4</v>
      </c>
      <c r="D2661" s="83">
        <f t="shared" si="86"/>
        <v>1.4077897700610577E-3</v>
      </c>
      <c r="E2661" s="83">
        <v>-7.0241161320536486E-4</v>
      </c>
      <c r="F2661" s="83">
        <v>2653</v>
      </c>
      <c r="G2661" s="83">
        <f t="shared" ca="1" si="87"/>
        <v>-1.303442510494477E-2</v>
      </c>
    </row>
    <row r="2662" spans="2:7" x14ac:dyDescent="0.2">
      <c r="B2662" s="167">
        <v>44295</v>
      </c>
      <c r="C2662" s="28">
        <v>213.1</v>
      </c>
      <c r="D2662" s="83">
        <f t="shared" si="86"/>
        <v>-0.24231111111111114</v>
      </c>
      <c r="E2662" s="83">
        <v>-7.0339976553343813E-4</v>
      </c>
      <c r="F2662" s="83">
        <v>2654</v>
      </c>
      <c r="G2662" s="83">
        <f t="shared" ca="1" si="87"/>
        <v>-6.1156725529711064E-3</v>
      </c>
    </row>
    <row r="2663" spans="2:7" x14ac:dyDescent="0.2">
      <c r="B2663" s="167">
        <v>43125</v>
      </c>
      <c r="C2663" s="28">
        <v>281.25</v>
      </c>
      <c r="D2663" s="83">
        <f t="shared" si="86"/>
        <v>-0.30682210282446887</v>
      </c>
      <c r="E2663" s="83">
        <v>-7.1060579143715984E-4</v>
      </c>
      <c r="F2663" s="83">
        <v>2655</v>
      </c>
      <c r="G2663" s="83">
        <f t="shared" ca="1" si="87"/>
        <v>-3.5202206079360088E-2</v>
      </c>
    </row>
    <row r="2664" spans="2:7" x14ac:dyDescent="0.2">
      <c r="B2664" s="167">
        <v>45406</v>
      </c>
      <c r="C2664" s="28">
        <v>405.74</v>
      </c>
      <c r="D2664" s="83">
        <f t="shared" si="86"/>
        <v>3.8755106945445803</v>
      </c>
      <c r="E2664" s="83">
        <v>-7.1423293845273412E-4</v>
      </c>
      <c r="F2664" s="83">
        <v>2656</v>
      </c>
      <c r="G2664" s="83">
        <f t="shared" ca="1" si="87"/>
        <v>-1.2704278657593998E-2</v>
      </c>
    </row>
    <row r="2665" spans="2:7" x14ac:dyDescent="0.2">
      <c r="B2665" s="167">
        <v>40246</v>
      </c>
      <c r="C2665" s="28">
        <v>83.22</v>
      </c>
      <c r="D2665" s="83">
        <f t="shared" si="86"/>
        <v>-0.62489858469304971</v>
      </c>
      <c r="E2665" s="83">
        <v>-7.2046109510089183E-4</v>
      </c>
      <c r="F2665" s="83">
        <v>2657</v>
      </c>
      <c r="G2665" s="83">
        <f t="shared" ca="1" si="87"/>
        <v>2.8563533777886795E-2</v>
      </c>
    </row>
    <row r="2666" spans="2:7" x14ac:dyDescent="0.2">
      <c r="B2666" s="167">
        <v>41414</v>
      </c>
      <c r="C2666" s="28">
        <v>221.86</v>
      </c>
      <c r="D2666" s="83">
        <f t="shared" si="86"/>
        <v>-0.19906137184115519</v>
      </c>
      <c r="E2666" s="83">
        <v>-7.2065579677504997E-4</v>
      </c>
      <c r="F2666" s="83">
        <v>2658</v>
      </c>
      <c r="G2666" s="83">
        <f t="shared" ca="1" si="87"/>
        <v>-2.785357911075282E-2</v>
      </c>
    </row>
    <row r="2667" spans="2:7" x14ac:dyDescent="0.2">
      <c r="B2667" s="167">
        <v>43636</v>
      </c>
      <c r="C2667" s="28">
        <v>277</v>
      </c>
      <c r="D2667" s="83">
        <f t="shared" si="86"/>
        <v>0.33333333333333331</v>
      </c>
      <c r="E2667" s="83">
        <v>-7.2150072150068052E-4</v>
      </c>
      <c r="F2667" s="83">
        <v>2659</v>
      </c>
      <c r="G2667" s="83">
        <f t="shared" ca="1" si="87"/>
        <v>-4.4886944646609066E-3</v>
      </c>
    </row>
    <row r="2668" spans="2:7" x14ac:dyDescent="0.2">
      <c r="B2668" s="167">
        <v>44396</v>
      </c>
      <c r="C2668" s="28">
        <v>207.75</v>
      </c>
      <c r="D2668" s="83">
        <f t="shared" si="86"/>
        <v>2.0452946350043977</v>
      </c>
      <c r="E2668" s="83">
        <v>-7.2150072150074882E-4</v>
      </c>
      <c r="F2668" s="83">
        <v>2660</v>
      </c>
      <c r="G2668" s="83">
        <f t="shared" ca="1" si="87"/>
        <v>-1.3062236566980573E-2</v>
      </c>
    </row>
    <row r="2669" spans="2:7" x14ac:dyDescent="0.2">
      <c r="B2669" s="167">
        <v>39618</v>
      </c>
      <c r="C2669" s="28">
        <v>68.22</v>
      </c>
      <c r="D2669" s="83">
        <f t="shared" si="86"/>
        <v>-0.79814776459449055</v>
      </c>
      <c r="E2669" s="83">
        <v>-7.3238611395923779E-4</v>
      </c>
      <c r="F2669" s="83">
        <v>2661</v>
      </c>
      <c r="G2669" s="83">
        <f t="shared" ca="1" si="87"/>
        <v>4.278583209955898E-3</v>
      </c>
    </row>
    <row r="2670" spans="2:7" x14ac:dyDescent="0.2">
      <c r="B2670" s="167">
        <v>44893</v>
      </c>
      <c r="C2670" s="28">
        <v>337.97</v>
      </c>
      <c r="D2670" s="83">
        <f t="shared" si="86"/>
        <v>0.68985000000000019</v>
      </c>
      <c r="E2670" s="83">
        <v>-7.3916385784400681E-4</v>
      </c>
      <c r="F2670" s="83">
        <v>2662</v>
      </c>
      <c r="G2670" s="83">
        <f t="shared" ca="1" si="87"/>
        <v>-1.9260530675916307E-2</v>
      </c>
    </row>
    <row r="2671" spans="2:7" x14ac:dyDescent="0.2">
      <c r="B2671" s="167">
        <v>43987</v>
      </c>
      <c r="C2671" s="28">
        <v>200</v>
      </c>
      <c r="D2671" s="83">
        <f t="shared" si="86"/>
        <v>-6.0194539730275845E-2</v>
      </c>
      <c r="E2671" s="83">
        <v>-7.4943792155885921E-4</v>
      </c>
      <c r="F2671" s="83">
        <v>2663</v>
      </c>
      <c r="G2671" s="83">
        <f t="shared" ca="1" si="87"/>
        <v>-1.8234225725055859E-2</v>
      </c>
    </row>
    <row r="2672" spans="2:7" x14ac:dyDescent="0.2">
      <c r="B2672" s="167">
        <v>42349</v>
      </c>
      <c r="C2672" s="28">
        <v>212.81</v>
      </c>
      <c r="D2672" s="83">
        <f t="shared" si="86"/>
        <v>1.371885866717475E-2</v>
      </c>
      <c r="E2672" s="83">
        <v>-7.5127952293748692E-4</v>
      </c>
      <c r="F2672" s="83">
        <v>2664</v>
      </c>
      <c r="G2672" s="83">
        <f t="shared" ca="1" si="87"/>
        <v>1.2203400074189203E-2</v>
      </c>
    </row>
    <row r="2673" spans="2:7" x14ac:dyDescent="0.2">
      <c r="B2673" s="167">
        <v>41689</v>
      </c>
      <c r="C2673" s="28">
        <v>209.93</v>
      </c>
      <c r="D2673" s="83">
        <f t="shared" si="86"/>
        <v>-4.0144483562708611E-2</v>
      </c>
      <c r="E2673" s="83">
        <v>-7.6157837117424244E-4</v>
      </c>
      <c r="F2673" s="83">
        <v>2665</v>
      </c>
      <c r="G2673" s="83">
        <f t="shared" ca="1" si="87"/>
        <v>1.3939571016041782E-2</v>
      </c>
    </row>
    <row r="2674" spans="2:7" x14ac:dyDescent="0.2">
      <c r="B2674" s="167">
        <v>41444</v>
      </c>
      <c r="C2674" s="28">
        <v>218.71</v>
      </c>
      <c r="D2674" s="83">
        <f t="shared" si="86"/>
        <v>0.70056760749552904</v>
      </c>
      <c r="E2674" s="83">
        <v>-7.7668128654965053E-4</v>
      </c>
      <c r="F2674" s="83">
        <v>2666</v>
      </c>
      <c r="G2674" s="83">
        <f t="shared" ca="1" si="87"/>
        <v>1.0967226980158758E-3</v>
      </c>
    </row>
    <row r="2675" spans="2:7" x14ac:dyDescent="0.2">
      <c r="B2675" s="167">
        <v>40710</v>
      </c>
      <c r="C2675" s="28">
        <v>128.61000000000001</v>
      </c>
      <c r="D2675" s="83">
        <f t="shared" si="86"/>
        <v>-0.63946512671002465</v>
      </c>
      <c r="E2675" s="83">
        <v>-7.7694040867061075E-4</v>
      </c>
      <c r="F2675" s="83">
        <v>2667</v>
      </c>
      <c r="G2675" s="83">
        <f t="shared" ca="1" si="87"/>
        <v>-1.0328548217862455E-2</v>
      </c>
    </row>
    <row r="2676" spans="2:7" x14ac:dyDescent="0.2">
      <c r="B2676" s="167">
        <v>45000</v>
      </c>
      <c r="C2676" s="28">
        <v>356.72</v>
      </c>
      <c r="D2676" s="83">
        <f t="shared" si="86"/>
        <v>0.65638930163447251</v>
      </c>
      <c r="E2676" s="83">
        <v>-7.8431372549011961E-4</v>
      </c>
      <c r="F2676" s="83">
        <v>2668</v>
      </c>
      <c r="G2676" s="83">
        <f t="shared" ca="1" si="87"/>
        <v>-1.6713716500102271E-3</v>
      </c>
    </row>
    <row r="2677" spans="2:7" x14ac:dyDescent="0.2">
      <c r="B2677" s="167">
        <v>42374</v>
      </c>
      <c r="C2677" s="28">
        <v>215.36</v>
      </c>
      <c r="D2677" s="83">
        <f t="shared" si="86"/>
        <v>-0.55129594132844395</v>
      </c>
      <c r="E2677" s="83">
        <v>-7.8875330580423838E-4</v>
      </c>
      <c r="F2677" s="83">
        <v>2669</v>
      </c>
      <c r="G2677" s="83">
        <f t="shared" ca="1" si="87"/>
        <v>2.8691982667475687E-2</v>
      </c>
    </row>
    <row r="2678" spans="2:7" x14ac:dyDescent="0.2">
      <c r="B2678" s="167">
        <v>45553</v>
      </c>
      <c r="C2678" s="28">
        <v>479.96</v>
      </c>
      <c r="D2678" s="83">
        <f t="shared" si="86"/>
        <v>11.833155080213904</v>
      </c>
      <c r="E2678" s="83">
        <v>-7.9110629970436666E-4</v>
      </c>
      <c r="F2678" s="83">
        <v>2670</v>
      </c>
      <c r="G2678" s="83">
        <f t="shared" ca="1" si="87"/>
        <v>4.444514178898884E-2</v>
      </c>
    </row>
    <row r="2679" spans="2:7" x14ac:dyDescent="0.2">
      <c r="B2679" s="167">
        <v>38560</v>
      </c>
      <c r="C2679" s="28">
        <v>37.4</v>
      </c>
      <c r="D2679" s="83">
        <f t="shared" si="86"/>
        <v>-0.39667688336828527</v>
      </c>
      <c r="E2679" s="83">
        <v>-8.0149612610208761E-4</v>
      </c>
      <c r="F2679" s="83">
        <v>2671</v>
      </c>
      <c r="G2679" s="83">
        <f t="shared" ca="1" si="87"/>
        <v>-9.1205956246772756E-3</v>
      </c>
    </row>
    <row r="2680" spans="2:7" x14ac:dyDescent="0.2">
      <c r="B2680" s="167">
        <v>39916</v>
      </c>
      <c r="C2680" s="28">
        <v>61.99</v>
      </c>
      <c r="D2680" s="83">
        <f t="shared" si="86"/>
        <v>0.26175452880113981</v>
      </c>
      <c r="E2680" s="83">
        <v>-8.0593165699544098E-4</v>
      </c>
      <c r="F2680" s="83">
        <v>2672</v>
      </c>
      <c r="G2680" s="83">
        <f t="shared" ca="1" si="87"/>
        <v>2.7817146960602793E-2</v>
      </c>
    </row>
    <row r="2681" spans="2:7" x14ac:dyDescent="0.2">
      <c r="B2681" s="167">
        <v>39177</v>
      </c>
      <c r="C2681" s="28">
        <v>49.13</v>
      </c>
      <c r="D2681" s="83">
        <f t="shared" si="86"/>
        <v>-0.83918166939443539</v>
      </c>
      <c r="E2681" s="83">
        <v>-8.1350416920884978E-4</v>
      </c>
      <c r="F2681" s="83">
        <v>2673</v>
      </c>
      <c r="G2681" s="83">
        <f t="shared" ca="1" si="87"/>
        <v>-8.3892624262644402E-3</v>
      </c>
    </row>
    <row r="2682" spans="2:7" x14ac:dyDescent="0.2">
      <c r="B2682" s="167">
        <v>43570</v>
      </c>
      <c r="C2682" s="28">
        <v>305.5</v>
      </c>
      <c r="D2682" s="83">
        <f t="shared" si="86"/>
        <v>-0.23710825321513296</v>
      </c>
      <c r="E2682" s="83">
        <v>-8.1766148814390845E-4</v>
      </c>
      <c r="F2682" s="83">
        <v>2674</v>
      </c>
      <c r="G2682" s="83">
        <f t="shared" ca="1" si="87"/>
        <v>-1.4971441777961385E-2</v>
      </c>
    </row>
    <row r="2683" spans="2:7" x14ac:dyDescent="0.2">
      <c r="B2683" s="167">
        <v>45463</v>
      </c>
      <c r="C2683" s="28">
        <v>400.45</v>
      </c>
      <c r="D2683" s="83">
        <f t="shared" si="86"/>
        <v>0.33527842614204739</v>
      </c>
      <c r="E2683" s="83">
        <v>-8.2339438095709397E-4</v>
      </c>
      <c r="F2683" s="83">
        <v>2675</v>
      </c>
      <c r="G2683" s="83">
        <f t="shared" ca="1" si="87"/>
        <v>-6.2373187055450498E-3</v>
      </c>
    </row>
    <row r="2684" spans="2:7" x14ac:dyDescent="0.2">
      <c r="B2684" s="167">
        <v>42879</v>
      </c>
      <c r="C2684" s="28">
        <v>299.89999999999998</v>
      </c>
      <c r="D2684" s="83">
        <f t="shared" si="86"/>
        <v>4.0209275071153527</v>
      </c>
      <c r="E2684" s="83">
        <v>-8.3291687489588551E-4</v>
      </c>
      <c r="F2684" s="83">
        <v>2676</v>
      </c>
      <c r="G2684" s="83">
        <f t="shared" ca="1" si="87"/>
        <v>1.0966226597942486E-2</v>
      </c>
    </row>
    <row r="2685" spans="2:7" x14ac:dyDescent="0.2">
      <c r="B2685" s="167">
        <v>39855</v>
      </c>
      <c r="C2685" s="28">
        <v>59.73</v>
      </c>
      <c r="D2685" s="83">
        <f t="shared" si="86"/>
        <v>-0.79721609234425395</v>
      </c>
      <c r="E2685" s="83">
        <v>-8.3640013382409271E-4</v>
      </c>
      <c r="F2685" s="83">
        <v>2677</v>
      </c>
      <c r="G2685" s="83">
        <f t="shared" ca="1" si="87"/>
        <v>1.4498740894801883E-2</v>
      </c>
    </row>
    <row r="2686" spans="2:7" x14ac:dyDescent="0.2">
      <c r="B2686" s="167">
        <v>43560</v>
      </c>
      <c r="C2686" s="28">
        <v>294.55</v>
      </c>
      <c r="D2686" s="83">
        <f t="shared" si="86"/>
        <v>-0.2851595680135906</v>
      </c>
      <c r="E2686" s="83">
        <v>-8.4803256445047483E-4</v>
      </c>
      <c r="F2686" s="83">
        <v>2678</v>
      </c>
      <c r="G2686" s="83">
        <f t="shared" ca="1" si="87"/>
        <v>8.8704829644659072E-3</v>
      </c>
    </row>
    <row r="2687" spans="2:7" x14ac:dyDescent="0.2">
      <c r="B2687" s="167">
        <v>45729</v>
      </c>
      <c r="C2687" s="28">
        <v>412.05</v>
      </c>
      <c r="D2687" s="83">
        <f t="shared" si="86"/>
        <v>1.3694652098907418</v>
      </c>
      <c r="E2687" s="83">
        <v>-8.486905916585012E-4</v>
      </c>
      <c r="F2687" s="83">
        <v>2679</v>
      </c>
      <c r="G2687" s="83">
        <f t="shared" ca="1" si="87"/>
        <v>-3.5185737403866891E-3</v>
      </c>
    </row>
    <row r="2688" spans="2:7" x14ac:dyDescent="0.2">
      <c r="B2688" s="167">
        <v>43956</v>
      </c>
      <c r="C2688" s="28">
        <v>173.9</v>
      </c>
      <c r="D2688" s="83">
        <f t="shared" si="86"/>
        <v>4.0014380212827145</v>
      </c>
      <c r="E2688" s="83">
        <v>-8.6182131571390795E-4</v>
      </c>
      <c r="F2688" s="83">
        <v>2680</v>
      </c>
      <c r="G2688" s="83">
        <f t="shared" ca="1" si="87"/>
        <v>-2.1018976301982576E-2</v>
      </c>
    </row>
    <row r="2689" spans="2:7" x14ac:dyDescent="0.2">
      <c r="B2689" s="167">
        <v>38526</v>
      </c>
      <c r="C2689" s="28">
        <v>34.770000000000003</v>
      </c>
      <c r="D2689" s="83">
        <f t="shared" si="86"/>
        <v>1.7286084701815694E-3</v>
      </c>
      <c r="E2689" s="83">
        <v>-8.6206896551706995E-4</v>
      </c>
      <c r="F2689" s="83">
        <v>2681</v>
      </c>
      <c r="G2689" s="83">
        <f t="shared" ca="1" si="87"/>
        <v>-2.4673737899867151E-2</v>
      </c>
    </row>
    <row r="2690" spans="2:7" x14ac:dyDescent="0.2">
      <c r="B2690" s="167">
        <v>38517</v>
      </c>
      <c r="C2690" s="28">
        <v>34.71</v>
      </c>
      <c r="D2690" s="83">
        <f t="shared" si="86"/>
        <v>-0.38653234358430538</v>
      </c>
      <c r="E2690" s="83">
        <v>-8.6355785837654393E-4</v>
      </c>
      <c r="F2690" s="83">
        <v>2682</v>
      </c>
      <c r="G2690" s="83">
        <f t="shared" ca="1" si="87"/>
        <v>-2.5920486973565866E-2</v>
      </c>
    </row>
    <row r="2691" spans="2:7" x14ac:dyDescent="0.2">
      <c r="B2691" s="167">
        <v>39224</v>
      </c>
      <c r="C2691" s="28">
        <v>56.58</v>
      </c>
      <c r="D2691" s="83">
        <f t="shared" si="86"/>
        <v>-0.79996464557185798</v>
      </c>
      <c r="E2691" s="83">
        <v>-8.8292424509984568E-4</v>
      </c>
      <c r="F2691" s="83">
        <v>2683</v>
      </c>
      <c r="G2691" s="83">
        <f t="shared" ca="1" si="87"/>
        <v>3.9102761646046362E-3</v>
      </c>
    </row>
    <row r="2692" spans="2:7" x14ac:dyDescent="0.2">
      <c r="B2692" s="167">
        <v>42983</v>
      </c>
      <c r="C2692" s="28">
        <v>282.85000000000002</v>
      </c>
      <c r="D2692" s="83">
        <f t="shared" si="86"/>
        <v>4.4389204545454541E-3</v>
      </c>
      <c r="E2692" s="83">
        <v>-8.8308018368067815E-4</v>
      </c>
      <c r="F2692" s="83">
        <v>2684</v>
      </c>
      <c r="G2692" s="83">
        <f t="shared" ca="1" si="87"/>
        <v>4.4239252045794208E-2</v>
      </c>
    </row>
    <row r="2693" spans="2:7" x14ac:dyDescent="0.2">
      <c r="B2693" s="167">
        <v>42968</v>
      </c>
      <c r="C2693" s="28">
        <v>281.60000000000002</v>
      </c>
      <c r="D2693" s="83">
        <f t="shared" si="86"/>
        <v>1.5022214323795984</v>
      </c>
      <c r="E2693" s="83">
        <v>-8.8699662941280814E-4</v>
      </c>
      <c r="F2693" s="83">
        <v>2685</v>
      </c>
      <c r="G2693" s="83">
        <f t="shared" ca="1" si="87"/>
        <v>-1.0468799679392467E-3</v>
      </c>
    </row>
    <row r="2694" spans="2:7" x14ac:dyDescent="0.2">
      <c r="B2694" s="167">
        <v>40539</v>
      </c>
      <c r="C2694" s="28">
        <v>112.54</v>
      </c>
      <c r="D2694" s="83">
        <f t="shared" si="86"/>
        <v>0.69411410507300908</v>
      </c>
      <c r="E2694" s="83">
        <v>-8.8778409090904046E-4</v>
      </c>
      <c r="F2694" s="83">
        <v>2686</v>
      </c>
      <c r="G2694" s="83">
        <f t="shared" ca="1" si="87"/>
        <v>-7.2785582735902599E-3</v>
      </c>
    </row>
    <row r="2695" spans="2:7" x14ac:dyDescent="0.2">
      <c r="B2695" s="167">
        <v>38828</v>
      </c>
      <c r="C2695" s="28">
        <v>66.430000000000007</v>
      </c>
      <c r="D2695" s="83">
        <f t="shared" si="86"/>
        <v>0.20650199782055947</v>
      </c>
      <c r="E2695" s="83">
        <v>-9.0239133704298488E-4</v>
      </c>
      <c r="F2695" s="83">
        <v>2687</v>
      </c>
      <c r="G2695" s="83">
        <f t="shared" ca="1" si="87"/>
        <v>4.6625404701232297E-2</v>
      </c>
    </row>
    <row r="2696" spans="2:7" x14ac:dyDescent="0.2">
      <c r="B2696" s="167">
        <v>39226</v>
      </c>
      <c r="C2696" s="28">
        <v>55.06</v>
      </c>
      <c r="D2696" s="83">
        <f t="shared" si="86"/>
        <v>-0.7973127185716915</v>
      </c>
      <c r="E2696" s="83">
        <v>-9.0727635637810123E-4</v>
      </c>
      <c r="F2696" s="83">
        <v>2688</v>
      </c>
      <c r="G2696" s="83">
        <f t="shared" ca="1" si="87"/>
        <v>-5.5231619018206038E-3</v>
      </c>
    </row>
    <row r="2697" spans="2:7" x14ac:dyDescent="0.2">
      <c r="B2697" s="167">
        <v>43251</v>
      </c>
      <c r="C2697" s="28">
        <v>271.64999999999998</v>
      </c>
      <c r="D2697" s="83">
        <f t="shared" ref="D2697:D2760" si="88">(C2697-C2698)/C2698</f>
        <v>0.25115143699336762</v>
      </c>
      <c r="E2697" s="83">
        <v>-9.1945568223611625E-4</v>
      </c>
      <c r="F2697" s="83">
        <v>2689</v>
      </c>
      <c r="G2697" s="83">
        <f t="shared" ref="G2697:G2760" ca="1" si="89">_xlfn.NORM.INV(RAND(),$M$10,$M$11)</f>
        <v>1.198529632659592E-2</v>
      </c>
    </row>
    <row r="2698" spans="2:7" x14ac:dyDescent="0.2">
      <c r="B2698" s="167">
        <v>42370</v>
      </c>
      <c r="C2698" s="28">
        <v>217.12</v>
      </c>
      <c r="D2698" s="83">
        <f t="shared" si="88"/>
        <v>-0.19955760368663591</v>
      </c>
      <c r="E2698" s="83">
        <v>-9.2030185900970288E-4</v>
      </c>
      <c r="F2698" s="83">
        <v>2690</v>
      </c>
      <c r="G2698" s="83">
        <f t="shared" ca="1" si="89"/>
        <v>1.7407534746227228E-2</v>
      </c>
    </row>
    <row r="2699" spans="2:7" x14ac:dyDescent="0.2">
      <c r="B2699" s="167">
        <v>42961</v>
      </c>
      <c r="C2699" s="28">
        <v>271.25</v>
      </c>
      <c r="D2699" s="83">
        <f t="shared" si="88"/>
        <v>1.4967259120673527E-2</v>
      </c>
      <c r="E2699" s="83">
        <v>-9.2081031307550648E-4</v>
      </c>
      <c r="F2699" s="83">
        <v>2691</v>
      </c>
      <c r="G2699" s="83">
        <f t="shared" ca="1" si="89"/>
        <v>-2.5293879303778813E-2</v>
      </c>
    </row>
    <row r="2700" spans="2:7" x14ac:dyDescent="0.2">
      <c r="B2700" s="167">
        <v>43025</v>
      </c>
      <c r="C2700" s="28">
        <v>267.25</v>
      </c>
      <c r="D2700" s="83">
        <f t="shared" si="88"/>
        <v>6.9706103993972222E-3</v>
      </c>
      <c r="E2700" s="83">
        <v>-9.3457943925233649E-4</v>
      </c>
      <c r="F2700" s="83">
        <v>2692</v>
      </c>
      <c r="G2700" s="83">
        <f t="shared" ca="1" si="89"/>
        <v>9.4455424013420337E-3</v>
      </c>
    </row>
    <row r="2701" spans="2:7" x14ac:dyDescent="0.2">
      <c r="B2701" s="167">
        <v>43042</v>
      </c>
      <c r="C2701" s="28">
        <v>265.39999999999998</v>
      </c>
      <c r="D2701" s="83">
        <f t="shared" si="88"/>
        <v>0.25141456054319106</v>
      </c>
      <c r="E2701" s="83">
        <v>-9.4108789760963686E-4</v>
      </c>
      <c r="F2701" s="83">
        <v>2693</v>
      </c>
      <c r="G2701" s="83">
        <f t="shared" ca="1" si="89"/>
        <v>-1.3445369804073067E-2</v>
      </c>
    </row>
    <row r="2702" spans="2:7" x14ac:dyDescent="0.2">
      <c r="B2702" s="167">
        <v>42241</v>
      </c>
      <c r="C2702" s="28">
        <v>212.08</v>
      </c>
      <c r="D2702" s="83">
        <f t="shared" si="88"/>
        <v>3.78644452858771E-3</v>
      </c>
      <c r="E2702" s="83">
        <v>-9.4215187488217746E-4</v>
      </c>
      <c r="F2702" s="83">
        <v>2694</v>
      </c>
      <c r="G2702" s="83">
        <f t="shared" ca="1" si="89"/>
        <v>1.0336122360035564E-2</v>
      </c>
    </row>
    <row r="2703" spans="2:7" x14ac:dyDescent="0.2">
      <c r="B2703" s="167">
        <v>41584</v>
      </c>
      <c r="C2703" s="28">
        <v>211.28</v>
      </c>
      <c r="D2703" s="83">
        <f t="shared" si="88"/>
        <v>-0.19680669074320475</v>
      </c>
      <c r="E2703" s="83">
        <v>-9.4571590694150103E-4</v>
      </c>
      <c r="F2703" s="83">
        <v>2695</v>
      </c>
      <c r="G2703" s="83">
        <f t="shared" ca="1" si="89"/>
        <v>1.3053769364069047E-2</v>
      </c>
    </row>
    <row r="2704" spans="2:7" x14ac:dyDescent="0.2">
      <c r="B2704" s="167">
        <v>43090</v>
      </c>
      <c r="C2704" s="28">
        <v>263.05</v>
      </c>
      <c r="D2704" s="83">
        <f t="shared" si="88"/>
        <v>0.32126174092119147</v>
      </c>
      <c r="E2704" s="83">
        <v>-9.4948727687048991E-4</v>
      </c>
      <c r="F2704" s="83">
        <v>2696</v>
      </c>
      <c r="G2704" s="83">
        <f t="shared" ca="1" si="89"/>
        <v>-1.3095152249081744E-3</v>
      </c>
    </row>
    <row r="2705" spans="2:7" x14ac:dyDescent="0.2">
      <c r="B2705" s="167">
        <v>41323</v>
      </c>
      <c r="C2705" s="28">
        <v>199.09</v>
      </c>
      <c r="D2705" s="83">
        <f t="shared" si="88"/>
        <v>1.7209238759054257</v>
      </c>
      <c r="E2705" s="83">
        <v>-9.5343235648332858E-4</v>
      </c>
      <c r="F2705" s="83">
        <v>2697</v>
      </c>
      <c r="G2705" s="83">
        <f t="shared" ca="1" si="89"/>
        <v>1.3351531620208393E-2</v>
      </c>
    </row>
    <row r="2706" spans="2:7" x14ac:dyDescent="0.2">
      <c r="B2706" s="167">
        <v>39573</v>
      </c>
      <c r="C2706" s="28">
        <v>73.17</v>
      </c>
      <c r="D2706" s="83">
        <f t="shared" si="88"/>
        <v>-0.64788257940327232</v>
      </c>
      <c r="E2706" s="83">
        <v>-9.5576187875468573E-4</v>
      </c>
      <c r="F2706" s="83">
        <v>2698</v>
      </c>
      <c r="G2706" s="83">
        <f t="shared" ca="1" si="89"/>
        <v>3.4777708299870594E-3</v>
      </c>
    </row>
    <row r="2707" spans="2:7" x14ac:dyDescent="0.2">
      <c r="B2707" s="167">
        <v>44264</v>
      </c>
      <c r="C2707" s="28">
        <v>207.8</v>
      </c>
      <c r="D2707" s="83">
        <f t="shared" si="88"/>
        <v>-0.3318327974276527</v>
      </c>
      <c r="E2707" s="83">
        <v>-9.6153846153840684E-4</v>
      </c>
      <c r="F2707" s="83">
        <v>2699</v>
      </c>
      <c r="G2707" s="83">
        <f t="shared" ca="1" si="89"/>
        <v>-4.1391217417879732E-2</v>
      </c>
    </row>
    <row r="2708" spans="2:7" x14ac:dyDescent="0.2">
      <c r="B2708" s="167">
        <v>42909</v>
      </c>
      <c r="C2708" s="28">
        <v>311</v>
      </c>
      <c r="D2708" s="83">
        <f t="shared" si="88"/>
        <v>5.0341482343810631</v>
      </c>
      <c r="E2708" s="83">
        <v>-9.6370061034375639E-4</v>
      </c>
      <c r="F2708" s="83">
        <v>2700</v>
      </c>
      <c r="G2708" s="83">
        <f t="shared" ca="1" si="89"/>
        <v>3.1065981577378454E-2</v>
      </c>
    </row>
    <row r="2709" spans="2:7" x14ac:dyDescent="0.2">
      <c r="B2709" s="167">
        <v>39269</v>
      </c>
      <c r="C2709" s="28">
        <v>51.54</v>
      </c>
      <c r="D2709" s="83">
        <f t="shared" si="88"/>
        <v>9.994121105232177E-3</v>
      </c>
      <c r="E2709" s="83">
        <v>-9.6918007365776819E-4</v>
      </c>
      <c r="F2709" s="83">
        <v>2701</v>
      </c>
      <c r="G2709" s="83">
        <f t="shared" ca="1" si="89"/>
        <v>6.6711138029830509E-3</v>
      </c>
    </row>
    <row r="2710" spans="2:7" x14ac:dyDescent="0.2">
      <c r="B2710" s="167">
        <v>39282</v>
      </c>
      <c r="C2710" s="28">
        <v>51.03</v>
      </c>
      <c r="D2710" s="83">
        <f t="shared" si="88"/>
        <v>-0.84044149834281778</v>
      </c>
      <c r="E2710" s="83">
        <v>-9.7885669537974072E-4</v>
      </c>
      <c r="F2710" s="83">
        <v>2702</v>
      </c>
      <c r="G2710" s="83">
        <f t="shared" ca="1" si="89"/>
        <v>-1.6436737619715626E-2</v>
      </c>
    </row>
    <row r="2711" spans="2:7" x14ac:dyDescent="0.2">
      <c r="B2711" s="167">
        <v>44915</v>
      </c>
      <c r="C2711" s="28">
        <v>319.82</v>
      </c>
      <c r="D2711" s="83">
        <f t="shared" si="88"/>
        <v>0.6107781415260638</v>
      </c>
      <c r="E2711" s="83">
        <v>-9.9956269132252511E-4</v>
      </c>
      <c r="F2711" s="83">
        <v>2703</v>
      </c>
      <c r="G2711" s="83">
        <f t="shared" ca="1" si="89"/>
        <v>4.8255198581602611E-3</v>
      </c>
    </row>
    <row r="2712" spans="2:7" x14ac:dyDescent="0.2">
      <c r="B2712" s="167">
        <v>44061</v>
      </c>
      <c r="C2712" s="28">
        <v>198.55</v>
      </c>
      <c r="D2712" s="83">
        <f t="shared" si="88"/>
        <v>-0.12813419400166856</v>
      </c>
      <c r="E2712" s="83">
        <v>-1.0062893081760433E-3</v>
      </c>
      <c r="F2712" s="83">
        <v>2704</v>
      </c>
      <c r="G2712" s="83">
        <f t="shared" ca="1" si="89"/>
        <v>-1.7867917961630689E-2</v>
      </c>
    </row>
    <row r="2713" spans="2:7" x14ac:dyDescent="0.2">
      <c r="B2713" s="167">
        <v>41740</v>
      </c>
      <c r="C2713" s="28">
        <v>227.73</v>
      </c>
      <c r="D2713" s="83">
        <f t="shared" si="88"/>
        <v>2.9507619131506541E-3</v>
      </c>
      <c r="E2713" s="83">
        <v>-1.0089489384103273E-3</v>
      </c>
      <c r="F2713" s="83">
        <v>2705</v>
      </c>
      <c r="G2713" s="83">
        <f t="shared" ca="1" si="89"/>
        <v>1.3864931288314931E-2</v>
      </c>
    </row>
    <row r="2714" spans="2:7" x14ac:dyDescent="0.2">
      <c r="B2714" s="167">
        <v>41788</v>
      </c>
      <c r="C2714" s="28">
        <v>227.06</v>
      </c>
      <c r="D2714" s="83">
        <f t="shared" si="88"/>
        <v>-7.9610863396838219E-2</v>
      </c>
      <c r="E2714" s="83">
        <v>-1.0119230938448228E-3</v>
      </c>
      <c r="F2714" s="83">
        <v>2706</v>
      </c>
      <c r="G2714" s="83">
        <f t="shared" ca="1" si="89"/>
        <v>-2.1077080436058715E-2</v>
      </c>
    </row>
    <row r="2715" spans="2:7" x14ac:dyDescent="0.2">
      <c r="B2715" s="167">
        <v>43797</v>
      </c>
      <c r="C2715" s="28">
        <v>246.7</v>
      </c>
      <c r="D2715" s="83">
        <f t="shared" si="88"/>
        <v>-0.15830774479699772</v>
      </c>
      <c r="E2715" s="83">
        <v>-1.0123506782749544E-3</v>
      </c>
      <c r="F2715" s="83">
        <v>2707</v>
      </c>
      <c r="G2715" s="83">
        <f t="shared" ca="1" si="89"/>
        <v>-2.3482633855215116E-3</v>
      </c>
    </row>
    <row r="2716" spans="2:7" x14ac:dyDescent="0.2">
      <c r="B2716" s="167">
        <v>43551</v>
      </c>
      <c r="C2716" s="28">
        <v>293.10000000000002</v>
      </c>
      <c r="D2716" s="83">
        <f t="shared" si="88"/>
        <v>0.30725658980420145</v>
      </c>
      <c r="E2716" s="83">
        <v>-1.0224948875254074E-3</v>
      </c>
      <c r="F2716" s="83">
        <v>2708</v>
      </c>
      <c r="G2716" s="83">
        <f t="shared" ca="1" si="89"/>
        <v>-9.4058431318884278E-3</v>
      </c>
    </row>
    <row r="2717" spans="2:7" x14ac:dyDescent="0.2">
      <c r="B2717" s="167">
        <v>42074</v>
      </c>
      <c r="C2717" s="28">
        <v>224.21</v>
      </c>
      <c r="D2717" s="83">
        <f t="shared" si="88"/>
        <v>2.8550550206327379</v>
      </c>
      <c r="E2717" s="83">
        <v>-1.0247727677775342E-3</v>
      </c>
      <c r="F2717" s="83">
        <v>2709</v>
      </c>
      <c r="G2717" s="83">
        <f t="shared" ca="1" si="89"/>
        <v>2.4960822368581704E-2</v>
      </c>
    </row>
    <row r="2718" spans="2:7" x14ac:dyDescent="0.2">
      <c r="B2718" s="167">
        <v>39842</v>
      </c>
      <c r="C2718" s="28">
        <v>58.16</v>
      </c>
      <c r="D2718" s="83">
        <f t="shared" si="88"/>
        <v>-0.69373354397051079</v>
      </c>
      <c r="E2718" s="83">
        <v>-1.0305736860185895E-3</v>
      </c>
      <c r="F2718" s="83">
        <v>2710</v>
      </c>
      <c r="G2718" s="83">
        <f t="shared" ca="1" si="89"/>
        <v>-1.0603653399386256E-2</v>
      </c>
    </row>
    <row r="2719" spans="2:7" x14ac:dyDescent="0.2">
      <c r="B2719" s="167">
        <v>41198</v>
      </c>
      <c r="C2719" s="28">
        <v>189.9</v>
      </c>
      <c r="D2719" s="83">
        <f t="shared" si="88"/>
        <v>-0.10458317615993967</v>
      </c>
      <c r="E2719" s="83">
        <v>-1.0520778537611187E-3</v>
      </c>
      <c r="F2719" s="83">
        <v>2711</v>
      </c>
      <c r="G2719" s="83">
        <f t="shared" ca="1" si="89"/>
        <v>-1.4724051682891367E-2</v>
      </c>
    </row>
    <row r="2720" spans="2:7" x14ac:dyDescent="0.2">
      <c r="B2720" s="167">
        <v>42438</v>
      </c>
      <c r="C2720" s="28">
        <v>212.08</v>
      </c>
      <c r="D2720" s="83">
        <f t="shared" si="88"/>
        <v>2.3288337780568198</v>
      </c>
      <c r="E2720" s="83">
        <v>-1.083321558098958E-3</v>
      </c>
      <c r="F2720" s="83">
        <v>2712</v>
      </c>
      <c r="G2720" s="83">
        <f t="shared" ca="1" si="89"/>
        <v>1.4708707968436577E-2</v>
      </c>
    </row>
    <row r="2721" spans="2:7" x14ac:dyDescent="0.2">
      <c r="B2721" s="167">
        <v>39966</v>
      </c>
      <c r="C2721" s="28">
        <v>63.71</v>
      </c>
      <c r="D2721" s="83">
        <f t="shared" si="88"/>
        <v>-0.6457603558520989</v>
      </c>
      <c r="E2721" s="83">
        <v>-1.0975227343995027E-3</v>
      </c>
      <c r="F2721" s="83">
        <v>2713</v>
      </c>
      <c r="G2721" s="83">
        <f t="shared" ca="1" si="89"/>
        <v>3.7780852522124957E-3</v>
      </c>
    </row>
    <row r="2722" spans="2:7" x14ac:dyDescent="0.2">
      <c r="B2722" s="167">
        <v>43948</v>
      </c>
      <c r="C2722" s="28">
        <v>179.85</v>
      </c>
      <c r="D2722" s="83">
        <f t="shared" si="88"/>
        <v>-0.19259259259259262</v>
      </c>
      <c r="E2722" s="83">
        <v>-1.1108025548459707E-3</v>
      </c>
      <c r="F2722" s="83">
        <v>2714</v>
      </c>
      <c r="G2722" s="83">
        <f t="shared" ca="1" si="89"/>
        <v>-3.4923583326896643E-2</v>
      </c>
    </row>
    <row r="2723" spans="2:7" x14ac:dyDescent="0.2">
      <c r="B2723" s="167">
        <v>44608</v>
      </c>
      <c r="C2723" s="28">
        <v>222.75</v>
      </c>
      <c r="D2723" s="83">
        <f t="shared" si="88"/>
        <v>4.2349087505849377E-2</v>
      </c>
      <c r="E2723" s="83">
        <v>-1.1210762331838565E-3</v>
      </c>
      <c r="F2723" s="83">
        <v>2715</v>
      </c>
      <c r="G2723" s="83">
        <f t="shared" ca="1" si="89"/>
        <v>3.9060538249677174E-3</v>
      </c>
    </row>
    <row r="2724" spans="2:7" x14ac:dyDescent="0.2">
      <c r="B2724" s="167">
        <v>41446</v>
      </c>
      <c r="C2724" s="28">
        <v>213.7</v>
      </c>
      <c r="D2724" s="83">
        <f t="shared" si="88"/>
        <v>-0.31164438717990017</v>
      </c>
      <c r="E2724" s="83">
        <v>-1.12180985322992E-3</v>
      </c>
      <c r="F2724" s="83">
        <v>2716</v>
      </c>
      <c r="G2724" s="83">
        <f t="shared" ca="1" si="89"/>
        <v>-7.6540478587435483E-3</v>
      </c>
    </row>
    <row r="2725" spans="2:7" x14ac:dyDescent="0.2">
      <c r="B2725" s="167">
        <v>43350</v>
      </c>
      <c r="C2725" s="28">
        <v>310.45</v>
      </c>
      <c r="D2725" s="83">
        <f t="shared" si="88"/>
        <v>-9.1188524590164022E-2</v>
      </c>
      <c r="E2725" s="83">
        <v>-1.1261261261261992E-3</v>
      </c>
      <c r="F2725" s="83">
        <v>2717</v>
      </c>
      <c r="G2725" s="83">
        <f t="shared" ca="1" si="89"/>
        <v>-1.5519193630220356E-2</v>
      </c>
    </row>
    <row r="2726" spans="2:7" x14ac:dyDescent="0.2">
      <c r="B2726" s="167">
        <v>44882</v>
      </c>
      <c r="C2726" s="28">
        <v>341.6</v>
      </c>
      <c r="D2726" s="83">
        <f t="shared" si="88"/>
        <v>0.30083777608530082</v>
      </c>
      <c r="E2726" s="83">
        <v>-1.1403842217608303E-3</v>
      </c>
      <c r="F2726" s="83">
        <v>2718</v>
      </c>
      <c r="G2726" s="83">
        <f t="shared" ca="1" si="89"/>
        <v>1.7652147071991399E-2</v>
      </c>
    </row>
    <row r="2727" spans="2:7" x14ac:dyDescent="0.2">
      <c r="B2727" s="167">
        <v>42619</v>
      </c>
      <c r="C2727" s="28">
        <v>262.60000000000002</v>
      </c>
      <c r="D2727" s="83">
        <f t="shared" si="88"/>
        <v>2.8642352491884664E-3</v>
      </c>
      <c r="E2727" s="83">
        <v>-1.1411182959298386E-3</v>
      </c>
      <c r="F2727" s="83">
        <v>2719</v>
      </c>
      <c r="G2727" s="83">
        <f t="shared" ca="1" si="89"/>
        <v>4.1676287184874164E-2</v>
      </c>
    </row>
    <row r="2728" spans="2:7" x14ac:dyDescent="0.2">
      <c r="B2728" s="167">
        <v>43097</v>
      </c>
      <c r="C2728" s="28">
        <v>261.85000000000002</v>
      </c>
      <c r="D2728" s="83">
        <f t="shared" si="88"/>
        <v>-0.3746118939574874</v>
      </c>
      <c r="E2728" s="83">
        <v>-1.1443829868394222E-3</v>
      </c>
      <c r="F2728" s="83">
        <v>2720</v>
      </c>
      <c r="G2728" s="83">
        <f t="shared" ca="1" si="89"/>
        <v>-1.3567438764728259E-2</v>
      </c>
    </row>
    <row r="2729" spans="2:7" x14ac:dyDescent="0.2">
      <c r="B2729" s="167">
        <v>45194</v>
      </c>
      <c r="C2729" s="28">
        <v>418.7</v>
      </c>
      <c r="D2729" s="83">
        <f t="shared" si="88"/>
        <v>5.8684383202099735</v>
      </c>
      <c r="E2729" s="83">
        <v>-1.1450928002290619E-3</v>
      </c>
      <c r="F2729" s="83">
        <v>2721</v>
      </c>
      <c r="G2729" s="83">
        <f t="shared" ca="1" si="89"/>
        <v>-2.842438779731675E-2</v>
      </c>
    </row>
    <row r="2730" spans="2:7" x14ac:dyDescent="0.2">
      <c r="B2730" s="167">
        <v>39961</v>
      </c>
      <c r="C2730" s="28">
        <v>60.96</v>
      </c>
      <c r="D2730" s="83">
        <f t="shared" si="88"/>
        <v>-0.86357838200738513</v>
      </c>
      <c r="E2730" s="83">
        <v>-1.14697689660823E-3</v>
      </c>
      <c r="F2730" s="83">
        <v>2722</v>
      </c>
      <c r="G2730" s="83">
        <f t="shared" ca="1" si="89"/>
        <v>-1.3031607165916692E-2</v>
      </c>
    </row>
    <row r="2731" spans="2:7" x14ac:dyDescent="0.2">
      <c r="B2731" s="167">
        <v>45124</v>
      </c>
      <c r="C2731" s="28">
        <v>446.85</v>
      </c>
      <c r="D2731" s="83">
        <f t="shared" si="88"/>
        <v>5.5357612988152693</v>
      </c>
      <c r="E2731" s="83">
        <v>-1.1623488387687638E-3</v>
      </c>
      <c r="F2731" s="83">
        <v>2723</v>
      </c>
      <c r="G2731" s="83">
        <f t="shared" ca="1" si="89"/>
        <v>5.1955114049585041E-3</v>
      </c>
    </row>
    <row r="2732" spans="2:7" x14ac:dyDescent="0.2">
      <c r="B2732" s="167">
        <v>39538</v>
      </c>
      <c r="C2732" s="28">
        <v>68.37</v>
      </c>
      <c r="D2732" s="83">
        <f t="shared" si="88"/>
        <v>-0.84608284556506075</v>
      </c>
      <c r="E2732" s="83">
        <v>-1.168736303871414E-3</v>
      </c>
      <c r="F2732" s="83">
        <v>2724</v>
      </c>
      <c r="G2732" s="83">
        <f t="shared" ca="1" si="89"/>
        <v>-1.9361660040341323E-2</v>
      </c>
    </row>
    <row r="2733" spans="2:7" x14ac:dyDescent="0.2">
      <c r="B2733" s="167">
        <v>45643</v>
      </c>
      <c r="C2733" s="28">
        <v>444.2</v>
      </c>
      <c r="D2733" s="83">
        <f t="shared" si="88"/>
        <v>0.24408346170004194</v>
      </c>
      <c r="E2733" s="83">
        <v>-1.1692750494694158E-3</v>
      </c>
      <c r="F2733" s="83">
        <v>2725</v>
      </c>
      <c r="G2733" s="83">
        <f t="shared" ca="1" si="89"/>
        <v>-1.031776114119214E-2</v>
      </c>
    </row>
    <row r="2734" spans="2:7" x14ac:dyDescent="0.2">
      <c r="B2734" s="167">
        <v>45013</v>
      </c>
      <c r="C2734" s="28">
        <v>357.05</v>
      </c>
      <c r="D2734" s="83">
        <f t="shared" si="88"/>
        <v>1.6271061732028549</v>
      </c>
      <c r="E2734" s="83">
        <v>-1.174923769826883E-3</v>
      </c>
      <c r="F2734" s="83">
        <v>2726</v>
      </c>
      <c r="G2734" s="83">
        <f t="shared" ca="1" si="89"/>
        <v>-1.4633452645759269E-2</v>
      </c>
    </row>
    <row r="2735" spans="2:7" x14ac:dyDescent="0.2">
      <c r="B2735" s="167">
        <v>40971</v>
      </c>
      <c r="C2735" s="28">
        <v>135.91</v>
      </c>
      <c r="D2735" s="83">
        <f t="shared" si="88"/>
        <v>-0.35188364329995231</v>
      </c>
      <c r="E2735" s="83">
        <v>-1.1758653634158639E-3</v>
      </c>
      <c r="F2735" s="83">
        <v>2727</v>
      </c>
      <c r="G2735" s="83">
        <f t="shared" ca="1" si="89"/>
        <v>-2.2659382205698093E-2</v>
      </c>
    </row>
    <row r="2736" spans="2:7" x14ac:dyDescent="0.2">
      <c r="B2736" s="167">
        <v>44259</v>
      </c>
      <c r="C2736" s="28">
        <v>209.7</v>
      </c>
      <c r="D2736" s="83">
        <f t="shared" si="88"/>
        <v>-0.37345005826287014</v>
      </c>
      <c r="E2736" s="83">
        <v>-1.1907597046915933E-3</v>
      </c>
      <c r="F2736" s="83">
        <v>2728</v>
      </c>
      <c r="G2736" s="83">
        <f t="shared" ca="1" si="89"/>
        <v>1.4705327490767119E-2</v>
      </c>
    </row>
    <row r="2737" spans="2:7" x14ac:dyDescent="0.2">
      <c r="B2737" s="167">
        <v>44900</v>
      </c>
      <c r="C2737" s="28">
        <v>334.69</v>
      </c>
      <c r="D2737" s="83">
        <f t="shared" si="88"/>
        <v>0.48224092116917616</v>
      </c>
      <c r="E2737" s="83">
        <v>-1.1937091527648611E-3</v>
      </c>
      <c r="F2737" s="83">
        <v>2729</v>
      </c>
      <c r="G2737" s="83">
        <f t="shared" ca="1" si="89"/>
        <v>-8.2596156059766349E-3</v>
      </c>
    </row>
    <row r="2738" spans="2:7" x14ac:dyDescent="0.2">
      <c r="B2738" s="167">
        <v>42101</v>
      </c>
      <c r="C2738" s="28">
        <v>225.8</v>
      </c>
      <c r="D2738" s="83">
        <f t="shared" si="88"/>
        <v>8.06413017468295E-2</v>
      </c>
      <c r="E2738" s="83">
        <v>-1.1943203432564331E-3</v>
      </c>
      <c r="F2738" s="83">
        <v>2730</v>
      </c>
      <c r="G2738" s="83">
        <f t="shared" ca="1" si="89"/>
        <v>-2.917511268378956E-3</v>
      </c>
    </row>
    <row r="2739" spans="2:7" x14ac:dyDescent="0.2">
      <c r="B2739" s="167">
        <v>44426</v>
      </c>
      <c r="C2739" s="28">
        <v>208.95</v>
      </c>
      <c r="D2739" s="83">
        <f t="shared" si="88"/>
        <v>4.0349397590361447</v>
      </c>
      <c r="E2739" s="83">
        <v>-1.1950286806883365E-3</v>
      </c>
      <c r="F2739" s="83">
        <v>2731</v>
      </c>
      <c r="G2739" s="83">
        <f t="shared" ca="1" si="89"/>
        <v>-1.920275433675759E-2</v>
      </c>
    </row>
    <row r="2740" spans="2:7" x14ac:dyDescent="0.2">
      <c r="B2740" s="167">
        <v>38611</v>
      </c>
      <c r="C2740" s="28">
        <v>41.5</v>
      </c>
      <c r="D2740" s="83">
        <f t="shared" si="88"/>
        <v>-0.79956532238589717</v>
      </c>
      <c r="E2740" s="83">
        <v>-1.2033694344162976E-3</v>
      </c>
      <c r="F2740" s="83">
        <v>2732</v>
      </c>
      <c r="G2740" s="83">
        <f t="shared" ca="1" si="89"/>
        <v>-1.0277990144322213E-2</v>
      </c>
    </row>
    <row r="2741" spans="2:7" x14ac:dyDescent="0.2">
      <c r="B2741" s="167">
        <v>44362</v>
      </c>
      <c r="C2741" s="28">
        <v>207.05</v>
      </c>
      <c r="D2741" s="83">
        <f t="shared" si="88"/>
        <v>-3.7871747211895804E-2</v>
      </c>
      <c r="E2741" s="83">
        <v>-1.20598166907863E-3</v>
      </c>
      <c r="F2741" s="83">
        <v>2733</v>
      </c>
      <c r="G2741" s="83">
        <f t="shared" ca="1" si="89"/>
        <v>7.6896547580430673E-3</v>
      </c>
    </row>
    <row r="2742" spans="2:7" x14ac:dyDescent="0.2">
      <c r="B2742" s="167">
        <v>41669</v>
      </c>
      <c r="C2742" s="28">
        <v>215.2</v>
      </c>
      <c r="D2742" s="83">
        <f t="shared" si="88"/>
        <v>0.62623743671125198</v>
      </c>
      <c r="E2742" s="83">
        <v>-1.2067205049662087E-3</v>
      </c>
      <c r="F2742" s="83">
        <v>2734</v>
      </c>
      <c r="G2742" s="83">
        <f t="shared" ca="1" si="89"/>
        <v>-2.7662374564699364E-2</v>
      </c>
    </row>
    <row r="2743" spans="2:7" x14ac:dyDescent="0.2">
      <c r="B2743" s="167">
        <v>40892</v>
      </c>
      <c r="C2743" s="28">
        <v>132.33000000000001</v>
      </c>
      <c r="D2743" s="83">
        <f t="shared" si="88"/>
        <v>0.60946241790318678</v>
      </c>
      <c r="E2743" s="83">
        <v>-1.2076383123254327E-3</v>
      </c>
      <c r="F2743" s="83">
        <v>2735</v>
      </c>
      <c r="G2743" s="83">
        <f t="shared" ca="1" si="89"/>
        <v>9.986952377334555E-4</v>
      </c>
    </row>
    <row r="2744" spans="2:7" x14ac:dyDescent="0.2">
      <c r="B2744" s="167">
        <v>40215</v>
      </c>
      <c r="C2744" s="28">
        <v>82.22</v>
      </c>
      <c r="D2744" s="83">
        <f t="shared" si="88"/>
        <v>-0.66631493506493511</v>
      </c>
      <c r="E2744" s="83">
        <v>-1.2147716229348193E-3</v>
      </c>
      <c r="F2744" s="83">
        <v>2736</v>
      </c>
      <c r="G2744" s="83">
        <f t="shared" ca="1" si="89"/>
        <v>-4.7354401502101573E-3</v>
      </c>
    </row>
    <row r="2745" spans="2:7" x14ac:dyDescent="0.2">
      <c r="B2745" s="167">
        <v>43798</v>
      </c>
      <c r="C2745" s="28">
        <v>246.4</v>
      </c>
      <c r="D2745" s="83">
        <f t="shared" si="88"/>
        <v>4.1508157916983653E-2</v>
      </c>
      <c r="E2745" s="83">
        <v>-1.2160518848803525E-3</v>
      </c>
      <c r="F2745" s="83">
        <v>2737</v>
      </c>
      <c r="G2745" s="83">
        <f t="shared" ca="1" si="89"/>
        <v>-2.2770772991745672E-3</v>
      </c>
    </row>
    <row r="2746" spans="2:7" x14ac:dyDescent="0.2">
      <c r="B2746" s="167">
        <v>41865</v>
      </c>
      <c r="C2746" s="28">
        <v>236.58</v>
      </c>
      <c r="D2746" s="83">
        <f t="shared" si="88"/>
        <v>1.0778148603548219</v>
      </c>
      <c r="E2746" s="83">
        <v>-1.2243002490817411E-3</v>
      </c>
      <c r="F2746" s="83">
        <v>2738</v>
      </c>
      <c r="G2746" s="83">
        <f t="shared" ca="1" si="89"/>
        <v>-7.247946637348404E-3</v>
      </c>
    </row>
    <row r="2747" spans="2:7" x14ac:dyDescent="0.2">
      <c r="B2747" s="167">
        <v>40611</v>
      </c>
      <c r="C2747" s="28">
        <v>113.86</v>
      </c>
      <c r="D2747" s="83">
        <f t="shared" si="88"/>
        <v>0.27760323159784556</v>
      </c>
      <c r="E2747" s="83">
        <v>-1.2280701754386015E-3</v>
      </c>
      <c r="F2747" s="83">
        <v>2739</v>
      </c>
      <c r="G2747" s="83">
        <f t="shared" ca="1" si="89"/>
        <v>-8.6973446348283644E-3</v>
      </c>
    </row>
    <row r="2748" spans="2:7" x14ac:dyDescent="0.2">
      <c r="B2748" s="167">
        <v>40267</v>
      </c>
      <c r="C2748" s="28">
        <v>89.12</v>
      </c>
      <c r="D2748" s="83">
        <f t="shared" si="88"/>
        <v>-0.68458679879667317</v>
      </c>
      <c r="E2748" s="83">
        <v>-1.2327692480107522E-3</v>
      </c>
      <c r="F2748" s="83">
        <v>2740</v>
      </c>
      <c r="G2748" s="83">
        <f t="shared" ca="1" si="89"/>
        <v>1.0180328796070904E-2</v>
      </c>
    </row>
    <row r="2749" spans="2:7" x14ac:dyDescent="0.2">
      <c r="B2749" s="167">
        <v>42970</v>
      </c>
      <c r="C2749" s="28">
        <v>282.55</v>
      </c>
      <c r="D2749" s="83">
        <f t="shared" si="88"/>
        <v>4.0026558073654401</v>
      </c>
      <c r="E2749" s="83">
        <v>-1.2371862849062068E-3</v>
      </c>
      <c r="F2749" s="83">
        <v>2741</v>
      </c>
      <c r="G2749" s="83">
        <f t="shared" ca="1" si="89"/>
        <v>-2.0097085689418627E-2</v>
      </c>
    </row>
    <row r="2750" spans="2:7" x14ac:dyDescent="0.2">
      <c r="B2750" s="167">
        <v>39836</v>
      </c>
      <c r="C2750" s="28">
        <v>56.48</v>
      </c>
      <c r="D2750" s="83">
        <f t="shared" si="88"/>
        <v>-0.73070137796214185</v>
      </c>
      <c r="E2750" s="83">
        <v>-1.237842617152967E-3</v>
      </c>
      <c r="F2750" s="83">
        <v>2742</v>
      </c>
      <c r="G2750" s="83">
        <f t="shared" ca="1" si="89"/>
        <v>3.6751002395783723E-2</v>
      </c>
    </row>
    <row r="2751" spans="2:7" x14ac:dyDescent="0.2">
      <c r="B2751" s="167">
        <v>42229</v>
      </c>
      <c r="C2751" s="28">
        <v>209.73</v>
      </c>
      <c r="D2751" s="83">
        <f t="shared" si="88"/>
        <v>4.2913973147687696E-2</v>
      </c>
      <c r="E2751" s="83">
        <v>-1.2381541978190357E-3</v>
      </c>
      <c r="F2751" s="83">
        <v>2743</v>
      </c>
      <c r="G2751" s="83">
        <f t="shared" ca="1" si="89"/>
        <v>6.3708585493161662E-4</v>
      </c>
    </row>
    <row r="2752" spans="2:7" x14ac:dyDescent="0.2">
      <c r="B2752" s="167">
        <v>44389</v>
      </c>
      <c r="C2752" s="28">
        <v>201.1</v>
      </c>
      <c r="D2752" s="83">
        <f t="shared" si="88"/>
        <v>0.93328206114208812</v>
      </c>
      <c r="E2752" s="83">
        <v>-1.2416190712689348E-3</v>
      </c>
      <c r="F2752" s="83">
        <v>2744</v>
      </c>
      <c r="G2752" s="83">
        <f t="shared" ca="1" si="89"/>
        <v>3.5973853128823979E-2</v>
      </c>
    </row>
    <row r="2753" spans="2:7" x14ac:dyDescent="0.2">
      <c r="B2753" s="167">
        <v>40590</v>
      </c>
      <c r="C2753" s="28">
        <v>104.02</v>
      </c>
      <c r="D2753" s="83">
        <f t="shared" si="88"/>
        <v>-0.6267671331180481</v>
      </c>
      <c r="E2753" s="83">
        <v>-1.2481997119540053E-3</v>
      </c>
      <c r="F2753" s="83">
        <v>2745</v>
      </c>
      <c r="G2753" s="83">
        <f t="shared" ca="1" si="89"/>
        <v>-1.482359561873127E-2</v>
      </c>
    </row>
    <row r="2754" spans="2:7" x14ac:dyDescent="0.2">
      <c r="B2754" s="167">
        <v>42844</v>
      </c>
      <c r="C2754" s="28">
        <v>278.7</v>
      </c>
      <c r="D2754" s="83">
        <f t="shared" si="88"/>
        <v>1.5053937432578208</v>
      </c>
      <c r="E2754" s="83">
        <v>-1.2542555097653566E-3</v>
      </c>
      <c r="F2754" s="83">
        <v>2746</v>
      </c>
      <c r="G2754" s="83">
        <f t="shared" ca="1" si="89"/>
        <v>-3.8422092295778316E-3</v>
      </c>
    </row>
    <row r="2755" spans="2:7" x14ac:dyDescent="0.2">
      <c r="B2755" s="167">
        <v>40570</v>
      </c>
      <c r="C2755" s="28">
        <v>111.24</v>
      </c>
      <c r="D2755" s="83">
        <f t="shared" si="88"/>
        <v>-0.74544622425629292</v>
      </c>
      <c r="E2755" s="83">
        <v>-1.2569581612497807E-3</v>
      </c>
      <c r="F2755" s="83">
        <v>2747</v>
      </c>
      <c r="G2755" s="83">
        <f t="shared" ca="1" si="89"/>
        <v>5.6691390388845381E-3</v>
      </c>
    </row>
    <row r="2756" spans="2:7" x14ac:dyDescent="0.2">
      <c r="B2756" s="167">
        <v>45679</v>
      </c>
      <c r="C2756" s="28">
        <v>437</v>
      </c>
      <c r="D2756" s="83">
        <f t="shared" si="88"/>
        <v>5.8880542767143232E-2</v>
      </c>
      <c r="E2756" s="83">
        <v>-1.256999200091444E-3</v>
      </c>
      <c r="F2756" s="83">
        <v>2748</v>
      </c>
      <c r="G2756" s="83">
        <f t="shared" ca="1" si="89"/>
        <v>3.0640194754504052E-2</v>
      </c>
    </row>
    <row r="2757" spans="2:7" x14ac:dyDescent="0.2">
      <c r="B2757" s="167">
        <v>45251</v>
      </c>
      <c r="C2757" s="28">
        <v>412.7</v>
      </c>
      <c r="D2757" s="83">
        <f t="shared" si="88"/>
        <v>-0.14359825689977171</v>
      </c>
      <c r="E2757" s="83">
        <v>-1.2584095639127791E-3</v>
      </c>
      <c r="F2757" s="83">
        <v>2749</v>
      </c>
      <c r="G2757" s="83">
        <f t="shared" ca="1" si="89"/>
        <v>-1.149583316457924E-2</v>
      </c>
    </row>
    <row r="2758" spans="2:7" x14ac:dyDescent="0.2">
      <c r="B2758" s="167">
        <v>45538</v>
      </c>
      <c r="C2758" s="28">
        <v>481.9</v>
      </c>
      <c r="D2758" s="83">
        <f t="shared" si="88"/>
        <v>2.5887697348823355</v>
      </c>
      <c r="E2758" s="83">
        <v>-1.2642225031605846E-3</v>
      </c>
      <c r="F2758" s="83">
        <v>2750</v>
      </c>
      <c r="G2758" s="83">
        <f t="shared" ca="1" si="89"/>
        <v>1.0344472538872777E-2</v>
      </c>
    </row>
    <row r="2759" spans="2:7" x14ac:dyDescent="0.2">
      <c r="B2759" s="167">
        <v>40953</v>
      </c>
      <c r="C2759" s="28">
        <v>134.28</v>
      </c>
      <c r="D2759" s="83">
        <f t="shared" si="88"/>
        <v>1.133121525019857</v>
      </c>
      <c r="E2759" s="83">
        <v>-1.2644105615469505E-3</v>
      </c>
      <c r="F2759" s="83">
        <v>2751</v>
      </c>
      <c r="G2759" s="83">
        <f t="shared" ca="1" si="89"/>
        <v>-8.481412807616549E-3</v>
      </c>
    </row>
    <row r="2760" spans="2:7" x14ac:dyDescent="0.2">
      <c r="B2760" s="167">
        <v>39666</v>
      </c>
      <c r="C2760" s="28">
        <v>62.95</v>
      </c>
      <c r="D2760" s="83">
        <f t="shared" si="88"/>
        <v>-0.79881751358261432</v>
      </c>
      <c r="E2760" s="83">
        <v>-1.2692368713310852E-3</v>
      </c>
      <c r="F2760" s="83">
        <v>2752</v>
      </c>
      <c r="G2760" s="83">
        <f t="shared" ca="1" si="89"/>
        <v>4.8502606615047923E-3</v>
      </c>
    </row>
    <row r="2761" spans="2:7" x14ac:dyDescent="0.2">
      <c r="B2761" s="167">
        <v>43333</v>
      </c>
      <c r="C2761" s="28">
        <v>312.89999999999998</v>
      </c>
      <c r="D2761" s="83">
        <f t="shared" ref="D2761:D2824" si="90">(C2761-C2762)/C2762</f>
        <v>4.0354039266173158</v>
      </c>
      <c r="E2761" s="83">
        <v>-1.2767315671881076E-3</v>
      </c>
      <c r="F2761" s="83">
        <v>2753</v>
      </c>
      <c r="G2761" s="83">
        <f t="shared" ref="G2761:G2824" ca="1" si="91">_xlfn.NORM.INV(RAND(),$M$10,$M$11)</f>
        <v>2.2516725496224153E-2</v>
      </c>
    </row>
    <row r="2762" spans="2:7" x14ac:dyDescent="0.2">
      <c r="B2762" s="167">
        <v>39020</v>
      </c>
      <c r="C2762" s="28">
        <v>62.14</v>
      </c>
      <c r="D2762" s="83">
        <f t="shared" si="90"/>
        <v>1.0110032362459549</v>
      </c>
      <c r="E2762" s="83">
        <v>-1.2857602057216055E-3</v>
      </c>
      <c r="F2762" s="83">
        <v>2754</v>
      </c>
      <c r="G2762" s="83">
        <f t="shared" ca="1" si="91"/>
        <v>2.765922352342434E-3</v>
      </c>
    </row>
    <row r="2763" spans="2:7" x14ac:dyDescent="0.2">
      <c r="B2763" s="167">
        <v>38453</v>
      </c>
      <c r="C2763" s="28">
        <v>30.9</v>
      </c>
      <c r="D2763" s="83">
        <f t="shared" si="90"/>
        <v>-0.69149361022364209</v>
      </c>
      <c r="E2763" s="83">
        <v>-1.2928248222366741E-3</v>
      </c>
      <c r="F2763" s="83">
        <v>2755</v>
      </c>
      <c r="G2763" s="83">
        <f t="shared" ca="1" si="91"/>
        <v>-3.9816606307605681E-2</v>
      </c>
    </row>
    <row r="2764" spans="2:7" x14ac:dyDescent="0.2">
      <c r="B2764" s="167">
        <v>40364</v>
      </c>
      <c r="C2764" s="28">
        <v>100.16</v>
      </c>
      <c r="D2764" s="83">
        <f t="shared" si="90"/>
        <v>-0.70386139199337716</v>
      </c>
      <c r="E2764" s="83">
        <v>-1.2962409013860768E-3</v>
      </c>
      <c r="F2764" s="83">
        <v>2756</v>
      </c>
      <c r="G2764" s="83">
        <f t="shared" ca="1" si="91"/>
        <v>-8.3733499270846942E-3</v>
      </c>
    </row>
    <row r="2765" spans="2:7" x14ac:dyDescent="0.2">
      <c r="B2765" s="167">
        <v>44890</v>
      </c>
      <c r="C2765" s="28">
        <v>338.22</v>
      </c>
      <c r="D2765" s="83">
        <f t="shared" si="90"/>
        <v>3.4171346480344789</v>
      </c>
      <c r="E2765" s="83">
        <v>-1.2992381739797959E-3</v>
      </c>
      <c r="F2765" s="83">
        <v>2757</v>
      </c>
      <c r="G2765" s="83">
        <f t="shared" ca="1" si="91"/>
        <v>-1.643830758016258E-2</v>
      </c>
    </row>
    <row r="2766" spans="2:7" x14ac:dyDescent="0.2">
      <c r="B2766" s="167">
        <v>39455</v>
      </c>
      <c r="C2766" s="28">
        <v>76.569999999999993</v>
      </c>
      <c r="D2766" s="83">
        <f t="shared" si="90"/>
        <v>-0.22991048979181344</v>
      </c>
      <c r="E2766" s="83">
        <v>-1.304291117777599E-3</v>
      </c>
      <c r="F2766" s="83">
        <v>2758</v>
      </c>
      <c r="G2766" s="83">
        <f t="shared" ca="1" si="91"/>
        <v>-1.859481313410951E-2</v>
      </c>
    </row>
    <row r="2767" spans="2:7" x14ac:dyDescent="0.2">
      <c r="B2767" s="167">
        <v>40371</v>
      </c>
      <c r="C2767" s="28">
        <v>99.43</v>
      </c>
      <c r="D2767" s="83">
        <f t="shared" si="90"/>
        <v>-0.74921179408278049</v>
      </c>
      <c r="E2767" s="83">
        <v>-1.3057452792285601E-3</v>
      </c>
      <c r="F2767" s="83">
        <v>2759</v>
      </c>
      <c r="G2767" s="83">
        <f t="shared" ca="1" si="91"/>
        <v>1.5811768133780534E-3</v>
      </c>
    </row>
    <row r="2768" spans="2:7" x14ac:dyDescent="0.2">
      <c r="B2768" s="167">
        <v>45366</v>
      </c>
      <c r="C2768" s="28">
        <v>396.47</v>
      </c>
      <c r="D2768" s="83">
        <f t="shared" si="90"/>
        <v>5.5123193166885676</v>
      </c>
      <c r="E2768" s="83">
        <v>-1.3098566714526355E-3</v>
      </c>
      <c r="F2768" s="83">
        <v>2760</v>
      </c>
      <c r="G2768" s="83">
        <f t="shared" ca="1" si="91"/>
        <v>-9.3950926252270844E-3</v>
      </c>
    </row>
    <row r="2769" spans="2:7" x14ac:dyDescent="0.2">
      <c r="B2769" s="167">
        <v>39962</v>
      </c>
      <c r="C2769" s="28">
        <v>60.88</v>
      </c>
      <c r="D2769" s="83">
        <f t="shared" si="90"/>
        <v>-0.72386265705084596</v>
      </c>
      <c r="E2769" s="83">
        <v>-1.3123359580052214E-3</v>
      </c>
      <c r="F2769" s="83">
        <v>2761</v>
      </c>
      <c r="G2769" s="83">
        <f t="shared" ca="1" si="91"/>
        <v>2.373934309144635E-2</v>
      </c>
    </row>
    <row r="2770" spans="2:7" x14ac:dyDescent="0.2">
      <c r="B2770" s="167">
        <v>42143</v>
      </c>
      <c r="C2770" s="28">
        <v>220.47</v>
      </c>
      <c r="D2770" s="83">
        <f t="shared" si="90"/>
        <v>-0.26800358577642019</v>
      </c>
      <c r="E2770" s="83">
        <v>-1.3136437760463491E-3</v>
      </c>
      <c r="F2770" s="83">
        <v>2762</v>
      </c>
      <c r="G2770" s="83">
        <f t="shared" ca="1" si="91"/>
        <v>2.6229844692563811E-2</v>
      </c>
    </row>
    <row r="2771" spans="2:7" x14ac:dyDescent="0.2">
      <c r="B2771" s="167">
        <v>44771</v>
      </c>
      <c r="C2771" s="28">
        <v>301.19</v>
      </c>
      <c r="D2771" s="83">
        <f t="shared" si="90"/>
        <v>-0.10816652848513569</v>
      </c>
      <c r="E2771" s="83">
        <v>-1.3263039225437756E-3</v>
      </c>
      <c r="F2771" s="83">
        <v>2763</v>
      </c>
      <c r="G2771" s="83">
        <f t="shared" ca="1" si="91"/>
        <v>2.4553836744990506E-2</v>
      </c>
    </row>
    <row r="2772" spans="2:7" x14ac:dyDescent="0.2">
      <c r="B2772" s="167">
        <v>44888</v>
      </c>
      <c r="C2772" s="28">
        <v>337.72</v>
      </c>
      <c r="D2772" s="83">
        <f t="shared" si="90"/>
        <v>7.4080659021542655E-4</v>
      </c>
      <c r="E2772" s="83">
        <v>-1.3306916639559648E-3</v>
      </c>
      <c r="F2772" s="83">
        <v>2764</v>
      </c>
      <c r="G2772" s="83">
        <f t="shared" ca="1" si="91"/>
        <v>-1.3874160069473436E-2</v>
      </c>
    </row>
    <row r="2773" spans="2:7" x14ac:dyDescent="0.2">
      <c r="B2773" s="167">
        <v>44896</v>
      </c>
      <c r="C2773" s="28">
        <v>337.47</v>
      </c>
      <c r="D2773" s="83">
        <f t="shared" si="90"/>
        <v>-0.19854181015033123</v>
      </c>
      <c r="E2773" s="83">
        <v>-1.3316761363636027E-3</v>
      </c>
      <c r="F2773" s="83">
        <v>2765</v>
      </c>
      <c r="G2773" s="83">
        <f t="shared" ca="1" si="91"/>
        <v>-1.6274363958859808E-2</v>
      </c>
    </row>
    <row r="2774" spans="2:7" x14ac:dyDescent="0.2">
      <c r="B2774" s="167">
        <v>45104</v>
      </c>
      <c r="C2774" s="28">
        <v>421.07</v>
      </c>
      <c r="D2774" s="83">
        <f t="shared" si="90"/>
        <v>7.1824718227749713</v>
      </c>
      <c r="E2774" s="83">
        <v>-1.3518641495114153E-3</v>
      </c>
      <c r="F2774" s="83">
        <v>2766</v>
      </c>
      <c r="G2774" s="83">
        <f t="shared" ca="1" si="91"/>
        <v>-5.5392647043008708E-4</v>
      </c>
    </row>
    <row r="2775" spans="2:7" x14ac:dyDescent="0.2">
      <c r="B2775" s="167">
        <v>38747</v>
      </c>
      <c r="C2775" s="28">
        <v>51.46</v>
      </c>
      <c r="D2775" s="83">
        <f t="shared" si="90"/>
        <v>-0.8848022206800833</v>
      </c>
      <c r="E2775" s="83">
        <v>-1.3584319813700811E-3</v>
      </c>
      <c r="F2775" s="83">
        <v>2767</v>
      </c>
      <c r="G2775" s="83">
        <f t="shared" ca="1" si="91"/>
        <v>8.075820881891611E-4</v>
      </c>
    </row>
    <row r="2776" spans="2:7" x14ac:dyDescent="0.2">
      <c r="B2776" s="167">
        <v>45609</v>
      </c>
      <c r="C2776" s="28">
        <v>446.71</v>
      </c>
      <c r="D2776" s="83">
        <f t="shared" si="90"/>
        <v>4.0971017800091278</v>
      </c>
      <c r="E2776" s="83">
        <v>-1.3636770097469678E-3</v>
      </c>
      <c r="F2776" s="83">
        <v>2768</v>
      </c>
      <c r="G2776" s="83">
        <f t="shared" ca="1" si="91"/>
        <v>-1.2685731509974427E-3</v>
      </c>
    </row>
    <row r="2777" spans="2:7" x14ac:dyDescent="0.2">
      <c r="B2777" s="167">
        <v>40263</v>
      </c>
      <c r="C2777" s="28">
        <v>87.64</v>
      </c>
      <c r="D2777" s="83">
        <f t="shared" si="90"/>
        <v>-0.5987179487179487</v>
      </c>
      <c r="E2777" s="83">
        <v>-1.3673655423883835E-3</v>
      </c>
      <c r="F2777" s="83">
        <v>2769</v>
      </c>
      <c r="G2777" s="83">
        <f t="shared" ca="1" si="91"/>
        <v>-2.4608106612635312E-2</v>
      </c>
    </row>
    <row r="2778" spans="2:7" x14ac:dyDescent="0.2">
      <c r="B2778" s="167">
        <v>44568</v>
      </c>
      <c r="C2778" s="28">
        <v>218.4</v>
      </c>
      <c r="D2778" s="83">
        <f t="shared" si="90"/>
        <v>-0.46774547315575266</v>
      </c>
      <c r="E2778" s="83">
        <v>-1.3717421124827753E-3</v>
      </c>
      <c r="F2778" s="83">
        <v>2770</v>
      </c>
      <c r="G2778" s="83">
        <f t="shared" ca="1" si="91"/>
        <v>-7.0184031009540059E-3</v>
      </c>
    </row>
    <row r="2779" spans="2:7" x14ac:dyDescent="0.2">
      <c r="B2779" s="167">
        <v>45226</v>
      </c>
      <c r="C2779" s="28">
        <v>410.33</v>
      </c>
      <c r="D2779" s="83">
        <f t="shared" si="90"/>
        <v>0.73861277064531161</v>
      </c>
      <c r="E2779" s="83">
        <v>-1.3871988318325461E-3</v>
      </c>
      <c r="F2779" s="83">
        <v>2771</v>
      </c>
      <c r="G2779" s="83">
        <f t="shared" ca="1" si="91"/>
        <v>-8.3181504616283933E-3</v>
      </c>
    </row>
    <row r="2780" spans="2:7" x14ac:dyDescent="0.2">
      <c r="B2780" s="167">
        <v>42304</v>
      </c>
      <c r="C2780" s="28">
        <v>236.01</v>
      </c>
      <c r="D2780" s="83">
        <f t="shared" si="90"/>
        <v>0.44622832281389785</v>
      </c>
      <c r="E2780" s="83">
        <v>-1.3962934755014493E-3</v>
      </c>
      <c r="F2780" s="83">
        <v>2772</v>
      </c>
      <c r="G2780" s="83">
        <f t="shared" ca="1" si="91"/>
        <v>-1.6065147582255423E-2</v>
      </c>
    </row>
    <row r="2781" spans="2:7" x14ac:dyDescent="0.2">
      <c r="B2781" s="167">
        <v>41094</v>
      </c>
      <c r="C2781" s="28">
        <v>163.19</v>
      </c>
      <c r="D2781" s="83">
        <f t="shared" si="90"/>
        <v>-0.62713916878013121</v>
      </c>
      <c r="E2781" s="83">
        <v>-1.4074164728918725E-3</v>
      </c>
      <c r="F2781" s="83">
        <v>2773</v>
      </c>
      <c r="G2781" s="83">
        <f t="shared" ca="1" si="91"/>
        <v>-2.0607956506749642E-2</v>
      </c>
    </row>
    <row r="2782" spans="2:7" x14ac:dyDescent="0.2">
      <c r="B2782" s="167">
        <v>45302</v>
      </c>
      <c r="C2782" s="28">
        <v>437.67</v>
      </c>
      <c r="D2782" s="83">
        <f t="shared" si="90"/>
        <v>0.55037194473963869</v>
      </c>
      <c r="E2782" s="83">
        <v>-1.4145885144539107E-3</v>
      </c>
      <c r="F2782" s="83">
        <v>2774</v>
      </c>
      <c r="G2782" s="83">
        <f t="shared" ca="1" si="91"/>
        <v>-2.1062531882365322E-2</v>
      </c>
    </row>
    <row r="2783" spans="2:7" x14ac:dyDescent="0.2">
      <c r="B2783" s="167">
        <v>43229</v>
      </c>
      <c r="C2783" s="28">
        <v>282.3</v>
      </c>
      <c r="D2783" s="83">
        <f t="shared" si="90"/>
        <v>3.4498738965952085</v>
      </c>
      <c r="E2783" s="83">
        <v>-1.414927484966315E-3</v>
      </c>
      <c r="F2783" s="83">
        <v>2775</v>
      </c>
      <c r="G2783" s="83">
        <f t="shared" ca="1" si="91"/>
        <v>-9.1248475301478303E-3</v>
      </c>
    </row>
    <row r="2784" spans="2:7" x14ac:dyDescent="0.2">
      <c r="B2784" s="167">
        <v>39703</v>
      </c>
      <c r="C2784" s="28">
        <v>63.44</v>
      </c>
      <c r="D2784" s="83">
        <f t="shared" si="90"/>
        <v>-0.6987654320987654</v>
      </c>
      <c r="E2784" s="83">
        <v>-1.4166535495042248E-3</v>
      </c>
      <c r="F2784" s="83">
        <v>2776</v>
      </c>
      <c r="G2784" s="83">
        <f t="shared" ca="1" si="91"/>
        <v>-1.7354075389578599E-2</v>
      </c>
    </row>
    <row r="2785" spans="2:7" x14ac:dyDescent="0.2">
      <c r="B2785" s="167">
        <v>44342</v>
      </c>
      <c r="C2785" s="28">
        <v>210.6</v>
      </c>
      <c r="D2785" s="83">
        <f t="shared" si="90"/>
        <v>-0.13653136531365317</v>
      </c>
      <c r="E2785" s="83">
        <v>-1.4224751066856868E-3</v>
      </c>
      <c r="F2785" s="83">
        <v>2777</v>
      </c>
      <c r="G2785" s="83">
        <f t="shared" ca="1" si="91"/>
        <v>-5.4027701416520712E-4</v>
      </c>
    </row>
    <row r="2786" spans="2:7" x14ac:dyDescent="0.2">
      <c r="B2786" s="167">
        <v>43714</v>
      </c>
      <c r="C2786" s="28">
        <v>243.9</v>
      </c>
      <c r="D2786" s="83">
        <f t="shared" si="90"/>
        <v>-0.2215129269071178</v>
      </c>
      <c r="E2786" s="83">
        <v>-1.4329580348003861E-3</v>
      </c>
      <c r="F2786" s="83">
        <v>2778</v>
      </c>
      <c r="G2786" s="83">
        <f t="shared" ca="1" si="91"/>
        <v>-1.3499991903725719E-2</v>
      </c>
    </row>
    <row r="2787" spans="2:7" x14ac:dyDescent="0.2">
      <c r="B2787" s="167">
        <v>43332</v>
      </c>
      <c r="C2787" s="28">
        <v>313.3</v>
      </c>
      <c r="D2787" s="83">
        <f t="shared" si="90"/>
        <v>0.50083832335329348</v>
      </c>
      <c r="E2787" s="83">
        <v>-1.4342629482071352E-3</v>
      </c>
      <c r="F2787" s="83">
        <v>2779</v>
      </c>
      <c r="G2787" s="83">
        <f t="shared" ca="1" si="91"/>
        <v>-3.2193709693259312E-2</v>
      </c>
    </row>
    <row r="2788" spans="2:7" x14ac:dyDescent="0.2">
      <c r="B2788" s="167">
        <v>44351</v>
      </c>
      <c r="C2788" s="28">
        <v>208.75</v>
      </c>
      <c r="D2788" s="83">
        <f t="shared" si="90"/>
        <v>0.88096954406199313</v>
      </c>
      <c r="E2788" s="83">
        <v>-1.4350633819660912E-3</v>
      </c>
      <c r="F2788" s="83">
        <v>2780</v>
      </c>
      <c r="G2788" s="83">
        <f t="shared" ca="1" si="91"/>
        <v>-2.2540853744922217E-2</v>
      </c>
    </row>
    <row r="2789" spans="2:7" x14ac:dyDescent="0.2">
      <c r="B2789" s="167">
        <v>40437</v>
      </c>
      <c r="C2789" s="28">
        <v>110.98</v>
      </c>
      <c r="D2789" s="83">
        <f t="shared" si="90"/>
        <v>-0.59855308374027849</v>
      </c>
      <c r="E2789" s="83">
        <v>-1.4396256973186665E-3</v>
      </c>
      <c r="F2789" s="83">
        <v>2781</v>
      </c>
      <c r="G2789" s="83">
        <f t="shared" ca="1" si="91"/>
        <v>-3.1372854798535892E-3</v>
      </c>
    </row>
    <row r="2790" spans="2:7" x14ac:dyDescent="0.2">
      <c r="B2790" s="167">
        <v>43418</v>
      </c>
      <c r="C2790" s="28">
        <v>276.45</v>
      </c>
      <c r="D2790" s="83">
        <f t="shared" si="90"/>
        <v>4.9073064340238665E-3</v>
      </c>
      <c r="E2790" s="83">
        <v>-1.4448257178979016E-3</v>
      </c>
      <c r="F2790" s="83">
        <v>2782</v>
      </c>
      <c r="G2790" s="83">
        <f t="shared" ca="1" si="91"/>
        <v>-1.3293780423763722E-2</v>
      </c>
    </row>
    <row r="2791" spans="2:7" x14ac:dyDescent="0.2">
      <c r="B2791" s="167">
        <v>43523</v>
      </c>
      <c r="C2791" s="28">
        <v>275.10000000000002</v>
      </c>
      <c r="D2791" s="83">
        <f t="shared" si="90"/>
        <v>0.33343027482914073</v>
      </c>
      <c r="E2791" s="83">
        <v>-1.4519056261342188E-3</v>
      </c>
      <c r="F2791" s="83">
        <v>2783</v>
      </c>
      <c r="G2791" s="83">
        <f t="shared" ca="1" si="91"/>
        <v>6.8538600734015459E-3</v>
      </c>
    </row>
    <row r="2792" spans="2:7" x14ac:dyDescent="0.2">
      <c r="B2792" s="167">
        <v>42213</v>
      </c>
      <c r="C2792" s="28">
        <v>206.31</v>
      </c>
      <c r="D2792" s="83">
        <f t="shared" si="90"/>
        <v>-0.39970321229050282</v>
      </c>
      <c r="E2792" s="83">
        <v>-1.4520110352839231E-3</v>
      </c>
      <c r="F2792" s="83">
        <v>2784</v>
      </c>
      <c r="G2792" s="83">
        <f t="shared" ca="1" si="91"/>
        <v>6.4081721882792882E-3</v>
      </c>
    </row>
    <row r="2793" spans="2:7" x14ac:dyDescent="0.2">
      <c r="B2793" s="167">
        <v>44861</v>
      </c>
      <c r="C2793" s="28">
        <v>343.68</v>
      </c>
      <c r="D2793" s="83">
        <f t="shared" si="90"/>
        <v>0.52360686261470946</v>
      </c>
      <c r="E2793" s="83">
        <v>-1.452728223603928E-3</v>
      </c>
      <c r="F2793" s="83">
        <v>2785</v>
      </c>
      <c r="G2793" s="83">
        <f t="shared" ca="1" si="91"/>
        <v>7.6289517520596603E-3</v>
      </c>
    </row>
    <row r="2794" spans="2:7" x14ac:dyDescent="0.2">
      <c r="B2794" s="167">
        <v>41761</v>
      </c>
      <c r="C2794" s="28">
        <v>225.57</v>
      </c>
      <c r="D2794" s="83">
        <f t="shared" si="90"/>
        <v>-0.26631972678484306</v>
      </c>
      <c r="E2794" s="83">
        <v>-1.4608233731740262E-3</v>
      </c>
      <c r="F2794" s="83">
        <v>2786</v>
      </c>
      <c r="G2794" s="83">
        <f t="shared" ca="1" si="91"/>
        <v>1.088302196073309E-2</v>
      </c>
    </row>
    <row r="2795" spans="2:7" x14ac:dyDescent="0.2">
      <c r="B2795" s="167">
        <v>43328</v>
      </c>
      <c r="C2795" s="28">
        <v>307.45</v>
      </c>
      <c r="D2795" s="83">
        <f t="shared" si="90"/>
        <v>4.6516544117647056</v>
      </c>
      <c r="E2795" s="83">
        <v>-1.4615134784020417E-3</v>
      </c>
      <c r="F2795" s="83">
        <v>2787</v>
      </c>
      <c r="G2795" s="83">
        <f t="shared" ca="1" si="91"/>
        <v>-3.0067589753377802E-5</v>
      </c>
    </row>
    <row r="2796" spans="2:7" x14ac:dyDescent="0.2">
      <c r="B2796" s="167">
        <v>38923</v>
      </c>
      <c r="C2796" s="28">
        <v>54.4</v>
      </c>
      <c r="D2796" s="83">
        <f t="shared" si="90"/>
        <v>-0.73241515002459423</v>
      </c>
      <c r="E2796" s="83">
        <v>-1.4684287812040803E-3</v>
      </c>
      <c r="F2796" s="83">
        <v>2788</v>
      </c>
      <c r="G2796" s="83">
        <f t="shared" ca="1" si="91"/>
        <v>-4.6520410317790111E-4</v>
      </c>
    </row>
    <row r="2797" spans="2:7" x14ac:dyDescent="0.2">
      <c r="B2797" s="167">
        <v>44376</v>
      </c>
      <c r="C2797" s="28">
        <v>203.3</v>
      </c>
      <c r="D2797" s="83">
        <f t="shared" si="90"/>
        <v>-0.11535616378747657</v>
      </c>
      <c r="E2797" s="83">
        <v>-1.4734774066796805E-3</v>
      </c>
      <c r="F2797" s="83">
        <v>2789</v>
      </c>
      <c r="G2797" s="83">
        <f t="shared" ca="1" si="91"/>
        <v>-7.1630001091200273E-3</v>
      </c>
    </row>
    <row r="2798" spans="2:7" x14ac:dyDescent="0.2">
      <c r="B2798" s="167">
        <v>42104</v>
      </c>
      <c r="C2798" s="28">
        <v>229.81</v>
      </c>
      <c r="D2798" s="83">
        <f t="shared" si="90"/>
        <v>-7.9655586704044809E-2</v>
      </c>
      <c r="E2798" s="83">
        <v>-1.4772974147295389E-3</v>
      </c>
      <c r="F2798" s="83">
        <v>2790</v>
      </c>
      <c r="G2798" s="83">
        <f t="shared" ca="1" si="91"/>
        <v>-1.3558227742652631E-2</v>
      </c>
    </row>
    <row r="2799" spans="2:7" x14ac:dyDescent="0.2">
      <c r="B2799" s="167">
        <v>41907</v>
      </c>
      <c r="C2799" s="28">
        <v>249.7</v>
      </c>
      <c r="D2799" s="83">
        <f t="shared" si="90"/>
        <v>3.6629318394024275</v>
      </c>
      <c r="E2799" s="83">
        <v>-1.4795857159995384E-3</v>
      </c>
      <c r="F2799" s="83">
        <v>2791</v>
      </c>
      <c r="G2799" s="83">
        <f t="shared" ca="1" si="91"/>
        <v>5.5532042149771706E-3</v>
      </c>
    </row>
    <row r="2800" spans="2:7" x14ac:dyDescent="0.2">
      <c r="B2800" s="167">
        <v>39198</v>
      </c>
      <c r="C2800" s="28">
        <v>53.55</v>
      </c>
      <c r="D2800" s="83">
        <f t="shared" si="90"/>
        <v>-0.4660484594675442</v>
      </c>
      <c r="E2800" s="83">
        <v>-1.4917024053702293E-3</v>
      </c>
      <c r="F2800" s="83">
        <v>2792</v>
      </c>
      <c r="G2800" s="83">
        <f t="shared" ca="1" si="91"/>
        <v>-2.2633593286928769E-2</v>
      </c>
    </row>
    <row r="2801" spans="2:7" x14ac:dyDescent="0.2">
      <c r="B2801" s="167">
        <v>40361</v>
      </c>
      <c r="C2801" s="28">
        <v>100.29</v>
      </c>
      <c r="D2801" s="83">
        <f t="shared" si="90"/>
        <v>-0.75067124105011929</v>
      </c>
      <c r="E2801" s="83">
        <v>-1.4934289127836666E-3</v>
      </c>
      <c r="F2801" s="83">
        <v>2793</v>
      </c>
      <c r="G2801" s="83">
        <f t="shared" ca="1" si="91"/>
        <v>-4.7801670038555514E-3</v>
      </c>
    </row>
    <row r="2802" spans="2:7" x14ac:dyDescent="0.2">
      <c r="B2802" s="167">
        <v>45385</v>
      </c>
      <c r="C2802" s="28">
        <v>402.24</v>
      </c>
      <c r="D2802" s="83">
        <f t="shared" si="90"/>
        <v>6.0680021085925153</v>
      </c>
      <c r="E2802" s="83">
        <v>-1.5389961773320869E-3</v>
      </c>
      <c r="F2802" s="83">
        <v>2794</v>
      </c>
      <c r="G2802" s="83">
        <f t="shared" ca="1" si="91"/>
        <v>-6.5977549178022777E-3</v>
      </c>
    </row>
    <row r="2803" spans="2:7" x14ac:dyDescent="0.2">
      <c r="B2803" s="167">
        <v>39813</v>
      </c>
      <c r="C2803" s="28">
        <v>56.91</v>
      </c>
      <c r="D2803" s="83">
        <f t="shared" si="90"/>
        <v>-0.73525307033866771</v>
      </c>
      <c r="E2803" s="83">
        <v>-1.5789473684211124E-3</v>
      </c>
      <c r="F2803" s="83">
        <v>2795</v>
      </c>
      <c r="G2803" s="83">
        <f t="shared" ca="1" si="91"/>
        <v>1.5556825871076499E-2</v>
      </c>
    </row>
    <row r="2804" spans="2:7" x14ac:dyDescent="0.2">
      <c r="B2804" s="167">
        <v>42402</v>
      </c>
      <c r="C2804" s="28">
        <v>214.96</v>
      </c>
      <c r="D2804" s="83">
        <f t="shared" si="90"/>
        <v>-2.7990052000904351E-2</v>
      </c>
      <c r="E2804" s="83">
        <v>-1.5791918253599787E-3</v>
      </c>
      <c r="F2804" s="83">
        <v>2796</v>
      </c>
      <c r="G2804" s="83">
        <f t="shared" ca="1" si="91"/>
        <v>-1.2303608726159576E-2</v>
      </c>
    </row>
    <row r="2805" spans="2:7" x14ac:dyDescent="0.2">
      <c r="B2805" s="167">
        <v>44530</v>
      </c>
      <c r="C2805" s="28">
        <v>221.15</v>
      </c>
      <c r="D2805" s="83">
        <f t="shared" si="90"/>
        <v>-0.12189795513202299</v>
      </c>
      <c r="E2805" s="83">
        <v>-1.5801354401805611E-3</v>
      </c>
      <c r="F2805" s="83">
        <v>2797</v>
      </c>
      <c r="G2805" s="83">
        <f t="shared" ca="1" si="91"/>
        <v>-2.3038155934298435E-4</v>
      </c>
    </row>
    <row r="2806" spans="2:7" x14ac:dyDescent="0.2">
      <c r="B2806" s="167">
        <v>42627</v>
      </c>
      <c r="C2806" s="28">
        <v>251.85</v>
      </c>
      <c r="D2806" s="83">
        <f t="shared" si="90"/>
        <v>-0.10928381962864724</v>
      </c>
      <c r="E2806" s="83">
        <v>-1.5857284440039868E-3</v>
      </c>
      <c r="F2806" s="83">
        <v>2798</v>
      </c>
      <c r="G2806" s="83">
        <f t="shared" ca="1" si="91"/>
        <v>-1.7916506243645582E-2</v>
      </c>
    </row>
    <row r="2807" spans="2:7" x14ac:dyDescent="0.2">
      <c r="B2807" s="167">
        <v>42824</v>
      </c>
      <c r="C2807" s="28">
        <v>282.75</v>
      </c>
      <c r="D2807" s="83">
        <f t="shared" si="90"/>
        <v>0.29553264604810997</v>
      </c>
      <c r="E2807" s="83">
        <v>-1.5889830508474176E-3</v>
      </c>
      <c r="F2807" s="83">
        <v>2799</v>
      </c>
      <c r="G2807" s="83">
        <f t="shared" ca="1" si="91"/>
        <v>1.8378220468072838E-2</v>
      </c>
    </row>
    <row r="2808" spans="2:7" x14ac:dyDescent="0.2">
      <c r="B2808" s="167">
        <v>44243</v>
      </c>
      <c r="C2808" s="28">
        <v>218.25</v>
      </c>
      <c r="D2808" s="83">
        <f t="shared" si="90"/>
        <v>-0.46632922535211263</v>
      </c>
      <c r="E2808" s="83">
        <v>-1.6010978956998826E-3</v>
      </c>
      <c r="F2808" s="83">
        <v>2800</v>
      </c>
      <c r="G2808" s="83">
        <f t="shared" ca="1" si="91"/>
        <v>-8.6902798667165132E-3</v>
      </c>
    </row>
    <row r="2809" spans="2:7" x14ac:dyDescent="0.2">
      <c r="B2809" s="167">
        <v>45455</v>
      </c>
      <c r="C2809" s="28">
        <v>408.96</v>
      </c>
      <c r="D2809" s="83">
        <f t="shared" si="90"/>
        <v>5.0238621299160409</v>
      </c>
      <c r="E2809" s="83">
        <v>-1.6112494507104756E-3</v>
      </c>
      <c r="F2809" s="83">
        <v>2801</v>
      </c>
      <c r="G2809" s="83">
        <f t="shared" ca="1" si="91"/>
        <v>-4.3333262525029961E-3</v>
      </c>
    </row>
    <row r="2810" spans="2:7" x14ac:dyDescent="0.2">
      <c r="B2810" s="167">
        <v>39482</v>
      </c>
      <c r="C2810" s="28">
        <v>67.89</v>
      </c>
      <c r="D2810" s="83">
        <f t="shared" si="90"/>
        <v>0.10444119082479261</v>
      </c>
      <c r="E2810" s="83">
        <v>-1.617647058823521E-3</v>
      </c>
      <c r="F2810" s="83">
        <v>2802</v>
      </c>
      <c r="G2810" s="83">
        <f t="shared" ca="1" si="91"/>
        <v>-2.3414624747662028E-2</v>
      </c>
    </row>
    <row r="2811" spans="2:7" x14ac:dyDescent="0.2">
      <c r="B2811" s="167">
        <v>39037</v>
      </c>
      <c r="C2811" s="28">
        <v>61.47</v>
      </c>
      <c r="D2811" s="83">
        <f t="shared" si="90"/>
        <v>1.7926988265971225E-3</v>
      </c>
      <c r="E2811" s="83">
        <v>-1.6241676140977979E-3</v>
      </c>
      <c r="F2811" s="83">
        <v>2803</v>
      </c>
      <c r="G2811" s="83">
        <f t="shared" ca="1" si="91"/>
        <v>7.8670973195850554E-4</v>
      </c>
    </row>
    <row r="2812" spans="2:7" x14ac:dyDescent="0.2">
      <c r="B2812" s="167">
        <v>39408</v>
      </c>
      <c r="C2812" s="28">
        <v>61.36</v>
      </c>
      <c r="D2812" s="83">
        <f t="shared" si="90"/>
        <v>-0.77703488372093021</v>
      </c>
      <c r="E2812" s="83">
        <v>-1.6270745200130396E-3</v>
      </c>
      <c r="F2812" s="83">
        <v>2804</v>
      </c>
      <c r="G2812" s="83">
        <f t="shared" ca="1" si="91"/>
        <v>1.5992380637518833E-2</v>
      </c>
    </row>
    <row r="2813" spans="2:7" x14ac:dyDescent="0.2">
      <c r="B2813" s="167">
        <v>43130</v>
      </c>
      <c r="C2813" s="28">
        <v>275.2</v>
      </c>
      <c r="D2813" s="83">
        <f t="shared" si="90"/>
        <v>0.12556237218813901</v>
      </c>
      <c r="E2813" s="83">
        <v>-1.6325049882096451E-3</v>
      </c>
      <c r="F2813" s="83">
        <v>2805</v>
      </c>
      <c r="G2813" s="83">
        <f t="shared" ca="1" si="91"/>
        <v>-1.331860579026178E-2</v>
      </c>
    </row>
    <row r="2814" spans="2:7" x14ac:dyDescent="0.2">
      <c r="B2814" s="167">
        <v>44641</v>
      </c>
      <c r="C2814" s="28">
        <v>244.5</v>
      </c>
      <c r="D2814" s="83">
        <f t="shared" si="90"/>
        <v>-0.39173052044979595</v>
      </c>
      <c r="E2814" s="83">
        <v>-1.6333197223356703E-3</v>
      </c>
      <c r="F2814" s="83">
        <v>2806</v>
      </c>
      <c r="G2814" s="83">
        <f t="shared" ca="1" si="91"/>
        <v>8.1341356130504704E-3</v>
      </c>
    </row>
    <row r="2815" spans="2:7" x14ac:dyDescent="0.2">
      <c r="B2815" s="167">
        <v>45471</v>
      </c>
      <c r="C2815" s="28">
        <v>401.96</v>
      </c>
      <c r="D2815" s="83">
        <f t="shared" si="90"/>
        <v>-6.1718020541549949E-2</v>
      </c>
      <c r="E2815" s="83">
        <v>-1.6392628284735606E-3</v>
      </c>
      <c r="F2815" s="83">
        <v>2807</v>
      </c>
      <c r="G2815" s="83">
        <f t="shared" ca="1" si="91"/>
        <v>-4.9854287877753771E-3</v>
      </c>
    </row>
    <row r="2816" spans="2:7" x14ac:dyDescent="0.2">
      <c r="B2816" s="167">
        <v>45097</v>
      </c>
      <c r="C2816" s="28">
        <v>428.4</v>
      </c>
      <c r="D2816" s="83">
        <f t="shared" si="90"/>
        <v>0.92496068299258571</v>
      </c>
      <c r="E2816" s="83">
        <v>-1.6545874018317828E-3</v>
      </c>
      <c r="F2816" s="83">
        <v>2808</v>
      </c>
      <c r="G2816" s="83">
        <f t="shared" ca="1" si="91"/>
        <v>-2.4183802633057937E-2</v>
      </c>
    </row>
    <row r="2817" spans="2:7" x14ac:dyDescent="0.2">
      <c r="B2817" s="167">
        <v>41810</v>
      </c>
      <c r="C2817" s="28">
        <v>222.55</v>
      </c>
      <c r="D2817" s="83">
        <f t="shared" si="90"/>
        <v>2.7060782681099087</v>
      </c>
      <c r="E2817" s="83">
        <v>-1.6597882648482691E-3</v>
      </c>
      <c r="F2817" s="83">
        <v>2809</v>
      </c>
      <c r="G2817" s="83">
        <f t="shared" ca="1" si="91"/>
        <v>-2.589020588638451E-2</v>
      </c>
    </row>
    <row r="2818" spans="2:7" x14ac:dyDescent="0.2">
      <c r="B2818" s="167">
        <v>38911</v>
      </c>
      <c r="C2818" s="28">
        <v>60.05</v>
      </c>
      <c r="D2818" s="83">
        <f t="shared" si="90"/>
        <v>-0.72206794408960473</v>
      </c>
      <c r="E2818" s="83">
        <v>-1.6625103906899655E-3</v>
      </c>
      <c r="F2818" s="83">
        <v>2810</v>
      </c>
      <c r="G2818" s="83">
        <f t="shared" ca="1" si="91"/>
        <v>1.1427918419769775E-2</v>
      </c>
    </row>
    <row r="2819" spans="2:7" x14ac:dyDescent="0.2">
      <c r="B2819" s="167">
        <v>42466</v>
      </c>
      <c r="C2819" s="28">
        <v>216.06</v>
      </c>
      <c r="D2819" s="83">
        <f t="shared" si="90"/>
        <v>-0.54733820787328991</v>
      </c>
      <c r="E2819" s="83">
        <v>-1.6634322151371649E-3</v>
      </c>
      <c r="F2819" s="83">
        <v>2811</v>
      </c>
      <c r="G2819" s="83">
        <f t="shared" ca="1" si="91"/>
        <v>-2.2336472846316777E-2</v>
      </c>
    </row>
    <row r="2820" spans="2:7" x14ac:dyDescent="0.2">
      <c r="B2820" s="167">
        <v>45526</v>
      </c>
      <c r="C2820" s="28">
        <v>477.31</v>
      </c>
      <c r="D2820" s="83">
        <f t="shared" si="90"/>
        <v>1.005082965763495</v>
      </c>
      <c r="E2820" s="83">
        <v>-1.6732551086570274E-3</v>
      </c>
      <c r="F2820" s="83">
        <v>2812</v>
      </c>
      <c r="G2820" s="83">
        <f t="shared" ca="1" si="91"/>
        <v>4.2246700567566556E-3</v>
      </c>
    </row>
    <row r="2821" spans="2:7" x14ac:dyDescent="0.2">
      <c r="B2821" s="167">
        <v>43852</v>
      </c>
      <c r="C2821" s="28">
        <v>238.05</v>
      </c>
      <c r="D2821" s="83">
        <f t="shared" si="90"/>
        <v>2.9449922158796063E-2</v>
      </c>
      <c r="E2821" s="83">
        <v>-1.6775005242188185E-3</v>
      </c>
      <c r="F2821" s="83">
        <v>2813</v>
      </c>
      <c r="G2821" s="83">
        <f t="shared" ca="1" si="91"/>
        <v>-1.0032751796621314E-2</v>
      </c>
    </row>
    <row r="2822" spans="2:7" x14ac:dyDescent="0.2">
      <c r="B2822" s="167">
        <v>42293</v>
      </c>
      <c r="C2822" s="28">
        <v>231.24</v>
      </c>
      <c r="D2822" s="83">
        <f t="shared" si="90"/>
        <v>8.3751230257299553E-2</v>
      </c>
      <c r="E2822" s="83">
        <v>-1.726817475392753E-3</v>
      </c>
      <c r="F2822" s="83">
        <v>2814</v>
      </c>
      <c r="G2822" s="83">
        <f t="shared" ca="1" si="91"/>
        <v>2.9595660742951641E-3</v>
      </c>
    </row>
    <row r="2823" spans="2:7" x14ac:dyDescent="0.2">
      <c r="B2823" s="167">
        <v>41639</v>
      </c>
      <c r="C2823" s="28">
        <v>213.37</v>
      </c>
      <c r="D2823" s="83">
        <f t="shared" si="90"/>
        <v>2.858657925183189E-2</v>
      </c>
      <c r="E2823" s="83">
        <v>-1.731075138018174E-3</v>
      </c>
      <c r="F2823" s="83">
        <v>2815</v>
      </c>
      <c r="G2823" s="83">
        <f t="shared" ca="1" si="91"/>
        <v>8.2573038833331971E-3</v>
      </c>
    </row>
    <row r="2824" spans="2:7" x14ac:dyDescent="0.2">
      <c r="B2824" s="167">
        <v>42255</v>
      </c>
      <c r="C2824" s="28">
        <v>207.44</v>
      </c>
      <c r="D2824" s="83">
        <f t="shared" si="90"/>
        <v>-0.26725538678912053</v>
      </c>
      <c r="E2824" s="83">
        <v>-1.7324350336863023E-3</v>
      </c>
      <c r="F2824" s="83">
        <v>2816</v>
      </c>
      <c r="G2824" s="83">
        <f t="shared" ca="1" si="91"/>
        <v>1.5931635502093979E-3</v>
      </c>
    </row>
    <row r="2825" spans="2:7" x14ac:dyDescent="0.2">
      <c r="B2825" s="167">
        <v>42982</v>
      </c>
      <c r="C2825" s="28">
        <v>283.10000000000002</v>
      </c>
      <c r="D2825" s="83">
        <f t="shared" ref="D2825:D2888" si="92">(C2825-C2826)/C2826</f>
        <v>0.66725559481743224</v>
      </c>
      <c r="E2825" s="83">
        <v>-1.7630465444287728E-3</v>
      </c>
      <c r="F2825" s="83">
        <v>2817</v>
      </c>
      <c r="G2825" s="83">
        <f t="shared" ref="G2825:G2888" ca="1" si="93">_xlfn.NORM.INV(RAND(),$M$10,$M$11)</f>
        <v>-1.3574323590842685E-2</v>
      </c>
    </row>
    <row r="2826" spans="2:7" x14ac:dyDescent="0.2">
      <c r="B2826" s="167">
        <v>44139</v>
      </c>
      <c r="C2826" s="28">
        <v>169.8</v>
      </c>
      <c r="D2826" s="83">
        <f t="shared" si="92"/>
        <v>-0.18572867213350591</v>
      </c>
      <c r="E2826" s="83">
        <v>-1.7636684303349967E-3</v>
      </c>
      <c r="F2826" s="83">
        <v>2818</v>
      </c>
      <c r="G2826" s="83">
        <f t="shared" ca="1" si="93"/>
        <v>5.1784633552432917E-3</v>
      </c>
    </row>
    <row r="2827" spans="2:7" x14ac:dyDescent="0.2">
      <c r="B2827" s="167">
        <v>42209</v>
      </c>
      <c r="C2827" s="28">
        <v>208.53</v>
      </c>
      <c r="D2827" s="83">
        <f t="shared" si="92"/>
        <v>-0.53729919233158785</v>
      </c>
      <c r="E2827" s="83">
        <v>-1.771182383915771E-3</v>
      </c>
      <c r="F2827" s="83">
        <v>2819</v>
      </c>
      <c r="G2827" s="83">
        <f t="shared" ca="1" si="93"/>
        <v>2.0532217944923516E-2</v>
      </c>
    </row>
    <row r="2828" spans="2:7" x14ac:dyDescent="0.2">
      <c r="B2828" s="167">
        <v>45295</v>
      </c>
      <c r="C2828" s="28">
        <v>450.68</v>
      </c>
      <c r="D2828" s="83">
        <f t="shared" si="92"/>
        <v>9.0486064659977696</v>
      </c>
      <c r="E2828" s="83">
        <v>-1.7719500310091508E-3</v>
      </c>
      <c r="F2828" s="83">
        <v>2820</v>
      </c>
      <c r="G2828" s="83">
        <f t="shared" ca="1" si="93"/>
        <v>-3.4218286653004328E-3</v>
      </c>
    </row>
    <row r="2829" spans="2:7" x14ac:dyDescent="0.2">
      <c r="B2829" s="167">
        <v>38694</v>
      </c>
      <c r="C2829" s="28">
        <v>44.85</v>
      </c>
      <c r="D2829" s="83">
        <f t="shared" si="92"/>
        <v>-0.79946344735077135</v>
      </c>
      <c r="E2829" s="83">
        <v>-1.7805475183618584E-3</v>
      </c>
      <c r="F2829" s="83">
        <v>2821</v>
      </c>
      <c r="G2829" s="83">
        <f t="shared" ca="1" si="93"/>
        <v>-3.3091337067009353E-3</v>
      </c>
    </row>
    <row r="2830" spans="2:7" x14ac:dyDescent="0.2">
      <c r="B2830" s="167">
        <v>41800</v>
      </c>
      <c r="C2830" s="28">
        <v>223.65</v>
      </c>
      <c r="D2830" s="83">
        <f t="shared" si="92"/>
        <v>0.15342960288808663</v>
      </c>
      <c r="E2830" s="83">
        <v>-1.785315777728211E-3</v>
      </c>
      <c r="F2830" s="83">
        <v>2822</v>
      </c>
      <c r="G2830" s="83">
        <f t="shared" ca="1" si="93"/>
        <v>-7.8854515552776189E-3</v>
      </c>
    </row>
    <row r="2831" spans="2:7" x14ac:dyDescent="0.2">
      <c r="B2831" s="167">
        <v>43994</v>
      </c>
      <c r="C2831" s="28">
        <v>193.9</v>
      </c>
      <c r="D2831" s="83">
        <f t="shared" si="92"/>
        <v>0.16969294806056581</v>
      </c>
      <c r="E2831" s="83">
        <v>-1.8018018018017726E-3</v>
      </c>
      <c r="F2831" s="83">
        <v>2823</v>
      </c>
      <c r="G2831" s="83">
        <f t="shared" ca="1" si="93"/>
        <v>7.1291438854202884E-3</v>
      </c>
    </row>
    <row r="2832" spans="2:7" x14ac:dyDescent="0.2">
      <c r="B2832" s="167">
        <v>41085</v>
      </c>
      <c r="C2832" s="28">
        <v>165.77</v>
      </c>
      <c r="D2832" s="83">
        <f t="shared" si="92"/>
        <v>-0.62898388540734107</v>
      </c>
      <c r="E2832" s="83">
        <v>-1.8064671524055094E-3</v>
      </c>
      <c r="F2832" s="83">
        <v>2824</v>
      </c>
      <c r="G2832" s="83">
        <f t="shared" ca="1" si="93"/>
        <v>-2.5926152703774012E-2</v>
      </c>
    </row>
    <row r="2833" spans="2:7" x14ac:dyDescent="0.2">
      <c r="B2833" s="167">
        <v>45119</v>
      </c>
      <c r="C2833" s="28">
        <v>446.8</v>
      </c>
      <c r="D2833" s="83">
        <f t="shared" si="92"/>
        <v>1.0276832312230544</v>
      </c>
      <c r="E2833" s="83">
        <v>-1.8096110453296446E-3</v>
      </c>
      <c r="F2833" s="83">
        <v>2825</v>
      </c>
      <c r="G2833" s="83">
        <f t="shared" ca="1" si="93"/>
        <v>-3.0931435672840686E-2</v>
      </c>
    </row>
    <row r="2834" spans="2:7" x14ac:dyDescent="0.2">
      <c r="B2834" s="167">
        <v>44580</v>
      </c>
      <c r="C2834" s="28">
        <v>220.35</v>
      </c>
      <c r="D2834" s="83">
        <f t="shared" si="92"/>
        <v>-0.19945504087193464</v>
      </c>
      <c r="E2834" s="83">
        <v>-1.8120045300113509E-3</v>
      </c>
      <c r="F2834" s="83">
        <v>2826</v>
      </c>
      <c r="G2834" s="83">
        <f t="shared" ca="1" si="93"/>
        <v>-1.1902452808172379E-3</v>
      </c>
    </row>
    <row r="2835" spans="2:7" x14ac:dyDescent="0.2">
      <c r="B2835" s="167">
        <v>43623</v>
      </c>
      <c r="C2835" s="28">
        <v>275.25</v>
      </c>
      <c r="D2835" s="83">
        <f t="shared" si="92"/>
        <v>0.25073840141773074</v>
      </c>
      <c r="E2835" s="83">
        <v>-1.8132366273798731E-3</v>
      </c>
      <c r="F2835" s="83">
        <v>2827</v>
      </c>
      <c r="G2835" s="83">
        <f t="shared" ca="1" si="93"/>
        <v>-1.8064368035330455E-3</v>
      </c>
    </row>
    <row r="2836" spans="2:7" x14ac:dyDescent="0.2">
      <c r="B2836" s="167">
        <v>42144</v>
      </c>
      <c r="C2836" s="28">
        <v>220.07</v>
      </c>
      <c r="D2836" s="83">
        <f t="shared" si="92"/>
        <v>-0.2637336901973904</v>
      </c>
      <c r="E2836" s="83">
        <v>-1.8143058012428253E-3</v>
      </c>
      <c r="F2836" s="83">
        <v>2828</v>
      </c>
      <c r="G2836" s="83">
        <f t="shared" ca="1" si="93"/>
        <v>-6.1884218650641257E-3</v>
      </c>
    </row>
    <row r="2837" spans="2:7" x14ac:dyDescent="0.2">
      <c r="B2837" s="167">
        <v>43544</v>
      </c>
      <c r="C2837" s="28">
        <v>298.89999999999998</v>
      </c>
      <c r="D2837" s="83">
        <f t="shared" si="92"/>
        <v>0.28321813420340863</v>
      </c>
      <c r="E2837" s="83">
        <v>-1.8367006177993368E-3</v>
      </c>
      <c r="F2837" s="83">
        <v>2829</v>
      </c>
      <c r="G2837" s="83">
        <f t="shared" ca="1" si="93"/>
        <v>-1.4852290188562659E-2</v>
      </c>
    </row>
    <row r="2838" spans="2:7" x14ac:dyDescent="0.2">
      <c r="B2838" s="167">
        <v>41933</v>
      </c>
      <c r="C2838" s="28">
        <v>232.93</v>
      </c>
      <c r="D2838" s="83">
        <f t="shared" si="92"/>
        <v>0.43553556021200557</v>
      </c>
      <c r="E2838" s="83">
        <v>-1.8426465546794943E-3</v>
      </c>
      <c r="F2838" s="83">
        <v>2830</v>
      </c>
      <c r="G2838" s="83">
        <f t="shared" ca="1" si="93"/>
        <v>1.9773975222066014E-2</v>
      </c>
    </row>
    <row r="2839" spans="2:7" x14ac:dyDescent="0.2">
      <c r="B2839" s="167">
        <v>41022</v>
      </c>
      <c r="C2839" s="28">
        <v>162.26</v>
      </c>
      <c r="D2839" s="83">
        <f t="shared" si="92"/>
        <v>-0.2484483557202409</v>
      </c>
      <c r="E2839" s="83">
        <v>-1.8454724409449519E-3</v>
      </c>
      <c r="F2839" s="83">
        <v>2831</v>
      </c>
      <c r="G2839" s="83">
        <f t="shared" ca="1" si="93"/>
        <v>-2.8216542944720719E-2</v>
      </c>
    </row>
    <row r="2840" spans="2:7" x14ac:dyDescent="0.2">
      <c r="B2840" s="167">
        <v>44179</v>
      </c>
      <c r="C2840" s="28">
        <v>215.9</v>
      </c>
      <c r="D2840" s="83">
        <f t="shared" si="92"/>
        <v>-6.1630737134909623E-2</v>
      </c>
      <c r="E2840" s="83">
        <v>-1.8492834026814871E-3</v>
      </c>
      <c r="F2840" s="83">
        <v>2832</v>
      </c>
      <c r="G2840" s="83">
        <f t="shared" ca="1" si="93"/>
        <v>-1.0625734471104552E-2</v>
      </c>
    </row>
    <row r="2841" spans="2:7" x14ac:dyDescent="0.2">
      <c r="B2841" s="167">
        <v>41863</v>
      </c>
      <c r="C2841" s="28">
        <v>230.08</v>
      </c>
      <c r="D2841" s="83">
        <f t="shared" si="92"/>
        <v>-0.13144582861457141</v>
      </c>
      <c r="E2841" s="83">
        <v>-1.8654288317208729E-3</v>
      </c>
      <c r="F2841" s="83">
        <v>2833</v>
      </c>
      <c r="G2841" s="83">
        <f t="shared" ca="1" si="93"/>
        <v>1.5705607092907862E-2</v>
      </c>
    </row>
    <row r="2842" spans="2:7" x14ac:dyDescent="0.2">
      <c r="B2842" s="167">
        <v>43045</v>
      </c>
      <c r="C2842" s="28">
        <v>264.89999999999998</v>
      </c>
      <c r="D2842" s="83">
        <f t="shared" si="92"/>
        <v>0.25455837082642657</v>
      </c>
      <c r="E2842" s="83">
        <v>-1.8839487565938209E-3</v>
      </c>
      <c r="F2842" s="83">
        <v>2834</v>
      </c>
      <c r="G2842" s="83">
        <f t="shared" ca="1" si="93"/>
        <v>3.4347607325206905E-2</v>
      </c>
    </row>
    <row r="2843" spans="2:7" x14ac:dyDescent="0.2">
      <c r="B2843" s="167">
        <v>44195</v>
      </c>
      <c r="C2843" s="28">
        <v>211.15</v>
      </c>
      <c r="D2843" s="83">
        <f t="shared" si="92"/>
        <v>-0.51979713902344726</v>
      </c>
      <c r="E2843" s="83">
        <v>-1.8908059560387882E-3</v>
      </c>
      <c r="F2843" s="83">
        <v>2835</v>
      </c>
      <c r="G2843" s="83">
        <f t="shared" ca="1" si="93"/>
        <v>-7.3855509253376419E-3</v>
      </c>
    </row>
    <row r="2844" spans="2:7" x14ac:dyDescent="0.2">
      <c r="B2844" s="167">
        <v>45139</v>
      </c>
      <c r="C2844" s="28">
        <v>439.71</v>
      </c>
      <c r="D2844" s="83">
        <f t="shared" si="92"/>
        <v>6.7277680140597544</v>
      </c>
      <c r="E2844" s="83">
        <v>-1.9293626293808398E-3</v>
      </c>
      <c r="F2844" s="83">
        <v>2836</v>
      </c>
      <c r="G2844" s="83">
        <f t="shared" ca="1" si="93"/>
        <v>-1.9113347731515854E-2</v>
      </c>
    </row>
    <row r="2845" spans="2:7" x14ac:dyDescent="0.2">
      <c r="B2845" s="167">
        <v>39098</v>
      </c>
      <c r="C2845" s="28">
        <v>56.9</v>
      </c>
      <c r="D2845" s="83">
        <f t="shared" si="92"/>
        <v>-0.14794848757112911</v>
      </c>
      <c r="E2845" s="83">
        <v>-1.9294860550780465E-3</v>
      </c>
      <c r="F2845" s="83">
        <v>2837</v>
      </c>
      <c r="G2845" s="83">
        <f t="shared" ca="1" si="93"/>
        <v>9.4628497464903007E-3</v>
      </c>
    </row>
    <row r="2846" spans="2:7" x14ac:dyDescent="0.2">
      <c r="B2846" s="167">
        <v>39504</v>
      </c>
      <c r="C2846" s="28">
        <v>66.78</v>
      </c>
      <c r="D2846" s="83">
        <f t="shared" si="92"/>
        <v>1.2017804154302671</v>
      </c>
      <c r="E2846" s="83">
        <v>-1.9429083843968832E-3</v>
      </c>
      <c r="F2846" s="83">
        <v>2838</v>
      </c>
      <c r="G2846" s="83">
        <f t="shared" ca="1" si="93"/>
        <v>2.1181377809266742E-2</v>
      </c>
    </row>
    <row r="2847" spans="2:7" x14ac:dyDescent="0.2">
      <c r="B2847" s="167">
        <v>38462</v>
      </c>
      <c r="C2847" s="28">
        <v>30.33</v>
      </c>
      <c r="D2847" s="83">
        <f t="shared" si="92"/>
        <v>-0.92471329990567452</v>
      </c>
      <c r="E2847" s="83">
        <v>-1.9743336623890186E-3</v>
      </c>
      <c r="F2847" s="83">
        <v>2839</v>
      </c>
      <c r="G2847" s="83">
        <f t="shared" ca="1" si="93"/>
        <v>2.1177157092525274E-2</v>
      </c>
    </row>
    <row r="2848" spans="2:7" x14ac:dyDescent="0.2">
      <c r="B2848" s="167">
        <v>45384</v>
      </c>
      <c r="C2848" s="28">
        <v>402.86</v>
      </c>
      <c r="D2848" s="83">
        <f t="shared" si="92"/>
        <v>0.48202920943236593</v>
      </c>
      <c r="E2848" s="83">
        <v>-1.9818659267700819E-3</v>
      </c>
      <c r="F2848" s="83">
        <v>2840</v>
      </c>
      <c r="G2848" s="83">
        <f t="shared" ca="1" si="93"/>
        <v>3.3819120843499843E-4</v>
      </c>
    </row>
    <row r="2849" spans="2:7" x14ac:dyDescent="0.2">
      <c r="B2849" s="167">
        <v>44742</v>
      </c>
      <c r="C2849" s="28">
        <v>271.83</v>
      </c>
      <c r="D2849" s="83">
        <f t="shared" si="92"/>
        <v>0.26221210995542332</v>
      </c>
      <c r="E2849" s="83">
        <v>-1.9825972023351339E-3</v>
      </c>
      <c r="F2849" s="83">
        <v>2841</v>
      </c>
      <c r="G2849" s="83">
        <f t="shared" ca="1" si="93"/>
        <v>4.4062446510394281E-2</v>
      </c>
    </row>
    <row r="2850" spans="2:7" x14ac:dyDescent="0.2">
      <c r="B2850" s="167">
        <v>41656</v>
      </c>
      <c r="C2850" s="28">
        <v>215.36</v>
      </c>
      <c r="D2850" s="83">
        <f t="shared" si="92"/>
        <v>0.59360663016131443</v>
      </c>
      <c r="E2850" s="83">
        <v>-1.9926780666387617E-3</v>
      </c>
      <c r="F2850" s="83">
        <v>2842</v>
      </c>
      <c r="G2850" s="83">
        <f t="shared" ca="1" si="93"/>
        <v>-9.2566196214831104E-3</v>
      </c>
    </row>
    <row r="2851" spans="2:7" x14ac:dyDescent="0.2">
      <c r="B2851" s="167">
        <v>40773</v>
      </c>
      <c r="C2851" s="28">
        <v>135.13999999999999</v>
      </c>
      <c r="D2851" s="83">
        <f t="shared" si="92"/>
        <v>0.3657402728650832</v>
      </c>
      <c r="E2851" s="83">
        <v>-1.9939443172587714E-3</v>
      </c>
      <c r="F2851" s="83">
        <v>2843</v>
      </c>
      <c r="G2851" s="83">
        <f t="shared" ca="1" si="93"/>
        <v>-4.6877974573724757E-4</v>
      </c>
    </row>
    <row r="2852" spans="2:7" x14ac:dyDescent="0.2">
      <c r="B2852" s="167">
        <v>40373</v>
      </c>
      <c r="C2852" s="28">
        <v>98.95</v>
      </c>
      <c r="D2852" s="83">
        <f t="shared" si="92"/>
        <v>-0.76468489892984548</v>
      </c>
      <c r="E2852" s="83">
        <v>-2.0171457387796552E-3</v>
      </c>
      <c r="F2852" s="83">
        <v>2844</v>
      </c>
      <c r="G2852" s="83">
        <f t="shared" ca="1" si="93"/>
        <v>-1.4309986021660909E-2</v>
      </c>
    </row>
    <row r="2853" spans="2:7" x14ac:dyDescent="0.2">
      <c r="B2853" s="167">
        <v>45091</v>
      </c>
      <c r="C2853" s="28">
        <v>420.5</v>
      </c>
      <c r="D2853" s="83">
        <f t="shared" si="92"/>
        <v>0.71241244502361945</v>
      </c>
      <c r="E2853" s="83">
        <v>-2.0173252640323311E-3</v>
      </c>
      <c r="F2853" s="83">
        <v>2845</v>
      </c>
      <c r="G2853" s="83">
        <f t="shared" ca="1" si="93"/>
        <v>-1.3287684987585355E-2</v>
      </c>
    </row>
    <row r="2854" spans="2:7" x14ac:dyDescent="0.2">
      <c r="B2854" s="167">
        <v>42047</v>
      </c>
      <c r="C2854" s="28">
        <v>245.56</v>
      </c>
      <c r="D2854" s="83">
        <f t="shared" si="92"/>
        <v>-0.44123603431406017</v>
      </c>
      <c r="E2854" s="83">
        <v>-2.0320247094204667E-3</v>
      </c>
      <c r="F2854" s="83">
        <v>2846</v>
      </c>
      <c r="G2854" s="83">
        <f t="shared" ca="1" si="93"/>
        <v>2.1983194622781796E-2</v>
      </c>
    </row>
    <row r="2855" spans="2:7" x14ac:dyDescent="0.2">
      <c r="B2855" s="167">
        <v>45300</v>
      </c>
      <c r="C2855" s="28">
        <v>439.47</v>
      </c>
      <c r="D2855" s="83">
        <f t="shared" si="92"/>
        <v>11.861281826163301</v>
      </c>
      <c r="E2855" s="83">
        <v>-2.0437359493152966E-3</v>
      </c>
      <c r="F2855" s="83">
        <v>2847</v>
      </c>
      <c r="G2855" s="83">
        <f t="shared" ca="1" si="93"/>
        <v>-2.9951013324570383E-2</v>
      </c>
    </row>
    <row r="2856" spans="2:7" x14ac:dyDescent="0.2">
      <c r="B2856" s="167">
        <v>38520</v>
      </c>
      <c r="C2856" s="28">
        <v>34.17</v>
      </c>
      <c r="D2856" s="83">
        <f t="shared" si="92"/>
        <v>-0.84293265915881399</v>
      </c>
      <c r="E2856" s="83">
        <v>-2.044392523364494E-3</v>
      </c>
      <c r="F2856" s="83">
        <v>2848</v>
      </c>
      <c r="G2856" s="83">
        <f t="shared" ca="1" si="93"/>
        <v>-1.7062313280502998E-2</v>
      </c>
    </row>
    <row r="2857" spans="2:7" x14ac:dyDescent="0.2">
      <c r="B2857" s="167">
        <v>44557</v>
      </c>
      <c r="C2857" s="28">
        <v>217.55</v>
      </c>
      <c r="D2857" s="83">
        <f t="shared" si="92"/>
        <v>4.6718629715165549E-2</v>
      </c>
      <c r="E2857" s="83">
        <v>-2.0642201834861862E-3</v>
      </c>
      <c r="F2857" s="83">
        <v>2849</v>
      </c>
      <c r="G2857" s="83">
        <f t="shared" ca="1" si="93"/>
        <v>-1.7292211102591291E-2</v>
      </c>
    </row>
    <row r="2858" spans="2:7" x14ac:dyDescent="0.2">
      <c r="B2858" s="167">
        <v>41606</v>
      </c>
      <c r="C2858" s="28">
        <v>207.84</v>
      </c>
      <c r="D2858" s="83">
        <f t="shared" si="92"/>
        <v>1.6960695291218055</v>
      </c>
      <c r="E2858" s="83">
        <v>-2.0646276468046613E-3</v>
      </c>
      <c r="F2858" s="83">
        <v>2850</v>
      </c>
      <c r="G2858" s="83">
        <f t="shared" ca="1" si="93"/>
        <v>-3.9665256480640601E-3</v>
      </c>
    </row>
    <row r="2859" spans="2:7" x14ac:dyDescent="0.2">
      <c r="B2859" s="167">
        <v>40087</v>
      </c>
      <c r="C2859" s="28">
        <v>77.09</v>
      </c>
      <c r="D2859" s="83">
        <f t="shared" si="92"/>
        <v>-0.73316026306680504</v>
      </c>
      <c r="E2859" s="83">
        <v>-2.0711974110031923E-3</v>
      </c>
      <c r="F2859" s="83">
        <v>2851</v>
      </c>
      <c r="G2859" s="83">
        <f t="shared" ca="1" si="93"/>
        <v>-3.9628203246362221E-3</v>
      </c>
    </row>
    <row r="2860" spans="2:7" x14ac:dyDescent="0.2">
      <c r="B2860" s="167">
        <v>42937</v>
      </c>
      <c r="C2860" s="28">
        <v>288.89999999999998</v>
      </c>
      <c r="D2860" s="83">
        <f t="shared" si="92"/>
        <v>-7.2849807445443018E-2</v>
      </c>
      <c r="E2860" s="83">
        <v>-2.0725388601037053E-3</v>
      </c>
      <c r="F2860" s="83">
        <v>2852</v>
      </c>
      <c r="G2860" s="83">
        <f t="shared" ca="1" si="93"/>
        <v>-1.3410223860335243E-2</v>
      </c>
    </row>
    <row r="2861" spans="2:7" x14ac:dyDescent="0.2">
      <c r="B2861" s="167">
        <v>42894</v>
      </c>
      <c r="C2861" s="28">
        <v>311.60000000000002</v>
      </c>
      <c r="D2861" s="83">
        <f t="shared" si="92"/>
        <v>0.30158730158730163</v>
      </c>
      <c r="E2861" s="83">
        <v>-2.08166533226574E-3</v>
      </c>
      <c r="F2861" s="83">
        <v>2853</v>
      </c>
      <c r="G2861" s="83">
        <f t="shared" ca="1" si="93"/>
        <v>4.419766081610362E-3</v>
      </c>
    </row>
    <row r="2862" spans="2:7" x14ac:dyDescent="0.2">
      <c r="B2862" s="167">
        <v>43724</v>
      </c>
      <c r="C2862" s="28">
        <v>239.4</v>
      </c>
      <c r="D2862" s="83">
        <f t="shared" si="92"/>
        <v>5.2555526522079949</v>
      </c>
      <c r="E2862" s="83">
        <v>-2.0842017507294707E-3</v>
      </c>
      <c r="F2862" s="83">
        <v>2854</v>
      </c>
      <c r="G2862" s="83">
        <f t="shared" ca="1" si="93"/>
        <v>2.5520982467733388E-2</v>
      </c>
    </row>
    <row r="2863" spans="2:7" x14ac:dyDescent="0.2">
      <c r="B2863" s="167">
        <v>38653</v>
      </c>
      <c r="C2863" s="28">
        <v>38.270000000000003</v>
      </c>
      <c r="D2863" s="83">
        <f t="shared" si="92"/>
        <v>-0.83899873790492208</v>
      </c>
      <c r="E2863" s="83">
        <v>-2.0860495436766176E-3</v>
      </c>
      <c r="F2863" s="83">
        <v>2855</v>
      </c>
      <c r="G2863" s="83">
        <f t="shared" ca="1" si="93"/>
        <v>6.4417295605645863E-3</v>
      </c>
    </row>
    <row r="2864" spans="2:7" x14ac:dyDescent="0.2">
      <c r="B2864" s="167">
        <v>43830</v>
      </c>
      <c r="C2864" s="28">
        <v>237.7</v>
      </c>
      <c r="D2864" s="83">
        <f t="shared" si="92"/>
        <v>0.11178671655753029</v>
      </c>
      <c r="E2864" s="83">
        <v>-2.0990764063811922E-3</v>
      </c>
      <c r="F2864" s="83">
        <v>2856</v>
      </c>
      <c r="G2864" s="83">
        <f t="shared" ca="1" si="93"/>
        <v>-1.5762199583559618E-2</v>
      </c>
    </row>
    <row r="2865" spans="2:7" x14ac:dyDescent="0.2">
      <c r="B2865" s="167">
        <v>44417</v>
      </c>
      <c r="C2865" s="28">
        <v>213.8</v>
      </c>
      <c r="D2865" s="83">
        <f t="shared" si="92"/>
        <v>1.8744142455482927E-3</v>
      </c>
      <c r="E2865" s="83">
        <v>-2.100350058343004E-3</v>
      </c>
      <c r="F2865" s="83">
        <v>2857</v>
      </c>
      <c r="G2865" s="83">
        <f t="shared" ca="1" si="93"/>
        <v>-6.2230963075535122E-3</v>
      </c>
    </row>
    <row r="2866" spans="2:7" x14ac:dyDescent="0.2">
      <c r="B2866" s="167">
        <v>44200</v>
      </c>
      <c r="C2866" s="28">
        <v>213.4</v>
      </c>
      <c r="D2866" s="83">
        <f t="shared" si="92"/>
        <v>-0.18159156279961647</v>
      </c>
      <c r="E2866" s="83">
        <v>-2.1042787000233277E-3</v>
      </c>
      <c r="F2866" s="83">
        <v>2858</v>
      </c>
      <c r="G2866" s="83">
        <f t="shared" ca="1" si="93"/>
        <v>1.0418708628796416E-2</v>
      </c>
    </row>
    <row r="2867" spans="2:7" x14ac:dyDescent="0.2">
      <c r="B2867" s="167">
        <v>43773</v>
      </c>
      <c r="C2867" s="28">
        <v>260.75</v>
      </c>
      <c r="D2867" s="83">
        <f t="shared" si="92"/>
        <v>-7.4205574294336871E-2</v>
      </c>
      <c r="E2867" s="83">
        <v>-2.1048603138155812E-3</v>
      </c>
      <c r="F2867" s="83">
        <v>2859</v>
      </c>
      <c r="G2867" s="83">
        <f t="shared" ca="1" si="93"/>
        <v>-2.2553266841699115E-3</v>
      </c>
    </row>
    <row r="2868" spans="2:7" x14ac:dyDescent="0.2">
      <c r="B2868" s="167">
        <v>43465</v>
      </c>
      <c r="C2868" s="28">
        <v>281.64999999999998</v>
      </c>
      <c r="D2868" s="83">
        <f t="shared" si="92"/>
        <v>1.0234930670306774</v>
      </c>
      <c r="E2868" s="83">
        <v>-2.1257750221435703E-3</v>
      </c>
      <c r="F2868" s="83">
        <v>2860</v>
      </c>
      <c r="G2868" s="83">
        <f t="shared" ca="1" si="93"/>
        <v>2.014944568006354E-3</v>
      </c>
    </row>
    <row r="2869" spans="2:7" x14ac:dyDescent="0.2">
      <c r="B2869" s="167">
        <v>40975</v>
      </c>
      <c r="C2869" s="28">
        <v>139.19</v>
      </c>
      <c r="D2869" s="83">
        <f t="shared" si="92"/>
        <v>-0.38566447455532504</v>
      </c>
      <c r="E2869" s="83">
        <v>-2.1506918058643012E-3</v>
      </c>
      <c r="F2869" s="83">
        <v>2861</v>
      </c>
      <c r="G2869" s="83">
        <f t="shared" ca="1" si="93"/>
        <v>1.7580076577692703E-2</v>
      </c>
    </row>
    <row r="2870" spans="2:7" x14ac:dyDescent="0.2">
      <c r="B2870" s="167">
        <v>41789</v>
      </c>
      <c r="C2870" s="28">
        <v>226.57</v>
      </c>
      <c r="D2870" s="83">
        <f t="shared" si="92"/>
        <v>0.69474156631012041</v>
      </c>
      <c r="E2870" s="83">
        <v>-2.158019906632648E-3</v>
      </c>
      <c r="F2870" s="83">
        <v>2862</v>
      </c>
      <c r="G2870" s="83">
        <f t="shared" ca="1" si="93"/>
        <v>-1.8712695943524493E-2</v>
      </c>
    </row>
    <row r="2871" spans="2:7" x14ac:dyDescent="0.2">
      <c r="B2871" s="167">
        <v>40915</v>
      </c>
      <c r="C2871" s="28">
        <v>133.69</v>
      </c>
      <c r="D2871" s="83">
        <f t="shared" si="92"/>
        <v>-0.51394291946918746</v>
      </c>
      <c r="E2871" s="83">
        <v>-2.1645021645021051E-3</v>
      </c>
      <c r="F2871" s="83">
        <v>2863</v>
      </c>
      <c r="G2871" s="83">
        <f t="shared" ca="1" si="93"/>
        <v>-1.3167898964320194E-2</v>
      </c>
    </row>
    <row r="2872" spans="2:7" x14ac:dyDescent="0.2">
      <c r="B2872" s="167">
        <v>43658</v>
      </c>
      <c r="C2872" s="28">
        <v>275.05</v>
      </c>
      <c r="D2872" s="83">
        <f t="shared" si="92"/>
        <v>-7.421743520700104E-2</v>
      </c>
      <c r="E2872" s="83">
        <v>-2.1766733176127912E-3</v>
      </c>
      <c r="F2872" s="83">
        <v>2864</v>
      </c>
      <c r="G2872" s="83">
        <f t="shared" ca="1" si="93"/>
        <v>-1.7550851245357268E-3</v>
      </c>
    </row>
    <row r="2873" spans="2:7" x14ac:dyDescent="0.2">
      <c r="B2873" s="167">
        <v>43374</v>
      </c>
      <c r="C2873" s="28">
        <v>297.10000000000002</v>
      </c>
      <c r="D2873" s="83">
        <f t="shared" si="92"/>
        <v>0.75778014436161401</v>
      </c>
      <c r="E2873" s="83">
        <v>-2.1830394626363636E-3</v>
      </c>
      <c r="F2873" s="83">
        <v>2865</v>
      </c>
      <c r="G2873" s="83">
        <f t="shared" ca="1" si="93"/>
        <v>7.7372749283110319E-3</v>
      </c>
    </row>
    <row r="2874" spans="2:7" x14ac:dyDescent="0.2">
      <c r="B2874" s="167">
        <v>41108</v>
      </c>
      <c r="C2874" s="28">
        <v>169.02</v>
      </c>
      <c r="D2874" s="83">
        <f t="shared" si="92"/>
        <v>-0.58221277437215735</v>
      </c>
      <c r="E2874" s="83">
        <v>-2.1843084007318976E-3</v>
      </c>
      <c r="F2874" s="83">
        <v>2866</v>
      </c>
      <c r="G2874" s="83">
        <f t="shared" ca="1" si="93"/>
        <v>2.8759886983961355E-2</v>
      </c>
    </row>
    <row r="2875" spans="2:7" x14ac:dyDescent="0.2">
      <c r="B2875" s="167">
        <v>45377</v>
      </c>
      <c r="C2875" s="28">
        <v>404.56</v>
      </c>
      <c r="D2875" s="83">
        <f t="shared" si="92"/>
        <v>1.2544441348565061</v>
      </c>
      <c r="E2875" s="83">
        <v>-2.2197010802544699E-3</v>
      </c>
      <c r="F2875" s="83">
        <v>2867</v>
      </c>
      <c r="G2875" s="83">
        <f t="shared" ca="1" si="93"/>
        <v>6.2304796941104164E-3</v>
      </c>
    </row>
    <row r="2876" spans="2:7" x14ac:dyDescent="0.2">
      <c r="B2876" s="167">
        <v>43949</v>
      </c>
      <c r="C2876" s="28">
        <v>179.45</v>
      </c>
      <c r="D2876" s="83">
        <f t="shared" si="92"/>
        <v>-0.24496150124121682</v>
      </c>
      <c r="E2876" s="83">
        <v>-2.2240756185710631E-3</v>
      </c>
      <c r="F2876" s="83">
        <v>2868</v>
      </c>
      <c r="G2876" s="83">
        <f t="shared" ca="1" si="93"/>
        <v>1.9584355631251434E-2</v>
      </c>
    </row>
    <row r="2877" spans="2:7" x14ac:dyDescent="0.2">
      <c r="B2877" s="167">
        <v>42520</v>
      </c>
      <c r="C2877" s="28">
        <v>237.67</v>
      </c>
      <c r="D2877" s="83">
        <f t="shared" si="92"/>
        <v>0.96389026607172368</v>
      </c>
      <c r="E2877" s="83">
        <v>-2.2250209907640687E-3</v>
      </c>
      <c r="F2877" s="83">
        <v>2869</v>
      </c>
      <c r="G2877" s="83">
        <f t="shared" ca="1" si="93"/>
        <v>-2.2184562308387938E-2</v>
      </c>
    </row>
    <row r="2878" spans="2:7" x14ac:dyDescent="0.2">
      <c r="B2878" s="167">
        <v>40640</v>
      </c>
      <c r="C2878" s="28">
        <v>121.02</v>
      </c>
      <c r="D2878" s="83">
        <f t="shared" si="92"/>
        <v>0.8019654556283502</v>
      </c>
      <c r="E2878" s="83">
        <v>-2.2260697501855901E-3</v>
      </c>
      <c r="F2878" s="83">
        <v>2870</v>
      </c>
      <c r="G2878" s="83">
        <f t="shared" ca="1" si="93"/>
        <v>4.2271897296839852E-3</v>
      </c>
    </row>
    <row r="2879" spans="2:7" x14ac:dyDescent="0.2">
      <c r="B2879" s="167">
        <v>39968</v>
      </c>
      <c r="C2879" s="28">
        <v>67.16</v>
      </c>
      <c r="D2879" s="83">
        <f t="shared" si="92"/>
        <v>-0.67310781211973714</v>
      </c>
      <c r="E2879" s="83">
        <v>-2.2284950230278661E-3</v>
      </c>
      <c r="F2879" s="83">
        <v>2871</v>
      </c>
      <c r="G2879" s="83">
        <f t="shared" ca="1" si="93"/>
        <v>-1.2689261250262545E-2</v>
      </c>
    </row>
    <row r="2880" spans="2:7" x14ac:dyDescent="0.2">
      <c r="B2880" s="167">
        <v>42195</v>
      </c>
      <c r="C2880" s="28">
        <v>205.45</v>
      </c>
      <c r="D2880" s="83">
        <f t="shared" si="92"/>
        <v>-0.23124415341440602</v>
      </c>
      <c r="E2880" s="83">
        <v>-2.2339857219173813E-3</v>
      </c>
      <c r="F2880" s="83">
        <v>2872</v>
      </c>
      <c r="G2880" s="83">
        <f t="shared" ca="1" si="93"/>
        <v>3.5474703294364071E-2</v>
      </c>
    </row>
    <row r="2881" spans="2:7" x14ac:dyDescent="0.2">
      <c r="B2881" s="167">
        <v>43265</v>
      </c>
      <c r="C2881" s="28">
        <v>267.25</v>
      </c>
      <c r="D2881" s="83">
        <f t="shared" si="92"/>
        <v>0.13491591642602349</v>
      </c>
      <c r="E2881" s="83">
        <v>-2.2400597349263494E-3</v>
      </c>
      <c r="F2881" s="83">
        <v>2873</v>
      </c>
      <c r="G2881" s="83">
        <f t="shared" ca="1" si="93"/>
        <v>1.6156148709722561E-3</v>
      </c>
    </row>
    <row r="2882" spans="2:7" x14ac:dyDescent="0.2">
      <c r="B2882" s="167">
        <v>42305</v>
      </c>
      <c r="C2882" s="28">
        <v>235.48</v>
      </c>
      <c r="D2882" s="83">
        <f t="shared" si="92"/>
        <v>9.474000085737469E-3</v>
      </c>
      <c r="E2882" s="83">
        <v>-2.2456675564594768E-3</v>
      </c>
      <c r="F2882" s="83">
        <v>2874</v>
      </c>
      <c r="G2882" s="83">
        <f t="shared" ca="1" si="93"/>
        <v>-2.5042373345037561E-2</v>
      </c>
    </row>
    <row r="2883" spans="2:7" x14ac:dyDescent="0.2">
      <c r="B2883" s="167">
        <v>42534</v>
      </c>
      <c r="C2883" s="28">
        <v>233.27</v>
      </c>
      <c r="D2883" s="83">
        <f t="shared" si="92"/>
        <v>-0.11077650287805427</v>
      </c>
      <c r="E2883" s="83">
        <v>-2.2668947818648465E-3</v>
      </c>
      <c r="F2883" s="83">
        <v>2875</v>
      </c>
      <c r="G2883" s="83">
        <f t="shared" ca="1" si="93"/>
        <v>2.9335708279679993E-2</v>
      </c>
    </row>
    <row r="2884" spans="2:7" x14ac:dyDescent="0.2">
      <c r="B2884" s="167">
        <v>41985</v>
      </c>
      <c r="C2884" s="28">
        <v>262.33</v>
      </c>
      <c r="D2884" s="83">
        <f t="shared" si="92"/>
        <v>-7.5814690857847589E-2</v>
      </c>
      <c r="E2884" s="83">
        <v>-2.2819761913818229E-3</v>
      </c>
      <c r="F2884" s="83">
        <v>2876</v>
      </c>
      <c r="G2884" s="83">
        <f t="shared" ca="1" si="93"/>
        <v>8.8646074518552893E-3</v>
      </c>
    </row>
    <row r="2885" spans="2:7" x14ac:dyDescent="0.2">
      <c r="B2885" s="167">
        <v>43424</v>
      </c>
      <c r="C2885" s="28">
        <v>283.85000000000002</v>
      </c>
      <c r="D2885" s="83">
        <f t="shared" si="92"/>
        <v>0.30355912743972457</v>
      </c>
      <c r="E2885" s="83">
        <v>-2.2847100175746125E-3</v>
      </c>
      <c r="F2885" s="83">
        <v>2877</v>
      </c>
      <c r="G2885" s="83">
        <f t="shared" ca="1" si="93"/>
        <v>1.7412856274149308E-2</v>
      </c>
    </row>
    <row r="2886" spans="2:7" x14ac:dyDescent="0.2">
      <c r="B2886" s="167">
        <v>44244</v>
      </c>
      <c r="C2886" s="28">
        <v>217.75</v>
      </c>
      <c r="D2886" s="83">
        <f t="shared" si="92"/>
        <v>-0.51739804964539005</v>
      </c>
      <c r="E2886" s="83">
        <v>-2.2909507445589921E-3</v>
      </c>
      <c r="F2886" s="83">
        <v>2878</v>
      </c>
      <c r="G2886" s="83">
        <f t="shared" ca="1" si="93"/>
        <v>2.416727951026696E-2</v>
      </c>
    </row>
    <row r="2887" spans="2:7" x14ac:dyDescent="0.2">
      <c r="B2887" s="167">
        <v>45607</v>
      </c>
      <c r="C2887" s="28">
        <v>451.2</v>
      </c>
      <c r="D2887" s="83">
        <f t="shared" si="92"/>
        <v>1.3144395998974097</v>
      </c>
      <c r="E2887" s="83">
        <v>-2.2996638952768895E-3</v>
      </c>
      <c r="F2887" s="83">
        <v>2879</v>
      </c>
      <c r="G2887" s="83">
        <f t="shared" ca="1" si="93"/>
        <v>1.104157413792984E-2</v>
      </c>
    </row>
    <row r="2888" spans="2:7" x14ac:dyDescent="0.2">
      <c r="B2888" s="167">
        <v>44069</v>
      </c>
      <c r="C2888" s="28">
        <v>194.95</v>
      </c>
      <c r="D2888" s="83">
        <f t="shared" si="92"/>
        <v>-0.30560997328584155</v>
      </c>
      <c r="E2888" s="83">
        <v>-2.3029682702150308E-3</v>
      </c>
      <c r="F2888" s="83">
        <v>2880</v>
      </c>
      <c r="G2888" s="83">
        <f t="shared" ca="1" si="93"/>
        <v>6.7651421852500471E-3</v>
      </c>
    </row>
    <row r="2889" spans="2:7" x14ac:dyDescent="0.2">
      <c r="B2889" s="167">
        <v>42951</v>
      </c>
      <c r="C2889" s="28">
        <v>280.75</v>
      </c>
      <c r="D2889" s="83">
        <f t="shared" ref="D2889:D2952" si="94">(C2889-C2890)/C2890</f>
        <v>-6.9100434364534558E-2</v>
      </c>
      <c r="E2889" s="83">
        <v>-2.3098791755507366E-3</v>
      </c>
      <c r="F2889" s="83">
        <v>2881</v>
      </c>
      <c r="G2889" s="83">
        <f t="shared" ref="G2889:G2952" ca="1" si="95">_xlfn.NORM.INV(RAND(),$M$10,$M$11)</f>
        <v>3.1289964619964868E-3</v>
      </c>
    </row>
    <row r="2890" spans="2:7" x14ac:dyDescent="0.2">
      <c r="B2890" s="167">
        <v>44770</v>
      </c>
      <c r="C2890" s="28">
        <v>301.58999999999997</v>
      </c>
      <c r="D2890" s="83">
        <f t="shared" si="94"/>
        <v>1.6273663234804125E-3</v>
      </c>
      <c r="E2890" s="83">
        <v>-2.3156571504186225E-3</v>
      </c>
      <c r="F2890" s="83">
        <v>2882</v>
      </c>
      <c r="G2890" s="83">
        <f t="shared" ca="1" si="95"/>
        <v>-1.1403881671859304E-2</v>
      </c>
    </row>
    <row r="2891" spans="2:7" x14ac:dyDescent="0.2">
      <c r="B2891" s="167">
        <v>43319</v>
      </c>
      <c r="C2891" s="28">
        <v>301.10000000000002</v>
      </c>
      <c r="D2891" s="83">
        <f t="shared" si="94"/>
        <v>3.6980808238414729</v>
      </c>
      <c r="E2891" s="83">
        <v>-2.3194168323392599E-3</v>
      </c>
      <c r="F2891" s="83">
        <v>2883</v>
      </c>
      <c r="G2891" s="83">
        <f t="shared" ca="1" si="95"/>
        <v>1.1234333543326465E-2</v>
      </c>
    </row>
    <row r="2892" spans="2:7" x14ac:dyDescent="0.2">
      <c r="B2892" s="167">
        <v>39982</v>
      </c>
      <c r="C2892" s="28">
        <v>64.09</v>
      </c>
      <c r="D2892" s="83">
        <f t="shared" si="94"/>
        <v>-0.66663198959687908</v>
      </c>
      <c r="E2892" s="83">
        <v>-2.3349937733498053E-3</v>
      </c>
      <c r="F2892" s="83">
        <v>2884</v>
      </c>
      <c r="G2892" s="83">
        <f t="shared" ca="1" si="95"/>
        <v>2.2023165376896209E-2</v>
      </c>
    </row>
    <row r="2893" spans="2:7" x14ac:dyDescent="0.2">
      <c r="B2893" s="167">
        <v>44033</v>
      </c>
      <c r="C2893" s="28">
        <v>192.25</v>
      </c>
      <c r="D2893" s="83">
        <f t="shared" si="94"/>
        <v>-0.35529845741113342</v>
      </c>
      <c r="E2893" s="83">
        <v>-2.3352361183185712E-3</v>
      </c>
      <c r="F2893" s="83">
        <v>2885</v>
      </c>
      <c r="G2893" s="83">
        <f t="shared" ca="1" si="95"/>
        <v>1.8285983701865505E-3</v>
      </c>
    </row>
    <row r="2894" spans="2:7" x14ac:dyDescent="0.2">
      <c r="B2894" s="167">
        <v>43546</v>
      </c>
      <c r="C2894" s="28">
        <v>298.2</v>
      </c>
      <c r="D2894" s="83">
        <f t="shared" si="94"/>
        <v>2.5024665257223395</v>
      </c>
      <c r="E2894" s="83">
        <v>-2.3419203747072222E-3</v>
      </c>
      <c r="F2894" s="83">
        <v>2886</v>
      </c>
      <c r="G2894" s="83">
        <f t="shared" ca="1" si="95"/>
        <v>-3.1690815901985786E-3</v>
      </c>
    </row>
    <row r="2895" spans="2:7" x14ac:dyDescent="0.2">
      <c r="B2895" s="167">
        <v>40128</v>
      </c>
      <c r="C2895" s="28">
        <v>85.14</v>
      </c>
      <c r="D2895" s="83">
        <f t="shared" si="94"/>
        <v>-0.7092213114754099</v>
      </c>
      <c r="E2895" s="83">
        <v>-2.3435669088352805E-3</v>
      </c>
      <c r="F2895" s="83">
        <v>2887</v>
      </c>
      <c r="G2895" s="83">
        <f t="shared" ca="1" si="95"/>
        <v>1.3522116835955368E-2</v>
      </c>
    </row>
    <row r="2896" spans="2:7" x14ac:dyDescent="0.2">
      <c r="B2896" s="167">
        <v>44761</v>
      </c>
      <c r="C2896" s="28">
        <v>292.8</v>
      </c>
      <c r="D2896" s="83">
        <f t="shared" si="94"/>
        <v>4.3081943437273393</v>
      </c>
      <c r="E2896" s="83">
        <v>-2.351017070428286E-3</v>
      </c>
      <c r="F2896" s="83">
        <v>2888</v>
      </c>
      <c r="G2896" s="83">
        <f t="shared" ca="1" si="95"/>
        <v>1.8094846910104788E-2</v>
      </c>
    </row>
    <row r="2897" spans="2:7" x14ac:dyDescent="0.2">
      <c r="B2897" s="167">
        <v>39230</v>
      </c>
      <c r="C2897" s="28">
        <v>55.16</v>
      </c>
      <c r="D2897" s="83">
        <f t="shared" si="94"/>
        <v>-0.73981132075471701</v>
      </c>
      <c r="E2897" s="83">
        <v>-2.3512389220474326E-3</v>
      </c>
      <c r="F2897" s="83">
        <v>2889</v>
      </c>
      <c r="G2897" s="83">
        <f t="shared" ca="1" si="95"/>
        <v>-7.7290022294790517E-3</v>
      </c>
    </row>
    <row r="2898" spans="2:7" x14ac:dyDescent="0.2">
      <c r="B2898" s="167">
        <v>44552</v>
      </c>
      <c r="C2898" s="28">
        <v>212</v>
      </c>
      <c r="D2898" s="83">
        <f t="shared" si="94"/>
        <v>0.25073746312684364</v>
      </c>
      <c r="E2898" s="83">
        <v>-2.352941176470588E-3</v>
      </c>
      <c r="F2898" s="83">
        <v>2890</v>
      </c>
      <c r="G2898" s="83">
        <f t="shared" ca="1" si="95"/>
        <v>-6.2274628849637763E-3</v>
      </c>
    </row>
    <row r="2899" spans="2:7" x14ac:dyDescent="0.2">
      <c r="B2899" s="167">
        <v>44111</v>
      </c>
      <c r="C2899" s="28">
        <v>169.5</v>
      </c>
      <c r="D2899" s="83">
        <f t="shared" si="94"/>
        <v>-0.61509639621227608</v>
      </c>
      <c r="E2899" s="83">
        <v>-2.3543260741613046E-3</v>
      </c>
      <c r="F2899" s="83">
        <v>2891</v>
      </c>
      <c r="G2899" s="83">
        <f t="shared" ca="1" si="95"/>
        <v>-7.0330270156461648E-3</v>
      </c>
    </row>
    <row r="2900" spans="2:7" x14ac:dyDescent="0.2">
      <c r="B2900" s="167">
        <v>45309</v>
      </c>
      <c r="C2900" s="28">
        <v>440.37</v>
      </c>
      <c r="D2900" s="83">
        <f t="shared" si="94"/>
        <v>5.1027470822692655E-2</v>
      </c>
      <c r="E2900" s="83">
        <v>-2.3560861783829554E-3</v>
      </c>
      <c r="F2900" s="83">
        <v>2892</v>
      </c>
      <c r="G2900" s="83">
        <f t="shared" ca="1" si="95"/>
        <v>1.1386699358626043E-3</v>
      </c>
    </row>
    <row r="2901" spans="2:7" x14ac:dyDescent="0.2">
      <c r="B2901" s="167">
        <v>45085</v>
      </c>
      <c r="C2901" s="28">
        <v>418.99</v>
      </c>
      <c r="D2901" s="83">
        <f t="shared" si="94"/>
        <v>0.98338461538461541</v>
      </c>
      <c r="E2901" s="83">
        <v>-2.3572551073860874E-3</v>
      </c>
      <c r="F2901" s="83">
        <v>2893</v>
      </c>
      <c r="G2901" s="83">
        <f t="shared" ca="1" si="95"/>
        <v>9.0644271557584425E-3</v>
      </c>
    </row>
    <row r="2902" spans="2:7" x14ac:dyDescent="0.2">
      <c r="B2902" s="167">
        <v>44447</v>
      </c>
      <c r="C2902" s="28">
        <v>211.25</v>
      </c>
      <c r="D2902" s="83">
        <f t="shared" si="94"/>
        <v>0.85746944517717394</v>
      </c>
      <c r="E2902" s="83">
        <v>-2.3612750885478157E-3</v>
      </c>
      <c r="F2902" s="83">
        <v>2894</v>
      </c>
      <c r="G2902" s="83">
        <f t="shared" ca="1" si="95"/>
        <v>6.6152207840084959E-3</v>
      </c>
    </row>
    <row r="2903" spans="2:7" x14ac:dyDescent="0.2">
      <c r="B2903" s="167">
        <v>40469</v>
      </c>
      <c r="C2903" s="28">
        <v>113.73</v>
      </c>
      <c r="D2903" s="83">
        <f t="shared" si="94"/>
        <v>0.92926208651399489</v>
      </c>
      <c r="E2903" s="83">
        <v>-2.368421052631544E-3</v>
      </c>
      <c r="F2903" s="83">
        <v>2895</v>
      </c>
      <c r="G2903" s="83">
        <f t="shared" ca="1" si="95"/>
        <v>-2.7737097242914325E-3</v>
      </c>
    </row>
    <row r="2904" spans="2:7" x14ac:dyDescent="0.2">
      <c r="B2904" s="167">
        <v>39107</v>
      </c>
      <c r="C2904" s="28">
        <v>58.95</v>
      </c>
      <c r="D2904" s="83">
        <f t="shared" si="94"/>
        <v>-0.53236554021894333</v>
      </c>
      <c r="E2904" s="83">
        <v>-2.3692672194956942E-3</v>
      </c>
      <c r="F2904" s="83">
        <v>2896</v>
      </c>
      <c r="G2904" s="83">
        <f t="shared" ca="1" si="95"/>
        <v>1.2684448410511608E-2</v>
      </c>
    </row>
    <row r="2905" spans="2:7" x14ac:dyDescent="0.2">
      <c r="B2905" s="167">
        <v>40654</v>
      </c>
      <c r="C2905" s="28">
        <v>126.06</v>
      </c>
      <c r="D2905" s="83">
        <f t="shared" si="94"/>
        <v>-0.49996033320111066</v>
      </c>
      <c r="E2905" s="83">
        <v>-2.3741690408356849E-3</v>
      </c>
      <c r="F2905" s="83">
        <v>2897</v>
      </c>
      <c r="G2905" s="83">
        <f t="shared" ca="1" si="95"/>
        <v>1.0352613767187711E-2</v>
      </c>
    </row>
    <row r="2906" spans="2:7" x14ac:dyDescent="0.2">
      <c r="B2906" s="167">
        <v>42586</v>
      </c>
      <c r="C2906" s="28">
        <v>252.1</v>
      </c>
      <c r="D2906" s="83">
        <f t="shared" si="94"/>
        <v>-0.46856950124372865</v>
      </c>
      <c r="E2906" s="83">
        <v>-2.3743569449940416E-3</v>
      </c>
      <c r="F2906" s="83">
        <v>2898</v>
      </c>
      <c r="G2906" s="83">
        <f t="shared" ca="1" si="95"/>
        <v>-4.7853731283943116E-2</v>
      </c>
    </row>
    <row r="2907" spans="2:7" x14ac:dyDescent="0.2">
      <c r="B2907" s="167">
        <v>45523</v>
      </c>
      <c r="C2907" s="28">
        <v>474.38</v>
      </c>
      <c r="D2907" s="83">
        <f t="shared" si="94"/>
        <v>6.6144462279293741</v>
      </c>
      <c r="E2907" s="83">
        <v>-2.3763958696977885E-3</v>
      </c>
      <c r="F2907" s="83">
        <v>2899</v>
      </c>
      <c r="G2907" s="83">
        <f t="shared" ca="1" si="95"/>
        <v>4.697439825393078E-3</v>
      </c>
    </row>
    <row r="2908" spans="2:7" x14ac:dyDescent="0.2">
      <c r="B2908" s="167">
        <v>39944</v>
      </c>
      <c r="C2908" s="28">
        <v>62.3</v>
      </c>
      <c r="D2908" s="83">
        <f t="shared" si="94"/>
        <v>-0.7687882724067544</v>
      </c>
      <c r="E2908" s="83">
        <v>-2.4019215372298747E-3</v>
      </c>
      <c r="F2908" s="83">
        <v>2900</v>
      </c>
      <c r="G2908" s="83">
        <f t="shared" ca="1" si="95"/>
        <v>4.7290875199915618E-3</v>
      </c>
    </row>
    <row r="2909" spans="2:7" x14ac:dyDescent="0.2">
      <c r="B2909" s="167">
        <v>43172</v>
      </c>
      <c r="C2909" s="28">
        <v>269.45</v>
      </c>
      <c r="D2909" s="83">
        <f t="shared" si="94"/>
        <v>-0.3739399149608495</v>
      </c>
      <c r="E2909" s="83">
        <v>-2.4065161051463682E-3</v>
      </c>
      <c r="F2909" s="83">
        <v>2901</v>
      </c>
      <c r="G2909" s="83">
        <f t="shared" ca="1" si="95"/>
        <v>9.3072195174201417E-3</v>
      </c>
    </row>
    <row r="2910" spans="2:7" x14ac:dyDescent="0.2">
      <c r="B2910" s="167">
        <v>45142</v>
      </c>
      <c r="C2910" s="28">
        <v>430.39</v>
      </c>
      <c r="D2910" s="83">
        <f t="shared" si="94"/>
        <v>0.85721066712695249</v>
      </c>
      <c r="E2910" s="83">
        <v>-2.4105880444104965E-3</v>
      </c>
      <c r="F2910" s="83">
        <v>2902</v>
      </c>
      <c r="G2910" s="83">
        <f t="shared" ca="1" si="95"/>
        <v>1.2117426665538788E-2</v>
      </c>
    </row>
    <row r="2911" spans="2:7" x14ac:dyDescent="0.2">
      <c r="B2911" s="167">
        <v>41939</v>
      </c>
      <c r="C2911" s="28">
        <v>231.74</v>
      </c>
      <c r="D2911" s="83">
        <f t="shared" si="94"/>
        <v>1.6790751445086707</v>
      </c>
      <c r="E2911" s="83">
        <v>-2.4106758501937246E-3</v>
      </c>
      <c r="F2911" s="83">
        <v>2903</v>
      </c>
      <c r="G2911" s="83">
        <f t="shared" ca="1" si="95"/>
        <v>-2.0574080195965717E-2</v>
      </c>
    </row>
    <row r="2912" spans="2:7" x14ac:dyDescent="0.2">
      <c r="B2912" s="167">
        <v>40260</v>
      </c>
      <c r="C2912" s="28">
        <v>86.5</v>
      </c>
      <c r="D2912" s="83">
        <f t="shared" si="94"/>
        <v>-0.62474513036310786</v>
      </c>
      <c r="E2912" s="83">
        <v>-2.4218659900818104E-3</v>
      </c>
      <c r="F2912" s="83">
        <v>2904</v>
      </c>
      <c r="G2912" s="83">
        <f t="shared" ca="1" si="95"/>
        <v>3.2552031777948291E-2</v>
      </c>
    </row>
    <row r="2913" spans="2:7" x14ac:dyDescent="0.2">
      <c r="B2913" s="167">
        <v>41862</v>
      </c>
      <c r="C2913" s="28">
        <v>230.51</v>
      </c>
      <c r="D2913" s="83">
        <f t="shared" si="94"/>
        <v>2.4716603689708835E-2</v>
      </c>
      <c r="E2913" s="83">
        <v>-2.4235080278703523E-3</v>
      </c>
      <c r="F2913" s="83">
        <v>2905</v>
      </c>
      <c r="G2913" s="83">
        <f t="shared" ca="1" si="95"/>
        <v>1.5976101049493482E-2</v>
      </c>
    </row>
    <row r="2914" spans="2:7" x14ac:dyDescent="0.2">
      <c r="B2914" s="167">
        <v>44627</v>
      </c>
      <c r="C2914" s="28">
        <v>224.95</v>
      </c>
      <c r="D2914" s="83">
        <f t="shared" si="94"/>
        <v>2.6750530958993624</v>
      </c>
      <c r="E2914" s="83">
        <v>-2.4390243902439527E-3</v>
      </c>
      <c r="F2914" s="83">
        <v>2906</v>
      </c>
      <c r="G2914" s="83">
        <f t="shared" ca="1" si="95"/>
        <v>1.3682456038240967E-2</v>
      </c>
    </row>
    <row r="2915" spans="2:7" x14ac:dyDescent="0.2">
      <c r="B2915" s="167">
        <v>39409</v>
      </c>
      <c r="C2915" s="28">
        <v>61.21</v>
      </c>
      <c r="D2915" s="83">
        <f t="shared" si="94"/>
        <v>-0.79881676253081346</v>
      </c>
      <c r="E2915" s="83">
        <v>-2.4445893089960653E-3</v>
      </c>
      <c r="F2915" s="83">
        <v>2907</v>
      </c>
      <c r="G2915" s="83">
        <f t="shared" ca="1" si="95"/>
        <v>7.1944778197841419E-3</v>
      </c>
    </row>
    <row r="2916" spans="2:7" x14ac:dyDescent="0.2">
      <c r="B2916" s="167">
        <v>43588</v>
      </c>
      <c r="C2916" s="28">
        <v>304.25</v>
      </c>
      <c r="D2916" s="83">
        <f t="shared" si="94"/>
        <v>4.0016439256945588</v>
      </c>
      <c r="E2916" s="83">
        <v>-2.4590163934426232E-3</v>
      </c>
      <c r="F2916" s="83">
        <v>2908</v>
      </c>
      <c r="G2916" s="83">
        <f t="shared" ca="1" si="95"/>
        <v>5.3491308551234393E-2</v>
      </c>
    </row>
    <row r="2917" spans="2:7" x14ac:dyDescent="0.2">
      <c r="B2917" s="167">
        <v>39688</v>
      </c>
      <c r="C2917" s="28">
        <v>60.83</v>
      </c>
      <c r="D2917" s="83">
        <f t="shared" si="94"/>
        <v>1.0297292808503528E-2</v>
      </c>
      <c r="E2917" s="83">
        <v>-2.4598228927516985E-3</v>
      </c>
      <c r="F2917" s="83">
        <v>2909</v>
      </c>
      <c r="G2917" s="83">
        <f t="shared" ca="1" si="95"/>
        <v>-1.8096433506761316E-2</v>
      </c>
    </row>
    <row r="2918" spans="2:7" x14ac:dyDescent="0.2">
      <c r="B2918" s="167">
        <v>38972</v>
      </c>
      <c r="C2918" s="28">
        <v>60.21</v>
      </c>
      <c r="D2918" s="83">
        <f t="shared" si="94"/>
        <v>-0.73582836082836078</v>
      </c>
      <c r="E2918" s="83">
        <v>-2.4850894632206526E-3</v>
      </c>
      <c r="F2918" s="83">
        <v>2910</v>
      </c>
      <c r="G2918" s="83">
        <f t="shared" ca="1" si="95"/>
        <v>-1.7364160661660664E-2</v>
      </c>
    </row>
    <row r="2919" spans="2:7" x14ac:dyDescent="0.2">
      <c r="B2919" s="167">
        <v>41786</v>
      </c>
      <c r="C2919" s="28">
        <v>227.92</v>
      </c>
      <c r="D2919" s="83">
        <f t="shared" si="94"/>
        <v>-0.49161313347608854</v>
      </c>
      <c r="E2919" s="83">
        <v>-2.4946387150423283E-3</v>
      </c>
      <c r="F2919" s="83">
        <v>2911</v>
      </c>
      <c r="G2919" s="83">
        <f t="shared" ca="1" si="95"/>
        <v>1.3886813117993595E-2</v>
      </c>
    </row>
    <row r="2920" spans="2:7" x14ac:dyDescent="0.2">
      <c r="B2920" s="167">
        <v>45113</v>
      </c>
      <c r="C2920" s="28">
        <v>448.32</v>
      </c>
      <c r="D2920" s="83">
        <f t="shared" si="94"/>
        <v>0.92139887712681601</v>
      </c>
      <c r="E2920" s="83">
        <v>-2.5141840026699199E-3</v>
      </c>
      <c r="F2920" s="83">
        <v>2912</v>
      </c>
      <c r="G2920" s="83">
        <f t="shared" ca="1" si="95"/>
        <v>-1.3365855358380868E-2</v>
      </c>
    </row>
    <row r="2921" spans="2:7" x14ac:dyDescent="0.2">
      <c r="B2921" s="167">
        <v>41730</v>
      </c>
      <c r="C2921" s="28">
        <v>233.33</v>
      </c>
      <c r="D2921" s="83">
        <f t="shared" si="94"/>
        <v>0.7359571460456813</v>
      </c>
      <c r="E2921" s="83">
        <v>-2.522229822161316E-3</v>
      </c>
      <c r="F2921" s="83">
        <v>2913</v>
      </c>
      <c r="G2921" s="83">
        <f t="shared" ca="1" si="95"/>
        <v>-2.7205746940928411E-2</v>
      </c>
    </row>
    <row r="2922" spans="2:7" x14ac:dyDescent="0.2">
      <c r="B2922" s="167">
        <v>40791</v>
      </c>
      <c r="C2922" s="28">
        <v>134.41</v>
      </c>
      <c r="D2922" s="83">
        <f t="shared" si="94"/>
        <v>0.62252535007242871</v>
      </c>
      <c r="E2922" s="83">
        <v>-2.5231910946196916E-3</v>
      </c>
      <c r="F2922" s="83">
        <v>2914</v>
      </c>
      <c r="G2922" s="83">
        <f t="shared" ca="1" si="95"/>
        <v>-1.4013944156554471E-2</v>
      </c>
    </row>
    <row r="2923" spans="2:7" x14ac:dyDescent="0.2">
      <c r="B2923" s="167">
        <v>40197</v>
      </c>
      <c r="C2923" s="28">
        <v>82.84</v>
      </c>
      <c r="D2923" s="83">
        <f t="shared" si="94"/>
        <v>0.61544461778471138</v>
      </c>
      <c r="E2923" s="83">
        <v>-2.5285972305839105E-3</v>
      </c>
      <c r="F2923" s="83">
        <v>2915</v>
      </c>
      <c r="G2923" s="83">
        <f t="shared" ca="1" si="95"/>
        <v>-2.0968826327124417E-2</v>
      </c>
    </row>
    <row r="2924" spans="2:7" x14ac:dyDescent="0.2">
      <c r="B2924" s="167">
        <v>39262</v>
      </c>
      <c r="C2924" s="28">
        <v>51.28</v>
      </c>
      <c r="D2924" s="83">
        <f t="shared" si="94"/>
        <v>-0.81386569872958259</v>
      </c>
      <c r="E2924" s="83">
        <v>-2.5286909161640822E-3</v>
      </c>
      <c r="F2924" s="83">
        <v>2916</v>
      </c>
      <c r="G2924" s="83">
        <f t="shared" ca="1" si="95"/>
        <v>1.6889846114585761E-2</v>
      </c>
    </row>
    <row r="2925" spans="2:7" x14ac:dyDescent="0.2">
      <c r="B2925" s="167">
        <v>43213</v>
      </c>
      <c r="C2925" s="28">
        <v>275.5</v>
      </c>
      <c r="D2925" s="83">
        <f t="shared" si="94"/>
        <v>-0.16558136717448591</v>
      </c>
      <c r="E2925" s="83">
        <v>-2.5343953656770044E-3</v>
      </c>
      <c r="F2925" s="83">
        <v>2917</v>
      </c>
      <c r="G2925" s="83">
        <f t="shared" ca="1" si="95"/>
        <v>1.943389357476296E-2</v>
      </c>
    </row>
    <row r="2926" spans="2:7" x14ac:dyDescent="0.2">
      <c r="B2926" s="167">
        <v>44834</v>
      </c>
      <c r="C2926" s="28">
        <v>330.17</v>
      </c>
      <c r="D2926" s="83">
        <f t="shared" si="94"/>
        <v>5.4675808031341822</v>
      </c>
      <c r="E2926" s="83">
        <v>-2.5376876831514909E-3</v>
      </c>
      <c r="F2926" s="83">
        <v>2918</v>
      </c>
      <c r="G2926" s="83">
        <f t="shared" ca="1" si="95"/>
        <v>5.8155879123928892E-3</v>
      </c>
    </row>
    <row r="2927" spans="2:7" x14ac:dyDescent="0.2">
      <c r="B2927" s="167">
        <v>39255</v>
      </c>
      <c r="C2927" s="28">
        <v>51.05</v>
      </c>
      <c r="D2927" s="83">
        <f t="shared" si="94"/>
        <v>0.182808155699722</v>
      </c>
      <c r="E2927" s="83">
        <v>-2.5400547088707025E-3</v>
      </c>
      <c r="F2927" s="83">
        <v>2919</v>
      </c>
      <c r="G2927" s="83">
        <f t="shared" ca="1" si="95"/>
        <v>1.3481259280403035E-2</v>
      </c>
    </row>
    <row r="2928" spans="2:7" x14ac:dyDescent="0.2">
      <c r="B2928" s="167">
        <v>38673</v>
      </c>
      <c r="C2928" s="28">
        <v>43.16</v>
      </c>
      <c r="D2928" s="83">
        <f t="shared" si="94"/>
        <v>-0.8989416502762948</v>
      </c>
      <c r="E2928" s="83">
        <v>-2.5421770279640981E-3</v>
      </c>
      <c r="F2928" s="83">
        <v>2920</v>
      </c>
      <c r="G2928" s="83">
        <f t="shared" ca="1" si="95"/>
        <v>-1.0879491333528559E-2</v>
      </c>
    </row>
    <row r="2929" spans="2:7" x14ac:dyDescent="0.2">
      <c r="B2929" s="167">
        <v>45483</v>
      </c>
      <c r="C2929" s="28">
        <v>427.08</v>
      </c>
      <c r="D2929" s="83">
        <f t="shared" si="94"/>
        <v>0.98365071992568487</v>
      </c>
      <c r="E2929" s="83">
        <v>-2.5457178223603515E-3</v>
      </c>
      <c r="F2929" s="83">
        <v>2921</v>
      </c>
      <c r="G2929" s="83">
        <f t="shared" ca="1" si="95"/>
        <v>3.5942531470958862E-2</v>
      </c>
    </row>
    <row r="2930" spans="2:7" x14ac:dyDescent="0.2">
      <c r="B2930" s="167">
        <v>44622</v>
      </c>
      <c r="C2930" s="28">
        <v>215.3</v>
      </c>
      <c r="D2930" s="83">
        <f t="shared" si="94"/>
        <v>-0.19813780260707631</v>
      </c>
      <c r="E2930" s="83">
        <v>-2.5480657864256798E-3</v>
      </c>
      <c r="F2930" s="83">
        <v>2922</v>
      </c>
      <c r="G2930" s="83">
        <f t="shared" ca="1" si="95"/>
        <v>-1.5871536278450983E-2</v>
      </c>
    </row>
    <row r="2931" spans="2:7" x14ac:dyDescent="0.2">
      <c r="B2931" s="167">
        <v>44722</v>
      </c>
      <c r="C2931" s="28">
        <v>268.5</v>
      </c>
      <c r="D2931" s="83">
        <f t="shared" si="94"/>
        <v>3.3278529980657643</v>
      </c>
      <c r="E2931" s="83">
        <v>-2.5632452914298369E-3</v>
      </c>
      <c r="F2931" s="83">
        <v>2923</v>
      </c>
      <c r="G2931" s="83">
        <f t="shared" ca="1" si="95"/>
        <v>2.8244008498748596E-2</v>
      </c>
    </row>
    <row r="2932" spans="2:7" x14ac:dyDescent="0.2">
      <c r="B2932" s="167">
        <v>39350</v>
      </c>
      <c r="C2932" s="28">
        <v>62.04</v>
      </c>
      <c r="D2932" s="83">
        <f t="shared" si="94"/>
        <v>-0.70907385697538106</v>
      </c>
      <c r="E2932" s="83">
        <v>-2.5723472668810884E-3</v>
      </c>
      <c r="F2932" s="83">
        <v>2924</v>
      </c>
      <c r="G2932" s="83">
        <f t="shared" ca="1" si="95"/>
        <v>1.0404430385426391E-2</v>
      </c>
    </row>
    <row r="2933" spans="2:7" x14ac:dyDescent="0.2">
      <c r="B2933" s="167">
        <v>44294</v>
      </c>
      <c r="C2933" s="28">
        <v>213.25</v>
      </c>
      <c r="D2933" s="83">
        <f t="shared" si="94"/>
        <v>-0.46564598576726468</v>
      </c>
      <c r="E2933" s="83">
        <v>-2.5724976613658154E-3</v>
      </c>
      <c r="F2933" s="83">
        <v>2925</v>
      </c>
      <c r="G2933" s="83">
        <f t="shared" ca="1" si="95"/>
        <v>2.9880752915297064E-2</v>
      </c>
    </row>
    <row r="2934" spans="2:7" x14ac:dyDescent="0.2">
      <c r="B2934" s="167">
        <v>45048</v>
      </c>
      <c r="C2934" s="28">
        <v>399.08</v>
      </c>
      <c r="D2934" s="83">
        <f t="shared" si="94"/>
        <v>0.84341078109843393</v>
      </c>
      <c r="E2934" s="83">
        <v>-2.5742920696809114E-3</v>
      </c>
      <c r="F2934" s="83">
        <v>2926</v>
      </c>
      <c r="G2934" s="83">
        <f t="shared" ca="1" si="95"/>
        <v>1.7798021905977346E-2</v>
      </c>
    </row>
    <row r="2935" spans="2:7" x14ac:dyDescent="0.2">
      <c r="B2935" s="167">
        <v>42087</v>
      </c>
      <c r="C2935" s="28">
        <v>216.49</v>
      </c>
      <c r="D2935" s="83">
        <f t="shared" si="94"/>
        <v>1.0786365818530965</v>
      </c>
      <c r="E2935" s="83">
        <v>-2.5800506795669305E-3</v>
      </c>
      <c r="F2935" s="83">
        <v>2927</v>
      </c>
      <c r="G2935" s="83">
        <f t="shared" ca="1" si="95"/>
        <v>1.7823739523959277E-2</v>
      </c>
    </row>
    <row r="2936" spans="2:7" x14ac:dyDescent="0.2">
      <c r="B2936" s="167">
        <v>40589</v>
      </c>
      <c r="C2936" s="28">
        <v>104.15</v>
      </c>
      <c r="D2936" s="83">
        <f t="shared" si="94"/>
        <v>-0.54979683582605687</v>
      </c>
      <c r="E2936" s="83">
        <v>-2.5857115495115496E-3</v>
      </c>
      <c r="F2936" s="83">
        <v>2928</v>
      </c>
      <c r="G2936" s="83">
        <f t="shared" ca="1" si="95"/>
        <v>-1.7635714108799184E-3</v>
      </c>
    </row>
    <row r="2937" spans="2:7" x14ac:dyDescent="0.2">
      <c r="B2937" s="167">
        <v>41541</v>
      </c>
      <c r="C2937" s="28">
        <v>231.34</v>
      </c>
      <c r="D2937" s="83">
        <f t="shared" si="94"/>
        <v>-0.14207305766734649</v>
      </c>
      <c r="E2937" s="83">
        <v>-2.5868759161851956E-3</v>
      </c>
      <c r="F2937" s="83">
        <v>2929</v>
      </c>
      <c r="G2937" s="83">
        <f t="shared" ca="1" si="95"/>
        <v>-9.6317975525699786E-3</v>
      </c>
    </row>
    <row r="2938" spans="2:7" x14ac:dyDescent="0.2">
      <c r="B2938" s="167">
        <v>43027</v>
      </c>
      <c r="C2938" s="28">
        <v>269.64999999999998</v>
      </c>
      <c r="D2938" s="83">
        <f t="shared" si="94"/>
        <v>3.3852658968938032</v>
      </c>
      <c r="E2938" s="83">
        <v>-2.5892361753284462E-3</v>
      </c>
      <c r="F2938" s="83">
        <v>2930</v>
      </c>
      <c r="G2938" s="83">
        <f t="shared" ca="1" si="95"/>
        <v>8.5749478468849609E-3</v>
      </c>
    </row>
    <row r="2939" spans="2:7" x14ac:dyDescent="0.2">
      <c r="B2939" s="167">
        <v>39034</v>
      </c>
      <c r="C2939" s="28">
        <v>61.49</v>
      </c>
      <c r="D2939" s="83">
        <f t="shared" si="94"/>
        <v>-0.70844001896633468</v>
      </c>
      <c r="E2939" s="83">
        <v>-2.5952960259529052E-3</v>
      </c>
      <c r="F2939" s="83">
        <v>2931</v>
      </c>
      <c r="G2939" s="83">
        <f t="shared" ca="1" si="95"/>
        <v>1.0098960820542263E-2</v>
      </c>
    </row>
    <row r="2940" spans="2:7" x14ac:dyDescent="0.2">
      <c r="B2940" s="167">
        <v>44424</v>
      </c>
      <c r="C2940" s="28">
        <v>210.9</v>
      </c>
      <c r="D2940" s="83">
        <f t="shared" si="94"/>
        <v>2.4511536573392245</v>
      </c>
      <c r="E2940" s="83">
        <v>-2.6010877275950955E-3</v>
      </c>
      <c r="F2940" s="83">
        <v>2932</v>
      </c>
      <c r="G2940" s="83">
        <f t="shared" ca="1" si="95"/>
        <v>-5.9730596112284595E-3</v>
      </c>
    </row>
    <row r="2941" spans="2:7" x14ac:dyDescent="0.2">
      <c r="B2941" s="167">
        <v>39904</v>
      </c>
      <c r="C2941" s="28">
        <v>61.11</v>
      </c>
      <c r="D2941" s="83">
        <f t="shared" si="94"/>
        <v>1.0022935779816513</v>
      </c>
      <c r="E2941" s="83">
        <v>-2.6113921984658671E-3</v>
      </c>
      <c r="F2941" s="83">
        <v>2933</v>
      </c>
      <c r="G2941" s="83">
        <f t="shared" ca="1" si="95"/>
        <v>-2.5673017008771958E-3</v>
      </c>
    </row>
    <row r="2942" spans="2:7" x14ac:dyDescent="0.2">
      <c r="B2942" s="167">
        <v>38468</v>
      </c>
      <c r="C2942" s="28">
        <v>30.52</v>
      </c>
      <c r="D2942" s="83">
        <f t="shared" si="94"/>
        <v>-0.93477238726223555</v>
      </c>
      <c r="E2942" s="83">
        <v>-2.6143790849673804E-3</v>
      </c>
      <c r="F2942" s="83">
        <v>2934</v>
      </c>
      <c r="G2942" s="83">
        <f t="shared" ca="1" si="95"/>
        <v>1.6451256901693519E-2</v>
      </c>
    </row>
    <row r="2943" spans="2:7" x14ac:dyDescent="0.2">
      <c r="B2943" s="167">
        <v>45516</v>
      </c>
      <c r="C2943" s="28">
        <v>467.9</v>
      </c>
      <c r="D2943" s="83">
        <f t="shared" si="94"/>
        <v>1.32127796795158</v>
      </c>
      <c r="E2943" s="83">
        <v>-2.6218745337113769E-3</v>
      </c>
      <c r="F2943" s="83">
        <v>2935</v>
      </c>
      <c r="G2943" s="83">
        <f t="shared" ca="1" si="95"/>
        <v>1.8216069120238518E-3</v>
      </c>
    </row>
    <row r="2944" spans="2:7" x14ac:dyDescent="0.2">
      <c r="B2944" s="167">
        <v>41312</v>
      </c>
      <c r="C2944" s="28">
        <v>201.57</v>
      </c>
      <c r="D2944" s="83">
        <f t="shared" si="94"/>
        <v>0.77500880591757648</v>
      </c>
      <c r="E2944" s="83">
        <v>-2.6224641266699711E-3</v>
      </c>
      <c r="F2944" s="83">
        <v>2936</v>
      </c>
      <c r="G2944" s="83">
        <f t="shared" ca="1" si="95"/>
        <v>6.0177453770625675E-3</v>
      </c>
    </row>
    <row r="2945" spans="2:7" x14ac:dyDescent="0.2">
      <c r="B2945" s="167">
        <v>40612</v>
      </c>
      <c r="C2945" s="28">
        <v>113.56</v>
      </c>
      <c r="D2945" s="83">
        <f t="shared" si="94"/>
        <v>-0.4540384615384615</v>
      </c>
      <c r="E2945" s="83">
        <v>-2.6348146847004843E-3</v>
      </c>
      <c r="F2945" s="83">
        <v>2937</v>
      </c>
      <c r="G2945" s="83">
        <f t="shared" ca="1" si="95"/>
        <v>4.0075964362693929E-2</v>
      </c>
    </row>
    <row r="2946" spans="2:7" x14ac:dyDescent="0.2">
      <c r="B2946" s="167">
        <v>44263</v>
      </c>
      <c r="C2946" s="28">
        <v>208</v>
      </c>
      <c r="D2946" s="83">
        <f t="shared" si="94"/>
        <v>0.53868915520047334</v>
      </c>
      <c r="E2946" s="83">
        <v>-2.6372572524574985E-3</v>
      </c>
      <c r="F2946" s="83">
        <v>2938</v>
      </c>
      <c r="G2946" s="83">
        <f t="shared" ca="1" si="95"/>
        <v>5.4457800041345279E-4</v>
      </c>
    </row>
    <row r="2947" spans="2:7" x14ac:dyDescent="0.2">
      <c r="B2947" s="167">
        <v>40948</v>
      </c>
      <c r="C2947" s="28">
        <v>135.18</v>
      </c>
      <c r="D2947" s="83">
        <f t="shared" si="94"/>
        <v>-0.54917458729364688</v>
      </c>
      <c r="E2947" s="83">
        <v>-2.6560424966798378E-3</v>
      </c>
      <c r="F2947" s="83">
        <v>2939</v>
      </c>
      <c r="G2947" s="83">
        <f t="shared" ca="1" si="95"/>
        <v>1.0811788485589321E-2</v>
      </c>
    </row>
    <row r="2948" spans="2:7" x14ac:dyDescent="0.2">
      <c r="B2948" s="167">
        <v>43594</v>
      </c>
      <c r="C2948" s="28">
        <v>299.85000000000002</v>
      </c>
      <c r="D2948" s="83">
        <f t="shared" si="94"/>
        <v>4.3354092526690398</v>
      </c>
      <c r="E2948" s="83">
        <v>-2.6609013803424401E-3</v>
      </c>
      <c r="F2948" s="83">
        <v>2940</v>
      </c>
      <c r="G2948" s="83">
        <f t="shared" ca="1" si="95"/>
        <v>1.5156391015120277E-2</v>
      </c>
    </row>
    <row r="2949" spans="2:7" x14ac:dyDescent="0.2">
      <c r="B2949" s="167">
        <v>39766</v>
      </c>
      <c r="C2949" s="28">
        <v>56.2</v>
      </c>
      <c r="D2949" s="83">
        <f t="shared" si="94"/>
        <v>-0.7268529769137303</v>
      </c>
      <c r="E2949" s="83">
        <v>-2.6619343389529472E-3</v>
      </c>
      <c r="F2949" s="83">
        <v>2941</v>
      </c>
      <c r="G2949" s="83">
        <f t="shared" ca="1" si="95"/>
        <v>-3.0625882260508573E-4</v>
      </c>
    </row>
    <row r="2950" spans="2:7" x14ac:dyDescent="0.2">
      <c r="B2950" s="167">
        <v>44432</v>
      </c>
      <c r="C2950" s="28">
        <v>205.75</v>
      </c>
      <c r="D2950" s="83">
        <f t="shared" si="94"/>
        <v>1.9478938397857594E-3</v>
      </c>
      <c r="E2950" s="83">
        <v>-2.6660203587009759E-3</v>
      </c>
      <c r="F2950" s="83">
        <v>2942</v>
      </c>
      <c r="G2950" s="83">
        <f t="shared" ca="1" si="95"/>
        <v>8.0777868038796902E-3</v>
      </c>
    </row>
    <row r="2951" spans="2:7" x14ac:dyDescent="0.2">
      <c r="B2951" s="167">
        <v>44309</v>
      </c>
      <c r="C2951" s="28">
        <v>205.35</v>
      </c>
      <c r="D2951" s="83">
        <f t="shared" si="94"/>
        <v>-0.49890190336749635</v>
      </c>
      <c r="E2951" s="83">
        <v>-2.6711996114619297E-3</v>
      </c>
      <c r="F2951" s="83">
        <v>2943</v>
      </c>
      <c r="G2951" s="83">
        <f t="shared" ca="1" si="95"/>
        <v>7.5753048334424103E-3</v>
      </c>
    </row>
    <row r="2952" spans="2:7" x14ac:dyDescent="0.2">
      <c r="B2952" s="167">
        <v>45741</v>
      </c>
      <c r="C2952" s="28">
        <v>409.8</v>
      </c>
      <c r="D2952" s="83">
        <f t="shared" si="94"/>
        <v>0.93110597992554545</v>
      </c>
      <c r="E2952" s="83">
        <v>-2.6770503772206521E-3</v>
      </c>
      <c r="F2952" s="83">
        <v>2944</v>
      </c>
      <c r="G2952" s="83">
        <f t="shared" ca="1" si="95"/>
        <v>-2.2093671110874832E-3</v>
      </c>
    </row>
    <row r="2953" spans="2:7" x14ac:dyDescent="0.2">
      <c r="B2953" s="167">
        <v>42227</v>
      </c>
      <c r="C2953" s="28">
        <v>212.21</v>
      </c>
      <c r="D2953" s="83">
        <f t="shared" ref="D2953:D3016" si="96">(C2953-C2954)/C2954</f>
        <v>-0.51582285701248032</v>
      </c>
      <c r="E2953" s="83">
        <v>-2.6788231976689219E-3</v>
      </c>
      <c r="F2953" s="83">
        <v>2945</v>
      </c>
      <c r="G2953" s="83">
        <f t="shared" ref="G2953:G3016" ca="1" si="97">_xlfn.NORM.INV(RAND(),$M$10,$M$11)</f>
        <v>2.3504752556201762E-2</v>
      </c>
    </row>
    <row r="2954" spans="2:7" x14ac:dyDescent="0.2">
      <c r="B2954" s="167">
        <v>45301</v>
      </c>
      <c r="C2954" s="28">
        <v>438.29</v>
      </c>
      <c r="D2954" s="83">
        <f t="shared" si="96"/>
        <v>3.5451622938919423</v>
      </c>
      <c r="E2954" s="83">
        <v>-2.6850524495415085E-3</v>
      </c>
      <c r="F2954" s="83">
        <v>2946</v>
      </c>
      <c r="G2954" s="83">
        <f t="shared" ca="1" si="97"/>
        <v>6.6995376269748941E-3</v>
      </c>
    </row>
    <row r="2955" spans="2:7" x14ac:dyDescent="0.2">
      <c r="B2955" s="167">
        <v>40345</v>
      </c>
      <c r="C2955" s="28">
        <v>96.43</v>
      </c>
      <c r="D2955" s="83">
        <f t="shared" si="96"/>
        <v>0.53112099079072739</v>
      </c>
      <c r="E2955" s="83">
        <v>-2.6890061019752914E-3</v>
      </c>
      <c r="F2955" s="83">
        <v>2947</v>
      </c>
      <c r="G2955" s="83">
        <f t="shared" ca="1" si="97"/>
        <v>2.3234183461140423E-2</v>
      </c>
    </row>
    <row r="2956" spans="2:7" x14ac:dyDescent="0.2">
      <c r="B2956" s="167">
        <v>39926</v>
      </c>
      <c r="C2956" s="28">
        <v>62.98</v>
      </c>
      <c r="D2956" s="83">
        <f t="shared" si="96"/>
        <v>-0.82084032657241202</v>
      </c>
      <c r="E2956" s="83">
        <v>-2.6920031670625766E-3</v>
      </c>
      <c r="F2956" s="83">
        <v>2948</v>
      </c>
      <c r="G2956" s="83">
        <f t="shared" ca="1" si="97"/>
        <v>-6.86258330231265E-3</v>
      </c>
    </row>
    <row r="2957" spans="2:7" x14ac:dyDescent="0.2">
      <c r="B2957" s="167">
        <v>44868</v>
      </c>
      <c r="C2957" s="28">
        <v>351.53</v>
      </c>
      <c r="D2957" s="83">
        <f t="shared" si="96"/>
        <v>1.216316751781098</v>
      </c>
      <c r="E2957" s="83">
        <v>-2.6951883794826526E-3</v>
      </c>
      <c r="F2957" s="83">
        <v>2949</v>
      </c>
      <c r="G2957" s="83">
        <f t="shared" ca="1" si="97"/>
        <v>-1.9302565241247582E-2</v>
      </c>
    </row>
    <row r="2958" spans="2:7" x14ac:dyDescent="0.2">
      <c r="B2958" s="167">
        <v>41039</v>
      </c>
      <c r="C2958" s="28">
        <v>158.61000000000001</v>
      </c>
      <c r="D2958" s="83">
        <f t="shared" si="96"/>
        <v>-0.42532608695652169</v>
      </c>
      <c r="E2958" s="83">
        <v>-2.7037223340038883E-3</v>
      </c>
      <c r="F2958" s="83">
        <v>2950</v>
      </c>
      <c r="G2958" s="83">
        <f t="shared" ca="1" si="97"/>
        <v>7.0208525365899358E-3</v>
      </c>
    </row>
    <row r="2959" spans="2:7" x14ac:dyDescent="0.2">
      <c r="B2959" s="167">
        <v>43458</v>
      </c>
      <c r="C2959" s="28">
        <v>276</v>
      </c>
      <c r="D2959" s="83">
        <f t="shared" si="96"/>
        <v>2.5426807119505578E-3</v>
      </c>
      <c r="E2959" s="83">
        <v>-2.7100271002710027E-3</v>
      </c>
      <c r="F2959" s="83">
        <v>2951</v>
      </c>
      <c r="G2959" s="83">
        <f t="shared" ca="1" si="97"/>
        <v>8.0103815461118246E-3</v>
      </c>
    </row>
    <row r="2960" spans="2:7" x14ac:dyDescent="0.2">
      <c r="B2960" s="167">
        <v>43447</v>
      </c>
      <c r="C2960" s="28">
        <v>275.3</v>
      </c>
      <c r="D2960" s="83">
        <f t="shared" si="96"/>
        <v>3.1712121212121214</v>
      </c>
      <c r="E2960" s="83">
        <v>-2.7168991124796233E-3</v>
      </c>
      <c r="F2960" s="83">
        <v>2952</v>
      </c>
      <c r="G2960" s="83">
        <f t="shared" ca="1" si="97"/>
        <v>6.0942215833386156E-3</v>
      </c>
    </row>
    <row r="2961" spans="2:7" x14ac:dyDescent="0.2">
      <c r="B2961" s="167">
        <v>38817</v>
      </c>
      <c r="C2961" s="28">
        <v>66</v>
      </c>
      <c r="D2961" s="83">
        <f t="shared" si="96"/>
        <v>-0.75938753189938024</v>
      </c>
      <c r="E2961" s="83">
        <v>-2.7198549410699124E-3</v>
      </c>
      <c r="F2961" s="83">
        <v>2953</v>
      </c>
      <c r="G2961" s="83">
        <f t="shared" ca="1" si="97"/>
        <v>1.598660555777189E-3</v>
      </c>
    </row>
    <row r="2962" spans="2:7" x14ac:dyDescent="0.2">
      <c r="B2962" s="167">
        <v>43518</v>
      </c>
      <c r="C2962" s="28">
        <v>274.3</v>
      </c>
      <c r="D2962" s="83">
        <f t="shared" si="96"/>
        <v>4.0256504213997806</v>
      </c>
      <c r="E2962" s="83">
        <v>-2.7267769496455187E-3</v>
      </c>
      <c r="F2962" s="83">
        <v>2954</v>
      </c>
      <c r="G2962" s="83">
        <f t="shared" ca="1" si="97"/>
        <v>1.2208602558354189E-4</v>
      </c>
    </row>
    <row r="2963" spans="2:7" x14ac:dyDescent="0.2">
      <c r="B2963" s="167">
        <v>39772</v>
      </c>
      <c r="C2963" s="28">
        <v>54.58</v>
      </c>
      <c r="D2963" s="83">
        <f t="shared" si="96"/>
        <v>-0.76133630679085229</v>
      </c>
      <c r="E2963" s="83">
        <v>-2.7407272062853752E-3</v>
      </c>
      <c r="F2963" s="83">
        <v>2955</v>
      </c>
      <c r="G2963" s="83">
        <f t="shared" ca="1" si="97"/>
        <v>-3.8849393551616289E-3</v>
      </c>
    </row>
    <row r="2964" spans="2:7" x14ac:dyDescent="0.2">
      <c r="B2964" s="167">
        <v>41834</v>
      </c>
      <c r="C2964" s="28">
        <v>228.69</v>
      </c>
      <c r="D2964" s="83">
        <f t="shared" si="96"/>
        <v>-0.21032458563535919</v>
      </c>
      <c r="E2964" s="83">
        <v>-2.7472527472527275E-3</v>
      </c>
      <c r="F2964" s="83">
        <v>2956</v>
      </c>
      <c r="G2964" s="83">
        <f t="shared" ca="1" si="97"/>
        <v>3.4909608001408498E-3</v>
      </c>
    </row>
    <row r="2965" spans="2:7" x14ac:dyDescent="0.2">
      <c r="B2965" s="167">
        <v>43475</v>
      </c>
      <c r="C2965" s="28">
        <v>289.60000000000002</v>
      </c>
      <c r="D2965" s="83">
        <f t="shared" si="96"/>
        <v>0.27414316511945108</v>
      </c>
      <c r="E2965" s="83">
        <v>-2.754820936638962E-3</v>
      </c>
      <c r="F2965" s="83">
        <v>2957</v>
      </c>
      <c r="G2965" s="83">
        <f t="shared" ca="1" si="97"/>
        <v>-2.8351990331071061E-3</v>
      </c>
    </row>
    <row r="2966" spans="2:7" x14ac:dyDescent="0.2">
      <c r="B2966" s="167">
        <v>41787</v>
      </c>
      <c r="C2966" s="28">
        <v>227.29</v>
      </c>
      <c r="D2966" s="83">
        <f t="shared" si="96"/>
        <v>-0.21107254425546695</v>
      </c>
      <c r="E2966" s="83">
        <v>-2.7641277641277445E-3</v>
      </c>
      <c r="F2966" s="83">
        <v>2958</v>
      </c>
      <c r="G2966" s="83">
        <f t="shared" ca="1" si="97"/>
        <v>-2.4209735790807232E-2</v>
      </c>
    </row>
    <row r="2967" spans="2:7" x14ac:dyDescent="0.2">
      <c r="B2967" s="167">
        <v>43614</v>
      </c>
      <c r="C2967" s="28">
        <v>288.10000000000002</v>
      </c>
      <c r="D2967" s="83">
        <f t="shared" si="96"/>
        <v>0.60011108025548465</v>
      </c>
      <c r="E2967" s="83">
        <v>-2.76912426445121E-3</v>
      </c>
      <c r="F2967" s="83">
        <v>2959</v>
      </c>
      <c r="G2967" s="83">
        <f t="shared" ca="1" si="97"/>
        <v>1.5760116169904564E-2</v>
      </c>
    </row>
    <row r="2968" spans="2:7" x14ac:dyDescent="0.2">
      <c r="B2968" s="167">
        <v>43945</v>
      </c>
      <c r="C2968" s="28">
        <v>180.05</v>
      </c>
      <c r="D2968" s="83">
        <f t="shared" si="96"/>
        <v>-0.15010620722209103</v>
      </c>
      <c r="E2968" s="83">
        <v>-2.7693159789531985E-3</v>
      </c>
      <c r="F2968" s="83">
        <v>2960</v>
      </c>
      <c r="G2968" s="83">
        <f t="shared" ca="1" si="97"/>
        <v>-9.5486708878146573E-3</v>
      </c>
    </row>
    <row r="2969" spans="2:7" x14ac:dyDescent="0.2">
      <c r="B2969" s="167">
        <v>41586</v>
      </c>
      <c r="C2969" s="28">
        <v>211.85</v>
      </c>
      <c r="D2969" s="83">
        <f t="shared" si="96"/>
        <v>-0.5027929027412692</v>
      </c>
      <c r="E2969" s="83">
        <v>-2.7772547542835786E-3</v>
      </c>
      <c r="F2969" s="83">
        <v>2961</v>
      </c>
      <c r="G2969" s="83">
        <f t="shared" ca="1" si="97"/>
        <v>-3.6490915882115811E-3</v>
      </c>
    </row>
    <row r="2970" spans="2:7" x14ac:dyDescent="0.2">
      <c r="B2970" s="167">
        <v>45218</v>
      </c>
      <c r="C2970" s="28">
        <v>426.08</v>
      </c>
      <c r="D2970" s="83">
        <f t="shared" si="96"/>
        <v>1.166141331977631</v>
      </c>
      <c r="E2970" s="83">
        <v>-2.7851241603669757E-3</v>
      </c>
      <c r="F2970" s="83">
        <v>2962</v>
      </c>
      <c r="G2970" s="83">
        <f t="shared" ca="1" si="97"/>
        <v>-1.4589223236854271E-3</v>
      </c>
    </row>
    <row r="2971" spans="2:7" x14ac:dyDescent="0.2">
      <c r="B2971" s="167">
        <v>43985</v>
      </c>
      <c r="C2971" s="28">
        <v>196.7</v>
      </c>
      <c r="D2971" s="83">
        <f t="shared" si="96"/>
        <v>0.48688487414014664</v>
      </c>
      <c r="E2971" s="83">
        <v>-2.7883396704690058E-3</v>
      </c>
      <c r="F2971" s="83">
        <v>2963</v>
      </c>
      <c r="G2971" s="83">
        <f t="shared" ca="1" si="97"/>
        <v>1.8037440322689835E-2</v>
      </c>
    </row>
    <row r="2972" spans="2:7" x14ac:dyDescent="0.2">
      <c r="B2972" s="167">
        <v>40827</v>
      </c>
      <c r="C2972" s="28">
        <v>132.29</v>
      </c>
      <c r="D2972" s="83">
        <f t="shared" si="96"/>
        <v>1.180844048796571</v>
      </c>
      <c r="E2972" s="83">
        <v>-2.7890848786371516E-3</v>
      </c>
      <c r="F2972" s="83">
        <v>2964</v>
      </c>
      <c r="G2972" s="83">
        <f t="shared" ca="1" si="97"/>
        <v>3.6847329705954244E-3</v>
      </c>
    </row>
    <row r="2973" spans="2:7" x14ac:dyDescent="0.2">
      <c r="B2973" s="167">
        <v>39680</v>
      </c>
      <c r="C2973" s="28">
        <v>60.66</v>
      </c>
      <c r="D2973" s="83">
        <f t="shared" si="96"/>
        <v>-0.78704581358609793</v>
      </c>
      <c r="E2973" s="83">
        <v>-2.7946736807496582E-3</v>
      </c>
      <c r="F2973" s="83">
        <v>2965</v>
      </c>
      <c r="G2973" s="83">
        <f t="shared" ca="1" si="97"/>
        <v>2.087022550012586E-2</v>
      </c>
    </row>
    <row r="2974" spans="2:7" x14ac:dyDescent="0.2">
      <c r="B2974" s="167">
        <v>43431</v>
      </c>
      <c r="C2974" s="28">
        <v>284.85000000000002</v>
      </c>
      <c r="D2974" s="83">
        <f t="shared" si="96"/>
        <v>0.4329191609235879</v>
      </c>
      <c r="E2974" s="83">
        <v>-2.8006301417817419E-3</v>
      </c>
      <c r="F2974" s="83">
        <v>2966</v>
      </c>
      <c r="G2974" s="83">
        <f t="shared" ca="1" si="97"/>
        <v>-1.4145153280167005E-2</v>
      </c>
    </row>
    <row r="2975" spans="2:7" x14ac:dyDescent="0.2">
      <c r="B2975" s="167">
        <v>41521</v>
      </c>
      <c r="C2975" s="28">
        <v>198.79</v>
      </c>
      <c r="D2975" s="83">
        <f t="shared" si="96"/>
        <v>1.0049420070600099</v>
      </c>
      <c r="E2975" s="83">
        <v>-2.809129671432166E-3</v>
      </c>
      <c r="F2975" s="83">
        <v>2967</v>
      </c>
      <c r="G2975" s="83">
        <f t="shared" ca="1" si="97"/>
        <v>-1.6820592879581188E-2</v>
      </c>
    </row>
    <row r="2976" spans="2:7" x14ac:dyDescent="0.2">
      <c r="B2976" s="167">
        <v>40372</v>
      </c>
      <c r="C2976" s="28">
        <v>99.15</v>
      </c>
      <c r="D2976" s="83">
        <f t="shared" si="96"/>
        <v>-0.53277413882474911</v>
      </c>
      <c r="E2976" s="83">
        <v>-2.8160514935130355E-3</v>
      </c>
      <c r="F2976" s="83">
        <v>2968</v>
      </c>
      <c r="G2976" s="83">
        <f t="shared" ca="1" si="97"/>
        <v>2.5266585478988902E-2</v>
      </c>
    </row>
    <row r="2977" spans="2:7" x14ac:dyDescent="0.2">
      <c r="B2977" s="167">
        <v>42352</v>
      </c>
      <c r="C2977" s="28">
        <v>212.21</v>
      </c>
      <c r="D2977" s="83">
        <f t="shared" si="96"/>
        <v>-0.24921280735892437</v>
      </c>
      <c r="E2977" s="83">
        <v>-2.8194163808091459E-3</v>
      </c>
      <c r="F2977" s="83">
        <v>2969</v>
      </c>
      <c r="G2977" s="83">
        <f t="shared" ca="1" si="97"/>
        <v>-3.5719186300092144E-3</v>
      </c>
    </row>
    <row r="2978" spans="2:7" x14ac:dyDescent="0.2">
      <c r="B2978" s="167">
        <v>43454</v>
      </c>
      <c r="C2978" s="28">
        <v>282.64999999999998</v>
      </c>
      <c r="D2978" s="83">
        <f t="shared" si="96"/>
        <v>4.0097483161999286</v>
      </c>
      <c r="E2978" s="83">
        <v>-2.8223672605398181E-3</v>
      </c>
      <c r="F2978" s="83">
        <v>2970</v>
      </c>
      <c r="G2978" s="83">
        <f t="shared" ca="1" si="97"/>
        <v>-1.2983981774639546E-2</v>
      </c>
    </row>
    <row r="2979" spans="2:7" x14ac:dyDescent="0.2">
      <c r="B2979" s="167">
        <v>39394</v>
      </c>
      <c r="C2979" s="28">
        <v>56.42</v>
      </c>
      <c r="D2979" s="83">
        <f t="shared" si="96"/>
        <v>-0.72867173223045101</v>
      </c>
      <c r="E2979" s="83">
        <v>-2.8278543655001166E-3</v>
      </c>
      <c r="F2979" s="83">
        <v>2971</v>
      </c>
      <c r="G2979" s="83">
        <f t="shared" ca="1" si="97"/>
        <v>8.2960322261674633E-3</v>
      </c>
    </row>
    <row r="2980" spans="2:7" x14ac:dyDescent="0.2">
      <c r="B2980" s="167">
        <v>42179</v>
      </c>
      <c r="C2980" s="28">
        <v>207.94</v>
      </c>
      <c r="D2980" s="83">
        <f t="shared" si="96"/>
        <v>-1.4035087719298282E-2</v>
      </c>
      <c r="E2980" s="83">
        <v>-2.8293291133170452E-3</v>
      </c>
      <c r="F2980" s="83">
        <v>2972</v>
      </c>
      <c r="G2980" s="83">
        <f t="shared" ca="1" si="97"/>
        <v>6.2988751340826241E-3</v>
      </c>
    </row>
    <row r="2981" spans="2:7" x14ac:dyDescent="0.2">
      <c r="B2981" s="167">
        <v>44341</v>
      </c>
      <c r="C2981" s="28">
        <v>210.9</v>
      </c>
      <c r="D2981" s="83">
        <f t="shared" si="96"/>
        <v>2.5338471849865951</v>
      </c>
      <c r="E2981" s="83">
        <v>-2.8368794326240868E-3</v>
      </c>
      <c r="F2981" s="83">
        <v>2973</v>
      </c>
      <c r="G2981" s="83">
        <f t="shared" ca="1" si="97"/>
        <v>-1.0460986714489568E-2</v>
      </c>
    </row>
    <row r="2982" spans="2:7" x14ac:dyDescent="0.2">
      <c r="B2982" s="167">
        <v>39862</v>
      </c>
      <c r="C2982" s="28">
        <v>59.68</v>
      </c>
      <c r="D2982" s="83">
        <f t="shared" si="96"/>
        <v>-0.851134946370666</v>
      </c>
      <c r="E2982" s="83">
        <v>-2.8404344193818164E-3</v>
      </c>
      <c r="F2982" s="83">
        <v>2974</v>
      </c>
      <c r="G2982" s="83">
        <f t="shared" ca="1" si="97"/>
        <v>-9.5322108420132171E-3</v>
      </c>
    </row>
    <row r="2983" spans="2:7" x14ac:dyDescent="0.2">
      <c r="B2983" s="167">
        <v>45709</v>
      </c>
      <c r="C2983" s="28">
        <v>400.9</v>
      </c>
      <c r="D2983" s="83">
        <f t="shared" si="96"/>
        <v>0.91882448667017647</v>
      </c>
      <c r="E2983" s="83">
        <v>-2.860340753637692E-3</v>
      </c>
      <c r="F2983" s="83">
        <v>2975</v>
      </c>
      <c r="G2983" s="83">
        <f t="shared" ca="1" si="97"/>
        <v>-5.7402152202801605E-4</v>
      </c>
    </row>
    <row r="2984" spans="2:7" x14ac:dyDescent="0.2">
      <c r="B2984" s="167">
        <v>42381</v>
      </c>
      <c r="C2984" s="28">
        <v>208.93</v>
      </c>
      <c r="D2984" s="83">
        <f t="shared" si="96"/>
        <v>1.4014942528735632</v>
      </c>
      <c r="E2984" s="83">
        <v>-2.8635517586980113E-3</v>
      </c>
      <c r="F2984" s="83">
        <v>2976</v>
      </c>
      <c r="G2984" s="83">
        <f t="shared" ca="1" si="97"/>
        <v>2.3398661227235166E-2</v>
      </c>
    </row>
    <row r="2985" spans="2:7" x14ac:dyDescent="0.2">
      <c r="B2985" s="167">
        <v>40289</v>
      </c>
      <c r="C2985" s="28">
        <v>87</v>
      </c>
      <c r="D2985" s="83">
        <f t="shared" si="96"/>
        <v>-0.37270170884706899</v>
      </c>
      <c r="E2985" s="83">
        <v>-2.8653295128939827E-3</v>
      </c>
      <c r="F2985" s="83">
        <v>2977</v>
      </c>
      <c r="G2985" s="83">
        <f t="shared" ca="1" si="97"/>
        <v>-1.6300447402120197E-2</v>
      </c>
    </row>
    <row r="2986" spans="2:7" x14ac:dyDescent="0.2">
      <c r="B2986" s="167">
        <v>40927</v>
      </c>
      <c r="C2986" s="28">
        <v>138.69</v>
      </c>
      <c r="D2986" s="83">
        <f t="shared" si="96"/>
        <v>-0.55548076923076928</v>
      </c>
      <c r="E2986" s="83">
        <v>-2.8758357897764445E-3</v>
      </c>
      <c r="F2986" s="83">
        <v>2978</v>
      </c>
      <c r="G2986" s="83">
        <f t="shared" ca="1" si="97"/>
        <v>-1.0207994890720936E-2</v>
      </c>
    </row>
    <row r="2987" spans="2:7" x14ac:dyDescent="0.2">
      <c r="B2987" s="167">
        <v>43335</v>
      </c>
      <c r="C2987" s="28">
        <v>312</v>
      </c>
      <c r="D2987" s="83">
        <f t="shared" si="96"/>
        <v>0.50506512301013018</v>
      </c>
      <c r="E2987" s="83">
        <v>-2.8763183125598509E-3</v>
      </c>
      <c r="F2987" s="83">
        <v>2979</v>
      </c>
      <c r="G2987" s="83">
        <f t="shared" ca="1" si="97"/>
        <v>-1.5682484588489358E-2</v>
      </c>
    </row>
    <row r="2988" spans="2:7" x14ac:dyDescent="0.2">
      <c r="B2988" s="167">
        <v>44361</v>
      </c>
      <c r="C2988" s="28">
        <v>207.3</v>
      </c>
      <c r="D2988" s="83">
        <f t="shared" si="96"/>
        <v>1.0707222055738688</v>
      </c>
      <c r="E2988" s="83">
        <v>-2.8860028860028587E-3</v>
      </c>
      <c r="F2988" s="83">
        <v>2980</v>
      </c>
      <c r="G2988" s="83">
        <f t="shared" ca="1" si="97"/>
        <v>-1.7223786670949215E-5</v>
      </c>
    </row>
    <row r="2989" spans="2:7" x14ac:dyDescent="0.2">
      <c r="B2989" s="167">
        <v>40366</v>
      </c>
      <c r="C2989" s="28">
        <v>100.11</v>
      </c>
      <c r="D2989" s="83">
        <f t="shared" si="96"/>
        <v>-0.61242740998838552</v>
      </c>
      <c r="E2989" s="83">
        <v>-2.8884462151395045E-3</v>
      </c>
      <c r="F2989" s="83">
        <v>2981</v>
      </c>
      <c r="G2989" s="83">
        <f t="shared" ca="1" si="97"/>
        <v>-3.5438231934144269E-2</v>
      </c>
    </row>
    <row r="2990" spans="2:7" x14ac:dyDescent="0.2">
      <c r="B2990" s="167">
        <v>43181</v>
      </c>
      <c r="C2990" s="28">
        <v>258.3</v>
      </c>
      <c r="D2990" s="83">
        <f t="shared" si="96"/>
        <v>1.2731672973686528</v>
      </c>
      <c r="E2990" s="83">
        <v>-2.8951939779965257E-3</v>
      </c>
      <c r="F2990" s="83">
        <v>2982</v>
      </c>
      <c r="G2990" s="83">
        <f t="shared" ca="1" si="97"/>
        <v>6.7353778082200827E-3</v>
      </c>
    </row>
    <row r="2991" spans="2:7" x14ac:dyDescent="0.2">
      <c r="B2991" s="167">
        <v>40513</v>
      </c>
      <c r="C2991" s="28">
        <v>113.63</v>
      </c>
      <c r="D2991" s="83">
        <f t="shared" si="96"/>
        <v>-0.52840838348205021</v>
      </c>
      <c r="E2991" s="83">
        <v>-2.8957528957528809E-3</v>
      </c>
      <c r="F2991" s="83">
        <v>2983</v>
      </c>
      <c r="G2991" s="83">
        <f t="shared" ca="1" si="97"/>
        <v>4.1566096393795733E-4</v>
      </c>
    </row>
    <row r="2992" spans="2:7" x14ac:dyDescent="0.2">
      <c r="B2992" s="167">
        <v>42737</v>
      </c>
      <c r="C2992" s="28">
        <v>240.95</v>
      </c>
      <c r="D2992" s="83">
        <f t="shared" si="96"/>
        <v>-0.123977458643883</v>
      </c>
      <c r="E2992" s="83">
        <v>-2.8967515001035258E-3</v>
      </c>
      <c r="F2992" s="83">
        <v>2984</v>
      </c>
      <c r="G2992" s="83">
        <f t="shared" ca="1" si="97"/>
        <v>-1.2364227821105528E-2</v>
      </c>
    </row>
    <row r="2993" spans="2:7" x14ac:dyDescent="0.2">
      <c r="B2993" s="167">
        <v>43517</v>
      </c>
      <c r="C2993" s="28">
        <v>275.05</v>
      </c>
      <c r="D2993" s="83">
        <f t="shared" si="96"/>
        <v>1.4276257722859664</v>
      </c>
      <c r="E2993" s="83">
        <v>-2.9001268805510651E-3</v>
      </c>
      <c r="F2993" s="83">
        <v>2985</v>
      </c>
      <c r="G2993" s="83">
        <f t="shared" ca="1" si="97"/>
        <v>-1.7181409496053474E-3</v>
      </c>
    </row>
    <row r="2994" spans="2:7" x14ac:dyDescent="0.2">
      <c r="B2994" s="167">
        <v>40514</v>
      </c>
      <c r="C2994" s="28">
        <v>113.3</v>
      </c>
      <c r="D2994" s="83">
        <f t="shared" si="96"/>
        <v>1.2081465601247319</v>
      </c>
      <c r="E2994" s="83">
        <v>-2.9041626331074389E-3</v>
      </c>
      <c r="F2994" s="83">
        <v>2986</v>
      </c>
      <c r="G2994" s="83">
        <f t="shared" ca="1" si="97"/>
        <v>-2.0867431725224471E-3</v>
      </c>
    </row>
    <row r="2995" spans="2:7" x14ac:dyDescent="0.2">
      <c r="B2995" s="167">
        <v>38748</v>
      </c>
      <c r="C2995" s="28">
        <v>51.31</v>
      </c>
      <c r="D2995" s="83">
        <f t="shared" si="96"/>
        <v>-0.54500310366232152</v>
      </c>
      <c r="E2995" s="83">
        <v>-2.914885347842957E-3</v>
      </c>
      <c r="F2995" s="83">
        <v>2987</v>
      </c>
      <c r="G2995" s="83">
        <f t="shared" ca="1" si="97"/>
        <v>1.2524962264925208E-3</v>
      </c>
    </row>
    <row r="2996" spans="2:7" x14ac:dyDescent="0.2">
      <c r="B2996" s="167">
        <v>40554</v>
      </c>
      <c r="C2996" s="28">
        <v>112.77</v>
      </c>
      <c r="D2996" s="83">
        <f t="shared" si="96"/>
        <v>-0.40967387321363141</v>
      </c>
      <c r="E2996" s="83">
        <v>-2.9177718832891098E-3</v>
      </c>
      <c r="F2996" s="83">
        <v>2988</v>
      </c>
      <c r="G2996" s="83">
        <f t="shared" ca="1" si="97"/>
        <v>1.0464342771672667E-3</v>
      </c>
    </row>
    <row r="2997" spans="2:7" x14ac:dyDescent="0.2">
      <c r="B2997" s="167">
        <v>41222</v>
      </c>
      <c r="C2997" s="28">
        <v>191.03</v>
      </c>
      <c r="D2997" s="83">
        <f t="shared" si="96"/>
        <v>-0.29517027635317117</v>
      </c>
      <c r="E2997" s="83">
        <v>-2.9229082937522952E-3</v>
      </c>
      <c r="F2997" s="83">
        <v>2989</v>
      </c>
      <c r="G2997" s="83">
        <f t="shared" ca="1" si="97"/>
        <v>2.7219242796106455E-3</v>
      </c>
    </row>
    <row r="2998" spans="2:7" x14ac:dyDescent="0.2">
      <c r="B2998" s="167">
        <v>44715</v>
      </c>
      <c r="C2998" s="28">
        <v>271.02999999999997</v>
      </c>
      <c r="D2998" s="83">
        <f t="shared" si="96"/>
        <v>-0.34901762982178031</v>
      </c>
      <c r="E2998" s="83">
        <v>-2.9430158554979635E-3</v>
      </c>
      <c r="F2998" s="83">
        <v>2990</v>
      </c>
      <c r="G2998" s="83">
        <f t="shared" ca="1" si="97"/>
        <v>9.3977303620046276E-3</v>
      </c>
    </row>
    <row r="2999" spans="2:7" x14ac:dyDescent="0.2">
      <c r="B2999" s="167">
        <v>45167</v>
      </c>
      <c r="C2999" s="28">
        <v>416.34</v>
      </c>
      <c r="D2999" s="83">
        <f t="shared" si="96"/>
        <v>1.0539713862851505</v>
      </c>
      <c r="E2999" s="83">
        <v>-2.9456139090452338E-3</v>
      </c>
      <c r="F2999" s="83">
        <v>2991</v>
      </c>
      <c r="G2999" s="83">
        <f t="shared" ca="1" si="97"/>
        <v>2.3696958459590335E-2</v>
      </c>
    </row>
    <row r="3000" spans="2:7" x14ac:dyDescent="0.2">
      <c r="B3000" s="167">
        <v>44377</v>
      </c>
      <c r="C3000" s="28">
        <v>202.7</v>
      </c>
      <c r="D3000" s="83">
        <f t="shared" si="96"/>
        <v>5.6699572227706483</v>
      </c>
      <c r="E3000" s="83">
        <v>-2.951303492375911E-3</v>
      </c>
      <c r="F3000" s="83">
        <v>2992</v>
      </c>
      <c r="G3000" s="83">
        <f t="shared" ca="1" si="97"/>
        <v>-1.3007988607568327E-2</v>
      </c>
    </row>
    <row r="3001" spans="2:7" x14ac:dyDescent="0.2">
      <c r="B3001" s="167">
        <v>38461</v>
      </c>
      <c r="C3001" s="28">
        <v>30.39</v>
      </c>
      <c r="D3001" s="83">
        <f t="shared" si="96"/>
        <v>-0.84985177865612638</v>
      </c>
      <c r="E3001" s="83">
        <v>-2.9527559055118062E-3</v>
      </c>
      <c r="F3001" s="83">
        <v>2993</v>
      </c>
      <c r="G3001" s="83">
        <f t="shared" ca="1" si="97"/>
        <v>3.023569757188441E-2</v>
      </c>
    </row>
    <row r="3002" spans="2:7" x14ac:dyDescent="0.2">
      <c r="B3002" s="167">
        <v>44379</v>
      </c>
      <c r="C3002" s="28">
        <v>202.4</v>
      </c>
      <c r="D3002" s="83">
        <f t="shared" si="96"/>
        <v>2.4764735017335313E-3</v>
      </c>
      <c r="E3002" s="83">
        <v>-2.9556650246305139E-3</v>
      </c>
      <c r="F3002" s="83">
        <v>2994</v>
      </c>
      <c r="G3002" s="83">
        <f t="shared" ca="1" si="97"/>
        <v>1.176816640800364E-3</v>
      </c>
    </row>
    <row r="3003" spans="2:7" x14ac:dyDescent="0.2">
      <c r="B3003" s="167">
        <v>42419</v>
      </c>
      <c r="C3003" s="28">
        <v>201.9</v>
      </c>
      <c r="D3003" s="83">
        <f t="shared" si="96"/>
        <v>-4.5028852521048067E-2</v>
      </c>
      <c r="E3003" s="83">
        <v>-2.9629629629629351E-3</v>
      </c>
      <c r="F3003" s="83">
        <v>2995</v>
      </c>
      <c r="G3003" s="83">
        <f t="shared" ca="1" si="97"/>
        <v>3.0240934856078656E-2</v>
      </c>
    </row>
    <row r="3004" spans="2:7" x14ac:dyDescent="0.2">
      <c r="B3004" s="167">
        <v>41390</v>
      </c>
      <c r="C3004" s="28">
        <v>211.42</v>
      </c>
      <c r="D3004" s="83">
        <f t="shared" si="96"/>
        <v>0.91070944419340238</v>
      </c>
      <c r="E3004" s="83">
        <v>-2.9709974062722181E-3</v>
      </c>
      <c r="F3004" s="83">
        <v>2996</v>
      </c>
      <c r="G3004" s="83">
        <f t="shared" ca="1" si="97"/>
        <v>5.7542618076773175E-3</v>
      </c>
    </row>
    <row r="3005" spans="2:7" x14ac:dyDescent="0.2">
      <c r="B3005" s="167">
        <v>40535</v>
      </c>
      <c r="C3005" s="28">
        <v>110.65</v>
      </c>
      <c r="D3005" s="83">
        <f t="shared" si="96"/>
        <v>1.2019900497512439</v>
      </c>
      <c r="E3005" s="83">
        <v>-2.9735087403135545E-3</v>
      </c>
      <c r="F3005" s="83">
        <v>2997</v>
      </c>
      <c r="G3005" s="83">
        <f t="shared" ca="1" si="97"/>
        <v>-9.3765083405343407E-3</v>
      </c>
    </row>
    <row r="3006" spans="2:7" x14ac:dyDescent="0.2">
      <c r="B3006" s="167">
        <v>39247</v>
      </c>
      <c r="C3006" s="28">
        <v>50.25</v>
      </c>
      <c r="D3006" s="83">
        <f t="shared" si="96"/>
        <v>-0.24707821396463883</v>
      </c>
      <c r="E3006" s="83">
        <v>-2.9761904761904483E-3</v>
      </c>
      <c r="F3006" s="83">
        <v>2998</v>
      </c>
      <c r="G3006" s="83">
        <f t="shared" ca="1" si="97"/>
        <v>-7.7095712896231251E-3</v>
      </c>
    </row>
    <row r="3007" spans="2:7" x14ac:dyDescent="0.2">
      <c r="B3007" s="167">
        <v>39499</v>
      </c>
      <c r="C3007" s="28">
        <v>66.739999999999995</v>
      </c>
      <c r="D3007" s="83">
        <f t="shared" si="96"/>
        <v>-0.79975997599759974</v>
      </c>
      <c r="E3007" s="83">
        <v>-2.9877502240813095E-3</v>
      </c>
      <c r="F3007" s="83">
        <v>2999</v>
      </c>
      <c r="G3007" s="83">
        <f t="shared" ca="1" si="97"/>
        <v>-3.6125164923978589E-2</v>
      </c>
    </row>
    <row r="3008" spans="2:7" x14ac:dyDescent="0.2">
      <c r="B3008" s="167">
        <v>42926</v>
      </c>
      <c r="C3008" s="28">
        <v>333.3</v>
      </c>
      <c r="D3008" s="83">
        <f t="shared" si="96"/>
        <v>0.33400040024014416</v>
      </c>
      <c r="E3008" s="83">
        <v>-2.9913251570445705E-3</v>
      </c>
      <c r="F3008" s="83">
        <v>3000</v>
      </c>
      <c r="G3008" s="83">
        <f t="shared" ca="1" si="97"/>
        <v>-1.893681866502882E-4</v>
      </c>
    </row>
    <row r="3009" spans="2:7" x14ac:dyDescent="0.2">
      <c r="B3009" s="167">
        <v>42573</v>
      </c>
      <c r="C3009" s="28">
        <v>249.85</v>
      </c>
      <c r="D3009" s="83">
        <f t="shared" si="96"/>
        <v>-5.859080633006776E-2</v>
      </c>
      <c r="E3009" s="83">
        <v>-2.9928172386272946E-3</v>
      </c>
      <c r="F3009" s="83">
        <v>3001</v>
      </c>
      <c r="G3009" s="83">
        <f t="shared" ca="1" si="97"/>
        <v>9.4027713245583185E-3</v>
      </c>
    </row>
    <row r="3010" spans="2:7" x14ac:dyDescent="0.2">
      <c r="B3010" s="167">
        <v>43019</v>
      </c>
      <c r="C3010" s="28">
        <v>265.39999999999998</v>
      </c>
      <c r="D3010" s="83">
        <f t="shared" si="96"/>
        <v>-0.41595880463007795</v>
      </c>
      <c r="E3010" s="83">
        <v>-3.0052592036063537E-3</v>
      </c>
      <c r="F3010" s="83">
        <v>3002</v>
      </c>
      <c r="G3010" s="83">
        <f t="shared" ca="1" si="97"/>
        <v>1.1400266807131874E-2</v>
      </c>
    </row>
    <row r="3011" spans="2:7" x14ac:dyDescent="0.2">
      <c r="B3011" s="167">
        <v>45588</v>
      </c>
      <c r="C3011" s="28">
        <v>454.42</v>
      </c>
      <c r="D3011" s="83">
        <f t="shared" si="96"/>
        <v>0.82938808373590989</v>
      </c>
      <c r="E3011" s="83">
        <v>-3.0057702011891539E-3</v>
      </c>
      <c r="F3011" s="83">
        <v>3003</v>
      </c>
      <c r="G3011" s="83">
        <f t="shared" ca="1" si="97"/>
        <v>-1.7022700444858315E-2</v>
      </c>
    </row>
    <row r="3012" spans="2:7" x14ac:dyDescent="0.2">
      <c r="B3012" s="167">
        <v>42563</v>
      </c>
      <c r="C3012" s="28">
        <v>248.4</v>
      </c>
      <c r="D3012" s="83">
        <f t="shared" si="96"/>
        <v>0.15481171548117159</v>
      </c>
      <c r="E3012" s="83">
        <v>-3.0102347983142685E-3</v>
      </c>
      <c r="F3012" s="83">
        <v>3004</v>
      </c>
      <c r="G3012" s="83">
        <f t="shared" ca="1" si="97"/>
        <v>-4.6136451018976166E-3</v>
      </c>
    </row>
    <row r="3013" spans="2:7" x14ac:dyDescent="0.2">
      <c r="B3013" s="167">
        <v>41653</v>
      </c>
      <c r="C3013" s="28">
        <v>215.1</v>
      </c>
      <c r="D3013" s="83">
        <f t="shared" si="96"/>
        <v>-9.0140010997842746E-2</v>
      </c>
      <c r="E3013" s="83">
        <v>-3.058954393770841E-3</v>
      </c>
      <c r="F3013" s="83">
        <v>3005</v>
      </c>
      <c r="G3013" s="83">
        <f t="shared" ca="1" si="97"/>
        <v>-1.6028874823105402E-2</v>
      </c>
    </row>
    <row r="3014" spans="2:7" x14ac:dyDescent="0.2">
      <c r="B3014" s="167">
        <v>41720</v>
      </c>
      <c r="C3014" s="28">
        <v>236.41</v>
      </c>
      <c r="D3014" s="83">
        <f t="shared" si="96"/>
        <v>-3.1900081900081867E-2</v>
      </c>
      <c r="E3014" s="83">
        <v>-3.0783503415703372E-3</v>
      </c>
      <c r="F3014" s="83">
        <v>3006</v>
      </c>
      <c r="G3014" s="83">
        <f t="shared" ca="1" si="97"/>
        <v>-1.4422396971773273E-2</v>
      </c>
    </row>
    <row r="3015" spans="2:7" x14ac:dyDescent="0.2">
      <c r="B3015" s="167">
        <v>41956</v>
      </c>
      <c r="C3015" s="28">
        <v>244.2</v>
      </c>
      <c r="D3015" s="83">
        <f t="shared" si="96"/>
        <v>0.10332986942574425</v>
      </c>
      <c r="E3015" s="83">
        <v>-3.1025473546702292E-3</v>
      </c>
      <c r="F3015" s="83">
        <v>3007</v>
      </c>
      <c r="G3015" s="83">
        <f t="shared" ca="1" si="97"/>
        <v>-3.4132436588238529E-2</v>
      </c>
    </row>
    <row r="3016" spans="2:7" x14ac:dyDescent="0.2">
      <c r="B3016" s="167">
        <v>41432</v>
      </c>
      <c r="C3016" s="28">
        <v>221.33</v>
      </c>
      <c r="D3016" s="83">
        <f t="shared" si="96"/>
        <v>9.7485991967075053E-2</v>
      </c>
      <c r="E3016" s="83">
        <v>-3.1078281235924587E-3</v>
      </c>
      <c r="F3016" s="83">
        <v>3008</v>
      </c>
      <c r="G3016" s="83">
        <f t="shared" ca="1" si="97"/>
        <v>6.4311568095398654E-4</v>
      </c>
    </row>
    <row r="3017" spans="2:7" x14ac:dyDescent="0.2">
      <c r="B3017" s="167">
        <v>41304</v>
      </c>
      <c r="C3017" s="28">
        <v>201.67</v>
      </c>
      <c r="D3017" s="83">
        <f t="shared" ref="D3017:D3080" si="98">(C3017-C3018)/C3018</f>
        <v>-0.55303634751773056</v>
      </c>
      <c r="E3017" s="83">
        <v>-3.1141868512111906E-3</v>
      </c>
      <c r="F3017" s="83">
        <v>3009</v>
      </c>
      <c r="G3017" s="83">
        <f t="shared" ref="G3017:G3080" ca="1" si="99">_xlfn.NORM.INV(RAND(),$M$10,$M$11)</f>
        <v>1.3692971304601616E-4</v>
      </c>
    </row>
    <row r="3018" spans="2:7" x14ac:dyDescent="0.2">
      <c r="B3018" s="167">
        <v>45652</v>
      </c>
      <c r="C3018" s="28">
        <v>451.2</v>
      </c>
      <c r="D3018" s="83">
        <f t="shared" si="98"/>
        <v>4.4850474106491607</v>
      </c>
      <c r="E3018" s="83">
        <v>-3.1372895585701382E-3</v>
      </c>
      <c r="F3018" s="83">
        <v>3010</v>
      </c>
      <c r="G3018" s="83">
        <f t="shared" ca="1" si="99"/>
        <v>1.2759472521113441E-2</v>
      </c>
    </row>
    <row r="3019" spans="2:7" x14ac:dyDescent="0.2">
      <c r="B3019" s="167">
        <v>40192</v>
      </c>
      <c r="C3019" s="28">
        <v>82.26</v>
      </c>
      <c r="D3019" s="83">
        <f t="shared" si="98"/>
        <v>-0.6935171385991058</v>
      </c>
      <c r="E3019" s="83">
        <v>-3.1507513330100694E-3</v>
      </c>
      <c r="F3019" s="83">
        <v>3011</v>
      </c>
      <c r="G3019" s="83">
        <f t="shared" ca="1" si="99"/>
        <v>2.61885902122171E-3</v>
      </c>
    </row>
    <row r="3020" spans="2:7" x14ac:dyDescent="0.2">
      <c r="B3020" s="167">
        <v>43034</v>
      </c>
      <c r="C3020" s="28">
        <v>268.39999999999998</v>
      </c>
      <c r="D3020" s="83">
        <f t="shared" si="98"/>
        <v>7.9732882774157063E-2</v>
      </c>
      <c r="E3020" s="83">
        <v>-3.156917363045581E-3</v>
      </c>
      <c r="F3020" s="83">
        <v>3012</v>
      </c>
      <c r="G3020" s="83">
        <f t="shared" ca="1" si="99"/>
        <v>6.9082717887666411E-3</v>
      </c>
    </row>
    <row r="3021" spans="2:7" x14ac:dyDescent="0.2">
      <c r="B3021" s="167">
        <v>41967</v>
      </c>
      <c r="C3021" s="28">
        <v>248.58</v>
      </c>
      <c r="D3021" s="83">
        <f t="shared" si="98"/>
        <v>1.92998585572843</v>
      </c>
      <c r="E3021" s="83">
        <v>-3.1679833179612303E-3</v>
      </c>
      <c r="F3021" s="83">
        <v>3013</v>
      </c>
      <c r="G3021" s="83">
        <f t="shared" ca="1" si="99"/>
        <v>-1.6187752970046477E-2</v>
      </c>
    </row>
    <row r="3022" spans="2:7" x14ac:dyDescent="0.2">
      <c r="B3022" s="167">
        <v>40185</v>
      </c>
      <c r="C3022" s="28">
        <v>84.84</v>
      </c>
      <c r="D3022" s="83">
        <f t="shared" si="98"/>
        <v>0.23170731707317085</v>
      </c>
      <c r="E3022" s="83">
        <v>-3.172365174480038E-3</v>
      </c>
      <c r="F3022" s="83">
        <v>3014</v>
      </c>
      <c r="G3022" s="83">
        <f t="shared" ca="1" si="99"/>
        <v>2.6163960752519057E-2</v>
      </c>
    </row>
    <row r="3023" spans="2:7" x14ac:dyDescent="0.2">
      <c r="B3023" s="167">
        <v>38845</v>
      </c>
      <c r="C3023" s="28">
        <v>68.88</v>
      </c>
      <c r="D3023" s="83">
        <f t="shared" si="98"/>
        <v>0.22802638616509166</v>
      </c>
      <c r="E3023" s="83">
        <v>-3.1837916063675669E-3</v>
      </c>
      <c r="F3023" s="83">
        <v>3015</v>
      </c>
      <c r="G3023" s="83">
        <f t="shared" ca="1" si="99"/>
        <v>1.6176354446137985E-2</v>
      </c>
    </row>
    <row r="3024" spans="2:7" x14ac:dyDescent="0.2">
      <c r="B3024" s="167">
        <v>39892</v>
      </c>
      <c r="C3024" s="28">
        <v>56.09</v>
      </c>
      <c r="D3024" s="83">
        <f t="shared" si="98"/>
        <v>-0.79957119885653027</v>
      </c>
      <c r="E3024" s="83">
        <v>-3.1988626266216402E-3</v>
      </c>
      <c r="F3024" s="83">
        <v>3016</v>
      </c>
      <c r="G3024" s="83">
        <f t="shared" ca="1" si="99"/>
        <v>-9.3359903246030412E-3</v>
      </c>
    </row>
    <row r="3025" spans="2:7" x14ac:dyDescent="0.2">
      <c r="B3025" s="167">
        <v>42954</v>
      </c>
      <c r="C3025" s="28">
        <v>279.85000000000002</v>
      </c>
      <c r="D3025" s="83">
        <f t="shared" si="98"/>
        <v>2.6039922730199616</v>
      </c>
      <c r="E3025" s="83">
        <v>-3.205699020480774E-3</v>
      </c>
      <c r="F3025" s="83">
        <v>3017</v>
      </c>
      <c r="G3025" s="83">
        <f t="shared" ca="1" si="99"/>
        <v>-8.6940891723623643E-3</v>
      </c>
    </row>
    <row r="3026" spans="2:7" x14ac:dyDescent="0.2">
      <c r="B3026" s="167">
        <v>40085</v>
      </c>
      <c r="C3026" s="28">
        <v>77.650000000000006</v>
      </c>
      <c r="D3026" s="83">
        <f t="shared" si="98"/>
        <v>-0.56115067254436524</v>
      </c>
      <c r="E3026" s="83">
        <v>-3.2092426187419767E-3</v>
      </c>
      <c r="F3026" s="83">
        <v>3018</v>
      </c>
      <c r="G3026" s="83">
        <f t="shared" ca="1" si="99"/>
        <v>1.807463496919753E-2</v>
      </c>
    </row>
    <row r="3027" spans="2:7" x14ac:dyDescent="0.2">
      <c r="B3027" s="167">
        <v>41134</v>
      </c>
      <c r="C3027" s="28">
        <v>176.94</v>
      </c>
      <c r="D3027" s="83">
        <f t="shared" si="98"/>
        <v>2.0015267175572515</v>
      </c>
      <c r="E3027" s="83">
        <v>-3.2110866993408441E-3</v>
      </c>
      <c r="F3027" s="83">
        <v>3019</v>
      </c>
      <c r="G3027" s="83">
        <f t="shared" ca="1" si="99"/>
        <v>3.2192578834771453E-2</v>
      </c>
    </row>
    <row r="3028" spans="2:7" x14ac:dyDescent="0.2">
      <c r="B3028" s="167">
        <v>38783</v>
      </c>
      <c r="C3028" s="28">
        <v>58.95</v>
      </c>
      <c r="D3028" s="83">
        <f t="shared" si="98"/>
        <v>-0.85701118199238369</v>
      </c>
      <c r="E3028" s="83">
        <v>-3.2127155901250882E-3</v>
      </c>
      <c r="F3028" s="83">
        <v>3020</v>
      </c>
      <c r="G3028" s="83">
        <f t="shared" ca="1" si="99"/>
        <v>-1.8133110288654805E-3</v>
      </c>
    </row>
    <row r="3029" spans="2:7" x14ac:dyDescent="0.2">
      <c r="B3029" s="167">
        <v>45260</v>
      </c>
      <c r="C3029" s="28">
        <v>412.27</v>
      </c>
      <c r="D3029" s="83">
        <f t="shared" si="98"/>
        <v>1.0475291780481748</v>
      </c>
      <c r="E3029" s="83">
        <v>-3.2156673114120912E-3</v>
      </c>
      <c r="F3029" s="83">
        <v>3021</v>
      </c>
      <c r="G3029" s="83">
        <f t="shared" ca="1" si="99"/>
        <v>-1.9893838567664169E-3</v>
      </c>
    </row>
    <row r="3030" spans="2:7" x14ac:dyDescent="0.2">
      <c r="B3030" s="167">
        <v>44386</v>
      </c>
      <c r="C3030" s="28">
        <v>201.35</v>
      </c>
      <c r="D3030" s="83">
        <f t="shared" si="98"/>
        <v>-0.23513770180436849</v>
      </c>
      <c r="E3030" s="83">
        <v>-3.2178217821782458E-3</v>
      </c>
      <c r="F3030" s="83">
        <v>3022</v>
      </c>
      <c r="G3030" s="83">
        <f t="shared" ca="1" si="99"/>
        <v>3.1658072209746695E-2</v>
      </c>
    </row>
    <row r="3031" spans="2:7" x14ac:dyDescent="0.2">
      <c r="B3031" s="167">
        <v>43151</v>
      </c>
      <c r="C3031" s="28">
        <v>263.25</v>
      </c>
      <c r="D3031" s="83">
        <f t="shared" si="98"/>
        <v>0.29132738153634841</v>
      </c>
      <c r="E3031" s="83">
        <v>-3.2184778492995937E-3</v>
      </c>
      <c r="F3031" s="83">
        <v>3023</v>
      </c>
      <c r="G3031" s="83">
        <f t="shared" ca="1" si="99"/>
        <v>-4.3747422379345299E-2</v>
      </c>
    </row>
    <row r="3032" spans="2:7" x14ac:dyDescent="0.2">
      <c r="B3032" s="167">
        <v>41512</v>
      </c>
      <c r="C3032" s="28">
        <v>203.86</v>
      </c>
      <c r="D3032" s="83">
        <f t="shared" si="98"/>
        <v>-0.37099660598580686</v>
      </c>
      <c r="E3032" s="83">
        <v>-3.227068257383124E-3</v>
      </c>
      <c r="F3032" s="83">
        <v>3024</v>
      </c>
      <c r="G3032" s="83">
        <f t="shared" ca="1" si="99"/>
        <v>2.7852902576647527E-2</v>
      </c>
    </row>
    <row r="3033" spans="2:7" x14ac:dyDescent="0.2">
      <c r="B3033" s="167">
        <v>44811</v>
      </c>
      <c r="C3033" s="28">
        <v>324.10000000000002</v>
      </c>
      <c r="D3033" s="83">
        <f t="shared" si="98"/>
        <v>0.76765748568311987</v>
      </c>
      <c r="E3033" s="83">
        <v>-3.2292787944024439E-3</v>
      </c>
      <c r="F3033" s="83">
        <v>3025</v>
      </c>
      <c r="G3033" s="83">
        <f t="shared" ca="1" si="99"/>
        <v>-2.3613539748537225E-3</v>
      </c>
    </row>
    <row r="3034" spans="2:7" x14ac:dyDescent="0.2">
      <c r="B3034" s="167">
        <v>44088</v>
      </c>
      <c r="C3034" s="28">
        <v>183.35</v>
      </c>
      <c r="D3034" s="83">
        <f t="shared" si="98"/>
        <v>-0.24964190710047066</v>
      </c>
      <c r="E3034" s="83">
        <v>-3.2617559119325597E-3</v>
      </c>
      <c r="F3034" s="83">
        <v>3026</v>
      </c>
      <c r="G3034" s="83">
        <f t="shared" ca="1" si="99"/>
        <v>1.3753769735260513E-2</v>
      </c>
    </row>
    <row r="3035" spans="2:7" x14ac:dyDescent="0.2">
      <c r="B3035" s="167">
        <v>43818</v>
      </c>
      <c r="C3035" s="28">
        <v>244.35</v>
      </c>
      <c r="D3035" s="83">
        <f t="shared" si="98"/>
        <v>0.27537971710423292</v>
      </c>
      <c r="E3035" s="83">
        <v>-3.263308178666169E-3</v>
      </c>
      <c r="F3035" s="83">
        <v>3027</v>
      </c>
      <c r="G3035" s="83">
        <f t="shared" ca="1" si="99"/>
        <v>-4.2124894361702395E-3</v>
      </c>
    </row>
    <row r="3036" spans="2:7" x14ac:dyDescent="0.2">
      <c r="B3036" s="167">
        <v>41221</v>
      </c>
      <c r="C3036" s="28">
        <v>191.59</v>
      </c>
      <c r="D3036" s="83">
        <f t="shared" si="98"/>
        <v>-0.29987209939703996</v>
      </c>
      <c r="E3036" s="83">
        <v>-3.2774945375090804E-3</v>
      </c>
      <c r="F3036" s="83">
        <v>3028</v>
      </c>
      <c r="G3036" s="83">
        <f t="shared" ca="1" si="99"/>
        <v>-6.2999328371809394E-3</v>
      </c>
    </row>
    <row r="3037" spans="2:7" x14ac:dyDescent="0.2">
      <c r="B3037" s="167">
        <v>43122</v>
      </c>
      <c r="C3037" s="28">
        <v>273.64999999999998</v>
      </c>
      <c r="D3037" s="83">
        <f t="shared" si="98"/>
        <v>-5.1473136915078072E-2</v>
      </c>
      <c r="E3037" s="83">
        <v>-3.2780914223275691E-3</v>
      </c>
      <c r="F3037" s="83">
        <v>3029</v>
      </c>
      <c r="G3037" s="83">
        <f t="shared" ca="1" si="99"/>
        <v>-1.1726966530780931E-2</v>
      </c>
    </row>
    <row r="3038" spans="2:7" x14ac:dyDescent="0.2">
      <c r="B3038" s="167">
        <v>43395</v>
      </c>
      <c r="C3038" s="28">
        <v>288.5</v>
      </c>
      <c r="D3038" s="83">
        <f t="shared" si="98"/>
        <v>2.2847546396447687</v>
      </c>
      <c r="E3038" s="83">
        <v>-3.2820867161858307E-3</v>
      </c>
      <c r="F3038" s="83">
        <v>3030</v>
      </c>
      <c r="G3038" s="83">
        <f t="shared" ca="1" si="99"/>
        <v>-2.1675053524365853E-2</v>
      </c>
    </row>
    <row r="3039" spans="2:7" x14ac:dyDescent="0.2">
      <c r="B3039" s="167">
        <v>40301</v>
      </c>
      <c r="C3039" s="28">
        <v>87.83</v>
      </c>
      <c r="D3039" s="83">
        <f t="shared" si="98"/>
        <v>-0.81981002400344671</v>
      </c>
      <c r="E3039" s="83">
        <v>-3.2909668633682053E-3</v>
      </c>
      <c r="F3039" s="83">
        <v>3031</v>
      </c>
      <c r="G3039" s="83">
        <f t="shared" ca="1" si="99"/>
        <v>-1.3546594384132624E-2</v>
      </c>
    </row>
    <row r="3040" spans="2:7" x14ac:dyDescent="0.2">
      <c r="B3040" s="167">
        <v>45559</v>
      </c>
      <c r="C3040" s="28">
        <v>487.43</v>
      </c>
      <c r="D3040" s="83">
        <f t="shared" si="98"/>
        <v>0.79057380060245375</v>
      </c>
      <c r="E3040" s="83">
        <v>-3.2921642401439835E-3</v>
      </c>
      <c r="F3040" s="83">
        <v>3032</v>
      </c>
      <c r="G3040" s="83">
        <f t="shared" ca="1" si="99"/>
        <v>1.413799137589718E-2</v>
      </c>
    </row>
    <row r="3041" spans="2:7" x14ac:dyDescent="0.2">
      <c r="B3041" s="167">
        <v>44719</v>
      </c>
      <c r="C3041" s="28">
        <v>272.22000000000003</v>
      </c>
      <c r="D3041" s="83">
        <f t="shared" si="98"/>
        <v>0.29075391180654347</v>
      </c>
      <c r="E3041" s="83">
        <v>-3.2952548330403386E-3</v>
      </c>
      <c r="F3041" s="83">
        <v>3033</v>
      </c>
      <c r="G3041" s="83">
        <f t="shared" ca="1" si="99"/>
        <v>3.3165017025480914E-2</v>
      </c>
    </row>
    <row r="3042" spans="2:7" x14ac:dyDescent="0.2">
      <c r="B3042" s="167">
        <v>44281</v>
      </c>
      <c r="C3042" s="28">
        <v>210.9</v>
      </c>
      <c r="D3042" s="83">
        <f t="shared" si="98"/>
        <v>1.5211321844613442E-2</v>
      </c>
      <c r="E3042" s="83">
        <v>-3.3081285444233866E-3</v>
      </c>
      <c r="F3042" s="83">
        <v>3034</v>
      </c>
      <c r="G3042" s="83">
        <f t="shared" ca="1" si="99"/>
        <v>1.379980186911858E-2</v>
      </c>
    </row>
    <row r="3043" spans="2:7" x14ac:dyDescent="0.2">
      <c r="B3043" s="167">
        <v>42257</v>
      </c>
      <c r="C3043" s="28">
        <v>207.74</v>
      </c>
      <c r="D3043" s="83">
        <f t="shared" si="98"/>
        <v>0.23317107918793778</v>
      </c>
      <c r="E3043" s="83">
        <v>-3.3104639447296344E-3</v>
      </c>
      <c r="F3043" s="83">
        <v>3035</v>
      </c>
      <c r="G3043" s="83">
        <f t="shared" ca="1" si="99"/>
        <v>-1.3502664860562973E-2</v>
      </c>
    </row>
    <row r="3044" spans="2:7" x14ac:dyDescent="0.2">
      <c r="B3044" s="167">
        <v>41109</v>
      </c>
      <c r="C3044" s="28">
        <v>168.46</v>
      </c>
      <c r="D3044" s="83">
        <f t="shared" si="98"/>
        <v>-0.19929654451257181</v>
      </c>
      <c r="E3044" s="83">
        <v>-3.3132173707253712E-3</v>
      </c>
      <c r="F3044" s="83">
        <v>3036</v>
      </c>
      <c r="G3044" s="83">
        <f t="shared" ca="1" si="99"/>
        <v>1.5208999404336844E-2</v>
      </c>
    </row>
    <row r="3045" spans="2:7" x14ac:dyDescent="0.2">
      <c r="B3045" s="167">
        <v>42192</v>
      </c>
      <c r="C3045" s="28">
        <v>210.39</v>
      </c>
      <c r="D3045" s="83">
        <f t="shared" si="98"/>
        <v>0.52279965257672256</v>
      </c>
      <c r="E3045" s="83">
        <v>-3.3161210857928706E-3</v>
      </c>
      <c r="F3045" s="83">
        <v>3037</v>
      </c>
      <c r="G3045" s="83">
        <f t="shared" ca="1" si="99"/>
        <v>-2.2075798338073393E-2</v>
      </c>
    </row>
    <row r="3046" spans="2:7" x14ac:dyDescent="0.2">
      <c r="B3046" s="167">
        <v>40925</v>
      </c>
      <c r="C3046" s="28">
        <v>138.16</v>
      </c>
      <c r="D3046" s="83">
        <f t="shared" si="98"/>
        <v>-0.45862068965517239</v>
      </c>
      <c r="E3046" s="83">
        <v>-3.3184244697735386E-3</v>
      </c>
      <c r="F3046" s="83">
        <v>3038</v>
      </c>
      <c r="G3046" s="83">
        <f t="shared" ca="1" si="99"/>
        <v>2.5236820856549508E-2</v>
      </c>
    </row>
    <row r="3047" spans="2:7" x14ac:dyDescent="0.2">
      <c r="B3047" s="167">
        <v>43070</v>
      </c>
      <c r="C3047" s="28">
        <v>255.2</v>
      </c>
      <c r="D3047" s="83">
        <f t="shared" si="98"/>
        <v>-0.17437722419928836</v>
      </c>
      <c r="E3047" s="83">
        <v>-3.3196641281000691E-3</v>
      </c>
      <c r="F3047" s="83">
        <v>3039</v>
      </c>
      <c r="G3047" s="83">
        <f t="shared" ca="1" si="99"/>
        <v>5.2518875950064237E-3</v>
      </c>
    </row>
    <row r="3048" spans="2:7" x14ac:dyDescent="0.2">
      <c r="B3048" s="167">
        <v>44939</v>
      </c>
      <c r="C3048" s="28">
        <v>309.10000000000002</v>
      </c>
      <c r="D3048" s="83">
        <f t="shared" si="98"/>
        <v>0.28818503854969801</v>
      </c>
      <c r="E3048" s="83">
        <v>-3.3211878889497074E-3</v>
      </c>
      <c r="F3048" s="83">
        <v>3040</v>
      </c>
      <c r="G3048" s="83">
        <f t="shared" ca="1" si="99"/>
        <v>-6.198398021553665E-3</v>
      </c>
    </row>
    <row r="3049" spans="2:7" x14ac:dyDescent="0.2">
      <c r="B3049" s="167">
        <v>43847</v>
      </c>
      <c r="C3049" s="28">
        <v>239.95</v>
      </c>
      <c r="D3049" s="83">
        <f t="shared" si="98"/>
        <v>-0.48624344288620064</v>
      </c>
      <c r="E3049" s="83">
        <v>-3.322949117341688E-3</v>
      </c>
      <c r="F3049" s="83">
        <v>3041</v>
      </c>
      <c r="G3049" s="83">
        <f t="shared" ca="1" si="99"/>
        <v>1.641199937212318E-2</v>
      </c>
    </row>
    <row r="3050" spans="2:7" x14ac:dyDescent="0.2">
      <c r="B3050" s="167">
        <v>45505</v>
      </c>
      <c r="C3050" s="28">
        <v>467.05</v>
      </c>
      <c r="D3050" s="83">
        <f t="shared" si="98"/>
        <v>6.8036758563074349</v>
      </c>
      <c r="E3050" s="83">
        <v>-3.3289942596188777E-3</v>
      </c>
      <c r="F3050" s="83">
        <v>3042</v>
      </c>
      <c r="G3050" s="83">
        <f t="shared" ca="1" si="99"/>
        <v>-1.878833007545944E-2</v>
      </c>
    </row>
    <row r="3051" spans="2:7" x14ac:dyDescent="0.2">
      <c r="B3051" s="167">
        <v>39861</v>
      </c>
      <c r="C3051" s="28">
        <v>59.85</v>
      </c>
      <c r="D3051" s="83">
        <f t="shared" si="98"/>
        <v>-0.86736842105263157</v>
      </c>
      <c r="E3051" s="83">
        <v>-3.3305578684428932E-3</v>
      </c>
      <c r="F3051" s="83">
        <v>3043</v>
      </c>
      <c r="G3051" s="83">
        <f t="shared" ca="1" si="99"/>
        <v>-2.2281851292783504E-2</v>
      </c>
    </row>
    <row r="3052" spans="2:7" x14ac:dyDescent="0.2">
      <c r="B3052" s="167">
        <v>45656</v>
      </c>
      <c r="C3052" s="28">
        <v>451.25</v>
      </c>
      <c r="D3052" s="83">
        <f t="shared" si="98"/>
        <v>6.5523012552301259</v>
      </c>
      <c r="E3052" s="83">
        <v>-3.3351002738757642E-3</v>
      </c>
      <c r="F3052" s="83">
        <v>3044</v>
      </c>
      <c r="G3052" s="83">
        <f t="shared" ca="1" si="99"/>
        <v>6.9676921060754244E-4</v>
      </c>
    </row>
    <row r="3053" spans="2:7" x14ac:dyDescent="0.2">
      <c r="B3053" s="167">
        <v>39343</v>
      </c>
      <c r="C3053" s="28">
        <v>59.75</v>
      </c>
      <c r="D3053" s="83">
        <f t="shared" si="98"/>
        <v>-0.72493324739895038</v>
      </c>
      <c r="E3053" s="83">
        <v>-3.3361134278565943E-3</v>
      </c>
      <c r="F3053" s="83">
        <v>3045</v>
      </c>
      <c r="G3053" s="83">
        <f t="shared" ca="1" si="99"/>
        <v>1.4620841957609352E-2</v>
      </c>
    </row>
    <row r="3054" spans="2:7" x14ac:dyDescent="0.2">
      <c r="B3054" s="167">
        <v>41698</v>
      </c>
      <c r="C3054" s="28">
        <v>217.22</v>
      </c>
      <c r="D3054" s="83">
        <f t="shared" si="98"/>
        <v>-0.36483522910026611</v>
      </c>
      <c r="E3054" s="83">
        <v>-3.349392062399586E-3</v>
      </c>
      <c r="F3054" s="83">
        <v>3046</v>
      </c>
      <c r="G3054" s="83">
        <f t="shared" ca="1" si="99"/>
        <v>-4.2534224460311059E-3</v>
      </c>
    </row>
    <row r="3055" spans="2:7" x14ac:dyDescent="0.2">
      <c r="B3055" s="167">
        <v>44881</v>
      </c>
      <c r="C3055" s="28">
        <v>341.99</v>
      </c>
      <c r="D3055" s="83">
        <f t="shared" si="98"/>
        <v>1.6755593803786577</v>
      </c>
      <c r="E3055" s="83">
        <v>-3.3514017602144235E-3</v>
      </c>
      <c r="F3055" s="83">
        <v>3047</v>
      </c>
      <c r="G3055" s="83">
        <f t="shared" ca="1" si="99"/>
        <v>1.5226379983858634E-3</v>
      </c>
    </row>
    <row r="3056" spans="2:7" x14ac:dyDescent="0.2">
      <c r="B3056" s="167">
        <v>40700</v>
      </c>
      <c r="C3056" s="28">
        <v>127.82</v>
      </c>
      <c r="D3056" s="83">
        <f t="shared" si="98"/>
        <v>-0.44073506891271064</v>
      </c>
      <c r="E3056" s="83">
        <v>-3.3528265107213009E-3</v>
      </c>
      <c r="F3056" s="83">
        <v>3048</v>
      </c>
      <c r="G3056" s="83">
        <f t="shared" ca="1" si="99"/>
        <v>-1.3884829941007742E-2</v>
      </c>
    </row>
    <row r="3057" spans="2:7" x14ac:dyDescent="0.2">
      <c r="B3057" s="167">
        <v>41733</v>
      </c>
      <c r="C3057" s="28">
        <v>228.55</v>
      </c>
      <c r="D3057" s="83">
        <f t="shared" si="98"/>
        <v>0.16803802320233058</v>
      </c>
      <c r="E3057" s="83">
        <v>-3.3577533577532786E-3</v>
      </c>
      <c r="F3057" s="83">
        <v>3049</v>
      </c>
      <c r="G3057" s="83">
        <f t="shared" ca="1" si="99"/>
        <v>1.0294418274999103E-3</v>
      </c>
    </row>
    <row r="3058" spans="2:7" x14ac:dyDescent="0.2">
      <c r="B3058" s="167">
        <v>41247</v>
      </c>
      <c r="C3058" s="28">
        <v>195.67</v>
      </c>
      <c r="D3058" s="83">
        <f t="shared" si="98"/>
        <v>-0.11820639927895456</v>
      </c>
      <c r="E3058" s="83">
        <v>-3.3616869556360464E-3</v>
      </c>
      <c r="F3058" s="83">
        <v>3050</v>
      </c>
      <c r="G3058" s="83">
        <f t="shared" ca="1" si="99"/>
        <v>-2.11161272486317E-2</v>
      </c>
    </row>
    <row r="3059" spans="2:7" x14ac:dyDescent="0.2">
      <c r="B3059" s="167">
        <v>44610</v>
      </c>
      <c r="C3059" s="28">
        <v>221.9</v>
      </c>
      <c r="D3059" s="83">
        <f t="shared" si="98"/>
        <v>2.7578323454699412</v>
      </c>
      <c r="E3059" s="83">
        <v>-3.3685156074556477E-3</v>
      </c>
      <c r="F3059" s="83">
        <v>3051</v>
      </c>
      <c r="G3059" s="83">
        <f t="shared" ca="1" si="99"/>
        <v>2.9047194834586712E-3</v>
      </c>
    </row>
    <row r="3060" spans="2:7" x14ac:dyDescent="0.2">
      <c r="B3060" s="167">
        <v>39363</v>
      </c>
      <c r="C3060" s="28">
        <v>59.05</v>
      </c>
      <c r="D3060" s="83">
        <f t="shared" si="98"/>
        <v>-0.72580794947994054</v>
      </c>
      <c r="E3060" s="83">
        <v>-3.3755274261603853E-3</v>
      </c>
      <c r="F3060" s="83">
        <v>3052</v>
      </c>
      <c r="G3060" s="83">
        <f t="shared" ca="1" si="99"/>
        <v>-3.9914469645741517E-2</v>
      </c>
    </row>
    <row r="3061" spans="2:7" x14ac:dyDescent="0.2">
      <c r="B3061" s="167">
        <v>41457</v>
      </c>
      <c r="C3061" s="28">
        <v>215.36</v>
      </c>
      <c r="D3061" s="83">
        <f t="shared" si="98"/>
        <v>-8.4937327384746047E-2</v>
      </c>
      <c r="E3061" s="83">
        <v>-3.3782220371141179E-3</v>
      </c>
      <c r="F3061" s="83">
        <v>3053</v>
      </c>
      <c r="G3061" s="83">
        <f t="shared" ca="1" si="99"/>
        <v>-2.5379997780225734E-3</v>
      </c>
    </row>
    <row r="3062" spans="2:7" x14ac:dyDescent="0.2">
      <c r="B3062" s="167">
        <v>44470</v>
      </c>
      <c r="C3062" s="28">
        <v>235.35</v>
      </c>
      <c r="D3062" s="83">
        <f t="shared" si="98"/>
        <v>9.7560975609756032E-2</v>
      </c>
      <c r="E3062" s="83">
        <v>-3.3876773237349624E-3</v>
      </c>
      <c r="F3062" s="83">
        <v>3054</v>
      </c>
      <c r="G3062" s="83">
        <f t="shared" ca="1" si="99"/>
        <v>3.8357538818780002E-3</v>
      </c>
    </row>
    <row r="3063" spans="2:7" x14ac:dyDescent="0.2">
      <c r="B3063" s="167">
        <v>41677</v>
      </c>
      <c r="C3063" s="28">
        <v>214.43</v>
      </c>
      <c r="D3063" s="83">
        <f t="shared" si="98"/>
        <v>1.810722244068685</v>
      </c>
      <c r="E3063" s="83">
        <v>-3.3928239449711366E-3</v>
      </c>
      <c r="F3063" s="83">
        <v>3055</v>
      </c>
      <c r="G3063" s="83">
        <f t="shared" ca="1" si="99"/>
        <v>-2.3289771160982797E-2</v>
      </c>
    </row>
    <row r="3064" spans="2:7" x14ac:dyDescent="0.2">
      <c r="B3064" s="167">
        <v>40057</v>
      </c>
      <c r="C3064" s="28">
        <v>76.290000000000006</v>
      </c>
      <c r="D3064" s="83">
        <f t="shared" si="98"/>
        <v>-0.82665303340149965</v>
      </c>
      <c r="E3064" s="83">
        <v>-3.3964728935335195E-3</v>
      </c>
      <c r="F3064" s="83">
        <v>3056</v>
      </c>
      <c r="G3064" s="83">
        <f t="shared" ca="1" si="99"/>
        <v>-1.0027465664385067E-2</v>
      </c>
    </row>
    <row r="3065" spans="2:7" x14ac:dyDescent="0.2">
      <c r="B3065" s="167">
        <v>45684</v>
      </c>
      <c r="C3065" s="28">
        <v>440.1</v>
      </c>
      <c r="D3065" s="83">
        <f t="shared" si="98"/>
        <v>0.76889067524115762</v>
      </c>
      <c r="E3065" s="83">
        <v>-3.3967391304347825E-3</v>
      </c>
      <c r="F3065" s="83">
        <v>3057</v>
      </c>
      <c r="G3065" s="83">
        <f t="shared" ca="1" si="99"/>
        <v>-6.6218889617344629E-4</v>
      </c>
    </row>
    <row r="3066" spans="2:7" x14ac:dyDescent="0.2">
      <c r="B3066" s="167">
        <v>42751</v>
      </c>
      <c r="C3066" s="28">
        <v>248.8</v>
      </c>
      <c r="D3066" s="83">
        <f t="shared" si="98"/>
        <v>-0.39810334817108572</v>
      </c>
      <c r="E3066" s="83">
        <v>-3.4047666733426568E-3</v>
      </c>
      <c r="F3066" s="83">
        <v>3058</v>
      </c>
      <c r="G3066" s="83">
        <f t="shared" ca="1" si="99"/>
        <v>1.4707091274383948E-2</v>
      </c>
    </row>
    <row r="3067" spans="2:7" x14ac:dyDescent="0.2">
      <c r="B3067" s="167">
        <v>45089</v>
      </c>
      <c r="C3067" s="28">
        <v>413.36</v>
      </c>
      <c r="D3067" s="83">
        <f t="shared" si="98"/>
        <v>1.0337515375153752</v>
      </c>
      <c r="E3067" s="83">
        <v>-3.4235016153140439E-3</v>
      </c>
      <c r="F3067" s="83">
        <v>3059</v>
      </c>
      <c r="G3067" s="83">
        <f t="shared" ca="1" si="99"/>
        <v>-3.9002397384104803E-4</v>
      </c>
    </row>
    <row r="3068" spans="2:7" x14ac:dyDescent="0.2">
      <c r="B3068" s="167">
        <v>44371</v>
      </c>
      <c r="C3068" s="28">
        <v>203.25</v>
      </c>
      <c r="D3068" s="83">
        <f t="shared" si="98"/>
        <v>4.8371625502584719</v>
      </c>
      <c r="E3068" s="83">
        <v>-3.4322137778866812E-3</v>
      </c>
      <c r="F3068" s="83">
        <v>3060</v>
      </c>
      <c r="G3068" s="83">
        <f t="shared" ca="1" si="99"/>
        <v>-9.2705409245222466E-4</v>
      </c>
    </row>
    <row r="3069" spans="2:7" x14ac:dyDescent="0.2">
      <c r="B3069" s="167">
        <v>38512</v>
      </c>
      <c r="C3069" s="28">
        <v>34.82</v>
      </c>
      <c r="D3069" s="83">
        <f t="shared" si="98"/>
        <v>-0.91476966759680822</v>
      </c>
      <c r="E3069" s="83">
        <v>-3.4344590726959772E-3</v>
      </c>
      <c r="F3069" s="83">
        <v>3061</v>
      </c>
      <c r="G3069" s="83">
        <f t="shared" ca="1" si="99"/>
        <v>2.95846918478011E-2</v>
      </c>
    </row>
    <row r="3070" spans="2:7" x14ac:dyDescent="0.2">
      <c r="B3070" s="167">
        <v>45425</v>
      </c>
      <c r="C3070" s="28">
        <v>408.54</v>
      </c>
      <c r="D3070" s="83">
        <f t="shared" si="98"/>
        <v>0.76345664091164178</v>
      </c>
      <c r="E3070" s="83">
        <v>-3.4394438346138996E-3</v>
      </c>
      <c r="F3070" s="83">
        <v>3062</v>
      </c>
      <c r="G3070" s="83">
        <f t="shared" ca="1" si="99"/>
        <v>1.2022945657236484E-2</v>
      </c>
    </row>
    <row r="3071" spans="2:7" x14ac:dyDescent="0.2">
      <c r="B3071" s="167">
        <v>42027</v>
      </c>
      <c r="C3071" s="28">
        <v>231.67</v>
      </c>
      <c r="D3071" s="83">
        <f t="shared" si="98"/>
        <v>0.14433193381081749</v>
      </c>
      <c r="E3071" s="83">
        <v>-3.4413042543124332E-3</v>
      </c>
      <c r="F3071" s="83">
        <v>3063</v>
      </c>
      <c r="G3071" s="83">
        <f t="shared" ca="1" si="99"/>
        <v>-6.5700019356649073E-3</v>
      </c>
    </row>
    <row r="3072" spans="2:7" x14ac:dyDescent="0.2">
      <c r="B3072" s="167">
        <v>44173</v>
      </c>
      <c r="C3072" s="28">
        <v>202.45</v>
      </c>
      <c r="D3072" s="83">
        <f t="shared" si="98"/>
        <v>-0.52006732569992653</v>
      </c>
      <c r="E3072" s="83">
        <v>-3.4457297563377652E-3</v>
      </c>
      <c r="F3072" s="83">
        <v>3064</v>
      </c>
      <c r="G3072" s="83">
        <f t="shared" ca="1" si="99"/>
        <v>-1.1279617377759408E-2</v>
      </c>
    </row>
    <row r="3073" spans="2:7" x14ac:dyDescent="0.2">
      <c r="B3073" s="167">
        <v>45176</v>
      </c>
      <c r="C3073" s="28">
        <v>421.83</v>
      </c>
      <c r="D3073" s="83">
        <f t="shared" si="98"/>
        <v>6.3120124804992201</v>
      </c>
      <c r="E3073" s="83">
        <v>-3.4491719624844346E-3</v>
      </c>
      <c r="F3073" s="83">
        <v>3065</v>
      </c>
      <c r="G3073" s="83">
        <f t="shared" ca="1" si="99"/>
        <v>-5.9790547191133794E-4</v>
      </c>
    </row>
    <row r="3074" spans="2:7" x14ac:dyDescent="0.2">
      <c r="B3074" s="167">
        <v>39069</v>
      </c>
      <c r="C3074" s="28">
        <v>57.69</v>
      </c>
      <c r="D3074" s="83">
        <f t="shared" si="98"/>
        <v>-0.83605206320336478</v>
      </c>
      <c r="E3074" s="83">
        <v>-3.4548281223009646E-3</v>
      </c>
      <c r="F3074" s="83">
        <v>3066</v>
      </c>
      <c r="G3074" s="83">
        <f t="shared" ca="1" si="99"/>
        <v>5.363544470391216E-3</v>
      </c>
    </row>
    <row r="3075" spans="2:7" x14ac:dyDescent="0.2">
      <c r="B3075" s="167">
        <v>44966</v>
      </c>
      <c r="C3075" s="28">
        <v>351.88</v>
      </c>
      <c r="D3075" s="83">
        <f t="shared" si="98"/>
        <v>-0.2415888958337824</v>
      </c>
      <c r="E3075" s="83">
        <v>-3.4551118663268968E-3</v>
      </c>
      <c r="F3075" s="83">
        <v>3067</v>
      </c>
      <c r="G3075" s="83">
        <f t="shared" ca="1" si="99"/>
        <v>1.899393956836665E-2</v>
      </c>
    </row>
    <row r="3076" spans="2:7" x14ac:dyDescent="0.2">
      <c r="B3076" s="167">
        <v>45128</v>
      </c>
      <c r="C3076" s="28">
        <v>463.97</v>
      </c>
      <c r="D3076" s="83">
        <f t="shared" si="98"/>
        <v>1.1480092592592595</v>
      </c>
      <c r="E3076" s="83">
        <v>-3.4580523218350379E-3</v>
      </c>
      <c r="F3076" s="83">
        <v>3068</v>
      </c>
      <c r="G3076" s="83">
        <f t="shared" ca="1" si="99"/>
        <v>1.9458558394349196E-2</v>
      </c>
    </row>
    <row r="3077" spans="2:7" x14ac:dyDescent="0.2">
      <c r="B3077" s="167">
        <v>44560</v>
      </c>
      <c r="C3077" s="28">
        <v>216</v>
      </c>
      <c r="D3077" s="83">
        <f t="shared" si="98"/>
        <v>2.5714285714285716</v>
      </c>
      <c r="E3077" s="83">
        <v>-3.4602076124567475E-3</v>
      </c>
      <c r="F3077" s="83">
        <v>3069</v>
      </c>
      <c r="G3077" s="83">
        <f t="shared" ca="1" si="99"/>
        <v>-1.5518077059557288E-2</v>
      </c>
    </row>
    <row r="3078" spans="2:7" x14ac:dyDescent="0.2">
      <c r="B3078" s="167">
        <v>38975</v>
      </c>
      <c r="C3078" s="28">
        <v>60.48</v>
      </c>
      <c r="D3078" s="83">
        <f t="shared" si="98"/>
        <v>-0.76639629200463499</v>
      </c>
      <c r="E3078" s="83">
        <v>-3.4602076124567614E-3</v>
      </c>
      <c r="F3078" s="83">
        <v>3070</v>
      </c>
      <c r="G3078" s="83">
        <f t="shared" ca="1" si="99"/>
        <v>-7.5595580965326934E-3</v>
      </c>
    </row>
    <row r="3079" spans="2:7" x14ac:dyDescent="0.2">
      <c r="B3079" s="167">
        <v>43683</v>
      </c>
      <c r="C3079" s="28">
        <v>258.89999999999998</v>
      </c>
      <c r="D3079" s="83">
        <f t="shared" si="98"/>
        <v>0.18679807471922974</v>
      </c>
      <c r="E3079" s="83">
        <v>-3.4642032332564822E-3</v>
      </c>
      <c r="F3079" s="83">
        <v>3071</v>
      </c>
      <c r="G3079" s="83">
        <f t="shared" ca="1" si="99"/>
        <v>-3.5476769948421085E-3</v>
      </c>
    </row>
    <row r="3080" spans="2:7" x14ac:dyDescent="0.2">
      <c r="B3080" s="167">
        <v>41660</v>
      </c>
      <c r="C3080" s="28">
        <v>218.15</v>
      </c>
      <c r="D3080" s="83">
        <f t="shared" si="98"/>
        <v>0.90042686645178149</v>
      </c>
      <c r="E3080" s="83">
        <v>-3.47174637979074E-3</v>
      </c>
      <c r="F3080" s="83">
        <v>3072</v>
      </c>
      <c r="G3080" s="83">
        <f t="shared" ca="1" si="99"/>
        <v>-9.2929240664560899E-3</v>
      </c>
    </row>
    <row r="3081" spans="2:7" x14ac:dyDescent="0.2">
      <c r="B3081" s="167">
        <v>40556</v>
      </c>
      <c r="C3081" s="28">
        <v>114.79</v>
      </c>
      <c r="D3081" s="83">
        <f t="shared" ref="D3081:D3144" si="100">(C3081-C3082)/C3082</f>
        <v>-0.64591751750516668</v>
      </c>
      <c r="E3081" s="83">
        <v>-3.4725236565673365E-3</v>
      </c>
      <c r="F3081" s="83">
        <v>3073</v>
      </c>
      <c r="G3081" s="83">
        <f t="shared" ref="G3081:G3144" ca="1" si="101">_xlfn.NORM.INV(RAND(),$M$10,$M$11)</f>
        <v>3.5792901641269505E-3</v>
      </c>
    </row>
    <row r="3082" spans="2:7" x14ac:dyDescent="0.2">
      <c r="B3082" s="167">
        <v>44956</v>
      </c>
      <c r="C3082" s="28">
        <v>324.19</v>
      </c>
      <c r="D3082" s="83">
        <f t="shared" si="100"/>
        <v>0.3374174917491749</v>
      </c>
      <c r="E3082" s="83">
        <v>-3.4735030124185278E-3</v>
      </c>
      <c r="F3082" s="83">
        <v>3074</v>
      </c>
      <c r="G3082" s="83">
        <f t="shared" ca="1" si="101"/>
        <v>1.0500391484314702E-2</v>
      </c>
    </row>
    <row r="3083" spans="2:7" x14ac:dyDescent="0.2">
      <c r="B3083" s="167">
        <v>43845</v>
      </c>
      <c r="C3083" s="28">
        <v>242.4</v>
      </c>
      <c r="D3083" s="83">
        <f t="shared" si="100"/>
        <v>3.47562776957164</v>
      </c>
      <c r="E3083" s="83">
        <v>-3.494347379239442E-3</v>
      </c>
      <c r="F3083" s="83">
        <v>3075</v>
      </c>
      <c r="G3083" s="83">
        <f t="shared" ca="1" si="101"/>
        <v>-4.0705186516198037E-3</v>
      </c>
    </row>
    <row r="3084" spans="2:7" x14ac:dyDescent="0.2">
      <c r="B3084" s="167">
        <v>39304</v>
      </c>
      <c r="C3084" s="28">
        <v>54.16</v>
      </c>
      <c r="D3084" s="83">
        <f t="shared" si="100"/>
        <v>-0.8772160507821356</v>
      </c>
      <c r="E3084" s="83">
        <v>-3.4958601655934651E-3</v>
      </c>
      <c r="F3084" s="83">
        <v>3076</v>
      </c>
      <c r="G3084" s="83">
        <f t="shared" ca="1" si="101"/>
        <v>-4.3930955438350712E-3</v>
      </c>
    </row>
    <row r="3085" spans="2:7" x14ac:dyDescent="0.2">
      <c r="B3085" s="167">
        <v>45664</v>
      </c>
      <c r="C3085" s="28">
        <v>441.1</v>
      </c>
      <c r="D3085" s="83">
        <f t="shared" si="100"/>
        <v>2.6120209629872257</v>
      </c>
      <c r="E3085" s="83">
        <v>-3.5016378628712403E-3</v>
      </c>
      <c r="F3085" s="83">
        <v>3077</v>
      </c>
      <c r="G3085" s="83">
        <f t="shared" ca="1" si="101"/>
        <v>6.0046636397284824E-3</v>
      </c>
    </row>
    <row r="3086" spans="2:7" x14ac:dyDescent="0.2">
      <c r="B3086" s="167">
        <v>40638</v>
      </c>
      <c r="C3086" s="28">
        <v>122.12</v>
      </c>
      <c r="D3086" s="83">
        <f t="shared" si="100"/>
        <v>-0.52222222222222214</v>
      </c>
      <c r="E3086" s="83">
        <v>-3.5087719298245012E-3</v>
      </c>
      <c r="F3086" s="83">
        <v>3078</v>
      </c>
      <c r="G3086" s="83">
        <f t="shared" ca="1" si="101"/>
        <v>-1.2755970791263711E-2</v>
      </c>
    </row>
    <row r="3087" spans="2:7" x14ac:dyDescent="0.2">
      <c r="B3087" s="167">
        <v>42682</v>
      </c>
      <c r="C3087" s="28">
        <v>255.6</v>
      </c>
      <c r="D3087" s="83">
        <f t="shared" si="100"/>
        <v>4.0196386488609583</v>
      </c>
      <c r="E3087" s="83">
        <v>-3.5087719298245836E-3</v>
      </c>
      <c r="F3087" s="83">
        <v>3079</v>
      </c>
      <c r="G3087" s="83">
        <f t="shared" ca="1" si="101"/>
        <v>1.1278621499527334E-2</v>
      </c>
    </row>
    <row r="3088" spans="2:7" x14ac:dyDescent="0.2">
      <c r="B3088" s="167">
        <v>39260</v>
      </c>
      <c r="C3088" s="28">
        <v>50.92</v>
      </c>
      <c r="D3088" s="83">
        <f t="shared" si="100"/>
        <v>-0.78774489370571077</v>
      </c>
      <c r="E3088" s="83">
        <v>-3.5225048923679006E-3</v>
      </c>
      <c r="F3088" s="83">
        <v>3080</v>
      </c>
      <c r="G3088" s="83">
        <f t="shared" ca="1" si="101"/>
        <v>2.8407891716464996E-2</v>
      </c>
    </row>
    <row r="3089" spans="2:7" x14ac:dyDescent="0.2">
      <c r="B3089" s="167">
        <v>43721</v>
      </c>
      <c r="C3089" s="28">
        <v>239.9</v>
      </c>
      <c r="D3089" s="83">
        <f t="shared" si="100"/>
        <v>4.3133997785160574</v>
      </c>
      <c r="E3089" s="83">
        <v>-3.5306334371754695E-3</v>
      </c>
      <c r="F3089" s="83">
        <v>3081</v>
      </c>
      <c r="G3089" s="83">
        <f t="shared" ca="1" si="101"/>
        <v>1.1838640006788857E-2</v>
      </c>
    </row>
    <row r="3090" spans="2:7" x14ac:dyDescent="0.2">
      <c r="B3090" s="167">
        <v>38682</v>
      </c>
      <c r="C3090" s="28">
        <v>45.15</v>
      </c>
      <c r="D3090" s="83">
        <f t="shared" si="100"/>
        <v>-0.846585117227319</v>
      </c>
      <c r="E3090" s="83">
        <v>-3.5312293092033477E-3</v>
      </c>
      <c r="F3090" s="83">
        <v>3082</v>
      </c>
      <c r="G3090" s="83">
        <f t="shared" ca="1" si="101"/>
        <v>-5.2910018240033595E-3</v>
      </c>
    </row>
    <row r="3091" spans="2:7" x14ac:dyDescent="0.2">
      <c r="B3091" s="167">
        <v>43479</v>
      </c>
      <c r="C3091" s="28">
        <v>294.3</v>
      </c>
      <c r="D3091" s="83">
        <f t="shared" si="100"/>
        <v>-0.30612533597397079</v>
      </c>
      <c r="E3091" s="83">
        <v>-3.5551041137633697E-3</v>
      </c>
      <c r="F3091" s="83">
        <v>3083</v>
      </c>
      <c r="G3091" s="83">
        <f t="shared" ca="1" si="101"/>
        <v>1.205349275180958E-3</v>
      </c>
    </row>
    <row r="3092" spans="2:7" x14ac:dyDescent="0.2">
      <c r="B3092" s="167">
        <v>45184</v>
      </c>
      <c r="C3092" s="28">
        <v>424.14</v>
      </c>
      <c r="D3092" s="83">
        <f t="shared" si="100"/>
        <v>0.3865315462569468</v>
      </c>
      <c r="E3092" s="83">
        <v>-3.5709251515294803E-3</v>
      </c>
      <c r="F3092" s="83">
        <v>3084</v>
      </c>
      <c r="G3092" s="83">
        <f t="shared" ca="1" si="101"/>
        <v>1.9185309083826763E-2</v>
      </c>
    </row>
    <row r="3093" spans="2:7" x14ac:dyDescent="0.2">
      <c r="B3093" s="167">
        <v>43606</v>
      </c>
      <c r="C3093" s="28">
        <v>305.89999999999998</v>
      </c>
      <c r="D3093" s="83">
        <f t="shared" si="100"/>
        <v>0.32648193920471774</v>
      </c>
      <c r="E3093" s="83">
        <v>-3.5830618892508884E-3</v>
      </c>
      <c r="F3093" s="83">
        <v>3085</v>
      </c>
      <c r="G3093" s="83">
        <f t="shared" ca="1" si="101"/>
        <v>-4.7437981878707246E-3</v>
      </c>
    </row>
    <row r="3094" spans="2:7" x14ac:dyDescent="0.2">
      <c r="B3094" s="167">
        <v>42326</v>
      </c>
      <c r="C3094" s="28">
        <v>230.61</v>
      </c>
      <c r="D3094" s="83">
        <f t="shared" si="100"/>
        <v>0.18718146718146725</v>
      </c>
      <c r="E3094" s="83">
        <v>-3.5862426546836505E-3</v>
      </c>
      <c r="F3094" s="83">
        <v>3086</v>
      </c>
      <c r="G3094" s="83">
        <f t="shared" ca="1" si="101"/>
        <v>-2.2100889795248321E-3</v>
      </c>
    </row>
    <row r="3095" spans="2:7" x14ac:dyDescent="0.2">
      <c r="B3095" s="167">
        <v>44070</v>
      </c>
      <c r="C3095" s="28">
        <v>194.25</v>
      </c>
      <c r="D3095" s="83">
        <f t="shared" si="100"/>
        <v>-0.26224838587162935</v>
      </c>
      <c r="E3095" s="83">
        <v>-3.5906642728904268E-3</v>
      </c>
      <c r="F3095" s="83">
        <v>3087</v>
      </c>
      <c r="G3095" s="83">
        <f t="shared" ca="1" si="101"/>
        <v>2.9762278225290663E-3</v>
      </c>
    </row>
    <row r="3096" spans="2:7" x14ac:dyDescent="0.2">
      <c r="B3096" s="167">
        <v>43089</v>
      </c>
      <c r="C3096" s="28">
        <v>263.3</v>
      </c>
      <c r="D3096" s="83">
        <f t="shared" si="100"/>
        <v>0.58547600409465905</v>
      </c>
      <c r="E3096" s="83">
        <v>-3.5950804162724263E-3</v>
      </c>
      <c r="F3096" s="83">
        <v>3088</v>
      </c>
      <c r="G3096" s="83">
        <f t="shared" ca="1" si="101"/>
        <v>-1.2449386587023844E-2</v>
      </c>
    </row>
    <row r="3097" spans="2:7" x14ac:dyDescent="0.2">
      <c r="B3097" s="167">
        <v>41082</v>
      </c>
      <c r="C3097" s="28">
        <v>166.07</v>
      </c>
      <c r="D3097" s="83">
        <f t="shared" si="100"/>
        <v>-0.30184554588640861</v>
      </c>
      <c r="E3097" s="83">
        <v>-3.5999280014399372E-3</v>
      </c>
      <c r="F3097" s="83">
        <v>3089</v>
      </c>
      <c r="G3097" s="83">
        <f t="shared" ca="1" si="101"/>
        <v>-2.4166459124562861E-2</v>
      </c>
    </row>
    <row r="3098" spans="2:7" x14ac:dyDescent="0.2">
      <c r="B3098" s="167">
        <v>42023</v>
      </c>
      <c r="C3098" s="28">
        <v>237.87</v>
      </c>
      <c r="D3098" s="83">
        <f t="shared" si="100"/>
        <v>-9.3137628669462472E-2</v>
      </c>
      <c r="E3098" s="83">
        <v>-3.6023960122313296E-3</v>
      </c>
      <c r="F3098" s="83">
        <v>3090</v>
      </c>
      <c r="G3098" s="83">
        <f t="shared" ca="1" si="101"/>
        <v>-1.0240176320499483E-2</v>
      </c>
    </row>
    <row r="3099" spans="2:7" x14ac:dyDescent="0.2">
      <c r="B3099" s="167">
        <v>43101</v>
      </c>
      <c r="C3099" s="28">
        <v>262.3</v>
      </c>
      <c r="D3099" s="83">
        <f t="shared" si="100"/>
        <v>0.26714975845410632</v>
      </c>
      <c r="E3099" s="83">
        <v>-3.6087369420702321E-3</v>
      </c>
      <c r="F3099" s="83">
        <v>3091</v>
      </c>
      <c r="G3099" s="83">
        <f t="shared" ca="1" si="101"/>
        <v>2.1074182053892491E-2</v>
      </c>
    </row>
    <row r="3100" spans="2:7" x14ac:dyDescent="0.2">
      <c r="B3100" s="167">
        <v>44336</v>
      </c>
      <c r="C3100" s="28">
        <v>207</v>
      </c>
      <c r="D3100" s="83">
        <f t="shared" si="100"/>
        <v>2.0218978102189782</v>
      </c>
      <c r="E3100" s="83">
        <v>-3.6101083032490976E-3</v>
      </c>
      <c r="F3100" s="83">
        <v>3092</v>
      </c>
      <c r="G3100" s="83">
        <f t="shared" ca="1" si="101"/>
        <v>2.1941693607547278E-2</v>
      </c>
    </row>
    <row r="3101" spans="2:7" x14ac:dyDescent="0.2">
      <c r="B3101" s="167">
        <v>39548</v>
      </c>
      <c r="C3101" s="28">
        <v>68.5</v>
      </c>
      <c r="D3101" s="83">
        <f t="shared" si="100"/>
        <v>-0.16534665529426093</v>
      </c>
      <c r="E3101" s="83">
        <v>-3.6363636363636364E-3</v>
      </c>
      <c r="F3101" s="83">
        <v>3093</v>
      </c>
      <c r="G3101" s="83">
        <f t="shared" ca="1" si="101"/>
        <v>1.3966019646267638E-3</v>
      </c>
    </row>
    <row r="3102" spans="2:7" x14ac:dyDescent="0.2">
      <c r="B3102" s="167">
        <v>40231</v>
      </c>
      <c r="C3102" s="28">
        <v>82.07</v>
      </c>
      <c r="D3102" s="83">
        <f t="shared" si="100"/>
        <v>-0.52092697449068948</v>
      </c>
      <c r="E3102" s="83">
        <v>-3.6421027072964835E-3</v>
      </c>
      <c r="F3102" s="83">
        <v>3094</v>
      </c>
      <c r="G3102" s="83">
        <f t="shared" ca="1" si="101"/>
        <v>2.4694498330920325E-2</v>
      </c>
    </row>
    <row r="3103" spans="2:7" x14ac:dyDescent="0.2">
      <c r="B3103" s="167">
        <v>41127</v>
      </c>
      <c r="C3103" s="28">
        <v>171.31</v>
      </c>
      <c r="D3103" s="83">
        <f t="shared" si="100"/>
        <v>-0.29805367752509732</v>
      </c>
      <c r="E3103" s="83">
        <v>-3.6640688612306353E-3</v>
      </c>
      <c r="F3103" s="83">
        <v>3095</v>
      </c>
      <c r="G3103" s="83">
        <f t="shared" ca="1" si="101"/>
        <v>2.4511010349934055E-3</v>
      </c>
    </row>
    <row r="3104" spans="2:7" x14ac:dyDescent="0.2">
      <c r="B3104" s="167">
        <v>43802</v>
      </c>
      <c r="C3104" s="28">
        <v>244.05</v>
      </c>
      <c r="D3104" s="83">
        <f t="shared" si="100"/>
        <v>0.20073800738007386</v>
      </c>
      <c r="E3104" s="83">
        <v>-3.6742192284138693E-3</v>
      </c>
      <c r="F3104" s="83">
        <v>3096</v>
      </c>
      <c r="G3104" s="83">
        <f t="shared" ca="1" si="101"/>
        <v>2.7022591538899816E-2</v>
      </c>
    </row>
    <row r="3105" spans="2:7" x14ac:dyDescent="0.2">
      <c r="B3105" s="167">
        <v>44328</v>
      </c>
      <c r="C3105" s="28">
        <v>203.25</v>
      </c>
      <c r="D3105" s="83">
        <f t="shared" si="100"/>
        <v>-0.11630434782608695</v>
      </c>
      <c r="E3105" s="83">
        <v>-3.6764705882352941E-3</v>
      </c>
      <c r="F3105" s="83">
        <v>3097</v>
      </c>
      <c r="G3105" s="83">
        <f t="shared" ca="1" si="101"/>
        <v>4.946126970592938E-3</v>
      </c>
    </row>
    <row r="3106" spans="2:7" x14ac:dyDescent="0.2">
      <c r="B3106" s="167">
        <v>44511</v>
      </c>
      <c r="C3106" s="28">
        <v>230</v>
      </c>
      <c r="D3106" s="83">
        <f t="shared" si="100"/>
        <v>0.41835224469659599</v>
      </c>
      <c r="E3106" s="83">
        <v>-3.6820446177171077E-3</v>
      </c>
      <c r="F3106" s="83">
        <v>3098</v>
      </c>
      <c r="G3106" s="83">
        <f t="shared" ca="1" si="101"/>
        <v>-1.3267024288347851E-2</v>
      </c>
    </row>
    <row r="3107" spans="2:7" x14ac:dyDescent="0.2">
      <c r="B3107" s="167">
        <v>41031</v>
      </c>
      <c r="C3107" s="28">
        <v>162.16</v>
      </c>
      <c r="D3107" s="83">
        <f t="shared" si="100"/>
        <v>-0.32571000873217187</v>
      </c>
      <c r="E3107" s="83">
        <v>-3.6864094372081246E-3</v>
      </c>
      <c r="F3107" s="83">
        <v>3099</v>
      </c>
      <c r="G3107" s="83">
        <f t="shared" ca="1" si="101"/>
        <v>-8.8335008255571289E-5</v>
      </c>
    </row>
    <row r="3108" spans="2:7" x14ac:dyDescent="0.2">
      <c r="B3108" s="167">
        <v>41919</v>
      </c>
      <c r="C3108" s="28">
        <v>240.49</v>
      </c>
      <c r="D3108" s="83">
        <f t="shared" si="100"/>
        <v>-1.0939749126053862E-2</v>
      </c>
      <c r="E3108" s="83">
        <v>-3.6871323224790223E-3</v>
      </c>
      <c r="F3108" s="83">
        <v>3100</v>
      </c>
      <c r="G3108" s="83">
        <f t="shared" ca="1" si="101"/>
        <v>2.3982445612157881E-2</v>
      </c>
    </row>
    <row r="3109" spans="2:7" x14ac:dyDescent="0.2">
      <c r="B3109" s="167">
        <v>43803</v>
      </c>
      <c r="C3109" s="28">
        <v>243.15</v>
      </c>
      <c r="D3109" s="83">
        <f t="shared" si="100"/>
        <v>3.1003372681281625</v>
      </c>
      <c r="E3109" s="83">
        <v>-3.6877688998156349E-3</v>
      </c>
      <c r="F3109" s="83">
        <v>3101</v>
      </c>
      <c r="G3109" s="83">
        <f t="shared" ca="1" si="101"/>
        <v>-1.4172226240894687E-2</v>
      </c>
    </row>
    <row r="3110" spans="2:7" x14ac:dyDescent="0.2">
      <c r="B3110" s="167">
        <v>39386</v>
      </c>
      <c r="C3110" s="28">
        <v>59.3</v>
      </c>
      <c r="D3110" s="83">
        <f t="shared" si="100"/>
        <v>-0.54825931286661089</v>
      </c>
      <c r="E3110" s="83">
        <v>-3.6962365591398849E-3</v>
      </c>
      <c r="F3110" s="83">
        <v>3102</v>
      </c>
      <c r="G3110" s="83">
        <f t="shared" ca="1" si="101"/>
        <v>-1.1028215872273091E-2</v>
      </c>
    </row>
    <row r="3111" spans="2:7" x14ac:dyDescent="0.2">
      <c r="B3111" s="167">
        <v>40767</v>
      </c>
      <c r="C3111" s="28">
        <v>131.27000000000001</v>
      </c>
      <c r="D3111" s="83">
        <f t="shared" si="100"/>
        <v>1.0517349171616133</v>
      </c>
      <c r="E3111" s="83">
        <v>-3.7188828172433266E-3</v>
      </c>
      <c r="F3111" s="83">
        <v>3103</v>
      </c>
      <c r="G3111" s="83">
        <f t="shared" ca="1" si="101"/>
        <v>-1.7732509897762167E-2</v>
      </c>
    </row>
    <row r="3112" spans="2:7" x14ac:dyDescent="0.2">
      <c r="B3112" s="167">
        <v>39715</v>
      </c>
      <c r="C3112" s="28">
        <v>63.98</v>
      </c>
      <c r="D3112" s="83">
        <f t="shared" si="100"/>
        <v>-0.80731817497364855</v>
      </c>
      <c r="E3112" s="83">
        <v>-3.7371535347244158E-3</v>
      </c>
      <c r="F3112" s="83">
        <v>3104</v>
      </c>
      <c r="G3112" s="83">
        <f t="shared" ca="1" si="101"/>
        <v>-3.8843560057471478E-2</v>
      </c>
    </row>
    <row r="3113" spans="2:7" x14ac:dyDescent="0.2">
      <c r="B3113" s="167">
        <v>44819</v>
      </c>
      <c r="C3113" s="28">
        <v>332.05</v>
      </c>
      <c r="D3113" s="83">
        <f t="shared" si="100"/>
        <v>5.25918944392083</v>
      </c>
      <c r="E3113" s="83">
        <v>-3.7503750375037503E-3</v>
      </c>
      <c r="F3113" s="83">
        <v>3105</v>
      </c>
      <c r="G3113" s="83">
        <f t="shared" ca="1" si="101"/>
        <v>-1.6318368688924119E-2</v>
      </c>
    </row>
    <row r="3114" spans="2:7" x14ac:dyDescent="0.2">
      <c r="B3114" s="167">
        <v>39202</v>
      </c>
      <c r="C3114" s="28">
        <v>53.05</v>
      </c>
      <c r="D3114" s="83">
        <f t="shared" si="100"/>
        <v>-0.12904285010671482</v>
      </c>
      <c r="E3114" s="83">
        <v>-3.7558685446009922E-3</v>
      </c>
      <c r="F3114" s="83">
        <v>3106</v>
      </c>
      <c r="G3114" s="83">
        <f t="shared" ca="1" si="101"/>
        <v>-1.5127968054130657E-2</v>
      </c>
    </row>
    <row r="3115" spans="2:7" x14ac:dyDescent="0.2">
      <c r="B3115" s="167">
        <v>38986</v>
      </c>
      <c r="C3115" s="28">
        <v>60.91</v>
      </c>
      <c r="D3115" s="83">
        <f t="shared" si="100"/>
        <v>-0.73495496279535266</v>
      </c>
      <c r="E3115" s="83">
        <v>-3.7618580307491657E-3</v>
      </c>
      <c r="F3115" s="83">
        <v>3107</v>
      </c>
      <c r="G3115" s="83">
        <f t="shared" ca="1" si="101"/>
        <v>5.0477732001881666E-3</v>
      </c>
    </row>
    <row r="3116" spans="2:7" x14ac:dyDescent="0.2">
      <c r="B3116" s="167">
        <v>41766</v>
      </c>
      <c r="C3116" s="28">
        <v>229.81</v>
      </c>
      <c r="D3116" s="83">
        <f t="shared" si="100"/>
        <v>-0.5293961050928675</v>
      </c>
      <c r="E3116" s="83">
        <v>-3.7714582972082733E-3</v>
      </c>
      <c r="F3116" s="83">
        <v>3108</v>
      </c>
      <c r="G3116" s="83">
        <f t="shared" ca="1" si="101"/>
        <v>1.6188340596557806E-2</v>
      </c>
    </row>
    <row r="3117" spans="2:7" x14ac:dyDescent="0.2">
      <c r="B3117" s="167">
        <v>45566</v>
      </c>
      <c r="C3117" s="28">
        <v>488.33</v>
      </c>
      <c r="D3117" s="83">
        <f t="shared" si="100"/>
        <v>4.7852150219168346</v>
      </c>
      <c r="E3117" s="83">
        <v>-3.7741237912603995E-3</v>
      </c>
      <c r="F3117" s="83">
        <v>3109</v>
      </c>
      <c r="G3117" s="83">
        <f t="shared" ca="1" si="101"/>
        <v>2.3611328836617696E-2</v>
      </c>
    </row>
    <row r="3118" spans="2:7" x14ac:dyDescent="0.2">
      <c r="B3118" s="167">
        <v>40134</v>
      </c>
      <c r="C3118" s="28">
        <v>84.41</v>
      </c>
      <c r="D3118" s="83">
        <f t="shared" si="100"/>
        <v>-0.62782186948853624</v>
      </c>
      <c r="E3118" s="83">
        <v>-3.7767024666588854E-3</v>
      </c>
      <c r="F3118" s="83">
        <v>3110</v>
      </c>
      <c r="G3118" s="83">
        <f t="shared" ca="1" si="101"/>
        <v>2.170081052521939E-2</v>
      </c>
    </row>
    <row r="3119" spans="2:7" x14ac:dyDescent="0.2">
      <c r="B3119" s="167">
        <v>42117</v>
      </c>
      <c r="C3119" s="28">
        <v>226.8</v>
      </c>
      <c r="D3119" s="83">
        <f t="shared" si="100"/>
        <v>1.1515985200645102</v>
      </c>
      <c r="E3119" s="83">
        <v>-3.7775630325923974E-3</v>
      </c>
      <c r="F3119" s="83">
        <v>3111</v>
      </c>
      <c r="G3119" s="83">
        <f t="shared" ca="1" si="101"/>
        <v>2.3985451379928413E-2</v>
      </c>
    </row>
    <row r="3120" spans="2:7" x14ac:dyDescent="0.2">
      <c r="B3120" s="167">
        <v>40576</v>
      </c>
      <c r="C3120" s="28">
        <v>105.41</v>
      </c>
      <c r="D3120" s="83">
        <f t="shared" si="100"/>
        <v>-0.61543232396935432</v>
      </c>
      <c r="E3120" s="83">
        <v>-3.7803610244778914E-3</v>
      </c>
      <c r="F3120" s="83">
        <v>3112</v>
      </c>
      <c r="G3120" s="83">
        <f t="shared" ca="1" si="101"/>
        <v>-1.6194596291967685E-2</v>
      </c>
    </row>
    <row r="3121" spans="2:7" x14ac:dyDescent="0.2">
      <c r="B3121" s="167">
        <v>43139</v>
      </c>
      <c r="C3121" s="28">
        <v>274.10000000000002</v>
      </c>
      <c r="D3121" s="83">
        <f t="shared" si="100"/>
        <v>-0.39862656047741279</v>
      </c>
      <c r="E3121" s="83">
        <v>-3.8161003089222409E-3</v>
      </c>
      <c r="F3121" s="83">
        <v>3113</v>
      </c>
      <c r="G3121" s="83">
        <f t="shared" ca="1" si="101"/>
        <v>1.1585613618772733E-2</v>
      </c>
    </row>
    <row r="3122" spans="2:7" x14ac:dyDescent="0.2">
      <c r="B3122" s="167">
        <v>45587</v>
      </c>
      <c r="C3122" s="28">
        <v>455.79</v>
      </c>
      <c r="D3122" s="83">
        <f t="shared" si="100"/>
        <v>9.3887248902008794E-2</v>
      </c>
      <c r="E3122" s="83">
        <v>-3.8248022030860688E-3</v>
      </c>
      <c r="F3122" s="83">
        <v>3114</v>
      </c>
      <c r="G3122" s="83">
        <f t="shared" ca="1" si="101"/>
        <v>9.0905129084388348E-3</v>
      </c>
    </row>
    <row r="3123" spans="2:7" x14ac:dyDescent="0.2">
      <c r="B3123" s="167">
        <v>45208</v>
      </c>
      <c r="C3123" s="28">
        <v>416.67</v>
      </c>
      <c r="D3123" s="83">
        <f t="shared" si="100"/>
        <v>2.0385036097134108</v>
      </c>
      <c r="E3123" s="83">
        <v>-3.8490962991296666E-3</v>
      </c>
      <c r="F3123" s="83">
        <v>3115</v>
      </c>
      <c r="G3123" s="83">
        <f t="shared" ca="1" si="101"/>
        <v>-2.8895513396472289E-3</v>
      </c>
    </row>
    <row r="3124" spans="2:7" x14ac:dyDescent="0.2">
      <c r="B3124" s="167">
        <v>40969</v>
      </c>
      <c r="C3124" s="28">
        <v>137.13</v>
      </c>
      <c r="D3124" s="83">
        <f t="shared" si="100"/>
        <v>1.1220984215413183</v>
      </c>
      <c r="E3124" s="83">
        <v>-3.8500653784686993E-3</v>
      </c>
      <c r="F3124" s="83">
        <v>3116</v>
      </c>
      <c r="G3124" s="83">
        <f t="shared" ca="1" si="101"/>
        <v>7.9404687327335969E-3</v>
      </c>
    </row>
    <row r="3125" spans="2:7" x14ac:dyDescent="0.2">
      <c r="B3125" s="167">
        <v>39673</v>
      </c>
      <c r="C3125" s="28">
        <v>64.62</v>
      </c>
      <c r="D3125" s="83">
        <f t="shared" si="100"/>
        <v>-0.83991477976514883</v>
      </c>
      <c r="E3125" s="83">
        <v>-3.8538615692924306E-3</v>
      </c>
      <c r="F3125" s="83">
        <v>3117</v>
      </c>
      <c r="G3125" s="83">
        <f t="shared" ca="1" si="101"/>
        <v>2.5722079020227299E-3</v>
      </c>
    </row>
    <row r="3126" spans="2:7" x14ac:dyDescent="0.2">
      <c r="B3126" s="167">
        <v>45383</v>
      </c>
      <c r="C3126" s="28">
        <v>403.66</v>
      </c>
      <c r="D3126" s="83">
        <f t="shared" si="100"/>
        <v>6.1381078691423525</v>
      </c>
      <c r="E3126" s="83">
        <v>-3.8743429657231527E-3</v>
      </c>
      <c r="F3126" s="83">
        <v>3118</v>
      </c>
      <c r="G3126" s="83">
        <f t="shared" ca="1" si="101"/>
        <v>3.6787630745663811E-3</v>
      </c>
    </row>
    <row r="3127" spans="2:7" x14ac:dyDescent="0.2">
      <c r="B3127" s="167">
        <v>39835</v>
      </c>
      <c r="C3127" s="28">
        <v>56.55</v>
      </c>
      <c r="D3127" s="83">
        <f t="shared" si="100"/>
        <v>-0.73484315656210442</v>
      </c>
      <c r="E3127" s="83">
        <v>-3.8752862427339431E-3</v>
      </c>
      <c r="F3127" s="83">
        <v>3119</v>
      </c>
      <c r="G3127" s="83">
        <f t="shared" ca="1" si="101"/>
        <v>2.5201926384409788E-2</v>
      </c>
    </row>
    <row r="3128" spans="2:7" x14ac:dyDescent="0.2">
      <c r="B3128" s="167">
        <v>41452</v>
      </c>
      <c r="C3128" s="28">
        <v>213.27</v>
      </c>
      <c r="D3128" s="83">
        <f t="shared" si="100"/>
        <v>5.9243506493506493</v>
      </c>
      <c r="E3128" s="83">
        <v>-3.8766931340494352E-3</v>
      </c>
      <c r="F3128" s="83">
        <v>3120</v>
      </c>
      <c r="G3128" s="83">
        <f t="shared" ca="1" si="101"/>
        <v>2.0389369363928964E-2</v>
      </c>
    </row>
    <row r="3129" spans="2:7" x14ac:dyDescent="0.2">
      <c r="B3129" s="167">
        <v>38464</v>
      </c>
      <c r="C3129" s="28">
        <v>30.8</v>
      </c>
      <c r="D3129" s="83">
        <f t="shared" si="100"/>
        <v>-0.89072201525634198</v>
      </c>
      <c r="E3129" s="83">
        <v>-3.8809831824062413E-3</v>
      </c>
      <c r="F3129" s="83">
        <v>3121</v>
      </c>
      <c r="G3129" s="83">
        <f t="shared" ca="1" si="101"/>
        <v>-1.7483343195832626E-2</v>
      </c>
    </row>
    <row r="3130" spans="2:7" x14ac:dyDescent="0.2">
      <c r="B3130" s="167">
        <v>43438</v>
      </c>
      <c r="C3130" s="28">
        <v>281.85000000000002</v>
      </c>
      <c r="D3130" s="83">
        <f t="shared" si="100"/>
        <v>4.815916697657139E-2</v>
      </c>
      <c r="E3130" s="83">
        <v>-3.8876126524119664E-3</v>
      </c>
      <c r="F3130" s="83">
        <v>3122</v>
      </c>
      <c r="G3130" s="83">
        <f t="shared" ca="1" si="101"/>
        <v>-1.7979095705149439E-2</v>
      </c>
    </row>
    <row r="3131" spans="2:7" x14ac:dyDescent="0.2">
      <c r="B3131" s="167">
        <v>43255</v>
      </c>
      <c r="C3131" s="28">
        <v>268.89999999999998</v>
      </c>
      <c r="D3131" s="83">
        <f t="shared" si="100"/>
        <v>-4.4590513412684357E-2</v>
      </c>
      <c r="E3131" s="83">
        <v>-3.8896091868865028E-3</v>
      </c>
      <c r="F3131" s="83">
        <v>3123</v>
      </c>
      <c r="G3131" s="83">
        <f t="shared" ca="1" si="101"/>
        <v>-4.5568128541037386E-3</v>
      </c>
    </row>
    <row r="3132" spans="2:7" x14ac:dyDescent="0.2">
      <c r="B3132" s="167">
        <v>42971</v>
      </c>
      <c r="C3132" s="28">
        <v>281.45</v>
      </c>
      <c r="D3132" s="83">
        <f t="shared" si="100"/>
        <v>4.2392032762472081</v>
      </c>
      <c r="E3132" s="83">
        <v>-3.8931162626084682E-3</v>
      </c>
      <c r="F3132" s="83">
        <v>3124</v>
      </c>
      <c r="G3132" s="83">
        <f t="shared" ca="1" si="101"/>
        <v>1.3834442570401031E-2</v>
      </c>
    </row>
    <row r="3133" spans="2:7" x14ac:dyDescent="0.2">
      <c r="B3133" s="167">
        <v>39091</v>
      </c>
      <c r="C3133" s="28">
        <v>53.72</v>
      </c>
      <c r="D3133" s="83">
        <f t="shared" si="100"/>
        <v>-0.86938338844582763</v>
      </c>
      <c r="E3133" s="83">
        <v>-3.8939365844613545E-3</v>
      </c>
      <c r="F3133" s="83">
        <v>3125</v>
      </c>
      <c r="G3133" s="83">
        <f t="shared" ca="1" si="101"/>
        <v>-3.9075796558668746E-2</v>
      </c>
    </row>
    <row r="3134" spans="2:7" x14ac:dyDescent="0.2">
      <c r="B3134" s="167">
        <v>45418</v>
      </c>
      <c r="C3134" s="28">
        <v>411.28</v>
      </c>
      <c r="D3134" s="83">
        <f t="shared" si="100"/>
        <v>0.46623885918003555</v>
      </c>
      <c r="E3134" s="83">
        <v>-3.8993436508513494E-3</v>
      </c>
      <c r="F3134" s="83">
        <v>3126</v>
      </c>
      <c r="G3134" s="83">
        <f t="shared" ca="1" si="101"/>
        <v>3.8019431943026739E-2</v>
      </c>
    </row>
    <row r="3135" spans="2:7" x14ac:dyDescent="0.2">
      <c r="B3135" s="167">
        <v>42822</v>
      </c>
      <c r="C3135" s="28">
        <v>280.5</v>
      </c>
      <c r="D3135" s="83">
        <f t="shared" si="100"/>
        <v>7.5077343039126481</v>
      </c>
      <c r="E3135" s="83">
        <v>-3.9062500000000807E-3</v>
      </c>
      <c r="F3135" s="83">
        <v>3127</v>
      </c>
      <c r="G3135" s="83">
        <f t="shared" ca="1" si="101"/>
        <v>3.2117796375383485E-2</v>
      </c>
    </row>
    <row r="3136" spans="2:7" x14ac:dyDescent="0.2">
      <c r="B3136" s="167">
        <v>38495</v>
      </c>
      <c r="C3136" s="28">
        <v>32.97</v>
      </c>
      <c r="D3136" s="83">
        <f t="shared" si="100"/>
        <v>-0.87602932882120699</v>
      </c>
      <c r="E3136" s="83">
        <v>-3.9274924471299861E-3</v>
      </c>
      <c r="F3136" s="83">
        <v>3128</v>
      </c>
      <c r="G3136" s="83">
        <f t="shared" ca="1" si="101"/>
        <v>8.9863346424946984E-3</v>
      </c>
    </row>
    <row r="3137" spans="2:7" x14ac:dyDescent="0.2">
      <c r="B3137" s="167">
        <v>43021</v>
      </c>
      <c r="C3137" s="28">
        <v>265.95</v>
      </c>
      <c r="D3137" s="83">
        <f t="shared" si="100"/>
        <v>-0.32655541769010665</v>
      </c>
      <c r="E3137" s="83">
        <v>-3.9325842696629641E-3</v>
      </c>
      <c r="F3137" s="83">
        <v>3129</v>
      </c>
      <c r="G3137" s="83">
        <f t="shared" ca="1" si="101"/>
        <v>2.1886846402978145E-2</v>
      </c>
    </row>
    <row r="3138" spans="2:7" x14ac:dyDescent="0.2">
      <c r="B3138" s="167">
        <v>45369</v>
      </c>
      <c r="C3138" s="28">
        <v>394.91</v>
      </c>
      <c r="D3138" s="83">
        <f t="shared" si="100"/>
        <v>0.87971821600266564</v>
      </c>
      <c r="E3138" s="83">
        <v>-3.9347239387595581E-3</v>
      </c>
      <c r="F3138" s="83">
        <v>3130</v>
      </c>
      <c r="G3138" s="83">
        <f t="shared" ca="1" si="101"/>
        <v>1.1310859507605716E-2</v>
      </c>
    </row>
    <row r="3139" spans="2:7" x14ac:dyDescent="0.2">
      <c r="B3139" s="167">
        <v>42233</v>
      </c>
      <c r="C3139" s="28">
        <v>210.09</v>
      </c>
      <c r="D3139" s="83">
        <f t="shared" si="100"/>
        <v>0.66000316055625785</v>
      </c>
      <c r="E3139" s="83">
        <v>-3.9351412857954867E-3</v>
      </c>
      <c r="F3139" s="83">
        <v>3131</v>
      </c>
      <c r="G3139" s="83">
        <f t="shared" ca="1" si="101"/>
        <v>1.3302662900637193E-2</v>
      </c>
    </row>
    <row r="3140" spans="2:7" x14ac:dyDescent="0.2">
      <c r="B3140" s="167">
        <v>40707</v>
      </c>
      <c r="C3140" s="28">
        <v>126.56</v>
      </c>
      <c r="D3140" s="83">
        <f t="shared" si="100"/>
        <v>8.803301237964245E-2</v>
      </c>
      <c r="E3140" s="83">
        <v>-3.935148748622698E-3</v>
      </c>
      <c r="F3140" s="83">
        <v>3132</v>
      </c>
      <c r="G3140" s="83">
        <f t="shared" ca="1" si="101"/>
        <v>1.3196858849171034E-2</v>
      </c>
    </row>
    <row r="3141" spans="2:7" x14ac:dyDescent="0.2">
      <c r="B3141" s="167">
        <v>40562</v>
      </c>
      <c r="C3141" s="28">
        <v>116.32</v>
      </c>
      <c r="D3141" s="83">
        <f t="shared" si="100"/>
        <v>-0.53987341772151909</v>
      </c>
      <c r="E3141" s="83">
        <v>-3.939030655934303E-3</v>
      </c>
      <c r="F3141" s="83">
        <v>3133</v>
      </c>
      <c r="G3141" s="83">
        <f t="shared" ca="1" si="101"/>
        <v>1.4711719015093187E-2</v>
      </c>
    </row>
    <row r="3142" spans="2:7" x14ac:dyDescent="0.2">
      <c r="B3142" s="167">
        <v>42611</v>
      </c>
      <c r="C3142" s="28">
        <v>252.8</v>
      </c>
      <c r="D3142" s="83">
        <f t="shared" si="100"/>
        <v>-8.8680605623648046E-2</v>
      </c>
      <c r="E3142" s="83">
        <v>-3.9401103230890461E-3</v>
      </c>
      <c r="F3142" s="83">
        <v>3134</v>
      </c>
      <c r="G3142" s="83">
        <f t="shared" ca="1" si="101"/>
        <v>8.4707174984392862E-4</v>
      </c>
    </row>
    <row r="3143" spans="2:7" x14ac:dyDescent="0.2">
      <c r="B3143" s="167">
        <v>43642</v>
      </c>
      <c r="C3143" s="28">
        <v>277.39999999999998</v>
      </c>
      <c r="D3143" s="83">
        <f t="shared" si="100"/>
        <v>0.32581369784447733</v>
      </c>
      <c r="E3143" s="83">
        <v>-3.9497307001796151E-3</v>
      </c>
      <c r="F3143" s="83">
        <v>3135</v>
      </c>
      <c r="G3143" s="83">
        <f t="shared" ca="1" si="101"/>
        <v>-1.8210208538804906E-2</v>
      </c>
    </row>
    <row r="3144" spans="2:7" x14ac:dyDescent="0.2">
      <c r="B3144" s="167">
        <v>41648</v>
      </c>
      <c r="C3144" s="28">
        <v>209.23</v>
      </c>
      <c r="D3144" s="83">
        <f t="shared" si="100"/>
        <v>-0.20925925925925937</v>
      </c>
      <c r="E3144" s="83">
        <v>-3.9512520232315171E-3</v>
      </c>
      <c r="F3144" s="83">
        <v>3136</v>
      </c>
      <c r="G3144" s="83">
        <f t="shared" ca="1" si="101"/>
        <v>6.7292136709250355E-3</v>
      </c>
    </row>
    <row r="3145" spans="2:7" x14ac:dyDescent="0.2">
      <c r="B3145" s="167">
        <v>42793</v>
      </c>
      <c r="C3145" s="28">
        <v>264.60000000000002</v>
      </c>
      <c r="D3145" s="83">
        <f t="shared" ref="D3145:D3208" si="102">(C3145-C3146)/C3146</f>
        <v>7.5642965204253214E-4</v>
      </c>
      <c r="E3145" s="83">
        <v>-3.9525691699603032E-3</v>
      </c>
      <c r="F3145" s="83">
        <v>3137</v>
      </c>
      <c r="G3145" s="83">
        <f t="shared" ref="G3145:G3208" ca="1" si="103">_xlfn.NORM.INV(RAND(),$M$10,$M$11)</f>
        <v>-1.8773152296666734E-2</v>
      </c>
    </row>
    <row r="3146" spans="2:7" x14ac:dyDescent="0.2">
      <c r="B3146" s="167">
        <v>43285</v>
      </c>
      <c r="C3146" s="28">
        <v>264.39999999999998</v>
      </c>
      <c r="D3146" s="83">
        <f t="shared" si="102"/>
        <v>1.5151515151514291E-3</v>
      </c>
      <c r="E3146" s="83">
        <v>-3.955547184027167E-3</v>
      </c>
      <c r="F3146" s="83">
        <v>3138</v>
      </c>
      <c r="G3146" s="83">
        <f t="shared" ca="1" si="103"/>
        <v>-1.0613245285677298E-2</v>
      </c>
    </row>
    <row r="3147" spans="2:7" x14ac:dyDescent="0.2">
      <c r="B3147" s="167">
        <v>43160</v>
      </c>
      <c r="C3147" s="28">
        <v>264</v>
      </c>
      <c r="D3147" s="83">
        <f t="shared" si="102"/>
        <v>-0.38212371568329156</v>
      </c>
      <c r="E3147" s="83">
        <v>-3.9615166949632571E-3</v>
      </c>
      <c r="F3147" s="83">
        <v>3139</v>
      </c>
      <c r="G3147" s="83">
        <f t="shared" ca="1" si="103"/>
        <v>-1.6033058192216256E-2</v>
      </c>
    </row>
    <row r="3148" spans="2:7" x14ac:dyDescent="0.2">
      <c r="B3148" s="167">
        <v>45217</v>
      </c>
      <c r="C3148" s="28">
        <v>427.27</v>
      </c>
      <c r="D3148" s="83">
        <f t="shared" si="102"/>
        <v>0.79713985278654043</v>
      </c>
      <c r="E3148" s="83">
        <v>-3.9629810942491206E-3</v>
      </c>
      <c r="F3148" s="83">
        <v>3140</v>
      </c>
      <c r="G3148" s="83">
        <f t="shared" ca="1" si="103"/>
        <v>1.7518036253474079E-2</v>
      </c>
    </row>
    <row r="3149" spans="2:7" x14ac:dyDescent="0.2">
      <c r="B3149" s="167">
        <v>44467</v>
      </c>
      <c r="C3149" s="28">
        <v>237.75</v>
      </c>
      <c r="D3149" s="83">
        <f t="shared" si="102"/>
        <v>6.7627643809780424E-2</v>
      </c>
      <c r="E3149" s="83">
        <v>-3.9798910766652229E-3</v>
      </c>
      <c r="F3149" s="83">
        <v>3141</v>
      </c>
      <c r="G3149" s="83">
        <f t="shared" ca="1" si="103"/>
        <v>-1.5311909307652379E-3</v>
      </c>
    </row>
    <row r="3150" spans="2:7" x14ac:dyDescent="0.2">
      <c r="B3150" s="167">
        <v>42332</v>
      </c>
      <c r="C3150" s="28">
        <v>222.69</v>
      </c>
      <c r="D3150" s="83">
        <f t="shared" si="102"/>
        <v>-3.2413643276124303E-2</v>
      </c>
      <c r="E3150" s="83">
        <v>-3.9806780570713603E-3</v>
      </c>
      <c r="F3150" s="83">
        <v>3142</v>
      </c>
      <c r="G3150" s="83">
        <f t="shared" ca="1" si="103"/>
        <v>2.665164741014563E-2</v>
      </c>
    </row>
    <row r="3151" spans="2:7" x14ac:dyDescent="0.2">
      <c r="B3151" s="167">
        <v>41557</v>
      </c>
      <c r="C3151" s="28">
        <v>230.15</v>
      </c>
      <c r="D3151" s="83">
        <f t="shared" si="102"/>
        <v>0.73973845339783828</v>
      </c>
      <c r="E3151" s="83">
        <v>-3.9814774743583657E-3</v>
      </c>
      <c r="F3151" s="83">
        <v>3143</v>
      </c>
      <c r="G3151" s="83">
        <f t="shared" ca="1" si="103"/>
        <v>7.982909482847949E-3</v>
      </c>
    </row>
    <row r="3152" spans="2:7" x14ac:dyDescent="0.2">
      <c r="B3152" s="167">
        <v>40912</v>
      </c>
      <c r="C3152" s="28">
        <v>132.29</v>
      </c>
      <c r="D3152" s="83">
        <f t="shared" si="102"/>
        <v>1.304703832752613</v>
      </c>
      <c r="E3152" s="83">
        <v>-3.9903628971540515E-3</v>
      </c>
      <c r="F3152" s="83">
        <v>3144</v>
      </c>
      <c r="G3152" s="83">
        <f t="shared" ca="1" si="103"/>
        <v>1.2950251616071561E-2</v>
      </c>
    </row>
    <row r="3153" spans="2:7" x14ac:dyDescent="0.2">
      <c r="B3153" s="167">
        <v>38785</v>
      </c>
      <c r="C3153" s="28">
        <v>57.4</v>
      </c>
      <c r="D3153" s="83">
        <f t="shared" si="102"/>
        <v>-0.73236350072271172</v>
      </c>
      <c r="E3153" s="83">
        <v>-3.9909769217422167E-3</v>
      </c>
      <c r="F3153" s="83">
        <v>3145</v>
      </c>
      <c r="G3153" s="83">
        <f t="shared" ca="1" si="103"/>
        <v>1.5042308367973524E-2</v>
      </c>
    </row>
    <row r="3154" spans="2:7" x14ac:dyDescent="0.2">
      <c r="B3154" s="167">
        <v>42500</v>
      </c>
      <c r="C3154" s="28">
        <v>214.47</v>
      </c>
      <c r="D3154" s="83">
        <f t="shared" si="102"/>
        <v>-0.21683403322987044</v>
      </c>
      <c r="E3154" s="83">
        <v>-3.9938698741467217E-3</v>
      </c>
      <c r="F3154" s="83">
        <v>3146</v>
      </c>
      <c r="G3154" s="83">
        <f t="shared" ca="1" si="103"/>
        <v>2.1188808314448783E-3</v>
      </c>
    </row>
    <row r="3155" spans="2:7" x14ac:dyDescent="0.2">
      <c r="B3155" s="167">
        <v>43648</v>
      </c>
      <c r="C3155" s="28">
        <v>273.85000000000002</v>
      </c>
      <c r="D3155" s="83">
        <f t="shared" si="102"/>
        <v>0.18734824835241085</v>
      </c>
      <c r="E3155" s="83">
        <v>-4.0007274049826003E-3</v>
      </c>
      <c r="F3155" s="83">
        <v>3147</v>
      </c>
      <c r="G3155" s="83">
        <f t="shared" ca="1" si="103"/>
        <v>1.2448668723746618E-2</v>
      </c>
    </row>
    <row r="3156" spans="2:7" x14ac:dyDescent="0.2">
      <c r="B3156" s="167">
        <v>41544</v>
      </c>
      <c r="C3156" s="28">
        <v>230.64</v>
      </c>
      <c r="D3156" s="83">
        <f t="shared" si="102"/>
        <v>3.0441872698579693</v>
      </c>
      <c r="E3156" s="83">
        <v>-4.0160642570281424E-3</v>
      </c>
      <c r="F3156" s="83">
        <v>3148</v>
      </c>
      <c r="G3156" s="83">
        <f t="shared" ca="1" si="103"/>
        <v>-2.5505024907533688E-2</v>
      </c>
    </row>
    <row r="3157" spans="2:7" x14ac:dyDescent="0.2">
      <c r="B3157" s="167">
        <v>39330</v>
      </c>
      <c r="C3157" s="28">
        <v>57.03</v>
      </c>
      <c r="D3157" s="83">
        <f t="shared" si="102"/>
        <v>-0.49973684210526315</v>
      </c>
      <c r="E3157" s="83">
        <v>-4.0167656304575076E-3</v>
      </c>
      <c r="F3157" s="83">
        <v>3149</v>
      </c>
      <c r="G3157" s="83">
        <f t="shared" ca="1" si="103"/>
        <v>1.7373515047189356E-2</v>
      </c>
    </row>
    <row r="3158" spans="2:7" x14ac:dyDescent="0.2">
      <c r="B3158" s="167">
        <v>40610</v>
      </c>
      <c r="C3158" s="28">
        <v>114</v>
      </c>
      <c r="D3158" s="83">
        <f t="shared" si="102"/>
        <v>-0.72099853157121885</v>
      </c>
      <c r="E3158" s="83">
        <v>-4.0188712213873297E-3</v>
      </c>
      <c r="F3158" s="83">
        <v>3150</v>
      </c>
      <c r="G3158" s="83">
        <f t="shared" ca="1" si="103"/>
        <v>1.6887930027472211E-2</v>
      </c>
    </row>
    <row r="3159" spans="2:7" x14ac:dyDescent="0.2">
      <c r="B3159" s="167">
        <v>45705</v>
      </c>
      <c r="C3159" s="28">
        <v>408.6</v>
      </c>
      <c r="D3159" s="83">
        <f t="shared" si="102"/>
        <v>0.18716950432913015</v>
      </c>
      <c r="E3159" s="83">
        <v>-4.021937842778738E-3</v>
      </c>
      <c r="F3159" s="83">
        <v>3151</v>
      </c>
      <c r="G3159" s="83">
        <f t="shared" ca="1" si="103"/>
        <v>8.1568770183462359E-3</v>
      </c>
    </row>
    <row r="3160" spans="2:7" x14ac:dyDescent="0.2">
      <c r="B3160" s="167">
        <v>44859</v>
      </c>
      <c r="C3160" s="28">
        <v>344.18</v>
      </c>
      <c r="D3160" s="83">
        <f t="shared" si="102"/>
        <v>0.44832519777815194</v>
      </c>
      <c r="E3160" s="83">
        <v>-4.0223399021905443E-3</v>
      </c>
      <c r="F3160" s="83">
        <v>3152</v>
      </c>
      <c r="G3160" s="83">
        <f t="shared" ca="1" si="103"/>
        <v>1.516507866349057E-2</v>
      </c>
    </row>
    <row r="3161" spans="2:7" x14ac:dyDescent="0.2">
      <c r="B3161" s="167">
        <v>41726</v>
      </c>
      <c r="C3161" s="28">
        <v>237.64</v>
      </c>
      <c r="D3161" s="83">
        <f t="shared" si="102"/>
        <v>-8.4062439776450198E-2</v>
      </c>
      <c r="E3161" s="83">
        <v>-4.0234702430846942E-3</v>
      </c>
      <c r="F3161" s="83">
        <v>3153</v>
      </c>
      <c r="G3161" s="83">
        <f t="shared" ca="1" si="103"/>
        <v>2.0856214415868751E-2</v>
      </c>
    </row>
    <row r="3162" spans="2:7" x14ac:dyDescent="0.2">
      <c r="B3162" s="167">
        <v>43780</v>
      </c>
      <c r="C3162" s="28">
        <v>259.45</v>
      </c>
      <c r="D3162" s="83">
        <f t="shared" si="102"/>
        <v>6.5050621926525887</v>
      </c>
      <c r="E3162" s="83">
        <v>-4.0307101727447654E-3</v>
      </c>
      <c r="F3162" s="83">
        <v>3154</v>
      </c>
      <c r="G3162" s="83">
        <f t="shared" ca="1" si="103"/>
        <v>1.684058383611171E-2</v>
      </c>
    </row>
    <row r="3163" spans="2:7" x14ac:dyDescent="0.2">
      <c r="B3163" s="167">
        <v>38518</v>
      </c>
      <c r="C3163" s="28">
        <v>34.57</v>
      </c>
      <c r="D3163" s="83">
        <f t="shared" si="102"/>
        <v>-0.43943570617804445</v>
      </c>
      <c r="E3163" s="83">
        <v>-4.0334197637568589E-3</v>
      </c>
      <c r="F3163" s="83">
        <v>3155</v>
      </c>
      <c r="G3163" s="83">
        <f t="shared" ca="1" si="103"/>
        <v>2.3476203872928136E-3</v>
      </c>
    </row>
    <row r="3164" spans="2:7" x14ac:dyDescent="0.2">
      <c r="B3164" s="167">
        <v>39948</v>
      </c>
      <c r="C3164" s="28">
        <v>61.67</v>
      </c>
      <c r="D3164" s="83">
        <f t="shared" si="102"/>
        <v>-0.76175391153177507</v>
      </c>
      <c r="E3164" s="83">
        <v>-4.0374677002583976E-3</v>
      </c>
      <c r="F3164" s="83">
        <v>3156</v>
      </c>
      <c r="G3164" s="83">
        <f t="shared" ca="1" si="103"/>
        <v>1.1265500172335255E-2</v>
      </c>
    </row>
    <row r="3165" spans="2:7" x14ac:dyDescent="0.2">
      <c r="B3165" s="167">
        <v>43167</v>
      </c>
      <c r="C3165" s="28">
        <v>258.85000000000002</v>
      </c>
      <c r="D3165" s="83">
        <f t="shared" si="102"/>
        <v>3.7731882721740742</v>
      </c>
      <c r="E3165" s="83">
        <v>-4.0400153905346464E-3</v>
      </c>
      <c r="F3165" s="83">
        <v>3157</v>
      </c>
      <c r="G3165" s="83">
        <f t="shared" ca="1" si="103"/>
        <v>-3.3305953672090265E-2</v>
      </c>
    </row>
    <row r="3166" spans="2:7" x14ac:dyDescent="0.2">
      <c r="B3166" s="167">
        <v>38770</v>
      </c>
      <c r="C3166" s="28">
        <v>54.23</v>
      </c>
      <c r="D3166" s="83">
        <f t="shared" si="102"/>
        <v>-0.71034077555816688</v>
      </c>
      <c r="E3166" s="83">
        <v>-4.0404040404041497E-3</v>
      </c>
      <c r="F3166" s="83">
        <v>3158</v>
      </c>
      <c r="G3166" s="83">
        <f t="shared" ca="1" si="103"/>
        <v>-2.8109755759052057E-3</v>
      </c>
    </row>
    <row r="3167" spans="2:7" x14ac:dyDescent="0.2">
      <c r="B3167" s="167">
        <v>41278</v>
      </c>
      <c r="C3167" s="28">
        <v>187.22</v>
      </c>
      <c r="D3167" s="83">
        <f t="shared" si="102"/>
        <v>-0.57408376367813996</v>
      </c>
      <c r="E3167" s="83">
        <v>-4.0429832960952811E-3</v>
      </c>
      <c r="F3167" s="83">
        <v>3159</v>
      </c>
      <c r="G3167" s="83">
        <f t="shared" ca="1" si="103"/>
        <v>-1.0633656179703462E-2</v>
      </c>
    </row>
    <row r="3168" spans="2:7" x14ac:dyDescent="0.2">
      <c r="B3168" s="167">
        <v>45646</v>
      </c>
      <c r="C3168" s="28">
        <v>439.57</v>
      </c>
      <c r="D3168" s="83">
        <f t="shared" si="102"/>
        <v>2.1476548514142495</v>
      </c>
      <c r="E3168" s="83">
        <v>-4.0556461845206188E-3</v>
      </c>
      <c r="F3168" s="83">
        <v>3160</v>
      </c>
      <c r="G3168" s="83">
        <f t="shared" ca="1" si="103"/>
        <v>1.1549112132029906E-3</v>
      </c>
    </row>
    <row r="3169" spans="2:7" x14ac:dyDescent="0.2">
      <c r="B3169" s="167">
        <v>40862</v>
      </c>
      <c r="C3169" s="28">
        <v>139.65</v>
      </c>
      <c r="D3169" s="83">
        <f t="shared" si="102"/>
        <v>-0.24915318027850961</v>
      </c>
      <c r="E3169" s="83">
        <v>-4.0650406504064551E-3</v>
      </c>
      <c r="F3169" s="83">
        <v>3161</v>
      </c>
      <c r="G3169" s="83">
        <f t="shared" ca="1" si="103"/>
        <v>2.0578432859481483E-2</v>
      </c>
    </row>
    <row r="3170" spans="2:7" x14ac:dyDescent="0.2">
      <c r="B3170" s="167">
        <v>41233</v>
      </c>
      <c r="C3170" s="28">
        <v>185.99</v>
      </c>
      <c r="D3170" s="83">
        <f t="shared" si="102"/>
        <v>-0.30717079530638847</v>
      </c>
      <c r="E3170" s="83">
        <v>-4.0696117804551049E-3</v>
      </c>
      <c r="F3170" s="83">
        <v>3162</v>
      </c>
      <c r="G3170" s="83">
        <f t="shared" ca="1" si="103"/>
        <v>1.7098520598352752E-2</v>
      </c>
    </row>
    <row r="3171" spans="2:7" x14ac:dyDescent="0.2">
      <c r="B3171" s="167">
        <v>44669</v>
      </c>
      <c r="C3171" s="28">
        <v>268.45</v>
      </c>
      <c r="D3171" s="83">
        <f t="shared" si="102"/>
        <v>0</v>
      </c>
      <c r="E3171" s="83">
        <v>-4.0808755332963189E-3</v>
      </c>
      <c r="F3171" s="83">
        <v>3163</v>
      </c>
      <c r="G3171" s="83">
        <f t="shared" ca="1" si="103"/>
        <v>-3.2443478021231612E-3</v>
      </c>
    </row>
    <row r="3172" spans="2:7" x14ac:dyDescent="0.2">
      <c r="B3172" s="167">
        <v>43000</v>
      </c>
      <c r="C3172" s="28">
        <v>268.45</v>
      </c>
      <c r="D3172" s="83">
        <f t="shared" si="102"/>
        <v>2.1511914543960557</v>
      </c>
      <c r="E3172" s="83">
        <v>-4.0808755332963189E-3</v>
      </c>
      <c r="F3172" s="83">
        <v>3164</v>
      </c>
      <c r="G3172" s="83">
        <f t="shared" ca="1" si="103"/>
        <v>-3.0031000478918327E-2</v>
      </c>
    </row>
    <row r="3173" spans="2:7" x14ac:dyDescent="0.2">
      <c r="B3173" s="167">
        <v>40149</v>
      </c>
      <c r="C3173" s="28">
        <v>85.19</v>
      </c>
      <c r="D3173" s="83">
        <f t="shared" si="102"/>
        <v>-0.610737948366461</v>
      </c>
      <c r="E3173" s="83">
        <v>-4.0916530278233398E-3</v>
      </c>
      <c r="F3173" s="83">
        <v>3165</v>
      </c>
      <c r="G3173" s="83">
        <f t="shared" ca="1" si="103"/>
        <v>-8.488845987525459E-3</v>
      </c>
    </row>
    <row r="3174" spans="2:7" x14ac:dyDescent="0.2">
      <c r="B3174" s="167">
        <v>44215</v>
      </c>
      <c r="C3174" s="28">
        <v>218.85</v>
      </c>
      <c r="D3174" s="83">
        <f t="shared" si="102"/>
        <v>-0.18064395357544</v>
      </c>
      <c r="E3174" s="83">
        <v>-4.0955631399317667E-3</v>
      </c>
      <c r="F3174" s="83">
        <v>3166</v>
      </c>
      <c r="G3174" s="83">
        <f t="shared" ca="1" si="103"/>
        <v>3.3011839789650992E-3</v>
      </c>
    </row>
    <row r="3175" spans="2:7" x14ac:dyDescent="0.2">
      <c r="B3175" s="167">
        <v>43153</v>
      </c>
      <c r="C3175" s="28">
        <v>267.10000000000002</v>
      </c>
      <c r="D3175" s="83">
        <f t="shared" si="102"/>
        <v>0.10144329896907225</v>
      </c>
      <c r="E3175" s="83">
        <v>-4.1014168530945786E-3</v>
      </c>
      <c r="F3175" s="83">
        <v>3167</v>
      </c>
      <c r="G3175" s="83">
        <f t="shared" ca="1" si="103"/>
        <v>-8.5999713686113789E-3</v>
      </c>
    </row>
    <row r="3176" spans="2:7" x14ac:dyDescent="0.2">
      <c r="B3176" s="167">
        <v>44462</v>
      </c>
      <c r="C3176" s="28">
        <v>242.5</v>
      </c>
      <c r="D3176" s="83">
        <f t="shared" si="102"/>
        <v>-0.41501423264341203</v>
      </c>
      <c r="E3176" s="83">
        <v>-4.1067761806981521E-3</v>
      </c>
      <c r="F3176" s="83">
        <v>3168</v>
      </c>
      <c r="G3176" s="83">
        <f t="shared" ca="1" si="103"/>
        <v>-2.906276701296279E-3</v>
      </c>
    </row>
    <row r="3177" spans="2:7" x14ac:dyDescent="0.2">
      <c r="B3177" s="167">
        <v>45411</v>
      </c>
      <c r="C3177" s="28">
        <v>414.54</v>
      </c>
      <c r="D3177" s="83">
        <f t="shared" si="102"/>
        <v>1.3462757527733755</v>
      </c>
      <c r="E3177" s="83">
        <v>-4.108108108108059E-3</v>
      </c>
      <c r="F3177" s="83">
        <v>3169</v>
      </c>
      <c r="G3177" s="83">
        <f t="shared" ca="1" si="103"/>
        <v>-2.9540957071861072E-2</v>
      </c>
    </row>
    <row r="3178" spans="2:7" x14ac:dyDescent="0.2">
      <c r="B3178" s="167">
        <v>41156</v>
      </c>
      <c r="C3178" s="28">
        <v>176.68</v>
      </c>
      <c r="D3178" s="83">
        <f t="shared" si="102"/>
        <v>1.1478239727692681</v>
      </c>
      <c r="E3178" s="83">
        <v>-4.1147624147454473E-3</v>
      </c>
      <c r="F3178" s="83">
        <v>3170</v>
      </c>
      <c r="G3178" s="83">
        <f t="shared" ca="1" si="103"/>
        <v>4.2817969724643086E-2</v>
      </c>
    </row>
    <row r="3179" spans="2:7" x14ac:dyDescent="0.2">
      <c r="B3179" s="167">
        <v>40028</v>
      </c>
      <c r="C3179" s="28">
        <v>82.26</v>
      </c>
      <c r="D3179" s="83">
        <f t="shared" si="102"/>
        <v>-0.7804526529305007</v>
      </c>
      <c r="E3179" s="83">
        <v>-4.1162227602904262E-3</v>
      </c>
      <c r="F3179" s="83">
        <v>3171</v>
      </c>
      <c r="G3179" s="83">
        <f t="shared" ca="1" si="103"/>
        <v>-1.1495819226722034E-2</v>
      </c>
    </row>
    <row r="3180" spans="2:7" x14ac:dyDescent="0.2">
      <c r="B3180" s="167">
        <v>45034</v>
      </c>
      <c r="C3180" s="28">
        <v>374.68</v>
      </c>
      <c r="D3180" s="83">
        <f t="shared" si="102"/>
        <v>5.2022843900016555</v>
      </c>
      <c r="E3180" s="83">
        <v>-4.1198203226749898E-3</v>
      </c>
      <c r="F3180" s="83">
        <v>3172</v>
      </c>
      <c r="G3180" s="83">
        <f t="shared" ca="1" si="103"/>
        <v>1.9490056912016321E-3</v>
      </c>
    </row>
    <row r="3181" spans="2:7" x14ac:dyDescent="0.2">
      <c r="B3181" s="167">
        <v>39681</v>
      </c>
      <c r="C3181" s="28">
        <v>60.41</v>
      </c>
      <c r="D3181" s="83">
        <f t="shared" si="102"/>
        <v>-0.86063304572509569</v>
      </c>
      <c r="E3181" s="83">
        <v>-4.1213320145070892E-3</v>
      </c>
      <c r="F3181" s="83">
        <v>3173</v>
      </c>
      <c r="G3181" s="83">
        <f t="shared" ca="1" si="103"/>
        <v>4.6720094904030658E-3</v>
      </c>
    </row>
    <row r="3182" spans="2:7" x14ac:dyDescent="0.2">
      <c r="B3182" s="167">
        <v>45275</v>
      </c>
      <c r="C3182" s="28">
        <v>433.46</v>
      </c>
      <c r="D3182" s="83">
        <f t="shared" si="102"/>
        <v>0.44174289040412446</v>
      </c>
      <c r="E3182" s="83">
        <v>-4.1354592657262589E-3</v>
      </c>
      <c r="F3182" s="83">
        <v>3174</v>
      </c>
      <c r="G3182" s="83">
        <f t="shared" ca="1" si="103"/>
        <v>-8.3660136338440452E-3</v>
      </c>
    </row>
    <row r="3183" spans="2:7" x14ac:dyDescent="0.2">
      <c r="B3183" s="167">
        <v>43593</v>
      </c>
      <c r="C3183" s="28">
        <v>300.64999999999998</v>
      </c>
      <c r="D3183" s="83">
        <f t="shared" si="102"/>
        <v>0.25166527893422147</v>
      </c>
      <c r="E3183" s="83">
        <v>-4.1404438555813191E-3</v>
      </c>
      <c r="F3183" s="83">
        <v>3175</v>
      </c>
      <c r="G3183" s="83">
        <f t="shared" ca="1" si="103"/>
        <v>6.3591974362158859E-3</v>
      </c>
    </row>
    <row r="3184" spans="2:7" x14ac:dyDescent="0.2">
      <c r="B3184" s="167">
        <v>42648</v>
      </c>
      <c r="C3184" s="28">
        <v>240.2</v>
      </c>
      <c r="D3184" s="83">
        <f t="shared" si="102"/>
        <v>-0.13034033309196236</v>
      </c>
      <c r="E3184" s="83">
        <v>-4.1459369817578775E-3</v>
      </c>
      <c r="F3184" s="83">
        <v>3176</v>
      </c>
      <c r="G3184" s="83">
        <f t="shared" ca="1" si="103"/>
        <v>-2.7496410950351848E-2</v>
      </c>
    </row>
    <row r="3185" spans="2:7" x14ac:dyDescent="0.2">
      <c r="B3185" s="167">
        <v>43210</v>
      </c>
      <c r="C3185" s="28">
        <v>276.2</v>
      </c>
      <c r="D3185" s="83">
        <f t="shared" si="102"/>
        <v>0.13117909653110538</v>
      </c>
      <c r="E3185" s="83">
        <v>-4.1463854335678169E-3</v>
      </c>
      <c r="F3185" s="83">
        <v>3177</v>
      </c>
      <c r="G3185" s="83">
        <f t="shared" ca="1" si="103"/>
        <v>-1.2940013279711485E-2</v>
      </c>
    </row>
    <row r="3186" spans="2:7" x14ac:dyDescent="0.2">
      <c r="B3186" s="167">
        <v>42003</v>
      </c>
      <c r="C3186" s="28">
        <v>244.17</v>
      </c>
      <c r="D3186" s="83">
        <f t="shared" si="102"/>
        <v>0.13377600297176806</v>
      </c>
      <c r="E3186" s="83">
        <v>-4.1600391533097199E-3</v>
      </c>
      <c r="F3186" s="83">
        <v>3178</v>
      </c>
      <c r="G3186" s="83">
        <f t="shared" ca="1" si="103"/>
        <v>-4.6943750828632265E-3</v>
      </c>
    </row>
    <row r="3187" spans="2:7" x14ac:dyDescent="0.2">
      <c r="B3187" s="167">
        <v>42367</v>
      </c>
      <c r="C3187" s="28">
        <v>215.36</v>
      </c>
      <c r="D3187" s="83">
        <f t="shared" si="102"/>
        <v>4.0034770850437149E-2</v>
      </c>
      <c r="E3187" s="83">
        <v>-4.161657264403853E-3</v>
      </c>
      <c r="F3187" s="83">
        <v>3179</v>
      </c>
      <c r="G3187" s="83">
        <f t="shared" ca="1" si="103"/>
        <v>1.9030681853976654E-2</v>
      </c>
    </row>
    <row r="3188" spans="2:7" x14ac:dyDescent="0.2">
      <c r="B3188" s="167">
        <v>42180</v>
      </c>
      <c r="C3188" s="28">
        <v>207.07</v>
      </c>
      <c r="D3188" s="83">
        <f t="shared" si="102"/>
        <v>4.1497140014921658</v>
      </c>
      <c r="E3188" s="83">
        <v>-4.1838992016928183E-3</v>
      </c>
      <c r="F3188" s="83">
        <v>3180</v>
      </c>
      <c r="G3188" s="83">
        <f t="shared" ca="1" si="103"/>
        <v>1.5587439541217519E-2</v>
      </c>
    </row>
    <row r="3189" spans="2:7" x14ac:dyDescent="0.2">
      <c r="B3189" s="167">
        <v>38603</v>
      </c>
      <c r="C3189" s="28">
        <v>40.21</v>
      </c>
      <c r="D3189" s="83">
        <f t="shared" si="102"/>
        <v>-0.83479868529170087</v>
      </c>
      <c r="E3189" s="83">
        <v>-4.2100049529470458E-3</v>
      </c>
      <c r="F3189" s="83">
        <v>3181</v>
      </c>
      <c r="G3189" s="83">
        <f t="shared" ca="1" si="103"/>
        <v>-1.6402323419975159E-2</v>
      </c>
    </row>
    <row r="3190" spans="2:7" x14ac:dyDescent="0.2">
      <c r="B3190" s="167">
        <v>42005</v>
      </c>
      <c r="C3190" s="28">
        <v>243.4</v>
      </c>
      <c r="D3190" s="83">
        <f t="shared" si="102"/>
        <v>7.3523574295417532E-2</v>
      </c>
      <c r="E3190" s="83">
        <v>-4.2138853659534469E-3</v>
      </c>
      <c r="F3190" s="83">
        <v>3182</v>
      </c>
      <c r="G3190" s="83">
        <f t="shared" ca="1" si="103"/>
        <v>1.4305601726484497E-2</v>
      </c>
    </row>
    <row r="3191" spans="2:7" x14ac:dyDescent="0.2">
      <c r="B3191" s="167">
        <v>41757</v>
      </c>
      <c r="C3191" s="28">
        <v>226.73</v>
      </c>
      <c r="D3191" s="83">
        <f t="shared" si="102"/>
        <v>2.7150581681140422</v>
      </c>
      <c r="E3191" s="83">
        <v>-4.2162589485704597E-3</v>
      </c>
      <c r="F3191" s="83">
        <v>3183</v>
      </c>
      <c r="G3191" s="83">
        <f t="shared" ca="1" si="103"/>
        <v>-3.2734081973606083E-2</v>
      </c>
    </row>
    <row r="3192" spans="2:7" x14ac:dyDescent="0.2">
      <c r="B3192" s="167">
        <v>39365</v>
      </c>
      <c r="C3192" s="28">
        <v>61.03</v>
      </c>
      <c r="D3192" s="83">
        <f t="shared" si="102"/>
        <v>-0.77345953971789161</v>
      </c>
      <c r="E3192" s="83">
        <v>-4.2421275901451793E-3</v>
      </c>
      <c r="F3192" s="83">
        <v>3184</v>
      </c>
      <c r="G3192" s="83">
        <f t="shared" ca="1" si="103"/>
        <v>1.7089843299056925E-2</v>
      </c>
    </row>
    <row r="3193" spans="2:7" x14ac:dyDescent="0.2">
      <c r="B3193" s="167">
        <v>43110</v>
      </c>
      <c r="C3193" s="28">
        <v>269.39999999999998</v>
      </c>
      <c r="D3193" s="83">
        <f t="shared" si="102"/>
        <v>4.2637749120750286</v>
      </c>
      <c r="E3193" s="83">
        <v>-4.2506006283497839E-3</v>
      </c>
      <c r="F3193" s="83">
        <v>3185</v>
      </c>
      <c r="G3193" s="83">
        <f t="shared" ca="1" si="103"/>
        <v>1.9774099010318898E-2</v>
      </c>
    </row>
    <row r="3194" spans="2:7" x14ac:dyDescent="0.2">
      <c r="B3194" s="167">
        <v>39254</v>
      </c>
      <c r="C3194" s="28">
        <v>51.18</v>
      </c>
      <c r="D3194" s="83">
        <f t="shared" si="102"/>
        <v>-0.88607933045452525</v>
      </c>
      <c r="E3194" s="83">
        <v>-4.2801556420233242E-3</v>
      </c>
      <c r="F3194" s="83">
        <v>3186</v>
      </c>
      <c r="G3194" s="83">
        <f t="shared" ca="1" si="103"/>
        <v>1.9946296002928004E-2</v>
      </c>
    </row>
    <row r="3195" spans="2:7" x14ac:dyDescent="0.2">
      <c r="B3195" s="167">
        <v>45624</v>
      </c>
      <c r="C3195" s="28">
        <v>449.26</v>
      </c>
      <c r="D3195" s="83">
        <f t="shared" si="102"/>
        <v>1.1578290105667628</v>
      </c>
      <c r="E3195" s="83">
        <v>-4.2996453900709169E-3</v>
      </c>
      <c r="F3195" s="83">
        <v>3187</v>
      </c>
      <c r="G3195" s="83">
        <f t="shared" ca="1" si="103"/>
        <v>-1.6063883443135342E-2</v>
      </c>
    </row>
    <row r="3196" spans="2:7" x14ac:dyDescent="0.2">
      <c r="B3196" s="167">
        <v>42388</v>
      </c>
      <c r="C3196" s="28">
        <v>208.2</v>
      </c>
      <c r="D3196" s="83">
        <f t="shared" si="102"/>
        <v>-6.0299693085394533E-2</v>
      </c>
      <c r="E3196" s="83">
        <v>-4.3041606886657377E-3</v>
      </c>
      <c r="F3196" s="83">
        <v>3188</v>
      </c>
      <c r="G3196" s="83">
        <f t="shared" ca="1" si="103"/>
        <v>2.3502878569457942E-3</v>
      </c>
    </row>
    <row r="3197" spans="2:7" x14ac:dyDescent="0.2">
      <c r="B3197" s="167">
        <v>41499</v>
      </c>
      <c r="C3197" s="28">
        <v>221.56</v>
      </c>
      <c r="D3197" s="83">
        <f t="shared" si="102"/>
        <v>-0.49317168020130386</v>
      </c>
      <c r="E3197" s="83">
        <v>-4.3142189466115763E-3</v>
      </c>
      <c r="F3197" s="83">
        <v>3189</v>
      </c>
      <c r="G3197" s="83">
        <f t="shared" ca="1" si="103"/>
        <v>-1.4453696407550532E-2</v>
      </c>
    </row>
    <row r="3198" spans="2:7" x14ac:dyDescent="0.2">
      <c r="B3198" s="167">
        <v>45289</v>
      </c>
      <c r="C3198" s="28">
        <v>437.15</v>
      </c>
      <c r="D3198" s="83">
        <f t="shared" si="102"/>
        <v>1.2366334100793042</v>
      </c>
      <c r="E3198" s="83">
        <v>-4.3275253387997587E-3</v>
      </c>
      <c r="F3198" s="83">
        <v>3190</v>
      </c>
      <c r="G3198" s="83">
        <f t="shared" ca="1" si="103"/>
        <v>7.4028761367882934E-3</v>
      </c>
    </row>
    <row r="3199" spans="2:7" x14ac:dyDescent="0.2">
      <c r="B3199" s="167">
        <v>44021</v>
      </c>
      <c r="C3199" s="28">
        <v>195.45</v>
      </c>
      <c r="D3199" s="83">
        <f t="shared" si="102"/>
        <v>-0.29056261343012707</v>
      </c>
      <c r="E3199" s="83">
        <v>-4.3301069791137174E-3</v>
      </c>
      <c r="F3199" s="83">
        <v>3191</v>
      </c>
      <c r="G3199" s="83">
        <f t="shared" ca="1" si="103"/>
        <v>-8.5400481658804081E-3</v>
      </c>
    </row>
    <row r="3200" spans="2:7" x14ac:dyDescent="0.2">
      <c r="B3200" s="167">
        <v>43522</v>
      </c>
      <c r="C3200" s="28">
        <v>275.5</v>
      </c>
      <c r="D3200" s="83">
        <f t="shared" si="102"/>
        <v>-0.12045461801232327</v>
      </c>
      <c r="E3200" s="83">
        <v>-4.3368268883266668E-3</v>
      </c>
      <c r="F3200" s="83">
        <v>3192</v>
      </c>
      <c r="G3200" s="83">
        <f t="shared" ca="1" si="103"/>
        <v>-2.429087941252088E-2</v>
      </c>
    </row>
    <row r="3201" spans="2:7" x14ac:dyDescent="0.2">
      <c r="B3201" s="167">
        <v>44922</v>
      </c>
      <c r="C3201" s="28">
        <v>313.23</v>
      </c>
      <c r="D3201" s="83">
        <f t="shared" si="102"/>
        <v>0.87754001078942634</v>
      </c>
      <c r="E3201" s="83">
        <v>-4.3547361729180051E-3</v>
      </c>
      <c r="F3201" s="83">
        <v>3193</v>
      </c>
      <c r="G3201" s="83">
        <f t="shared" ca="1" si="103"/>
        <v>-1.0062046207258837E-2</v>
      </c>
    </row>
    <row r="3202" spans="2:7" x14ac:dyDescent="0.2">
      <c r="B3202" s="167">
        <v>41099</v>
      </c>
      <c r="C3202" s="28">
        <v>166.83</v>
      </c>
      <c r="D3202" s="83">
        <f t="shared" si="102"/>
        <v>0.69836098951440506</v>
      </c>
      <c r="E3202" s="83">
        <v>-4.3566483647647994E-3</v>
      </c>
      <c r="F3202" s="83">
        <v>3194</v>
      </c>
      <c r="G3202" s="83">
        <f t="shared" ca="1" si="103"/>
        <v>1.8946117317690688E-2</v>
      </c>
    </row>
    <row r="3203" spans="2:7" x14ac:dyDescent="0.2">
      <c r="B3203" s="167">
        <v>40358</v>
      </c>
      <c r="C3203" s="28">
        <v>98.23</v>
      </c>
      <c r="D3203" s="83">
        <f t="shared" si="102"/>
        <v>-0.60841140123579829</v>
      </c>
      <c r="E3203" s="83">
        <v>-4.3584025947698418E-3</v>
      </c>
      <c r="F3203" s="83">
        <v>3195</v>
      </c>
      <c r="G3203" s="83">
        <f t="shared" ca="1" si="103"/>
        <v>5.769441965789328E-3</v>
      </c>
    </row>
    <row r="3204" spans="2:7" x14ac:dyDescent="0.2">
      <c r="B3204" s="167">
        <v>42753</v>
      </c>
      <c r="C3204" s="28">
        <v>250.85</v>
      </c>
      <c r="D3204" s="83">
        <f t="shared" si="102"/>
        <v>1.4511432479968731</v>
      </c>
      <c r="E3204" s="83">
        <v>-4.3659456241317502E-3</v>
      </c>
      <c r="F3204" s="83">
        <v>3196</v>
      </c>
      <c r="G3204" s="83">
        <f t="shared" ca="1" si="103"/>
        <v>1.6366006612906714E-2</v>
      </c>
    </row>
    <row r="3205" spans="2:7" x14ac:dyDescent="0.2">
      <c r="B3205" s="167">
        <v>40389</v>
      </c>
      <c r="C3205" s="28">
        <v>102.34</v>
      </c>
      <c r="D3205" s="83">
        <f t="shared" si="102"/>
        <v>-0.68668870928239034</v>
      </c>
      <c r="E3205" s="83">
        <v>-4.3778577682654233E-3</v>
      </c>
      <c r="F3205" s="83">
        <v>3197</v>
      </c>
      <c r="G3205" s="83">
        <f t="shared" ca="1" si="103"/>
        <v>-6.8729902632318413E-4</v>
      </c>
    </row>
    <row r="3206" spans="2:7" x14ac:dyDescent="0.2">
      <c r="B3206" s="167">
        <v>44847</v>
      </c>
      <c r="C3206" s="28">
        <v>326.64</v>
      </c>
      <c r="D3206" s="83">
        <f t="shared" si="102"/>
        <v>0.69419087136929447</v>
      </c>
      <c r="E3206" s="83">
        <v>-4.3891733723482014E-3</v>
      </c>
      <c r="F3206" s="83">
        <v>3198</v>
      </c>
      <c r="G3206" s="83">
        <f t="shared" ca="1" si="103"/>
        <v>1.3444013891734274E-2</v>
      </c>
    </row>
    <row r="3207" spans="2:7" x14ac:dyDescent="0.2">
      <c r="B3207" s="167">
        <v>44048</v>
      </c>
      <c r="C3207" s="28">
        <v>192.8</v>
      </c>
      <c r="D3207" s="83">
        <f t="shared" si="102"/>
        <v>-8.5909349516404221E-2</v>
      </c>
      <c r="E3207" s="83">
        <v>-4.3893622514846074E-3</v>
      </c>
      <c r="F3207" s="83">
        <v>3199</v>
      </c>
      <c r="G3207" s="83">
        <f t="shared" ca="1" si="103"/>
        <v>1.7489830843760875E-2</v>
      </c>
    </row>
    <row r="3208" spans="2:7" x14ac:dyDescent="0.2">
      <c r="B3208" s="167">
        <v>42432</v>
      </c>
      <c r="C3208" s="28">
        <v>210.92</v>
      </c>
      <c r="D3208" s="83">
        <f t="shared" si="102"/>
        <v>-0.49488708480015331</v>
      </c>
      <c r="E3208" s="83">
        <v>-4.3898985130989233E-3</v>
      </c>
      <c r="F3208" s="83">
        <v>3200</v>
      </c>
      <c r="G3208" s="83">
        <f t="shared" ca="1" si="103"/>
        <v>-1.9525371441314825E-2</v>
      </c>
    </row>
    <row r="3209" spans="2:7" x14ac:dyDescent="0.2">
      <c r="B3209" s="167">
        <v>45166</v>
      </c>
      <c r="C3209" s="28">
        <v>417.57</v>
      </c>
      <c r="D3209" s="83">
        <f t="shared" ref="D3209:D3272" si="104">(C3209-C3210)/C3210</f>
        <v>-0.131021996545481</v>
      </c>
      <c r="E3209" s="83">
        <v>-4.4108530828287223E-3</v>
      </c>
      <c r="F3209" s="83">
        <v>3201</v>
      </c>
      <c r="G3209" s="83">
        <f t="shared" ref="G3209:G3272" ca="1" si="105">_xlfn.NORM.INV(RAND(),$M$10,$M$11)</f>
        <v>2.3988402696001481E-2</v>
      </c>
    </row>
    <row r="3210" spans="2:7" x14ac:dyDescent="0.2">
      <c r="B3210" s="167">
        <v>45573</v>
      </c>
      <c r="C3210" s="28">
        <v>480.53</v>
      </c>
      <c r="D3210" s="83">
        <f t="shared" si="104"/>
        <v>0.18737336298492707</v>
      </c>
      <c r="E3210" s="83">
        <v>-4.4130443790661176E-3</v>
      </c>
      <c r="F3210" s="83">
        <v>3202</v>
      </c>
      <c r="G3210" s="83">
        <f t="shared" ca="1" si="105"/>
        <v>-1.5561703994253673E-3</v>
      </c>
    </row>
    <row r="3211" spans="2:7" x14ac:dyDescent="0.2">
      <c r="B3211" s="167">
        <v>45427</v>
      </c>
      <c r="C3211" s="28">
        <v>404.7</v>
      </c>
      <c r="D3211" s="83">
        <f t="shared" si="104"/>
        <v>1.1205134922714173</v>
      </c>
      <c r="E3211" s="83">
        <v>-4.4280442804428321E-3</v>
      </c>
      <c r="F3211" s="83">
        <v>3203</v>
      </c>
      <c r="G3211" s="83">
        <f t="shared" ca="1" si="105"/>
        <v>8.451385209378785E-4</v>
      </c>
    </row>
    <row r="3212" spans="2:7" x14ac:dyDescent="0.2">
      <c r="B3212" s="167">
        <v>44158</v>
      </c>
      <c r="C3212" s="28">
        <v>190.85</v>
      </c>
      <c r="D3212" s="83">
        <f t="shared" si="104"/>
        <v>-0.31960784313725493</v>
      </c>
      <c r="E3212" s="83">
        <v>-4.4340114762649683E-3</v>
      </c>
      <c r="F3212" s="83">
        <v>3204</v>
      </c>
      <c r="G3212" s="83">
        <f t="shared" ca="1" si="105"/>
        <v>2.6969554349533721E-2</v>
      </c>
    </row>
    <row r="3213" spans="2:7" x14ac:dyDescent="0.2">
      <c r="B3213" s="167">
        <v>43426</v>
      </c>
      <c r="C3213" s="28">
        <v>280.5</v>
      </c>
      <c r="D3213" s="83">
        <f t="shared" si="104"/>
        <v>-0.30552116860609058</v>
      </c>
      <c r="E3213" s="83">
        <v>-4.4365572315882874E-3</v>
      </c>
      <c r="F3213" s="83">
        <v>3205</v>
      </c>
      <c r="G3213" s="83">
        <f t="shared" ca="1" si="105"/>
        <v>-1.8184551077951118E-2</v>
      </c>
    </row>
    <row r="3214" spans="2:7" x14ac:dyDescent="0.2">
      <c r="B3214" s="167">
        <v>45723</v>
      </c>
      <c r="C3214" s="28">
        <v>403.9</v>
      </c>
      <c r="D3214" s="83">
        <f t="shared" si="104"/>
        <v>0.89579910819056541</v>
      </c>
      <c r="E3214" s="83">
        <v>-4.436775942814916E-3</v>
      </c>
      <c r="F3214" s="83">
        <v>3206</v>
      </c>
      <c r="G3214" s="83">
        <f t="shared" ca="1" si="105"/>
        <v>4.7669522610702996E-3</v>
      </c>
    </row>
    <row r="3215" spans="2:7" x14ac:dyDescent="0.2">
      <c r="B3215" s="167">
        <v>44182</v>
      </c>
      <c r="C3215" s="28">
        <v>213.05</v>
      </c>
      <c r="D3215" s="83">
        <f t="shared" si="104"/>
        <v>0.61364841323941532</v>
      </c>
      <c r="E3215" s="83">
        <v>-4.4392523364485447E-3</v>
      </c>
      <c r="F3215" s="83">
        <v>3207</v>
      </c>
      <c r="G3215" s="83">
        <f t="shared" ca="1" si="105"/>
        <v>9.1615644327196592E-3</v>
      </c>
    </row>
    <row r="3216" spans="2:7" x14ac:dyDescent="0.2">
      <c r="B3216" s="167">
        <v>40794</v>
      </c>
      <c r="C3216" s="28">
        <v>132.03</v>
      </c>
      <c r="D3216" s="83">
        <f t="shared" si="104"/>
        <v>0.59552870090634447</v>
      </c>
      <c r="E3216" s="83">
        <v>-4.4488010858091042E-3</v>
      </c>
      <c r="F3216" s="83">
        <v>3208</v>
      </c>
      <c r="G3216" s="83">
        <f t="shared" ca="1" si="105"/>
        <v>2.8672820081289099E-2</v>
      </c>
    </row>
    <row r="3217" spans="2:7" x14ac:dyDescent="0.2">
      <c r="B3217" s="167">
        <v>40095</v>
      </c>
      <c r="C3217" s="28">
        <v>82.75</v>
      </c>
      <c r="D3217" s="83">
        <f t="shared" si="104"/>
        <v>2.7872031022782837E-3</v>
      </c>
      <c r="E3217" s="83">
        <v>-4.4513955726660798E-3</v>
      </c>
      <c r="F3217" s="83">
        <v>3209</v>
      </c>
      <c r="G3217" s="83">
        <f t="shared" ca="1" si="105"/>
        <v>4.6924042429911791E-3</v>
      </c>
    </row>
    <row r="3218" spans="2:7" x14ac:dyDescent="0.2">
      <c r="B3218" s="167">
        <v>40191</v>
      </c>
      <c r="C3218" s="28">
        <v>82.52</v>
      </c>
      <c r="D3218" s="83">
        <f t="shared" si="104"/>
        <v>0.1942112879884226</v>
      </c>
      <c r="E3218" s="83">
        <v>-4.4637471347569613E-3</v>
      </c>
      <c r="F3218" s="83">
        <v>3210</v>
      </c>
      <c r="G3218" s="83">
        <f t="shared" ca="1" si="105"/>
        <v>-9.6050976565467891E-3</v>
      </c>
    </row>
    <row r="3219" spans="2:7" x14ac:dyDescent="0.2">
      <c r="B3219" s="167">
        <v>38842</v>
      </c>
      <c r="C3219" s="28">
        <v>69.099999999999994</v>
      </c>
      <c r="D3219" s="83">
        <f t="shared" si="104"/>
        <v>-0.68662131519274383</v>
      </c>
      <c r="E3219" s="83">
        <v>-4.4662152427604419E-3</v>
      </c>
      <c r="F3219" s="83">
        <v>3211</v>
      </c>
      <c r="G3219" s="83">
        <f t="shared" ca="1" si="105"/>
        <v>1.6155447870207949E-3</v>
      </c>
    </row>
    <row r="3220" spans="2:7" x14ac:dyDescent="0.2">
      <c r="B3220" s="167">
        <v>41803</v>
      </c>
      <c r="C3220" s="28">
        <v>220.5</v>
      </c>
      <c r="D3220" s="83">
        <f t="shared" si="104"/>
        <v>0.4354534210012368</v>
      </c>
      <c r="E3220" s="83">
        <v>-4.4697277529459978E-3</v>
      </c>
      <c r="F3220" s="83">
        <v>3212</v>
      </c>
      <c r="G3220" s="83">
        <f t="shared" ca="1" si="105"/>
        <v>-9.1452838815026041E-3</v>
      </c>
    </row>
    <row r="3221" spans="2:7" x14ac:dyDescent="0.2">
      <c r="B3221" s="167">
        <v>41052</v>
      </c>
      <c r="C3221" s="28">
        <v>153.61000000000001</v>
      </c>
      <c r="D3221" s="83">
        <f t="shared" si="104"/>
        <v>-0.37130110915565012</v>
      </c>
      <c r="E3221" s="83">
        <v>-4.471808165910549E-3</v>
      </c>
      <c r="F3221" s="83">
        <v>3213</v>
      </c>
      <c r="G3221" s="83">
        <f t="shared" ca="1" si="105"/>
        <v>1.3176676974572855E-2</v>
      </c>
    </row>
    <row r="3222" spans="2:7" x14ac:dyDescent="0.2">
      <c r="B3222" s="167">
        <v>42034</v>
      </c>
      <c r="C3222" s="28">
        <v>244.33</v>
      </c>
      <c r="D3222" s="83">
        <f t="shared" si="104"/>
        <v>3.786092066601372</v>
      </c>
      <c r="E3222" s="83">
        <v>-4.4819296744489029E-3</v>
      </c>
      <c r="F3222" s="83">
        <v>3214</v>
      </c>
      <c r="G3222" s="83">
        <f t="shared" ca="1" si="105"/>
        <v>2.0256664086125739E-2</v>
      </c>
    </row>
    <row r="3223" spans="2:7" x14ac:dyDescent="0.2">
      <c r="B3223" s="167">
        <v>39265</v>
      </c>
      <c r="C3223" s="28">
        <v>51.05</v>
      </c>
      <c r="D3223" s="83">
        <f t="shared" si="104"/>
        <v>-0.56493949207431404</v>
      </c>
      <c r="E3223" s="83">
        <v>-4.4851794071763644E-3</v>
      </c>
      <c r="F3223" s="83">
        <v>3215</v>
      </c>
      <c r="G3223" s="83">
        <f t="shared" ca="1" si="105"/>
        <v>2.360403225122374E-2</v>
      </c>
    </row>
    <row r="3224" spans="2:7" x14ac:dyDescent="0.2">
      <c r="B3224" s="167">
        <v>40492</v>
      </c>
      <c r="C3224" s="28">
        <v>117.34</v>
      </c>
      <c r="D3224" s="83">
        <f t="shared" si="104"/>
        <v>-0.74514573650145521</v>
      </c>
      <c r="E3224" s="83">
        <v>-4.4964791719691276E-3</v>
      </c>
      <c r="F3224" s="83">
        <v>3216</v>
      </c>
      <c r="G3224" s="83">
        <f t="shared" ca="1" si="105"/>
        <v>-1.7333353462439349E-5</v>
      </c>
    </row>
    <row r="3225" spans="2:7" x14ac:dyDescent="0.2">
      <c r="B3225" s="167">
        <v>45583</v>
      </c>
      <c r="C3225" s="28">
        <v>460.42</v>
      </c>
      <c r="D3225" s="83">
        <f t="shared" si="104"/>
        <v>0.90887230514096207</v>
      </c>
      <c r="E3225" s="83">
        <v>-4.5188212146763853E-3</v>
      </c>
      <c r="F3225" s="83">
        <v>3217</v>
      </c>
      <c r="G3225" s="83">
        <f t="shared" ca="1" si="105"/>
        <v>4.35542737684566E-3</v>
      </c>
    </row>
    <row r="3226" spans="2:7" x14ac:dyDescent="0.2">
      <c r="B3226" s="167">
        <v>42647</v>
      </c>
      <c r="C3226" s="28">
        <v>241.2</v>
      </c>
      <c r="D3226" s="83">
        <f t="shared" si="104"/>
        <v>-0.1198686371100165</v>
      </c>
      <c r="E3226" s="83">
        <v>-4.5398266611639398E-3</v>
      </c>
      <c r="F3226" s="83">
        <v>3218</v>
      </c>
      <c r="G3226" s="83">
        <f t="shared" ca="1" si="105"/>
        <v>8.8125198864951095E-3</v>
      </c>
    </row>
    <row r="3227" spans="2:7" x14ac:dyDescent="0.2">
      <c r="B3227" s="167">
        <v>43249</v>
      </c>
      <c r="C3227" s="28">
        <v>274.05</v>
      </c>
      <c r="D3227" s="83">
        <f t="shared" si="104"/>
        <v>3.6623329060611609E-3</v>
      </c>
      <c r="E3227" s="83">
        <v>-4.5405012713403562E-3</v>
      </c>
      <c r="F3227" s="83">
        <v>3219</v>
      </c>
      <c r="G3227" s="83">
        <f t="shared" ca="1" si="105"/>
        <v>-1.5769826858906009E-2</v>
      </c>
    </row>
    <row r="3228" spans="2:7" x14ac:dyDescent="0.2">
      <c r="B3228" s="167">
        <v>42769</v>
      </c>
      <c r="C3228" s="28">
        <v>273.05</v>
      </c>
      <c r="D3228" s="83">
        <f t="shared" si="104"/>
        <v>-7.3778833107191313E-2</v>
      </c>
      <c r="E3228" s="83">
        <v>-4.5570543200874952E-3</v>
      </c>
      <c r="F3228" s="83">
        <v>3220</v>
      </c>
      <c r="G3228" s="83">
        <f t="shared" ca="1" si="105"/>
        <v>3.7726638513681772E-3</v>
      </c>
    </row>
    <row r="3229" spans="2:7" x14ac:dyDescent="0.2">
      <c r="B3229" s="167">
        <v>43559</v>
      </c>
      <c r="C3229" s="28">
        <v>294.8</v>
      </c>
      <c r="D3229" s="83">
        <f t="shared" si="104"/>
        <v>1.250381679389313</v>
      </c>
      <c r="E3229" s="83">
        <v>-4.5585007597500121E-3</v>
      </c>
      <c r="F3229" s="83">
        <v>3221</v>
      </c>
      <c r="G3229" s="83">
        <f t="shared" ca="1" si="105"/>
        <v>1.1880566049180105E-2</v>
      </c>
    </row>
    <row r="3230" spans="2:7" x14ac:dyDescent="0.2">
      <c r="B3230" s="167">
        <v>40807</v>
      </c>
      <c r="C3230" s="28">
        <v>131</v>
      </c>
      <c r="D3230" s="83">
        <f t="shared" si="104"/>
        <v>1.1464853350811075</v>
      </c>
      <c r="E3230" s="83">
        <v>-4.5592705167172825E-3</v>
      </c>
      <c r="F3230" s="83">
        <v>3222</v>
      </c>
      <c r="G3230" s="83">
        <f t="shared" ca="1" si="105"/>
        <v>-1.2725519531439633E-2</v>
      </c>
    </row>
    <row r="3231" spans="2:7" x14ac:dyDescent="0.2">
      <c r="B3231" s="167">
        <v>39016</v>
      </c>
      <c r="C3231" s="28">
        <v>61.03</v>
      </c>
      <c r="D3231" s="83">
        <f t="shared" si="104"/>
        <v>-0.73320218579234975</v>
      </c>
      <c r="E3231" s="83">
        <v>-4.5669548197684083E-3</v>
      </c>
      <c r="F3231" s="83">
        <v>3223</v>
      </c>
      <c r="G3231" s="83">
        <f t="shared" ca="1" si="105"/>
        <v>1.6487314329427363E-2</v>
      </c>
    </row>
    <row r="3232" spans="2:7" x14ac:dyDescent="0.2">
      <c r="B3232" s="167">
        <v>44509</v>
      </c>
      <c r="C3232" s="28">
        <v>228.75</v>
      </c>
      <c r="D3232" s="83">
        <f t="shared" si="104"/>
        <v>3.0400918403391031</v>
      </c>
      <c r="E3232" s="83">
        <v>-4.5691906005222421E-3</v>
      </c>
      <c r="F3232" s="83">
        <v>3224</v>
      </c>
      <c r="G3232" s="83">
        <f t="shared" ca="1" si="105"/>
        <v>-2.344015033257979E-2</v>
      </c>
    </row>
    <row r="3233" spans="2:7" x14ac:dyDescent="0.2">
      <c r="B3233" s="167">
        <v>39325</v>
      </c>
      <c r="C3233" s="28">
        <v>56.62</v>
      </c>
      <c r="D3233" s="83">
        <f t="shared" si="104"/>
        <v>-0.72620889748549322</v>
      </c>
      <c r="E3233" s="83">
        <v>-4.5710267229255464E-3</v>
      </c>
      <c r="F3233" s="83">
        <v>3225</v>
      </c>
      <c r="G3233" s="83">
        <f t="shared" ca="1" si="105"/>
        <v>6.1491070838599979E-3</v>
      </c>
    </row>
    <row r="3234" spans="2:7" x14ac:dyDescent="0.2">
      <c r="B3234" s="167">
        <v>44397</v>
      </c>
      <c r="C3234" s="28">
        <v>206.8</v>
      </c>
      <c r="D3234" s="83">
        <f t="shared" si="104"/>
        <v>2.3935018050541519</v>
      </c>
      <c r="E3234" s="83">
        <v>-4.5728038507821351E-3</v>
      </c>
      <c r="F3234" s="83">
        <v>3226</v>
      </c>
      <c r="G3234" s="83">
        <f t="shared" ca="1" si="105"/>
        <v>3.1546500242697013E-2</v>
      </c>
    </row>
    <row r="3235" spans="2:7" x14ac:dyDescent="0.2">
      <c r="B3235" s="167">
        <v>39336</v>
      </c>
      <c r="C3235" s="28">
        <v>60.94</v>
      </c>
      <c r="D3235" s="83">
        <f t="shared" si="104"/>
        <v>-0.75648351648351653</v>
      </c>
      <c r="E3235" s="83">
        <v>-4.5736687357073036E-3</v>
      </c>
      <c r="F3235" s="83">
        <v>3227</v>
      </c>
      <c r="G3235" s="83">
        <f t="shared" ca="1" si="105"/>
        <v>-1.4828293642871842E-2</v>
      </c>
    </row>
    <row r="3236" spans="2:7" x14ac:dyDescent="0.2">
      <c r="B3236" s="167">
        <v>42606</v>
      </c>
      <c r="C3236" s="28">
        <v>250.25</v>
      </c>
      <c r="D3236" s="83">
        <f t="shared" si="104"/>
        <v>0.4386317907444669</v>
      </c>
      <c r="E3236" s="83">
        <v>-4.5743834526650977E-3</v>
      </c>
      <c r="F3236" s="83">
        <v>3228</v>
      </c>
      <c r="G3236" s="83">
        <f t="shared" ca="1" si="105"/>
        <v>-8.294812589150163E-3</v>
      </c>
    </row>
    <row r="3237" spans="2:7" x14ac:dyDescent="0.2">
      <c r="B3237" s="167">
        <v>44141</v>
      </c>
      <c r="C3237" s="28">
        <v>173.95</v>
      </c>
      <c r="D3237" s="83">
        <f t="shared" si="104"/>
        <v>-0.33288590604026852</v>
      </c>
      <c r="E3237" s="83">
        <v>-4.5779685264664459E-3</v>
      </c>
      <c r="F3237" s="83">
        <v>3229</v>
      </c>
      <c r="G3237" s="83">
        <f t="shared" ca="1" si="105"/>
        <v>-1.8425288448661654E-2</v>
      </c>
    </row>
    <row r="3238" spans="2:7" x14ac:dyDescent="0.2">
      <c r="B3238" s="167">
        <v>43203</v>
      </c>
      <c r="C3238" s="28">
        <v>260.75</v>
      </c>
      <c r="D3238" s="83">
        <f t="shared" si="104"/>
        <v>0.95040765951080863</v>
      </c>
      <c r="E3238" s="83">
        <v>-4.581026913533074E-3</v>
      </c>
      <c r="F3238" s="83">
        <v>3230</v>
      </c>
      <c r="G3238" s="83">
        <f t="shared" ca="1" si="105"/>
        <v>4.4637861191836239E-3</v>
      </c>
    </row>
    <row r="3239" spans="2:7" x14ac:dyDescent="0.2">
      <c r="B3239" s="167">
        <v>40736</v>
      </c>
      <c r="C3239" s="28">
        <v>133.69</v>
      </c>
      <c r="D3239" s="83">
        <f t="shared" si="104"/>
        <v>-0.67157982656545556</v>
      </c>
      <c r="E3239" s="83">
        <v>-4.6161864343682866E-3</v>
      </c>
      <c r="F3239" s="83">
        <v>3231</v>
      </c>
      <c r="G3239" s="83">
        <f t="shared" ca="1" si="105"/>
        <v>1.9338913224377811E-2</v>
      </c>
    </row>
    <row r="3240" spans="2:7" x14ac:dyDescent="0.2">
      <c r="B3240" s="167">
        <v>45456</v>
      </c>
      <c r="C3240" s="28">
        <v>407.07</v>
      </c>
      <c r="D3240" s="83">
        <f t="shared" si="104"/>
        <v>0.99690949227373071</v>
      </c>
      <c r="E3240" s="83">
        <v>-4.6214788732394036E-3</v>
      </c>
      <c r="F3240" s="83">
        <v>3232</v>
      </c>
      <c r="G3240" s="83">
        <f t="shared" ca="1" si="105"/>
        <v>-8.6851228874350837E-3</v>
      </c>
    </row>
    <row r="3241" spans="2:7" x14ac:dyDescent="0.2">
      <c r="B3241" s="167">
        <v>43879</v>
      </c>
      <c r="C3241" s="28">
        <v>203.85</v>
      </c>
      <c r="D3241" s="83">
        <f t="shared" si="104"/>
        <v>-0.17302231237322518</v>
      </c>
      <c r="E3241" s="83">
        <v>-4.6386718750000833E-3</v>
      </c>
      <c r="F3241" s="83">
        <v>3233</v>
      </c>
      <c r="G3241" s="83">
        <f t="shared" ca="1" si="105"/>
        <v>2.6143061030302855E-3</v>
      </c>
    </row>
    <row r="3242" spans="2:7" x14ac:dyDescent="0.2">
      <c r="B3242" s="167">
        <v>42592</v>
      </c>
      <c r="C3242" s="28">
        <v>246.5</v>
      </c>
      <c r="D3242" s="83">
        <f t="shared" si="104"/>
        <v>0.15052508751458576</v>
      </c>
      <c r="E3242" s="83">
        <v>-4.6436503129416743E-3</v>
      </c>
      <c r="F3242" s="83">
        <v>3234</v>
      </c>
      <c r="G3242" s="83">
        <f t="shared" ca="1" si="105"/>
        <v>8.1953916651137E-3</v>
      </c>
    </row>
    <row r="3243" spans="2:7" x14ac:dyDescent="0.2">
      <c r="B3243" s="167">
        <v>44414</v>
      </c>
      <c r="C3243" s="28">
        <v>214.25</v>
      </c>
      <c r="D3243" s="83">
        <f t="shared" si="104"/>
        <v>2.3361881033945813</v>
      </c>
      <c r="E3243" s="83">
        <v>-4.6457607433217189E-3</v>
      </c>
      <c r="F3243" s="83">
        <v>3235</v>
      </c>
      <c r="G3243" s="83">
        <f t="shared" ca="1" si="105"/>
        <v>1.2944680957272884E-2</v>
      </c>
    </row>
    <row r="3244" spans="2:7" x14ac:dyDescent="0.2">
      <c r="B3244" s="167">
        <v>39007</v>
      </c>
      <c r="C3244" s="28">
        <v>64.22</v>
      </c>
      <c r="D3244" s="83">
        <f t="shared" si="104"/>
        <v>-0.73878381126703274</v>
      </c>
      <c r="E3244" s="83">
        <v>-4.6497210167389521E-3</v>
      </c>
      <c r="F3244" s="83">
        <v>3236</v>
      </c>
      <c r="G3244" s="83">
        <f t="shared" ca="1" si="105"/>
        <v>-1.3403878074704011E-2</v>
      </c>
    </row>
    <row r="3245" spans="2:7" x14ac:dyDescent="0.2">
      <c r="B3245" s="167">
        <v>42559</v>
      </c>
      <c r="C3245" s="28">
        <v>245.85</v>
      </c>
      <c r="D3245" s="83">
        <f t="shared" si="104"/>
        <v>-0.40673262548262545</v>
      </c>
      <c r="E3245" s="83">
        <v>-4.6558704453441525E-3</v>
      </c>
      <c r="F3245" s="83">
        <v>3237</v>
      </c>
      <c r="G3245" s="83">
        <f t="shared" ca="1" si="105"/>
        <v>-6.5793552913857578E-3</v>
      </c>
    </row>
    <row r="3246" spans="2:7" x14ac:dyDescent="0.2">
      <c r="B3246" s="167">
        <v>45327</v>
      </c>
      <c r="C3246" s="28">
        <v>414.4</v>
      </c>
      <c r="D3246" s="83">
        <f t="shared" si="104"/>
        <v>6.7632071937055072</v>
      </c>
      <c r="E3246" s="83">
        <v>-4.6596531680837723E-3</v>
      </c>
      <c r="F3246" s="83">
        <v>3238</v>
      </c>
      <c r="G3246" s="83">
        <f t="shared" ca="1" si="105"/>
        <v>3.3912505647757496E-2</v>
      </c>
    </row>
    <row r="3247" spans="2:7" x14ac:dyDescent="0.2">
      <c r="B3247" s="167">
        <v>39206</v>
      </c>
      <c r="C3247" s="28">
        <v>53.38</v>
      </c>
      <c r="D3247" s="83">
        <f t="shared" si="104"/>
        <v>-0.1063117361459902</v>
      </c>
      <c r="E3247" s="83">
        <v>-4.6615700167816519E-3</v>
      </c>
      <c r="F3247" s="83">
        <v>3239</v>
      </c>
      <c r="G3247" s="83">
        <f t="shared" ca="1" si="105"/>
        <v>2.1168106986248846E-2</v>
      </c>
    </row>
    <row r="3248" spans="2:7" x14ac:dyDescent="0.2">
      <c r="B3248" s="167">
        <v>39864</v>
      </c>
      <c r="C3248" s="28">
        <v>59.73</v>
      </c>
      <c r="D3248" s="83">
        <f t="shared" si="104"/>
        <v>-0.83380634390651076</v>
      </c>
      <c r="E3248" s="83">
        <v>-4.6658890184969361E-3</v>
      </c>
      <c r="F3248" s="83">
        <v>3240</v>
      </c>
      <c r="G3248" s="83">
        <f t="shared" ca="1" si="105"/>
        <v>-2.4260117369247113E-2</v>
      </c>
    </row>
    <row r="3249" spans="2:7" x14ac:dyDescent="0.2">
      <c r="B3249" s="167">
        <v>44978</v>
      </c>
      <c r="C3249" s="28">
        <v>359.4</v>
      </c>
      <c r="D3249" s="83">
        <f t="shared" si="104"/>
        <v>9.289949825148229E-2</v>
      </c>
      <c r="E3249" s="83">
        <v>-4.6802736159960064E-3</v>
      </c>
      <c r="F3249" s="83">
        <v>3241</v>
      </c>
      <c r="G3249" s="83">
        <f t="shared" ca="1" si="105"/>
        <v>1.9225799712339228E-2</v>
      </c>
    </row>
    <row r="3250" spans="2:7" x14ac:dyDescent="0.2">
      <c r="B3250" s="167">
        <v>42928</v>
      </c>
      <c r="C3250" s="28">
        <v>328.85</v>
      </c>
      <c r="D3250" s="83">
        <f t="shared" si="104"/>
        <v>0.19256572982774262</v>
      </c>
      <c r="E3250" s="83">
        <v>-4.6912832929780707E-3</v>
      </c>
      <c r="F3250" s="83">
        <v>3242</v>
      </c>
      <c r="G3250" s="83">
        <f t="shared" ca="1" si="105"/>
        <v>4.5767112342927265E-3</v>
      </c>
    </row>
    <row r="3251" spans="2:7" x14ac:dyDescent="0.2">
      <c r="B3251" s="167">
        <v>43292</v>
      </c>
      <c r="C3251" s="28">
        <v>275.75</v>
      </c>
      <c r="D3251" s="83">
        <f t="shared" si="104"/>
        <v>1.0709725873075477</v>
      </c>
      <c r="E3251" s="83">
        <v>-4.692293809781669E-3</v>
      </c>
      <c r="F3251" s="83">
        <v>3243</v>
      </c>
      <c r="G3251" s="83">
        <f t="shared" ca="1" si="105"/>
        <v>-2.3835096952247617E-3</v>
      </c>
    </row>
    <row r="3252" spans="2:7" x14ac:dyDescent="0.2">
      <c r="B3252" s="167">
        <v>40938</v>
      </c>
      <c r="C3252" s="28">
        <v>133.15</v>
      </c>
      <c r="D3252" s="83">
        <f t="shared" si="104"/>
        <v>-0.29994742376445838</v>
      </c>
      <c r="E3252" s="83">
        <v>-4.7092240992674204E-3</v>
      </c>
      <c r="F3252" s="83">
        <v>3244</v>
      </c>
      <c r="G3252" s="83">
        <f t="shared" ca="1" si="105"/>
        <v>9.3368882271680394E-3</v>
      </c>
    </row>
    <row r="3253" spans="2:7" x14ac:dyDescent="0.2">
      <c r="B3253" s="167">
        <v>44075</v>
      </c>
      <c r="C3253" s="28">
        <v>190.2</v>
      </c>
      <c r="D3253" s="83">
        <f t="shared" si="104"/>
        <v>0.60818466221357903</v>
      </c>
      <c r="E3253" s="83">
        <v>-4.7095761381475967E-3</v>
      </c>
      <c r="F3253" s="83">
        <v>3245</v>
      </c>
      <c r="G3253" s="83">
        <f t="shared" ca="1" si="105"/>
        <v>4.4074624256382179E-2</v>
      </c>
    </row>
    <row r="3254" spans="2:7" x14ac:dyDescent="0.2">
      <c r="B3254" s="167">
        <v>40448</v>
      </c>
      <c r="C3254" s="28">
        <v>118.27</v>
      </c>
      <c r="D3254" s="83">
        <f t="shared" si="104"/>
        <v>-0.43419604841410325</v>
      </c>
      <c r="E3254" s="83">
        <v>-4.7126146595977639E-3</v>
      </c>
      <c r="F3254" s="83">
        <v>3246</v>
      </c>
      <c r="G3254" s="83">
        <f t="shared" ca="1" si="105"/>
        <v>-4.4045769593435734E-4</v>
      </c>
    </row>
    <row r="3255" spans="2:7" x14ac:dyDescent="0.2">
      <c r="B3255" s="167">
        <v>41621</v>
      </c>
      <c r="C3255" s="28">
        <v>209.03</v>
      </c>
      <c r="D3255" s="83">
        <f t="shared" si="104"/>
        <v>3.7217077027332275</v>
      </c>
      <c r="E3255" s="83">
        <v>-4.7138367774498102E-3</v>
      </c>
      <c r="F3255" s="83">
        <v>3247</v>
      </c>
      <c r="G3255" s="83">
        <f t="shared" ca="1" si="105"/>
        <v>8.8703836178611831E-3</v>
      </c>
    </row>
    <row r="3256" spans="2:7" x14ac:dyDescent="0.2">
      <c r="B3256" s="167">
        <v>38692</v>
      </c>
      <c r="C3256" s="28">
        <v>44.27</v>
      </c>
      <c r="D3256" s="83">
        <f t="shared" si="104"/>
        <v>-0.86869345988432456</v>
      </c>
      <c r="E3256" s="83">
        <v>-4.7212230215825934E-3</v>
      </c>
      <c r="F3256" s="83">
        <v>3248</v>
      </c>
      <c r="G3256" s="83">
        <f t="shared" ca="1" si="105"/>
        <v>1.2015992646149123E-3</v>
      </c>
    </row>
    <row r="3257" spans="2:7" x14ac:dyDescent="0.2">
      <c r="B3257" s="167">
        <v>42930</v>
      </c>
      <c r="C3257" s="28">
        <v>337.15</v>
      </c>
      <c r="D3257" s="83">
        <f t="shared" si="104"/>
        <v>4.7153754873707401</v>
      </c>
      <c r="E3257" s="83">
        <v>-4.7232472324723919E-3</v>
      </c>
      <c r="F3257" s="83">
        <v>3249</v>
      </c>
      <c r="G3257" s="83">
        <f t="shared" ca="1" si="105"/>
        <v>7.3780111804961235E-3</v>
      </c>
    </row>
    <row r="3258" spans="2:7" x14ac:dyDescent="0.2">
      <c r="B3258" s="167">
        <v>39399</v>
      </c>
      <c r="C3258" s="28">
        <v>58.99</v>
      </c>
      <c r="D3258" s="83">
        <f t="shared" si="104"/>
        <v>-0.81810052420598212</v>
      </c>
      <c r="E3258" s="83">
        <v>-4.7241437489455229E-3</v>
      </c>
      <c r="F3258" s="83">
        <v>3250</v>
      </c>
      <c r="G3258" s="83">
        <f t="shared" ca="1" si="105"/>
        <v>-3.4261306975898326E-3</v>
      </c>
    </row>
    <row r="3259" spans="2:7" x14ac:dyDescent="0.2">
      <c r="B3259" s="167">
        <v>44845</v>
      </c>
      <c r="C3259" s="28">
        <v>324.3</v>
      </c>
      <c r="D3259" s="83">
        <f t="shared" si="104"/>
        <v>3.9746893695352052</v>
      </c>
      <c r="E3259" s="83">
        <v>-4.7262460103116985E-3</v>
      </c>
      <c r="F3259" s="83">
        <v>3251</v>
      </c>
      <c r="G3259" s="83">
        <f t="shared" ca="1" si="105"/>
        <v>2.662661614747424E-2</v>
      </c>
    </row>
    <row r="3260" spans="2:7" x14ac:dyDescent="0.2">
      <c r="B3260" s="167">
        <v>39976</v>
      </c>
      <c r="C3260" s="28">
        <v>65.19</v>
      </c>
      <c r="D3260" s="83">
        <f t="shared" si="104"/>
        <v>-0.69878014970889935</v>
      </c>
      <c r="E3260" s="83">
        <v>-4.7328244274809509E-3</v>
      </c>
      <c r="F3260" s="83">
        <v>3252</v>
      </c>
      <c r="G3260" s="83">
        <f t="shared" ca="1" si="105"/>
        <v>9.4665807216131222E-3</v>
      </c>
    </row>
    <row r="3261" spans="2:7" x14ac:dyDescent="0.2">
      <c r="B3261" s="167">
        <v>42135</v>
      </c>
      <c r="C3261" s="28">
        <v>216.42</v>
      </c>
      <c r="D3261" s="83">
        <f t="shared" si="104"/>
        <v>-0.20681693238042892</v>
      </c>
      <c r="E3261" s="83">
        <v>-4.7367210853069726E-3</v>
      </c>
      <c r="F3261" s="83">
        <v>3253</v>
      </c>
      <c r="G3261" s="83">
        <f t="shared" ca="1" si="105"/>
        <v>-2.6457730347855212E-2</v>
      </c>
    </row>
    <row r="3262" spans="2:7" x14ac:dyDescent="0.2">
      <c r="B3262" s="167">
        <v>42956</v>
      </c>
      <c r="C3262" s="28">
        <v>272.85000000000002</v>
      </c>
      <c r="D3262" s="83">
        <f t="shared" si="104"/>
        <v>0.62944162436548245</v>
      </c>
      <c r="E3262" s="83">
        <v>-4.7419296005834569E-3</v>
      </c>
      <c r="F3262" s="83">
        <v>3254</v>
      </c>
      <c r="G3262" s="83">
        <f t="shared" ca="1" si="105"/>
        <v>-1.3682569071862033E-3</v>
      </c>
    </row>
    <row r="3263" spans="2:7" x14ac:dyDescent="0.2">
      <c r="B3263" s="167">
        <v>44124</v>
      </c>
      <c r="C3263" s="28">
        <v>167.45</v>
      </c>
      <c r="D3263" s="83">
        <f t="shared" si="104"/>
        <v>-0.27243102324570939</v>
      </c>
      <c r="E3263" s="83">
        <v>-4.7548291233284476E-3</v>
      </c>
      <c r="F3263" s="83">
        <v>3255</v>
      </c>
      <c r="G3263" s="83">
        <f t="shared" ca="1" si="105"/>
        <v>3.441637280862274E-3</v>
      </c>
    </row>
    <row r="3264" spans="2:7" x14ac:dyDescent="0.2">
      <c r="B3264" s="167">
        <v>44601</v>
      </c>
      <c r="C3264" s="28">
        <v>230.15</v>
      </c>
      <c r="D3264" s="83">
        <f t="shared" si="104"/>
        <v>-8.288503685993219E-2</v>
      </c>
      <c r="E3264" s="83">
        <v>-4.7567567567567319E-3</v>
      </c>
      <c r="F3264" s="83">
        <v>3256</v>
      </c>
      <c r="G3264" s="83">
        <f t="shared" ca="1" si="105"/>
        <v>-6.5413415188492067E-3</v>
      </c>
    </row>
    <row r="3265" spans="2:7" x14ac:dyDescent="0.2">
      <c r="B3265" s="167">
        <v>42601</v>
      </c>
      <c r="C3265" s="28">
        <v>250.95</v>
      </c>
      <c r="D3265" s="83">
        <f t="shared" si="104"/>
        <v>1.2659142212189616</v>
      </c>
      <c r="E3265" s="83">
        <v>-4.75907198096378E-3</v>
      </c>
      <c r="F3265" s="83">
        <v>3257</v>
      </c>
      <c r="G3265" s="83">
        <f t="shared" ca="1" si="105"/>
        <v>1.8053643063347596E-2</v>
      </c>
    </row>
    <row r="3266" spans="2:7" x14ac:dyDescent="0.2">
      <c r="B3266" s="167">
        <v>40479</v>
      </c>
      <c r="C3266" s="28">
        <v>110.75</v>
      </c>
      <c r="D3266" s="83">
        <f t="shared" si="104"/>
        <v>-0.72672539294791128</v>
      </c>
      <c r="E3266" s="83">
        <v>-4.7627606038821097E-3</v>
      </c>
      <c r="F3266" s="83">
        <v>3258</v>
      </c>
      <c r="G3266" s="83">
        <f t="shared" ca="1" si="105"/>
        <v>-2.3109020229861155E-2</v>
      </c>
    </row>
    <row r="3267" spans="2:7" x14ac:dyDescent="0.2">
      <c r="B3267" s="167">
        <v>45230</v>
      </c>
      <c r="C3267" s="28">
        <v>405.27</v>
      </c>
      <c r="D3267" s="83">
        <f t="shared" si="104"/>
        <v>0.83023980490448435</v>
      </c>
      <c r="E3267" s="83">
        <v>-4.7641266177156699E-3</v>
      </c>
      <c r="F3267" s="83">
        <v>3259</v>
      </c>
      <c r="G3267" s="83">
        <f t="shared" ca="1" si="105"/>
        <v>-2.7256976226282302E-4</v>
      </c>
    </row>
    <row r="3268" spans="2:7" x14ac:dyDescent="0.2">
      <c r="B3268" s="167">
        <v>41709</v>
      </c>
      <c r="C3268" s="28">
        <v>221.43</v>
      </c>
      <c r="D3268" s="83">
        <f t="shared" si="104"/>
        <v>0.18348476750400863</v>
      </c>
      <c r="E3268" s="83">
        <v>-4.7642590678232833E-3</v>
      </c>
      <c r="F3268" s="83">
        <v>3260</v>
      </c>
      <c r="G3268" s="83">
        <f t="shared" ca="1" si="105"/>
        <v>-6.4666703040373594E-3</v>
      </c>
    </row>
    <row r="3269" spans="2:7" x14ac:dyDescent="0.2">
      <c r="B3269" s="167">
        <v>44148</v>
      </c>
      <c r="C3269" s="28">
        <v>187.1</v>
      </c>
      <c r="D3269" s="83">
        <f t="shared" si="104"/>
        <v>-0.21699100230173676</v>
      </c>
      <c r="E3269" s="83">
        <v>-4.7872340425532218E-3</v>
      </c>
      <c r="F3269" s="83">
        <v>3261</v>
      </c>
      <c r="G3269" s="83">
        <f t="shared" ca="1" si="105"/>
        <v>-9.7300016946624112E-3</v>
      </c>
    </row>
    <row r="3270" spans="2:7" x14ac:dyDescent="0.2">
      <c r="B3270" s="167">
        <v>42656</v>
      </c>
      <c r="C3270" s="28">
        <v>238.95</v>
      </c>
      <c r="D3270" s="83">
        <f t="shared" si="104"/>
        <v>5.794142735285754</v>
      </c>
      <c r="E3270" s="83">
        <v>-4.7896709704290117E-3</v>
      </c>
      <c r="F3270" s="83">
        <v>3262</v>
      </c>
      <c r="G3270" s="83">
        <f t="shared" ca="1" si="105"/>
        <v>-1.4087003642718377E-3</v>
      </c>
    </row>
    <row r="3271" spans="2:7" x14ac:dyDescent="0.2">
      <c r="B3271" s="167">
        <v>38504</v>
      </c>
      <c r="C3271" s="28">
        <v>35.17</v>
      </c>
      <c r="D3271" s="83">
        <f t="shared" si="104"/>
        <v>-0.85213369770864</v>
      </c>
      <c r="E3271" s="83">
        <v>-4.810413129598237E-3</v>
      </c>
      <c r="F3271" s="83">
        <v>3263</v>
      </c>
      <c r="G3271" s="83">
        <f t="shared" ca="1" si="105"/>
        <v>9.0578256239497307E-3</v>
      </c>
    </row>
    <row r="3272" spans="2:7" x14ac:dyDescent="0.2">
      <c r="B3272" s="167">
        <v>44635</v>
      </c>
      <c r="C3272" s="28">
        <v>237.85</v>
      </c>
      <c r="D3272" s="83">
        <f t="shared" si="104"/>
        <v>-0.2375625080138479</v>
      </c>
      <c r="E3272" s="83">
        <v>-4.8117154811715716E-3</v>
      </c>
      <c r="F3272" s="83">
        <v>3264</v>
      </c>
      <c r="G3272" s="83">
        <f t="shared" ca="1" si="105"/>
        <v>-5.0921916223076865E-3</v>
      </c>
    </row>
    <row r="3273" spans="2:7" x14ac:dyDescent="0.2">
      <c r="B3273" s="167">
        <v>44937</v>
      </c>
      <c r="C3273" s="28">
        <v>311.95999999999998</v>
      </c>
      <c r="D3273" s="83">
        <f t="shared" ref="D3273:D3336" si="106">(C3273-C3274)/C3274</f>
        <v>0.16164587600074462</v>
      </c>
      <c r="E3273" s="83">
        <v>-4.8170478833701709E-3</v>
      </c>
      <c r="F3273" s="83">
        <v>3265</v>
      </c>
      <c r="G3273" s="83">
        <f t="shared" ref="G3273:G3336" ca="1" si="107">_xlfn.NORM.INV(RAND(),$M$10,$M$11)</f>
        <v>-1.296100087127597E-2</v>
      </c>
    </row>
    <row r="3274" spans="2:7" x14ac:dyDescent="0.2">
      <c r="B3274" s="167">
        <v>43299</v>
      </c>
      <c r="C3274" s="28">
        <v>268.55</v>
      </c>
      <c r="D3274" s="83">
        <f t="shared" si="106"/>
        <v>-0.38029306565132109</v>
      </c>
      <c r="E3274" s="83">
        <v>-4.8174911988141979E-3</v>
      </c>
      <c r="F3274" s="83">
        <v>3266</v>
      </c>
      <c r="G3274" s="83">
        <f t="shared" ca="1" si="107"/>
        <v>1.131539842707876E-2</v>
      </c>
    </row>
    <row r="3275" spans="2:7" x14ac:dyDescent="0.2">
      <c r="B3275" s="167">
        <v>45686</v>
      </c>
      <c r="C3275" s="28">
        <v>433.35</v>
      </c>
      <c r="D3275" s="83">
        <f t="shared" si="106"/>
        <v>0.91366747626407618</v>
      </c>
      <c r="E3275" s="83">
        <v>-4.8225973131242762E-3</v>
      </c>
      <c r="F3275" s="83">
        <v>3267</v>
      </c>
      <c r="G3275" s="83">
        <f t="shared" ca="1" si="107"/>
        <v>1.1381579880751648E-2</v>
      </c>
    </row>
    <row r="3276" spans="2:7" x14ac:dyDescent="0.2">
      <c r="B3276" s="167">
        <v>44238</v>
      </c>
      <c r="C3276" s="28">
        <v>226.45</v>
      </c>
      <c r="D3276" s="83">
        <f t="shared" si="106"/>
        <v>1.5697911938265998</v>
      </c>
      <c r="E3276" s="83">
        <v>-4.8341023950781046E-3</v>
      </c>
      <c r="F3276" s="83">
        <v>3268</v>
      </c>
      <c r="G3276" s="83">
        <f t="shared" ca="1" si="107"/>
        <v>6.4794698709607313E-3</v>
      </c>
    </row>
    <row r="3277" spans="2:7" x14ac:dyDescent="0.2">
      <c r="B3277" s="167">
        <v>40298</v>
      </c>
      <c r="C3277" s="28">
        <v>88.12</v>
      </c>
      <c r="D3277" s="83">
        <f t="shared" si="106"/>
        <v>-0.53557499736481495</v>
      </c>
      <c r="E3277" s="83">
        <v>-4.8560135516656422E-3</v>
      </c>
      <c r="F3277" s="83">
        <v>3269</v>
      </c>
      <c r="G3277" s="83">
        <f t="shared" ca="1" si="107"/>
        <v>-9.5170059246383869E-3</v>
      </c>
    </row>
    <row r="3278" spans="2:7" x14ac:dyDescent="0.2">
      <c r="B3278" s="167">
        <v>42425</v>
      </c>
      <c r="C3278" s="28">
        <v>189.74</v>
      </c>
      <c r="D3278" s="83">
        <f t="shared" si="106"/>
        <v>0.40986773666220827</v>
      </c>
      <c r="E3278" s="83">
        <v>-4.8775371059945373E-3</v>
      </c>
      <c r="F3278" s="83">
        <v>3270</v>
      </c>
      <c r="G3278" s="83">
        <f t="shared" ca="1" si="107"/>
        <v>3.469735359940862E-2</v>
      </c>
    </row>
    <row r="3279" spans="2:7" x14ac:dyDescent="0.2">
      <c r="B3279" s="167">
        <v>40738</v>
      </c>
      <c r="C3279" s="28">
        <v>134.58000000000001</v>
      </c>
      <c r="D3279" s="83">
        <f t="shared" si="106"/>
        <v>9.6690219412438742E-4</v>
      </c>
      <c r="E3279" s="83">
        <v>-4.8802129547470905E-3</v>
      </c>
      <c r="F3279" s="83">
        <v>3271</v>
      </c>
      <c r="G3279" s="83">
        <f t="shared" ca="1" si="107"/>
        <v>7.8573309319307141E-3</v>
      </c>
    </row>
    <row r="3280" spans="2:7" x14ac:dyDescent="0.2">
      <c r="B3280" s="167">
        <v>40952</v>
      </c>
      <c r="C3280" s="28">
        <v>134.44999999999999</v>
      </c>
      <c r="D3280" s="83">
        <f t="shared" si="106"/>
        <v>-0.6206478189718414</v>
      </c>
      <c r="E3280" s="83">
        <v>-4.8849085929984822E-3</v>
      </c>
      <c r="F3280" s="83">
        <v>3272</v>
      </c>
      <c r="G3280" s="83">
        <f t="shared" ca="1" si="107"/>
        <v>-3.6260578298673247E-2</v>
      </c>
    </row>
    <row r="3281" spans="2:7" x14ac:dyDescent="0.2">
      <c r="B3281" s="167">
        <v>45006</v>
      </c>
      <c r="C3281" s="28">
        <v>354.42</v>
      </c>
      <c r="D3281" s="83">
        <f t="shared" si="106"/>
        <v>0.5133219470538003</v>
      </c>
      <c r="E3281" s="83">
        <v>-4.8854447439353353E-3</v>
      </c>
      <c r="F3281" s="83">
        <v>3273</v>
      </c>
      <c r="G3281" s="83">
        <f t="shared" ca="1" si="107"/>
        <v>4.5441876064892918E-3</v>
      </c>
    </row>
    <row r="3282" spans="2:7" x14ac:dyDescent="0.2">
      <c r="B3282" s="167">
        <v>43838</v>
      </c>
      <c r="C3282" s="28">
        <v>234.2</v>
      </c>
      <c r="D3282" s="83">
        <f t="shared" si="106"/>
        <v>-7.7407918061847575E-2</v>
      </c>
      <c r="E3282" s="83">
        <v>-4.8863394943701116E-3</v>
      </c>
      <c r="F3282" s="83">
        <v>3274</v>
      </c>
      <c r="G3282" s="83">
        <f t="shared" ca="1" si="107"/>
        <v>4.5525314456828702E-3</v>
      </c>
    </row>
    <row r="3283" spans="2:7" x14ac:dyDescent="0.2">
      <c r="B3283" s="167">
        <v>43074</v>
      </c>
      <c r="C3283" s="28">
        <v>253.85</v>
      </c>
      <c r="D3283" s="83">
        <f t="shared" si="106"/>
        <v>-2.7431899160951675E-2</v>
      </c>
      <c r="E3283" s="83">
        <v>-4.9000392003136026E-3</v>
      </c>
      <c r="F3283" s="83">
        <v>3275</v>
      </c>
      <c r="G3283" s="83">
        <f t="shared" ca="1" si="107"/>
        <v>-4.1711529847244027E-3</v>
      </c>
    </row>
    <row r="3284" spans="2:7" x14ac:dyDescent="0.2">
      <c r="B3284" s="167">
        <v>42062</v>
      </c>
      <c r="C3284" s="28">
        <v>261.01</v>
      </c>
      <c r="D3284" s="83">
        <f t="shared" si="106"/>
        <v>-0.32092309293370802</v>
      </c>
      <c r="E3284" s="83">
        <v>-4.9180327868853235E-3</v>
      </c>
      <c r="F3284" s="83">
        <v>3276</v>
      </c>
      <c r="G3284" s="83">
        <f t="shared" ca="1" si="107"/>
        <v>-3.9169164028285417E-3</v>
      </c>
    </row>
    <row r="3285" spans="2:7" x14ac:dyDescent="0.2">
      <c r="B3285" s="167">
        <v>45351</v>
      </c>
      <c r="C3285" s="28">
        <v>384.36</v>
      </c>
      <c r="D3285" s="83">
        <f t="shared" si="106"/>
        <v>1.2929069975541372</v>
      </c>
      <c r="E3285" s="83">
        <v>-4.9189664992491519E-3</v>
      </c>
      <c r="F3285" s="83">
        <v>3277</v>
      </c>
      <c r="G3285" s="83">
        <f t="shared" ca="1" si="107"/>
        <v>-1.0978326575770358E-3</v>
      </c>
    </row>
    <row r="3286" spans="2:7" x14ac:dyDescent="0.2">
      <c r="B3286" s="167">
        <v>41110</v>
      </c>
      <c r="C3286" s="28">
        <v>167.63</v>
      </c>
      <c r="D3286" s="83">
        <f t="shared" si="106"/>
        <v>-0.19369889369889373</v>
      </c>
      <c r="E3286" s="83">
        <v>-4.926985634572079E-3</v>
      </c>
      <c r="F3286" s="83">
        <v>3278</v>
      </c>
      <c r="G3286" s="83">
        <f t="shared" ca="1" si="107"/>
        <v>-1.5667203798811345E-2</v>
      </c>
    </row>
    <row r="3287" spans="2:7" x14ac:dyDescent="0.2">
      <c r="B3287" s="167">
        <v>42186</v>
      </c>
      <c r="C3287" s="28">
        <v>207.9</v>
      </c>
      <c r="D3287" s="83">
        <f t="shared" si="106"/>
        <v>3.1315580286168525</v>
      </c>
      <c r="E3287" s="83">
        <v>-4.929880821327723E-3</v>
      </c>
      <c r="F3287" s="83">
        <v>3279</v>
      </c>
      <c r="G3287" s="83">
        <f t="shared" ca="1" si="107"/>
        <v>2.720794202351497E-2</v>
      </c>
    </row>
    <row r="3288" spans="2:7" x14ac:dyDescent="0.2">
      <c r="B3288" s="167">
        <v>38875</v>
      </c>
      <c r="C3288" s="28">
        <v>50.32</v>
      </c>
      <c r="D3288" s="83">
        <f t="shared" si="106"/>
        <v>-0.70547263681592043</v>
      </c>
      <c r="E3288" s="83">
        <v>-4.9436424757761518E-3</v>
      </c>
      <c r="F3288" s="83">
        <v>3280</v>
      </c>
      <c r="G3288" s="83">
        <f t="shared" ca="1" si="107"/>
        <v>-4.6078489562550538E-3</v>
      </c>
    </row>
    <row r="3289" spans="2:7" x14ac:dyDescent="0.2">
      <c r="B3289" s="167">
        <v>44105</v>
      </c>
      <c r="C3289" s="28">
        <v>170.85</v>
      </c>
      <c r="D3289" s="83">
        <f t="shared" si="106"/>
        <v>-0.43248629795714999</v>
      </c>
      <c r="E3289" s="83">
        <v>-4.9504950495049176E-3</v>
      </c>
      <c r="F3289" s="83">
        <v>3281</v>
      </c>
      <c r="G3289" s="83">
        <f t="shared" ca="1" si="107"/>
        <v>7.6846524920297478E-3</v>
      </c>
    </row>
    <row r="3290" spans="2:7" x14ac:dyDescent="0.2">
      <c r="B3290" s="167">
        <v>43311</v>
      </c>
      <c r="C3290" s="28">
        <v>301.05</v>
      </c>
      <c r="D3290" s="83">
        <f t="shared" si="106"/>
        <v>0.37648027067806683</v>
      </c>
      <c r="E3290" s="83">
        <v>-4.9578582052553291E-3</v>
      </c>
      <c r="F3290" s="83">
        <v>3282</v>
      </c>
      <c r="G3290" s="83">
        <f t="shared" ca="1" si="107"/>
        <v>3.2198347470202796E-2</v>
      </c>
    </row>
    <row r="3291" spans="2:7" x14ac:dyDescent="0.2">
      <c r="B3291" s="167">
        <v>42220</v>
      </c>
      <c r="C3291" s="28">
        <v>218.71</v>
      </c>
      <c r="D3291" s="83">
        <f t="shared" si="106"/>
        <v>-3.4094422117210609E-2</v>
      </c>
      <c r="E3291" s="83">
        <v>-4.9590536851683497E-3</v>
      </c>
      <c r="F3291" s="83">
        <v>3283</v>
      </c>
      <c r="G3291" s="83">
        <f t="shared" ca="1" si="107"/>
        <v>-3.2068335772454347E-2</v>
      </c>
    </row>
    <row r="3292" spans="2:7" x14ac:dyDescent="0.2">
      <c r="B3292" s="167">
        <v>42066</v>
      </c>
      <c r="C3292" s="28">
        <v>226.43</v>
      </c>
      <c r="D3292" s="83">
        <f t="shared" si="106"/>
        <v>3.6790780141844528E-3</v>
      </c>
      <c r="E3292" s="83">
        <v>-4.9657233257162743E-3</v>
      </c>
      <c r="F3292" s="83">
        <v>3284</v>
      </c>
      <c r="G3292" s="83">
        <f t="shared" ca="1" si="107"/>
        <v>-3.5069299255854622E-3</v>
      </c>
    </row>
    <row r="3293" spans="2:7" x14ac:dyDescent="0.2">
      <c r="B3293" s="167">
        <v>41758</v>
      </c>
      <c r="C3293" s="28">
        <v>225.6</v>
      </c>
      <c r="D3293" s="83">
        <f t="shared" si="106"/>
        <v>-0.44501845018450187</v>
      </c>
      <c r="E3293" s="83">
        <v>-4.9839015569179005E-3</v>
      </c>
      <c r="F3293" s="83">
        <v>3285</v>
      </c>
      <c r="G3293" s="83">
        <f t="shared" ca="1" si="107"/>
        <v>4.5857477682211261E-4</v>
      </c>
    </row>
    <row r="3294" spans="2:7" x14ac:dyDescent="0.2">
      <c r="B3294" s="167">
        <v>45426</v>
      </c>
      <c r="C3294" s="28">
        <v>406.5</v>
      </c>
      <c r="D3294" s="83">
        <f t="shared" si="106"/>
        <v>2.6454129674468656</v>
      </c>
      <c r="E3294" s="83">
        <v>-4.9933911000147359E-3</v>
      </c>
      <c r="F3294" s="83">
        <v>3286</v>
      </c>
      <c r="G3294" s="83">
        <f t="shared" ca="1" si="107"/>
        <v>1.7620482022533156E-2</v>
      </c>
    </row>
    <row r="3295" spans="2:7" x14ac:dyDescent="0.2">
      <c r="B3295" s="167">
        <v>40519</v>
      </c>
      <c r="C3295" s="28">
        <v>111.51</v>
      </c>
      <c r="D3295" s="83">
        <f t="shared" si="106"/>
        <v>-0.6684506288466685</v>
      </c>
      <c r="E3295" s="83">
        <v>-4.9968769519049532E-3</v>
      </c>
      <c r="F3295" s="83">
        <v>3287</v>
      </c>
      <c r="G3295" s="83">
        <f t="shared" ca="1" si="107"/>
        <v>8.7885025486223699E-3</v>
      </c>
    </row>
    <row r="3296" spans="2:7" x14ac:dyDescent="0.2">
      <c r="B3296" s="167">
        <v>44903</v>
      </c>
      <c r="C3296" s="28">
        <v>336.33</v>
      </c>
      <c r="D3296" s="83">
        <f t="shared" si="106"/>
        <v>0.40900712191034772</v>
      </c>
      <c r="E3296" s="83">
        <v>-4.9997041595171822E-3</v>
      </c>
      <c r="F3296" s="83">
        <v>3288</v>
      </c>
      <c r="G3296" s="83">
        <f t="shared" ca="1" si="107"/>
        <v>2.6088594280393056E-2</v>
      </c>
    </row>
    <row r="3297" spans="2:7" x14ac:dyDescent="0.2">
      <c r="B3297" s="167">
        <v>42541</v>
      </c>
      <c r="C3297" s="28">
        <v>238.7</v>
      </c>
      <c r="D3297" s="83">
        <f t="shared" si="106"/>
        <v>0.2686686154663831</v>
      </c>
      <c r="E3297" s="83">
        <v>-5.0020842017508005E-3</v>
      </c>
      <c r="F3297" s="83">
        <v>3289</v>
      </c>
      <c r="G3297" s="83">
        <f t="shared" ca="1" si="107"/>
        <v>2.0429040045754531E-2</v>
      </c>
    </row>
    <row r="3298" spans="2:7" x14ac:dyDescent="0.2">
      <c r="B3298" s="167">
        <v>44082</v>
      </c>
      <c r="C3298" s="28">
        <v>188.15</v>
      </c>
      <c r="D3298" s="83">
        <f t="shared" si="106"/>
        <v>2.1712455755941344</v>
      </c>
      <c r="E3298" s="83">
        <v>-5.023796932839707E-3</v>
      </c>
      <c r="F3298" s="83">
        <v>3290</v>
      </c>
      <c r="G3298" s="83">
        <f t="shared" ca="1" si="107"/>
        <v>-2.8397423417919121E-2</v>
      </c>
    </row>
    <row r="3299" spans="2:7" x14ac:dyDescent="0.2">
      <c r="B3299" s="167">
        <v>39338</v>
      </c>
      <c r="C3299" s="28">
        <v>59.33</v>
      </c>
      <c r="D3299" s="83">
        <f t="shared" si="106"/>
        <v>-0.72463566323215445</v>
      </c>
      <c r="E3299" s="83">
        <v>-5.0310246520208664E-3</v>
      </c>
      <c r="F3299" s="83">
        <v>3291</v>
      </c>
      <c r="G3299" s="83">
        <f t="shared" ca="1" si="107"/>
        <v>-2.0545878044214021E-2</v>
      </c>
    </row>
    <row r="3300" spans="2:7" x14ac:dyDescent="0.2">
      <c r="B3300" s="167">
        <v>41668</v>
      </c>
      <c r="C3300" s="28">
        <v>215.46</v>
      </c>
      <c r="D3300" s="83">
        <f t="shared" si="106"/>
        <v>0.81669477234401366</v>
      </c>
      <c r="E3300" s="83">
        <v>-5.0334795659201263E-3</v>
      </c>
      <c r="F3300" s="83">
        <v>3292</v>
      </c>
      <c r="G3300" s="83">
        <f t="shared" ca="1" si="107"/>
        <v>7.1559158778025734E-3</v>
      </c>
    </row>
    <row r="3301" spans="2:7" x14ac:dyDescent="0.2">
      <c r="B3301" s="167">
        <v>40549</v>
      </c>
      <c r="C3301" s="28">
        <v>118.6</v>
      </c>
      <c r="D3301" s="83">
        <f t="shared" si="106"/>
        <v>-0.53689964857477557</v>
      </c>
      <c r="E3301" s="83">
        <v>-5.0335570469799374E-3</v>
      </c>
      <c r="F3301" s="83">
        <v>3293</v>
      </c>
      <c r="G3301" s="83">
        <f t="shared" ca="1" si="107"/>
        <v>-1.5472337493460268E-2</v>
      </c>
    </row>
    <row r="3302" spans="2:7" x14ac:dyDescent="0.2">
      <c r="B3302" s="167">
        <v>42765</v>
      </c>
      <c r="C3302" s="28">
        <v>256.10000000000002</v>
      </c>
      <c r="D3302" s="83">
        <f t="shared" si="106"/>
        <v>3.1997376188914406</v>
      </c>
      <c r="E3302" s="83">
        <v>-5.050505050504874E-3</v>
      </c>
      <c r="F3302" s="83">
        <v>3294</v>
      </c>
      <c r="G3302" s="83">
        <f t="shared" ca="1" si="107"/>
        <v>-2.0699588663511013E-3</v>
      </c>
    </row>
    <row r="3303" spans="2:7" x14ac:dyDescent="0.2">
      <c r="B3303" s="167">
        <v>39687</v>
      </c>
      <c r="C3303" s="28">
        <v>60.98</v>
      </c>
      <c r="D3303" s="83">
        <f t="shared" si="106"/>
        <v>-0.75181115181115188</v>
      </c>
      <c r="E3303" s="83">
        <v>-5.057921357480866E-3</v>
      </c>
      <c r="F3303" s="83">
        <v>3295</v>
      </c>
      <c r="G3303" s="83">
        <f t="shared" ca="1" si="107"/>
        <v>8.6759865390726625E-4</v>
      </c>
    </row>
    <row r="3304" spans="2:7" x14ac:dyDescent="0.2">
      <c r="B3304" s="167">
        <v>42642</v>
      </c>
      <c r="C3304" s="28">
        <v>245.7</v>
      </c>
      <c r="D3304" s="83">
        <f t="shared" si="106"/>
        <v>-7.3005093378607888E-2</v>
      </c>
      <c r="E3304" s="83">
        <v>-5.0617533913747724E-3</v>
      </c>
      <c r="F3304" s="83">
        <v>3296</v>
      </c>
      <c r="G3304" s="83">
        <f t="shared" ca="1" si="107"/>
        <v>2.1914666537915913E-2</v>
      </c>
    </row>
    <row r="3305" spans="2:7" x14ac:dyDescent="0.2">
      <c r="B3305" s="167">
        <v>43159</v>
      </c>
      <c r="C3305" s="28">
        <v>265.05</v>
      </c>
      <c r="D3305" s="83">
        <f t="shared" si="106"/>
        <v>-0.37979689254960686</v>
      </c>
      <c r="E3305" s="83">
        <v>-5.0675675675674403E-3</v>
      </c>
      <c r="F3305" s="83">
        <v>3297</v>
      </c>
      <c r="G3305" s="83">
        <f t="shared" ca="1" si="107"/>
        <v>6.4677003257951017E-3</v>
      </c>
    </row>
    <row r="3306" spans="2:7" x14ac:dyDescent="0.2">
      <c r="B3306" s="167">
        <v>45265</v>
      </c>
      <c r="C3306" s="28">
        <v>427.36</v>
      </c>
      <c r="D3306" s="83">
        <f t="shared" si="106"/>
        <v>7.3927729772191668</v>
      </c>
      <c r="E3306" s="83">
        <v>-5.0751967220747929E-3</v>
      </c>
      <c r="F3306" s="83">
        <v>3298</v>
      </c>
      <c r="G3306" s="83">
        <f t="shared" ca="1" si="107"/>
        <v>9.204739758226799E-3</v>
      </c>
    </row>
    <row r="3307" spans="2:7" x14ac:dyDescent="0.2">
      <c r="B3307" s="167">
        <v>39286</v>
      </c>
      <c r="C3307" s="28">
        <v>50.92</v>
      </c>
      <c r="D3307" s="83">
        <f t="shared" si="106"/>
        <v>-0.76736111111111105</v>
      </c>
      <c r="E3307" s="83">
        <v>-5.0801094177412662E-3</v>
      </c>
      <c r="F3307" s="83">
        <v>3299</v>
      </c>
      <c r="G3307" s="83">
        <f t="shared" ca="1" si="107"/>
        <v>1.5567740650446487E-2</v>
      </c>
    </row>
    <row r="3308" spans="2:7" x14ac:dyDescent="0.2">
      <c r="B3308" s="167">
        <v>41443</v>
      </c>
      <c r="C3308" s="28">
        <v>218.88</v>
      </c>
      <c r="D3308" s="83">
        <f t="shared" si="106"/>
        <v>0.12016376663254856</v>
      </c>
      <c r="E3308" s="83">
        <v>-5.0909090909091112E-3</v>
      </c>
      <c r="F3308" s="83">
        <v>3300</v>
      </c>
      <c r="G3308" s="83">
        <f t="shared" ca="1" si="107"/>
        <v>-5.2100270827433216E-3</v>
      </c>
    </row>
    <row r="3309" spans="2:7" x14ac:dyDescent="0.2">
      <c r="B3309" s="167">
        <v>44040</v>
      </c>
      <c r="C3309" s="28">
        <v>195.4</v>
      </c>
      <c r="D3309" s="83">
        <f t="shared" si="106"/>
        <v>-0.45121608717631856</v>
      </c>
      <c r="E3309" s="83">
        <v>-5.0916496945010185E-3</v>
      </c>
      <c r="F3309" s="83">
        <v>3301</v>
      </c>
      <c r="G3309" s="83">
        <f t="shared" ca="1" si="107"/>
        <v>-7.6751123461788915E-3</v>
      </c>
    </row>
    <row r="3310" spans="2:7" x14ac:dyDescent="0.2">
      <c r="B3310" s="167">
        <v>45009</v>
      </c>
      <c r="C3310" s="28">
        <v>356.06</v>
      </c>
      <c r="D3310" s="83">
        <f t="shared" si="106"/>
        <v>0.59310961968680087</v>
      </c>
      <c r="E3310" s="83">
        <v>-5.1133029701863255E-3</v>
      </c>
      <c r="F3310" s="83">
        <v>3302</v>
      </c>
      <c r="G3310" s="83">
        <f t="shared" ca="1" si="107"/>
        <v>3.3201085389015167E-3</v>
      </c>
    </row>
    <row r="3311" spans="2:7" x14ac:dyDescent="0.2">
      <c r="B3311" s="167">
        <v>42698</v>
      </c>
      <c r="C3311" s="28">
        <v>223.5</v>
      </c>
      <c r="D3311" s="83">
        <f t="shared" si="106"/>
        <v>0.94975137398586762</v>
      </c>
      <c r="E3311" s="83">
        <v>-5.1190741152904772E-3</v>
      </c>
      <c r="F3311" s="83">
        <v>3303</v>
      </c>
      <c r="G3311" s="83">
        <f t="shared" ca="1" si="107"/>
        <v>-2.1064615441726022E-2</v>
      </c>
    </row>
    <row r="3312" spans="2:7" x14ac:dyDescent="0.2">
      <c r="B3312" s="167">
        <v>40457</v>
      </c>
      <c r="C3312" s="28">
        <v>114.63</v>
      </c>
      <c r="D3312" s="83">
        <f t="shared" si="106"/>
        <v>-0.33690056111528899</v>
      </c>
      <c r="E3312" s="83">
        <v>-5.1206387779899618E-3</v>
      </c>
      <c r="F3312" s="83">
        <v>3304</v>
      </c>
      <c r="G3312" s="83">
        <f t="shared" ca="1" si="107"/>
        <v>-9.1291608358510992E-3</v>
      </c>
    </row>
    <row r="3313" spans="2:7" x14ac:dyDescent="0.2">
      <c r="B3313" s="167">
        <v>41142</v>
      </c>
      <c r="C3313" s="28">
        <v>172.87</v>
      </c>
      <c r="D3313" s="83">
        <f t="shared" si="106"/>
        <v>-0.58174251772277463</v>
      </c>
      <c r="E3313" s="83">
        <v>-5.1220073664824265E-3</v>
      </c>
      <c r="F3313" s="83">
        <v>3305</v>
      </c>
      <c r="G3313" s="83">
        <f t="shared" ca="1" si="107"/>
        <v>5.9975784826081405E-4</v>
      </c>
    </row>
    <row r="3314" spans="2:7" x14ac:dyDescent="0.2">
      <c r="B3314" s="167">
        <v>45453</v>
      </c>
      <c r="C3314" s="28">
        <v>413.31</v>
      </c>
      <c r="D3314" s="83">
        <f t="shared" si="106"/>
        <v>0.33153994845360835</v>
      </c>
      <c r="E3314" s="83">
        <v>-5.1270941652224039E-3</v>
      </c>
      <c r="F3314" s="83">
        <v>3306</v>
      </c>
      <c r="G3314" s="83">
        <f t="shared" ca="1" si="107"/>
        <v>-3.7954497426425111E-3</v>
      </c>
    </row>
    <row r="3315" spans="2:7" x14ac:dyDescent="0.2">
      <c r="B3315" s="167">
        <v>43336</v>
      </c>
      <c r="C3315" s="28">
        <v>310.39999999999998</v>
      </c>
      <c r="D3315" s="83">
        <f t="shared" si="106"/>
        <v>0.39255271422162391</v>
      </c>
      <c r="E3315" s="83">
        <v>-5.1282051282052011E-3</v>
      </c>
      <c r="F3315" s="83">
        <v>3307</v>
      </c>
      <c r="G3315" s="83">
        <f t="shared" ca="1" si="107"/>
        <v>1.3247533500858532E-2</v>
      </c>
    </row>
    <row r="3316" spans="2:7" x14ac:dyDescent="0.2">
      <c r="B3316" s="167">
        <v>44546</v>
      </c>
      <c r="C3316" s="28">
        <v>222.9</v>
      </c>
      <c r="D3316" s="83">
        <f t="shared" si="106"/>
        <v>0.21174232128295742</v>
      </c>
      <c r="E3316" s="83">
        <v>-5.1327828609685593E-3</v>
      </c>
      <c r="F3316" s="83">
        <v>3308</v>
      </c>
      <c r="G3316" s="83">
        <f t="shared" ca="1" si="107"/>
        <v>-2.7153140828025837E-3</v>
      </c>
    </row>
    <row r="3317" spans="2:7" x14ac:dyDescent="0.2">
      <c r="B3317" s="167">
        <v>44085</v>
      </c>
      <c r="C3317" s="28">
        <v>183.95</v>
      </c>
      <c r="D3317" s="83">
        <f t="shared" si="106"/>
        <v>-0.58972700508519948</v>
      </c>
      <c r="E3317" s="83">
        <v>-5.1379123850731042E-3</v>
      </c>
      <c r="F3317" s="83">
        <v>3309</v>
      </c>
      <c r="G3317" s="83">
        <f t="shared" ca="1" si="107"/>
        <v>2.190049701566614E-2</v>
      </c>
    </row>
    <row r="3318" spans="2:7" x14ac:dyDescent="0.2">
      <c r="B3318" s="167">
        <v>45296</v>
      </c>
      <c r="C3318" s="28">
        <v>448.36</v>
      </c>
      <c r="D3318" s="83">
        <f t="shared" si="106"/>
        <v>2.3152913339248742</v>
      </c>
      <c r="E3318" s="83">
        <v>-5.1477766929972331E-3</v>
      </c>
      <c r="F3318" s="83">
        <v>3310</v>
      </c>
      <c r="G3318" s="83">
        <f t="shared" ca="1" si="107"/>
        <v>1.7851691634989151E-2</v>
      </c>
    </row>
    <row r="3319" spans="2:7" x14ac:dyDescent="0.2">
      <c r="B3319" s="167">
        <v>40837</v>
      </c>
      <c r="C3319" s="28">
        <v>135.24</v>
      </c>
      <c r="D3319" s="83">
        <f t="shared" si="106"/>
        <v>6.0789081496588085E-2</v>
      </c>
      <c r="E3319" s="83">
        <v>-5.149330587023603E-3</v>
      </c>
      <c r="F3319" s="83">
        <v>3311</v>
      </c>
      <c r="G3319" s="83">
        <f t="shared" ca="1" si="107"/>
        <v>1.9772425106928605E-2</v>
      </c>
    </row>
    <row r="3320" spans="2:7" x14ac:dyDescent="0.2">
      <c r="B3320" s="167">
        <v>40871</v>
      </c>
      <c r="C3320" s="28">
        <v>127.49</v>
      </c>
      <c r="D3320" s="83">
        <f t="shared" si="106"/>
        <v>0.65035598705501607</v>
      </c>
      <c r="E3320" s="83">
        <v>-5.1502145922747624E-3</v>
      </c>
      <c r="F3320" s="83">
        <v>3312</v>
      </c>
      <c r="G3320" s="83">
        <f t="shared" ca="1" si="107"/>
        <v>-8.0921787773347905E-3</v>
      </c>
    </row>
    <row r="3321" spans="2:7" x14ac:dyDescent="0.2">
      <c r="B3321" s="167">
        <v>40086</v>
      </c>
      <c r="C3321" s="28">
        <v>77.25</v>
      </c>
      <c r="D3321" s="83">
        <f t="shared" si="106"/>
        <v>-0.76241734584038134</v>
      </c>
      <c r="E3321" s="83">
        <v>-5.1513200257566729E-3</v>
      </c>
      <c r="F3321" s="83">
        <v>3313</v>
      </c>
      <c r="G3321" s="83">
        <f t="shared" ca="1" si="107"/>
        <v>5.140421359703916E-3</v>
      </c>
    </row>
    <row r="3322" spans="2:7" x14ac:dyDescent="0.2">
      <c r="B3322" s="167">
        <v>44810</v>
      </c>
      <c r="C3322" s="28">
        <v>325.14999999999998</v>
      </c>
      <c r="D3322" s="83">
        <f t="shared" si="106"/>
        <v>4.1261232855115875</v>
      </c>
      <c r="E3322" s="83">
        <v>-5.1707257373638411E-3</v>
      </c>
      <c r="F3322" s="83">
        <v>3314</v>
      </c>
      <c r="G3322" s="83">
        <f t="shared" ca="1" si="107"/>
        <v>3.6968539322627177E-2</v>
      </c>
    </row>
    <row r="3323" spans="2:7" x14ac:dyDescent="0.2">
      <c r="B3323" s="167">
        <v>39720</v>
      </c>
      <c r="C3323" s="28">
        <v>63.43</v>
      </c>
      <c r="D3323" s="83">
        <f t="shared" si="106"/>
        <v>-0.7316154692392316</v>
      </c>
      <c r="E3323" s="83">
        <v>-5.175658720200726E-3</v>
      </c>
      <c r="F3323" s="83">
        <v>3315</v>
      </c>
      <c r="G3323" s="83">
        <f t="shared" ca="1" si="107"/>
        <v>-2.7896331807491927E-2</v>
      </c>
    </row>
    <row r="3324" spans="2:7" x14ac:dyDescent="0.2">
      <c r="B3324" s="167">
        <v>42303</v>
      </c>
      <c r="C3324" s="28">
        <v>236.34</v>
      </c>
      <c r="D3324" s="83">
        <f t="shared" si="106"/>
        <v>8.9024053082665158E-2</v>
      </c>
      <c r="E3324" s="83">
        <v>-5.1774213915898046E-3</v>
      </c>
      <c r="F3324" s="83">
        <v>3316</v>
      </c>
      <c r="G3324" s="83">
        <f t="shared" ca="1" si="107"/>
        <v>7.8808717148133381E-3</v>
      </c>
    </row>
    <row r="3325" spans="2:7" x14ac:dyDescent="0.2">
      <c r="B3325" s="167">
        <v>41661</v>
      </c>
      <c r="C3325" s="28">
        <v>217.02</v>
      </c>
      <c r="D3325" s="83">
        <f t="shared" si="106"/>
        <v>-0.16256994018907958</v>
      </c>
      <c r="E3325" s="83">
        <v>-5.1799220719688076E-3</v>
      </c>
      <c r="F3325" s="83">
        <v>3317</v>
      </c>
      <c r="G3325" s="83">
        <f t="shared" ca="1" si="107"/>
        <v>1.3564237699916598E-2</v>
      </c>
    </row>
    <row r="3326" spans="2:7" x14ac:dyDescent="0.2">
      <c r="B3326" s="167">
        <v>43178</v>
      </c>
      <c r="C3326" s="28">
        <v>259.14999999999998</v>
      </c>
      <c r="D3326" s="83">
        <f t="shared" si="106"/>
        <v>-3.3202760678977927E-2</v>
      </c>
      <c r="E3326" s="83">
        <v>-5.1823416506718723E-3</v>
      </c>
      <c r="F3326" s="83">
        <v>3318</v>
      </c>
      <c r="G3326" s="83">
        <f t="shared" ca="1" si="107"/>
        <v>-2.9563078115580053E-3</v>
      </c>
    </row>
    <row r="3327" spans="2:7" x14ac:dyDescent="0.2">
      <c r="B3327" s="167">
        <v>43173</v>
      </c>
      <c r="C3327" s="28">
        <v>268.05</v>
      </c>
      <c r="D3327" s="83">
        <f t="shared" si="106"/>
        <v>0.50725371120107965</v>
      </c>
      <c r="E3327" s="83">
        <v>-5.1957691593986916E-3</v>
      </c>
      <c r="F3327" s="83">
        <v>3319</v>
      </c>
      <c r="G3327" s="83">
        <f t="shared" ca="1" si="107"/>
        <v>5.41418326913115E-3</v>
      </c>
    </row>
    <row r="3328" spans="2:7" x14ac:dyDescent="0.2">
      <c r="B3328" s="167">
        <v>41166</v>
      </c>
      <c r="C3328" s="28">
        <v>177.84</v>
      </c>
      <c r="D3328" s="83">
        <f t="shared" si="106"/>
        <v>-0.17674289417646516</v>
      </c>
      <c r="E3328" s="83">
        <v>-5.2022151367679516E-3</v>
      </c>
      <c r="F3328" s="83">
        <v>3320</v>
      </c>
      <c r="G3328" s="83">
        <f t="shared" ca="1" si="107"/>
        <v>1.3158727947086481E-2</v>
      </c>
    </row>
    <row r="3329" spans="2:7" x14ac:dyDescent="0.2">
      <c r="B3329" s="167">
        <v>42094</v>
      </c>
      <c r="C3329" s="28">
        <v>216.02</v>
      </c>
      <c r="D3329" s="83">
        <f t="shared" si="106"/>
        <v>-0.19244859813084109</v>
      </c>
      <c r="E3329" s="83">
        <v>-5.2037761915726243E-3</v>
      </c>
      <c r="F3329" s="83">
        <v>3321</v>
      </c>
      <c r="G3329" s="83">
        <f t="shared" ca="1" si="107"/>
        <v>5.8049265780732232E-3</v>
      </c>
    </row>
    <row r="3330" spans="2:7" x14ac:dyDescent="0.2">
      <c r="B3330" s="167">
        <v>43256</v>
      </c>
      <c r="C3330" s="28">
        <v>267.5</v>
      </c>
      <c r="D3330" s="83">
        <f t="shared" si="106"/>
        <v>0.17789520035226775</v>
      </c>
      <c r="E3330" s="83">
        <v>-5.2063964298995069E-3</v>
      </c>
      <c r="F3330" s="83">
        <v>3322</v>
      </c>
      <c r="G3330" s="83">
        <f t="shared" ca="1" si="107"/>
        <v>-5.4880096853528433E-3</v>
      </c>
    </row>
    <row r="3331" spans="2:7" x14ac:dyDescent="0.2">
      <c r="B3331" s="167">
        <v>42338</v>
      </c>
      <c r="C3331" s="28">
        <v>227.1</v>
      </c>
      <c r="D3331" s="83">
        <f t="shared" si="106"/>
        <v>-0.25394218134034163</v>
      </c>
      <c r="E3331" s="83">
        <v>-5.2126680975951543E-3</v>
      </c>
      <c r="F3331" s="83">
        <v>3323</v>
      </c>
      <c r="G3331" s="83">
        <f t="shared" ca="1" si="107"/>
        <v>-8.9759863114852751E-3</v>
      </c>
    </row>
    <row r="3332" spans="2:7" x14ac:dyDescent="0.2">
      <c r="B3332" s="167">
        <v>42898</v>
      </c>
      <c r="C3332" s="28">
        <v>304.39999999999998</v>
      </c>
      <c r="D3332" s="83">
        <f t="shared" si="106"/>
        <v>-0.28231244400433825</v>
      </c>
      <c r="E3332" s="83">
        <v>-5.2287581699347148E-3</v>
      </c>
      <c r="F3332" s="83">
        <v>3324</v>
      </c>
      <c r="G3332" s="83">
        <f t="shared" ca="1" si="107"/>
        <v>1.4457077560742805E-2</v>
      </c>
    </row>
    <row r="3333" spans="2:7" x14ac:dyDescent="0.2">
      <c r="B3333" s="167">
        <v>45212</v>
      </c>
      <c r="C3333" s="28">
        <v>424.14</v>
      </c>
      <c r="D3333" s="83">
        <f t="shared" si="106"/>
        <v>0.71647106434641838</v>
      </c>
      <c r="E3333" s="83">
        <v>-5.230199122827634E-3</v>
      </c>
      <c r="F3333" s="83">
        <v>3325</v>
      </c>
      <c r="G3333" s="83">
        <f t="shared" ca="1" si="107"/>
        <v>-7.1237498643933461E-4</v>
      </c>
    </row>
    <row r="3334" spans="2:7" x14ac:dyDescent="0.2">
      <c r="B3334" s="167">
        <v>42564</v>
      </c>
      <c r="C3334" s="28">
        <v>247.1</v>
      </c>
      <c r="D3334" s="83">
        <f t="shared" si="106"/>
        <v>-0.20625742828691659</v>
      </c>
      <c r="E3334" s="83">
        <v>-5.2334943639291923E-3</v>
      </c>
      <c r="F3334" s="83">
        <v>3326</v>
      </c>
      <c r="G3334" s="83">
        <f t="shared" ca="1" si="107"/>
        <v>3.1269468861531038E-3</v>
      </c>
    </row>
    <row r="3335" spans="2:7" x14ac:dyDescent="0.2">
      <c r="B3335" s="167">
        <v>44929</v>
      </c>
      <c r="C3335" s="28">
        <v>311.31</v>
      </c>
      <c r="D3335" s="83">
        <f t="shared" si="106"/>
        <v>2.8371749044743009</v>
      </c>
      <c r="E3335" s="83">
        <v>-5.2404537466048456E-3</v>
      </c>
      <c r="F3335" s="83">
        <v>3327</v>
      </c>
      <c r="G3335" s="83">
        <f t="shared" ca="1" si="107"/>
        <v>8.5415030678477923E-3</v>
      </c>
    </row>
    <row r="3336" spans="2:7" x14ac:dyDescent="0.2">
      <c r="B3336" s="167">
        <v>40242</v>
      </c>
      <c r="C3336" s="28">
        <v>81.13</v>
      </c>
      <c r="D3336" s="83">
        <f t="shared" si="106"/>
        <v>-0.58931915970640347</v>
      </c>
      <c r="E3336" s="83">
        <v>-5.2721922511035652E-3</v>
      </c>
      <c r="F3336" s="83">
        <v>3328</v>
      </c>
      <c r="G3336" s="83">
        <f t="shared" ca="1" si="107"/>
        <v>-3.75519691487224E-2</v>
      </c>
    </row>
    <row r="3337" spans="2:7" x14ac:dyDescent="0.2">
      <c r="B3337" s="167">
        <v>43888</v>
      </c>
      <c r="C3337" s="28">
        <v>197.55</v>
      </c>
      <c r="D3337" s="83">
        <f t="shared" ref="D3337:D3400" si="108">(C3337-C3338)/C3338</f>
        <v>-0.27544470933431131</v>
      </c>
      <c r="E3337" s="83">
        <v>-5.2870090634440231E-3</v>
      </c>
      <c r="F3337" s="83">
        <v>3329</v>
      </c>
      <c r="G3337" s="83">
        <f t="shared" ref="G3337:G3400" ca="1" si="109">_xlfn.NORM.INV(RAND(),$M$10,$M$11)</f>
        <v>-1.2478500370498918E-3</v>
      </c>
    </row>
    <row r="3338" spans="2:7" x14ac:dyDescent="0.2">
      <c r="B3338" s="167">
        <v>42832</v>
      </c>
      <c r="C3338" s="28">
        <v>272.64999999999998</v>
      </c>
      <c r="D3338" s="83">
        <f t="shared" si="108"/>
        <v>3.5904255319148898E-2</v>
      </c>
      <c r="E3338" s="83">
        <v>-5.2900401313390926E-3</v>
      </c>
      <c r="F3338" s="83">
        <v>3330</v>
      </c>
      <c r="G3338" s="83">
        <f t="shared" ca="1" si="109"/>
        <v>-1.183584245184025E-2</v>
      </c>
    </row>
    <row r="3339" spans="2:7" x14ac:dyDescent="0.2">
      <c r="B3339" s="167">
        <v>43087</v>
      </c>
      <c r="C3339" s="28">
        <v>263.2</v>
      </c>
      <c r="D3339" s="83">
        <f t="shared" si="108"/>
        <v>-0.44221925530336748</v>
      </c>
      <c r="E3339" s="83">
        <v>-5.2910052910054191E-3</v>
      </c>
      <c r="F3339" s="83">
        <v>3331</v>
      </c>
      <c r="G3339" s="83">
        <f t="shared" ca="1" si="109"/>
        <v>6.4019728425415492E-3</v>
      </c>
    </row>
    <row r="3340" spans="2:7" x14ac:dyDescent="0.2">
      <c r="B3340" s="167">
        <v>45524</v>
      </c>
      <c r="C3340" s="28">
        <v>471.87</v>
      </c>
      <c r="D3340" s="83">
        <f t="shared" si="108"/>
        <v>0.73801104972375697</v>
      </c>
      <c r="E3340" s="83">
        <v>-5.2911168261730911E-3</v>
      </c>
      <c r="F3340" s="83">
        <v>3332</v>
      </c>
      <c r="G3340" s="83">
        <f t="shared" ca="1" si="109"/>
        <v>-1.5519621480203794E-3</v>
      </c>
    </row>
    <row r="3341" spans="2:7" x14ac:dyDescent="0.2">
      <c r="B3341" s="167">
        <v>42864</v>
      </c>
      <c r="C3341" s="28">
        <v>271.5</v>
      </c>
      <c r="D3341" s="83">
        <f t="shared" si="108"/>
        <v>-6.3470162124870569E-2</v>
      </c>
      <c r="E3341" s="83">
        <v>-5.3123282652500041E-3</v>
      </c>
      <c r="F3341" s="83">
        <v>3333</v>
      </c>
      <c r="G3341" s="83">
        <f t="shared" ca="1" si="109"/>
        <v>-1.5172747919684329E-2</v>
      </c>
    </row>
    <row r="3342" spans="2:7" x14ac:dyDescent="0.2">
      <c r="B3342" s="167">
        <v>43486</v>
      </c>
      <c r="C3342" s="28">
        <v>289.89999999999998</v>
      </c>
      <c r="D3342" s="83">
        <f t="shared" si="108"/>
        <v>0.2436722436722436</v>
      </c>
      <c r="E3342" s="83">
        <v>-5.3182364041860063E-3</v>
      </c>
      <c r="F3342" s="83">
        <v>3334</v>
      </c>
      <c r="G3342" s="83">
        <f t="shared" ca="1" si="109"/>
        <v>2.5485230470713639E-2</v>
      </c>
    </row>
    <row r="3343" spans="2:7" x14ac:dyDescent="0.2">
      <c r="B3343" s="167">
        <v>44235</v>
      </c>
      <c r="C3343" s="28">
        <v>233.1</v>
      </c>
      <c r="D3343" s="83">
        <f t="shared" si="108"/>
        <v>3.1684549356223175</v>
      </c>
      <c r="E3343" s="83">
        <v>-5.3339022829101768E-3</v>
      </c>
      <c r="F3343" s="83">
        <v>3335</v>
      </c>
      <c r="G3343" s="83">
        <f t="shared" ca="1" si="109"/>
        <v>5.4633931097851675E-3</v>
      </c>
    </row>
    <row r="3344" spans="2:7" x14ac:dyDescent="0.2">
      <c r="B3344" s="167">
        <v>39785</v>
      </c>
      <c r="C3344" s="28">
        <v>55.92</v>
      </c>
      <c r="D3344" s="83">
        <f t="shared" si="108"/>
        <v>-0.72715296413759445</v>
      </c>
      <c r="E3344" s="83">
        <v>-5.3361792956242828E-3</v>
      </c>
      <c r="F3344" s="83">
        <v>3336</v>
      </c>
      <c r="G3344" s="83">
        <f t="shared" ca="1" si="109"/>
        <v>-2.2594436236644817E-2</v>
      </c>
    </row>
    <row r="3345" spans="2:7" x14ac:dyDescent="0.2">
      <c r="B3345" s="167">
        <v>44407</v>
      </c>
      <c r="C3345" s="28">
        <v>204.95</v>
      </c>
      <c r="D3345" s="83">
        <f t="shared" si="108"/>
        <v>-0.47056392239931805</v>
      </c>
      <c r="E3345" s="83">
        <v>-5.3385100703713792E-3</v>
      </c>
      <c r="F3345" s="83">
        <v>3337</v>
      </c>
      <c r="G3345" s="83">
        <f t="shared" ca="1" si="109"/>
        <v>-2.7979014452105912E-2</v>
      </c>
    </row>
    <row r="3346" spans="2:7" x14ac:dyDescent="0.2">
      <c r="B3346" s="167">
        <v>45348</v>
      </c>
      <c r="C3346" s="28">
        <v>387.11</v>
      </c>
      <c r="D3346" s="83">
        <f t="shared" si="108"/>
        <v>-0.19937540071560045</v>
      </c>
      <c r="E3346" s="83">
        <v>-5.3444333102083408E-3</v>
      </c>
      <c r="F3346" s="83">
        <v>3338</v>
      </c>
      <c r="G3346" s="83">
        <f t="shared" ca="1" si="109"/>
        <v>1.1106569844446728E-2</v>
      </c>
    </row>
    <row r="3347" spans="2:7" x14ac:dyDescent="0.2">
      <c r="B3347" s="167">
        <v>45551</v>
      </c>
      <c r="C3347" s="28">
        <v>483.51</v>
      </c>
      <c r="D3347" s="83">
        <f t="shared" si="108"/>
        <v>1.3637741383524808</v>
      </c>
      <c r="E3347" s="83">
        <v>-5.3485836539055413E-3</v>
      </c>
      <c r="F3347" s="83">
        <v>3339</v>
      </c>
      <c r="G3347" s="83">
        <f t="shared" ca="1" si="109"/>
        <v>-1.6511499330960407E-2</v>
      </c>
    </row>
    <row r="3348" spans="2:7" x14ac:dyDescent="0.2">
      <c r="B3348" s="167">
        <v>44365</v>
      </c>
      <c r="C3348" s="28">
        <v>204.55</v>
      </c>
      <c r="D3348" s="83">
        <f t="shared" si="108"/>
        <v>0.50914859082189778</v>
      </c>
      <c r="E3348" s="83">
        <v>-5.348893751519544E-3</v>
      </c>
      <c r="F3348" s="83">
        <v>3340</v>
      </c>
      <c r="G3348" s="83">
        <f t="shared" ca="1" si="109"/>
        <v>4.0638213507227496E-2</v>
      </c>
    </row>
    <row r="3349" spans="2:7" x14ac:dyDescent="0.2">
      <c r="B3349" s="167">
        <v>40947</v>
      </c>
      <c r="C3349" s="28">
        <v>135.54</v>
      </c>
      <c r="D3349" s="83">
        <f t="shared" si="108"/>
        <v>2.1787054409005626</v>
      </c>
      <c r="E3349" s="83">
        <v>-5.3570118147796154E-3</v>
      </c>
      <c r="F3349" s="83">
        <v>3341</v>
      </c>
      <c r="G3349" s="83">
        <f t="shared" ca="1" si="109"/>
        <v>-2.5997376199599007E-2</v>
      </c>
    </row>
    <row r="3350" spans="2:7" x14ac:dyDescent="0.2">
      <c r="B3350" s="167">
        <v>38615</v>
      </c>
      <c r="C3350" s="28">
        <v>42.64</v>
      </c>
      <c r="D3350" s="83">
        <f t="shared" si="108"/>
        <v>-0.81596892533448429</v>
      </c>
      <c r="E3350" s="83">
        <v>-5.3650571495217373E-3</v>
      </c>
      <c r="F3350" s="83">
        <v>3342</v>
      </c>
      <c r="G3350" s="83">
        <f t="shared" ca="1" si="109"/>
        <v>-4.2783367583994064E-3</v>
      </c>
    </row>
    <row r="3351" spans="2:7" x14ac:dyDescent="0.2">
      <c r="B3351" s="167">
        <v>44477</v>
      </c>
      <c r="C3351" s="28">
        <v>231.7</v>
      </c>
      <c r="D3351" s="83">
        <f t="shared" si="108"/>
        <v>2.7927647732853162</v>
      </c>
      <c r="E3351" s="83">
        <v>-5.3659583601631256E-3</v>
      </c>
      <c r="F3351" s="83">
        <v>3343</v>
      </c>
      <c r="G3351" s="83">
        <f t="shared" ca="1" si="109"/>
        <v>-1.6138948501732166E-2</v>
      </c>
    </row>
    <row r="3352" spans="2:7" x14ac:dyDescent="0.2">
      <c r="B3352" s="167">
        <v>39379</v>
      </c>
      <c r="C3352" s="28">
        <v>61.09</v>
      </c>
      <c r="D3352" s="83">
        <f t="shared" si="108"/>
        <v>-0.71251764705882348</v>
      </c>
      <c r="E3352" s="83">
        <v>-5.372842722240285E-3</v>
      </c>
      <c r="F3352" s="83">
        <v>3344</v>
      </c>
      <c r="G3352" s="83">
        <f t="shared" ca="1" si="109"/>
        <v>6.9234617835261881E-3</v>
      </c>
    </row>
    <row r="3353" spans="2:7" x14ac:dyDescent="0.2">
      <c r="B3353" s="167">
        <v>44356</v>
      </c>
      <c r="C3353" s="28">
        <v>212.5</v>
      </c>
      <c r="D3353" s="83">
        <f t="shared" si="108"/>
        <v>0.51547568107260022</v>
      </c>
      <c r="E3353" s="83">
        <v>-5.3826351509478386E-3</v>
      </c>
      <c r="F3353" s="83">
        <v>3345</v>
      </c>
      <c r="G3353" s="83">
        <f t="shared" ca="1" si="109"/>
        <v>8.5338030226168194E-3</v>
      </c>
    </row>
    <row r="3354" spans="2:7" x14ac:dyDescent="0.2">
      <c r="B3354" s="167">
        <v>40861</v>
      </c>
      <c r="C3354" s="28">
        <v>140.22</v>
      </c>
      <c r="D3354" s="83">
        <f t="shared" si="108"/>
        <v>-0.33827277017461072</v>
      </c>
      <c r="E3354" s="83">
        <v>-5.3908355795147609E-3</v>
      </c>
      <c r="F3354" s="83">
        <v>3346</v>
      </c>
      <c r="G3354" s="83">
        <f t="shared" ca="1" si="109"/>
        <v>1.4134931344981377E-3</v>
      </c>
    </row>
    <row r="3355" spans="2:7" x14ac:dyDescent="0.2">
      <c r="B3355" s="167">
        <v>43874</v>
      </c>
      <c r="C3355" s="28">
        <v>211.9</v>
      </c>
      <c r="D3355" s="83">
        <f t="shared" si="108"/>
        <v>-0.28096369189005765</v>
      </c>
      <c r="E3355" s="83">
        <v>-5.3977939450833403E-3</v>
      </c>
      <c r="F3355" s="83">
        <v>3347</v>
      </c>
      <c r="G3355" s="83">
        <f t="shared" ca="1" si="109"/>
        <v>1.131047488554421E-2</v>
      </c>
    </row>
    <row r="3356" spans="2:7" x14ac:dyDescent="0.2">
      <c r="B3356" s="167">
        <v>43565</v>
      </c>
      <c r="C3356" s="28">
        <v>294.7</v>
      </c>
      <c r="D3356" s="83">
        <f t="shared" si="108"/>
        <v>3.8566249176005272</v>
      </c>
      <c r="E3356" s="83">
        <v>-5.3999325008438157E-3</v>
      </c>
      <c r="F3356" s="83">
        <v>3348</v>
      </c>
      <c r="G3356" s="83">
        <f t="shared" ca="1" si="109"/>
        <v>-6.0055606449088287E-3</v>
      </c>
    </row>
    <row r="3357" spans="2:7" x14ac:dyDescent="0.2">
      <c r="B3357" s="167">
        <v>39871</v>
      </c>
      <c r="C3357" s="28">
        <v>60.68</v>
      </c>
      <c r="D3357" s="83">
        <f t="shared" si="108"/>
        <v>-0.75502624142107388</v>
      </c>
      <c r="E3357" s="83">
        <v>-5.4089493525651252E-3</v>
      </c>
      <c r="F3357" s="83">
        <v>3349</v>
      </c>
      <c r="G3357" s="83">
        <f t="shared" ca="1" si="109"/>
        <v>1.2601237803591918E-2</v>
      </c>
    </row>
    <row r="3358" spans="2:7" x14ac:dyDescent="0.2">
      <c r="B3358" s="167">
        <v>43763</v>
      </c>
      <c r="C3358" s="28">
        <v>247.7</v>
      </c>
      <c r="D3358" s="83">
        <f t="shared" si="108"/>
        <v>2.2947592444799145</v>
      </c>
      <c r="E3358" s="83">
        <v>-5.4205982734391598E-3</v>
      </c>
      <c r="F3358" s="83">
        <v>3350</v>
      </c>
      <c r="G3358" s="83">
        <f t="shared" ca="1" si="109"/>
        <v>-5.3086617698838963E-3</v>
      </c>
    </row>
    <row r="3359" spans="2:7" x14ac:dyDescent="0.2">
      <c r="B3359" s="167">
        <v>40059</v>
      </c>
      <c r="C3359" s="28">
        <v>75.180000000000007</v>
      </c>
      <c r="D3359" s="83">
        <f t="shared" si="108"/>
        <v>-0.82940776038121167</v>
      </c>
      <c r="E3359" s="83">
        <v>-5.4239978833178536E-3</v>
      </c>
      <c r="F3359" s="83">
        <v>3351</v>
      </c>
      <c r="G3359" s="83">
        <f t="shared" ca="1" si="109"/>
        <v>-3.9504853993959338E-2</v>
      </c>
    </row>
    <row r="3360" spans="2:7" x14ac:dyDescent="0.2">
      <c r="B3360" s="167">
        <v>45117</v>
      </c>
      <c r="C3360" s="28">
        <v>440.7</v>
      </c>
      <c r="D3360" s="83">
        <f t="shared" si="108"/>
        <v>1.2157976771079493</v>
      </c>
      <c r="E3360" s="83">
        <v>-5.4388300873372862E-3</v>
      </c>
      <c r="F3360" s="83">
        <v>3352</v>
      </c>
      <c r="G3360" s="83">
        <f t="shared" ca="1" si="109"/>
        <v>7.0714578080126721E-3</v>
      </c>
    </row>
    <row r="3361" spans="2:7" x14ac:dyDescent="0.2">
      <c r="B3361" s="167">
        <v>41325</v>
      </c>
      <c r="C3361" s="28">
        <v>198.89</v>
      </c>
      <c r="D3361" s="83">
        <f t="shared" si="108"/>
        <v>6.1765961990177205E-2</v>
      </c>
      <c r="E3361" s="83">
        <v>-5.4505450545054681E-3</v>
      </c>
      <c r="F3361" s="83">
        <v>3353</v>
      </c>
      <c r="G3361" s="83">
        <f t="shared" ca="1" si="109"/>
        <v>-3.2240796260297258E-2</v>
      </c>
    </row>
    <row r="3362" spans="2:7" x14ac:dyDescent="0.2">
      <c r="B3362" s="167">
        <v>41213</v>
      </c>
      <c r="C3362" s="28">
        <v>187.32</v>
      </c>
      <c r="D3362" s="83">
        <f t="shared" si="108"/>
        <v>-0.18229439497118918</v>
      </c>
      <c r="E3362" s="83">
        <v>-5.4685426068489572E-3</v>
      </c>
      <c r="F3362" s="83">
        <v>3354</v>
      </c>
      <c r="G3362" s="83">
        <f t="shared" ca="1" si="109"/>
        <v>-7.6889856125951133E-3</v>
      </c>
    </row>
    <row r="3363" spans="2:7" x14ac:dyDescent="0.2">
      <c r="B3363" s="167">
        <v>41465</v>
      </c>
      <c r="C3363" s="28">
        <v>229.08</v>
      </c>
      <c r="D3363" s="83">
        <f t="shared" si="108"/>
        <v>-0.44447947231854884</v>
      </c>
      <c r="E3363" s="83">
        <v>-5.4701745246157462E-3</v>
      </c>
      <c r="F3363" s="83">
        <v>3355</v>
      </c>
      <c r="G3363" s="83">
        <f t="shared" ca="1" si="109"/>
        <v>1.2192118647822223E-2</v>
      </c>
    </row>
    <row r="3364" spans="2:7" x14ac:dyDescent="0.2">
      <c r="B3364" s="167">
        <v>45222</v>
      </c>
      <c r="C3364" s="28">
        <v>412.37</v>
      </c>
      <c r="D3364" s="83">
        <f t="shared" si="108"/>
        <v>5.6834683954619125</v>
      </c>
      <c r="E3364" s="83">
        <v>-5.4746285934786365E-3</v>
      </c>
      <c r="F3364" s="83">
        <v>3356</v>
      </c>
      <c r="G3364" s="83">
        <f t="shared" ca="1" si="109"/>
        <v>8.5984558949300897E-3</v>
      </c>
    </row>
    <row r="3365" spans="2:7" x14ac:dyDescent="0.2">
      <c r="B3365" s="167">
        <v>39371</v>
      </c>
      <c r="C3365" s="28">
        <v>61.7</v>
      </c>
      <c r="D3365" s="83">
        <f t="shared" si="108"/>
        <v>-0.69088176352705399</v>
      </c>
      <c r="E3365" s="83">
        <v>-5.4803352675692509E-3</v>
      </c>
      <c r="F3365" s="83">
        <v>3357</v>
      </c>
      <c r="G3365" s="83">
        <f t="shared" ca="1" si="109"/>
        <v>1.8444761309941198E-2</v>
      </c>
    </row>
    <row r="3366" spans="2:7" x14ac:dyDescent="0.2">
      <c r="B3366" s="167">
        <v>44036</v>
      </c>
      <c r="C3366" s="28">
        <v>199.6</v>
      </c>
      <c r="D3366" s="83">
        <f t="shared" si="108"/>
        <v>-0.37123956528587176</v>
      </c>
      <c r="E3366" s="83">
        <v>-5.4808171400099375E-3</v>
      </c>
      <c r="F3366" s="83">
        <v>3358</v>
      </c>
      <c r="G3366" s="83">
        <f t="shared" ca="1" si="109"/>
        <v>1.6112638435351261E-2</v>
      </c>
    </row>
    <row r="3367" spans="2:7" x14ac:dyDescent="0.2">
      <c r="B3367" s="167">
        <v>42891</v>
      </c>
      <c r="C3367" s="28">
        <v>317.45</v>
      </c>
      <c r="D3367" s="83">
        <f t="shared" si="108"/>
        <v>0.45853434413048461</v>
      </c>
      <c r="E3367" s="83">
        <v>-5.4824561403508778E-3</v>
      </c>
      <c r="F3367" s="83">
        <v>3359</v>
      </c>
      <c r="G3367" s="83">
        <f t="shared" ca="1" si="109"/>
        <v>4.7117239828179343E-2</v>
      </c>
    </row>
    <row r="3368" spans="2:7" x14ac:dyDescent="0.2">
      <c r="B3368" s="167">
        <v>44216</v>
      </c>
      <c r="C3368" s="28">
        <v>217.65</v>
      </c>
      <c r="D3368" s="83">
        <f t="shared" si="108"/>
        <v>4.363461999520496E-2</v>
      </c>
      <c r="E3368" s="83">
        <v>-5.4832076764906954E-3</v>
      </c>
      <c r="F3368" s="83">
        <v>3360</v>
      </c>
      <c r="G3368" s="83">
        <f t="shared" ca="1" si="109"/>
        <v>3.0204118747737918E-5</v>
      </c>
    </row>
    <row r="3369" spans="2:7" x14ac:dyDescent="0.2">
      <c r="B3369" s="167">
        <v>44260</v>
      </c>
      <c r="C3369" s="28">
        <v>208.55</v>
      </c>
      <c r="D3369" s="83">
        <f t="shared" si="108"/>
        <v>-0.17796610169491517</v>
      </c>
      <c r="E3369" s="83">
        <v>-5.4840247973294105E-3</v>
      </c>
      <c r="F3369" s="83">
        <v>3361</v>
      </c>
      <c r="G3369" s="83">
        <f t="shared" ca="1" si="109"/>
        <v>1.1036516926908699E-4</v>
      </c>
    </row>
    <row r="3370" spans="2:7" x14ac:dyDescent="0.2">
      <c r="B3370" s="167">
        <v>42599</v>
      </c>
      <c r="C3370" s="28">
        <v>253.7</v>
      </c>
      <c r="D3370" s="83">
        <f t="shared" si="108"/>
        <v>2.6901818181818182</v>
      </c>
      <c r="E3370" s="83">
        <v>-5.4880439043512568E-3</v>
      </c>
      <c r="F3370" s="83">
        <v>3362</v>
      </c>
      <c r="G3370" s="83">
        <f t="shared" ca="1" si="109"/>
        <v>-4.6924482941763058E-3</v>
      </c>
    </row>
    <row r="3371" spans="2:7" x14ac:dyDescent="0.2">
      <c r="B3371" s="167">
        <v>39547</v>
      </c>
      <c r="C3371" s="28">
        <v>68.75</v>
      </c>
      <c r="D3371" s="83">
        <f t="shared" si="108"/>
        <v>-0.70539081247857394</v>
      </c>
      <c r="E3371" s="83">
        <v>-5.496889917546586E-3</v>
      </c>
      <c r="F3371" s="83">
        <v>3363</v>
      </c>
      <c r="G3371" s="83">
        <f t="shared" ca="1" si="109"/>
        <v>1.5618010621696626E-2</v>
      </c>
    </row>
    <row r="3372" spans="2:7" x14ac:dyDescent="0.2">
      <c r="B3372" s="167">
        <v>41932</v>
      </c>
      <c r="C3372" s="28">
        <v>233.36</v>
      </c>
      <c r="D3372" s="83">
        <f t="shared" si="108"/>
        <v>8.4890748489074935E-2</v>
      </c>
      <c r="E3372" s="83">
        <v>-5.4975495418708373E-3</v>
      </c>
      <c r="F3372" s="83">
        <v>3364</v>
      </c>
      <c r="G3372" s="83">
        <f t="shared" ca="1" si="109"/>
        <v>1.6667262764061202E-2</v>
      </c>
    </row>
    <row r="3373" spans="2:7" x14ac:dyDescent="0.2">
      <c r="B3373" s="167">
        <v>42223</v>
      </c>
      <c r="C3373" s="28">
        <v>215.1</v>
      </c>
      <c r="D3373" s="83">
        <f t="shared" si="108"/>
        <v>-4.6542553191489359E-2</v>
      </c>
      <c r="E3373" s="83">
        <v>-5.5018724860141375E-3</v>
      </c>
      <c r="F3373" s="83">
        <v>3365</v>
      </c>
      <c r="G3373" s="83">
        <f t="shared" ca="1" si="109"/>
        <v>1.3136929846781954E-2</v>
      </c>
    </row>
    <row r="3374" spans="2:7" x14ac:dyDescent="0.2">
      <c r="B3374" s="167">
        <v>44502</v>
      </c>
      <c r="C3374" s="28">
        <v>225.6</v>
      </c>
      <c r="D3374" s="83">
        <f t="shared" si="108"/>
        <v>-7.3701498665571824E-2</v>
      </c>
      <c r="E3374" s="83">
        <v>-5.5102490632576596E-3</v>
      </c>
      <c r="F3374" s="83">
        <v>3366</v>
      </c>
      <c r="G3374" s="83">
        <f t="shared" ca="1" si="109"/>
        <v>1.6391615433184525E-2</v>
      </c>
    </row>
    <row r="3375" spans="2:7" x14ac:dyDescent="0.2">
      <c r="B3375" s="167">
        <v>42556</v>
      </c>
      <c r="C3375" s="28">
        <v>243.55</v>
      </c>
      <c r="D3375" s="83">
        <f t="shared" si="108"/>
        <v>-9.7461552714471031E-2</v>
      </c>
      <c r="E3375" s="83">
        <v>-5.5124540628827857E-3</v>
      </c>
      <c r="F3375" s="83">
        <v>3367</v>
      </c>
      <c r="G3375" s="83">
        <f t="shared" ca="1" si="109"/>
        <v>3.5530664045161739E-2</v>
      </c>
    </row>
    <row r="3376" spans="2:7" x14ac:dyDescent="0.2">
      <c r="B3376" s="167">
        <v>43143</v>
      </c>
      <c r="C3376" s="28">
        <v>269.85000000000002</v>
      </c>
      <c r="D3376" s="83">
        <f t="shared" si="108"/>
        <v>3.5467565290648699</v>
      </c>
      <c r="E3376" s="83">
        <v>-5.5279159756771688E-3</v>
      </c>
      <c r="F3376" s="83">
        <v>3368</v>
      </c>
      <c r="G3376" s="83">
        <f t="shared" ca="1" si="109"/>
        <v>-3.056444185695523E-2</v>
      </c>
    </row>
    <row r="3377" spans="2:7" x14ac:dyDescent="0.2">
      <c r="B3377" s="167">
        <v>39801</v>
      </c>
      <c r="C3377" s="28">
        <v>59.35</v>
      </c>
      <c r="D3377" s="83">
        <f t="shared" si="108"/>
        <v>-0.72236515881554941</v>
      </c>
      <c r="E3377" s="83">
        <v>-5.5294906166219555E-3</v>
      </c>
      <c r="F3377" s="83">
        <v>3369</v>
      </c>
      <c r="G3377" s="83">
        <f t="shared" ca="1" si="109"/>
        <v>3.4980057767487034E-2</v>
      </c>
    </row>
    <row r="3378" spans="2:7" x14ac:dyDescent="0.2">
      <c r="B3378" s="167">
        <v>42457</v>
      </c>
      <c r="C3378" s="28">
        <v>213.77</v>
      </c>
      <c r="D3378" s="83">
        <f t="shared" si="108"/>
        <v>2.4012728719172634</v>
      </c>
      <c r="E3378" s="83">
        <v>-5.5359136583550319E-3</v>
      </c>
      <c r="F3378" s="83">
        <v>3370</v>
      </c>
      <c r="G3378" s="83">
        <f t="shared" ca="1" si="109"/>
        <v>-7.7262230340587089E-3</v>
      </c>
    </row>
    <row r="3379" spans="2:7" x14ac:dyDescent="0.2">
      <c r="B3379" s="167">
        <v>39658</v>
      </c>
      <c r="C3379" s="28">
        <v>62.85</v>
      </c>
      <c r="D3379" s="83">
        <f t="shared" si="108"/>
        <v>-0.8450443786982248</v>
      </c>
      <c r="E3379" s="83">
        <v>-5.5379746835443264E-3</v>
      </c>
      <c r="F3379" s="83">
        <v>3371</v>
      </c>
      <c r="G3379" s="83">
        <f t="shared" ca="1" si="109"/>
        <v>5.445760793926291E-3</v>
      </c>
    </row>
    <row r="3380" spans="2:7" x14ac:dyDescent="0.2">
      <c r="B3380" s="167">
        <v>45461</v>
      </c>
      <c r="C3380" s="28">
        <v>405.6</v>
      </c>
      <c r="D3380" s="83">
        <f t="shared" si="108"/>
        <v>0.9088855421686749</v>
      </c>
      <c r="E3380" s="83">
        <v>-5.5654988108955836E-3</v>
      </c>
      <c r="F3380" s="83">
        <v>3372</v>
      </c>
      <c r="G3380" s="83">
        <f t="shared" ca="1" si="109"/>
        <v>3.6893432140933685E-2</v>
      </c>
    </row>
    <row r="3381" spans="2:7" x14ac:dyDescent="0.2">
      <c r="B3381" s="167">
        <v>42205</v>
      </c>
      <c r="C3381" s="28">
        <v>212.48</v>
      </c>
      <c r="D3381" s="83">
        <f t="shared" si="108"/>
        <v>-0.31555211957222012</v>
      </c>
      <c r="E3381" s="83">
        <v>-5.5693358917957491E-3</v>
      </c>
      <c r="F3381" s="83">
        <v>3373</v>
      </c>
      <c r="G3381" s="83">
        <f t="shared" ca="1" si="109"/>
        <v>1.390801574886601E-2</v>
      </c>
    </row>
    <row r="3382" spans="2:7" x14ac:dyDescent="0.2">
      <c r="B3382" s="167">
        <v>44798</v>
      </c>
      <c r="C3382" s="28">
        <v>310.44</v>
      </c>
      <c r="D3382" s="83">
        <f t="shared" si="108"/>
        <v>-0.28896014658726527</v>
      </c>
      <c r="E3382" s="83">
        <v>-5.5737074764559197E-3</v>
      </c>
      <c r="F3382" s="83">
        <v>3374</v>
      </c>
      <c r="G3382" s="83">
        <f t="shared" ca="1" si="109"/>
        <v>1.7176648325419586E-2</v>
      </c>
    </row>
    <row r="3383" spans="2:7" x14ac:dyDescent="0.2">
      <c r="B3383" s="167">
        <v>45671</v>
      </c>
      <c r="C3383" s="28">
        <v>436.6</v>
      </c>
      <c r="D3383" s="83">
        <f t="shared" si="108"/>
        <v>5.6580030008228047E-2</v>
      </c>
      <c r="E3383" s="83">
        <v>-5.5802300421364049E-3</v>
      </c>
      <c r="F3383" s="83">
        <v>3375</v>
      </c>
      <c r="G3383" s="83">
        <f t="shared" ca="1" si="109"/>
        <v>-1.3874773832453177E-3</v>
      </c>
    </row>
    <row r="3384" spans="2:7" x14ac:dyDescent="0.2">
      <c r="B3384" s="167">
        <v>45250</v>
      </c>
      <c r="C3384" s="28">
        <v>413.22</v>
      </c>
      <c r="D3384" s="83">
        <f t="shared" si="108"/>
        <v>0.32591047649606947</v>
      </c>
      <c r="E3384" s="83">
        <v>-5.5830966934590966E-3</v>
      </c>
      <c r="F3384" s="83">
        <v>3376</v>
      </c>
      <c r="G3384" s="83">
        <f t="shared" ca="1" si="109"/>
        <v>-2.5726482221148785E-2</v>
      </c>
    </row>
    <row r="3385" spans="2:7" x14ac:dyDescent="0.2">
      <c r="B3385" s="167">
        <v>43340</v>
      </c>
      <c r="C3385" s="28">
        <v>311.64999999999998</v>
      </c>
      <c r="D3385" s="83">
        <f t="shared" si="108"/>
        <v>-0.32603101144006408</v>
      </c>
      <c r="E3385" s="83">
        <v>-5.5839183152520747E-3</v>
      </c>
      <c r="F3385" s="83">
        <v>3377</v>
      </c>
      <c r="G3385" s="83">
        <f t="shared" ca="1" si="109"/>
        <v>3.9396001793553646E-2</v>
      </c>
    </row>
    <row r="3386" spans="2:7" x14ac:dyDescent="0.2">
      <c r="B3386" s="167">
        <v>45596</v>
      </c>
      <c r="C3386" s="28">
        <v>462.41</v>
      </c>
      <c r="D3386" s="83">
        <f t="shared" si="108"/>
        <v>0.57603953646898454</v>
      </c>
      <c r="E3386" s="83">
        <v>-5.5912776069331109E-3</v>
      </c>
      <c r="F3386" s="83">
        <v>3378</v>
      </c>
      <c r="G3386" s="83">
        <f t="shared" ca="1" si="109"/>
        <v>3.4268860095257123E-3</v>
      </c>
    </row>
    <row r="3387" spans="2:7" x14ac:dyDescent="0.2">
      <c r="B3387" s="167">
        <v>43550</v>
      </c>
      <c r="C3387" s="28">
        <v>293.39999999999998</v>
      </c>
      <c r="D3387" s="83">
        <f t="shared" si="108"/>
        <v>-0.14495541178527718</v>
      </c>
      <c r="E3387" s="83">
        <v>-5.5922724961872021E-3</v>
      </c>
      <c r="F3387" s="83">
        <v>3379</v>
      </c>
      <c r="G3387" s="83">
        <f t="shared" ca="1" si="109"/>
        <v>-2.0773113170889389E-2</v>
      </c>
    </row>
    <row r="3388" spans="2:7" x14ac:dyDescent="0.2">
      <c r="B3388" s="167">
        <v>44880</v>
      </c>
      <c r="C3388" s="28">
        <v>343.14</v>
      </c>
      <c r="D3388" s="83">
        <f t="shared" si="108"/>
        <v>0.33258252427184459</v>
      </c>
      <c r="E3388" s="83">
        <v>-5.5930680731445994E-3</v>
      </c>
      <c r="F3388" s="83">
        <v>3380</v>
      </c>
      <c r="G3388" s="83">
        <f t="shared" ca="1" si="109"/>
        <v>1.6492439588018246E-2</v>
      </c>
    </row>
    <row r="3389" spans="2:7" x14ac:dyDescent="0.2">
      <c r="B3389" s="167">
        <v>44678</v>
      </c>
      <c r="C3389" s="28">
        <v>257.5</v>
      </c>
      <c r="D3389" s="83">
        <f t="shared" si="108"/>
        <v>-0.39826607155375882</v>
      </c>
      <c r="E3389" s="83">
        <v>-5.5995365900752608E-3</v>
      </c>
      <c r="F3389" s="83">
        <v>3381</v>
      </c>
      <c r="G3389" s="83">
        <f t="shared" ca="1" si="109"/>
        <v>-9.4078750575541225E-3</v>
      </c>
    </row>
    <row r="3390" spans="2:7" x14ac:dyDescent="0.2">
      <c r="B3390" s="167">
        <v>45146</v>
      </c>
      <c r="C3390" s="28">
        <v>427.93</v>
      </c>
      <c r="D3390" s="83">
        <f t="shared" si="108"/>
        <v>7.0362441314553994</v>
      </c>
      <c r="E3390" s="83">
        <v>-5.6002230794254971E-3</v>
      </c>
      <c r="F3390" s="83">
        <v>3382</v>
      </c>
      <c r="G3390" s="83">
        <f t="shared" ca="1" si="109"/>
        <v>1.9025919965073003E-2</v>
      </c>
    </row>
    <row r="3391" spans="2:7" x14ac:dyDescent="0.2">
      <c r="B3391" s="167">
        <v>39199</v>
      </c>
      <c r="C3391" s="28">
        <v>53.25</v>
      </c>
      <c r="D3391" s="83">
        <f t="shared" si="108"/>
        <v>-0.73890659475361609</v>
      </c>
      <c r="E3391" s="83">
        <v>-5.6022408963584906E-3</v>
      </c>
      <c r="F3391" s="83">
        <v>3383</v>
      </c>
      <c r="G3391" s="83">
        <f t="shared" ca="1" si="109"/>
        <v>-1.711566327401878E-3</v>
      </c>
    </row>
    <row r="3392" spans="2:7" x14ac:dyDescent="0.2">
      <c r="B3392" s="167">
        <v>44370</v>
      </c>
      <c r="C3392" s="28">
        <v>203.95</v>
      </c>
      <c r="D3392" s="83">
        <f t="shared" si="108"/>
        <v>4.4840010755579458</v>
      </c>
      <c r="E3392" s="83">
        <v>-5.6070209653827684E-3</v>
      </c>
      <c r="F3392" s="83">
        <v>3384</v>
      </c>
      <c r="G3392" s="83">
        <f t="shared" ca="1" si="109"/>
        <v>3.6630019214357523E-3</v>
      </c>
    </row>
    <row r="3393" spans="2:7" x14ac:dyDescent="0.2">
      <c r="B3393" s="167">
        <v>38562</v>
      </c>
      <c r="C3393" s="28">
        <v>37.19</v>
      </c>
      <c r="D3393" s="83">
        <f t="shared" si="108"/>
        <v>-0.77150405505038089</v>
      </c>
      <c r="E3393" s="83">
        <v>-5.6149732620321084E-3</v>
      </c>
      <c r="F3393" s="83">
        <v>3385</v>
      </c>
      <c r="G3393" s="83">
        <f t="shared" ca="1" si="109"/>
        <v>-8.5290208131663815E-3</v>
      </c>
    </row>
    <row r="3394" spans="2:7" x14ac:dyDescent="0.2">
      <c r="B3394" s="167">
        <v>41029</v>
      </c>
      <c r="C3394" s="28">
        <v>162.76</v>
      </c>
      <c r="D3394" s="83">
        <f t="shared" si="108"/>
        <v>-0.34251666330034342</v>
      </c>
      <c r="E3394" s="83">
        <v>-5.6207233626589439E-3</v>
      </c>
      <c r="F3394" s="83">
        <v>3386</v>
      </c>
      <c r="G3394" s="83">
        <f t="shared" ca="1" si="109"/>
        <v>9.5590919505437327E-4</v>
      </c>
    </row>
    <row r="3395" spans="2:7" x14ac:dyDescent="0.2">
      <c r="B3395" s="167">
        <v>42746</v>
      </c>
      <c r="C3395" s="28">
        <v>247.55</v>
      </c>
      <c r="D3395" s="83">
        <f t="shared" si="108"/>
        <v>0.2737329560072036</v>
      </c>
      <c r="E3395" s="83">
        <v>-5.6236192006426083E-3</v>
      </c>
      <c r="F3395" s="83">
        <v>3387</v>
      </c>
      <c r="G3395" s="83">
        <f t="shared" ca="1" si="109"/>
        <v>1.4643568766477578E-3</v>
      </c>
    </row>
    <row r="3396" spans="2:7" x14ac:dyDescent="0.2">
      <c r="B3396" s="167">
        <v>44022</v>
      </c>
      <c r="C3396" s="28">
        <v>194.35</v>
      </c>
      <c r="D3396" s="83">
        <f t="shared" si="108"/>
        <v>-0.18511530398322854</v>
      </c>
      <c r="E3396" s="83">
        <v>-5.6280378613455841E-3</v>
      </c>
      <c r="F3396" s="83">
        <v>3388</v>
      </c>
      <c r="G3396" s="83">
        <f t="shared" ca="1" si="109"/>
        <v>3.8833324405461648E-3</v>
      </c>
    </row>
    <row r="3397" spans="2:7" x14ac:dyDescent="0.2">
      <c r="B3397" s="167">
        <v>43833</v>
      </c>
      <c r="C3397" s="28">
        <v>238.5</v>
      </c>
      <c r="D3397" s="83">
        <f t="shared" si="108"/>
        <v>2.8686131386861313</v>
      </c>
      <c r="E3397" s="83">
        <v>-5.6285178236397514E-3</v>
      </c>
      <c r="F3397" s="83">
        <v>3389</v>
      </c>
      <c r="G3397" s="83">
        <f t="shared" ca="1" si="109"/>
        <v>1.1729088180306879E-2</v>
      </c>
    </row>
    <row r="3398" spans="2:7" x14ac:dyDescent="0.2">
      <c r="B3398" s="167">
        <v>39031</v>
      </c>
      <c r="C3398" s="28">
        <v>61.65</v>
      </c>
      <c r="D3398" s="83">
        <f t="shared" si="108"/>
        <v>-0.69555555555555548</v>
      </c>
      <c r="E3398" s="83">
        <v>-5.6451612903226037E-3</v>
      </c>
      <c r="F3398" s="83">
        <v>3390</v>
      </c>
      <c r="G3398" s="83">
        <f t="shared" ca="1" si="109"/>
        <v>-1.4593475290624771E-3</v>
      </c>
    </row>
    <row r="3399" spans="2:7" x14ac:dyDescent="0.2">
      <c r="B3399" s="167">
        <v>44383</v>
      </c>
      <c r="C3399" s="28">
        <v>202.5</v>
      </c>
      <c r="D3399" s="83">
        <f t="shared" si="108"/>
        <v>2.5980810234541578</v>
      </c>
      <c r="E3399" s="83">
        <v>-5.6469432850479043E-3</v>
      </c>
      <c r="F3399" s="83">
        <v>3391</v>
      </c>
      <c r="G3399" s="83">
        <f t="shared" ca="1" si="109"/>
        <v>6.6266673588417247E-3</v>
      </c>
    </row>
    <row r="3400" spans="2:7" x14ac:dyDescent="0.2">
      <c r="B3400" s="167">
        <v>39757</v>
      </c>
      <c r="C3400" s="28">
        <v>56.28</v>
      </c>
      <c r="D3400" s="83">
        <f t="shared" si="108"/>
        <v>-0.78637312583032837</v>
      </c>
      <c r="E3400" s="83">
        <v>-5.6537102473498283E-3</v>
      </c>
      <c r="F3400" s="83">
        <v>3392</v>
      </c>
      <c r="G3400" s="83">
        <f t="shared" ca="1" si="109"/>
        <v>5.0219051852979585E-3</v>
      </c>
    </row>
    <row r="3401" spans="2:7" x14ac:dyDescent="0.2">
      <c r="B3401" s="167">
        <v>42804</v>
      </c>
      <c r="C3401" s="28">
        <v>263.45</v>
      </c>
      <c r="D3401" s="83">
        <f t="shared" ref="D3401:D3464" si="110">(C3401-C3402)/C3402</f>
        <v>3.17181314330958</v>
      </c>
      <c r="E3401" s="83">
        <v>-5.6614455557652387E-3</v>
      </c>
      <c r="F3401" s="83">
        <v>3393</v>
      </c>
      <c r="G3401" s="83">
        <f t="shared" ref="G3401:G3464" ca="1" si="111">_xlfn.NORM.INV(RAND(),$M$10,$M$11)</f>
        <v>-6.8415744980145727E-3</v>
      </c>
    </row>
    <row r="3402" spans="2:7" x14ac:dyDescent="0.2">
      <c r="B3402" s="167">
        <v>39653</v>
      </c>
      <c r="C3402" s="28">
        <v>63.15</v>
      </c>
      <c r="D3402" s="83">
        <f t="shared" si="110"/>
        <v>-0.26475724764233322</v>
      </c>
      <c r="E3402" s="83">
        <v>-5.6683986773736336E-3</v>
      </c>
      <c r="F3402" s="83">
        <v>3394</v>
      </c>
      <c r="G3402" s="83">
        <f t="shared" ca="1" si="111"/>
        <v>1.7381109952718573E-3</v>
      </c>
    </row>
    <row r="3403" spans="2:7" x14ac:dyDescent="0.2">
      <c r="B3403" s="167">
        <v>40114</v>
      </c>
      <c r="C3403" s="28">
        <v>85.89</v>
      </c>
      <c r="D3403" s="83">
        <f t="shared" si="110"/>
        <v>-0.60154945258860648</v>
      </c>
      <c r="E3403" s="83">
        <v>-5.6726094003240902E-3</v>
      </c>
      <c r="F3403" s="83">
        <v>3395</v>
      </c>
      <c r="G3403" s="83">
        <f t="shared" ca="1" si="111"/>
        <v>-2.3578575863307114E-2</v>
      </c>
    </row>
    <row r="3404" spans="2:7" x14ac:dyDescent="0.2">
      <c r="B3404" s="167">
        <v>42247</v>
      </c>
      <c r="C3404" s="28">
        <v>215.56</v>
      </c>
      <c r="D3404" s="83">
        <f t="shared" si="110"/>
        <v>-0.50751656385652266</v>
      </c>
      <c r="E3404" s="83">
        <v>-5.6736934360440512E-3</v>
      </c>
      <c r="F3404" s="83">
        <v>3396</v>
      </c>
      <c r="G3404" s="83">
        <f t="shared" ca="1" si="111"/>
        <v>-4.4029573038446186E-3</v>
      </c>
    </row>
    <row r="3405" spans="2:7" x14ac:dyDescent="0.2">
      <c r="B3405" s="167">
        <v>45677</v>
      </c>
      <c r="C3405" s="28">
        <v>437.7</v>
      </c>
      <c r="D3405" s="83">
        <f t="shared" si="110"/>
        <v>4.2243972308426825</v>
      </c>
      <c r="E3405" s="83">
        <v>-5.6792367105860976E-3</v>
      </c>
      <c r="F3405" s="83">
        <v>3397</v>
      </c>
      <c r="G3405" s="83">
        <f t="shared" ca="1" si="111"/>
        <v>1.5421656462593839E-2</v>
      </c>
    </row>
    <row r="3406" spans="2:7" x14ac:dyDescent="0.2">
      <c r="B3406" s="167">
        <v>40158</v>
      </c>
      <c r="C3406" s="28">
        <v>83.78</v>
      </c>
      <c r="D3406" s="83">
        <f t="shared" si="110"/>
        <v>-0.73162918828880774</v>
      </c>
      <c r="E3406" s="83">
        <v>-5.696653216235509E-3</v>
      </c>
      <c r="F3406" s="83">
        <v>3398</v>
      </c>
      <c r="G3406" s="83">
        <f t="shared" ca="1" si="111"/>
        <v>1.5445744161939667E-2</v>
      </c>
    </row>
    <row r="3407" spans="2:7" x14ac:dyDescent="0.2">
      <c r="B3407" s="167">
        <v>44797</v>
      </c>
      <c r="C3407" s="28">
        <v>312.18</v>
      </c>
      <c r="D3407" s="83">
        <f t="shared" si="110"/>
        <v>0.4961897915168943</v>
      </c>
      <c r="E3407" s="83">
        <v>-5.7011816415581751E-3</v>
      </c>
      <c r="F3407" s="83">
        <v>3399</v>
      </c>
      <c r="G3407" s="83">
        <f t="shared" ca="1" si="111"/>
        <v>-9.7419144662458195E-4</v>
      </c>
    </row>
    <row r="3408" spans="2:7" x14ac:dyDescent="0.2">
      <c r="B3408" s="167">
        <v>44419</v>
      </c>
      <c r="C3408" s="28">
        <v>208.65</v>
      </c>
      <c r="D3408" s="83">
        <f t="shared" si="110"/>
        <v>-0.17054263565891475</v>
      </c>
      <c r="E3408" s="83">
        <v>-5.7183702644745711E-3</v>
      </c>
      <c r="F3408" s="83">
        <v>3400</v>
      </c>
      <c r="G3408" s="83">
        <f t="shared" ca="1" si="111"/>
        <v>9.8365839691574967E-3</v>
      </c>
    </row>
    <row r="3409" spans="2:7" x14ac:dyDescent="0.2">
      <c r="B3409" s="167">
        <v>43696</v>
      </c>
      <c r="C3409" s="28">
        <v>251.55</v>
      </c>
      <c r="D3409" s="83">
        <f t="shared" si="110"/>
        <v>-0.37101492761233212</v>
      </c>
      <c r="E3409" s="83">
        <v>-5.7312252964426425E-3</v>
      </c>
      <c r="F3409" s="83">
        <v>3401</v>
      </c>
      <c r="G3409" s="83">
        <f t="shared" ca="1" si="111"/>
        <v>-1.0585880003710665E-3</v>
      </c>
    </row>
    <row r="3410" spans="2:7" x14ac:dyDescent="0.2">
      <c r="B3410" s="167">
        <v>45386</v>
      </c>
      <c r="C3410" s="28">
        <v>399.93</v>
      </c>
      <c r="D3410" s="83">
        <f t="shared" si="110"/>
        <v>0.54264223722275795</v>
      </c>
      <c r="E3410" s="83">
        <v>-5.7428400954653994E-3</v>
      </c>
      <c r="F3410" s="83">
        <v>3402</v>
      </c>
      <c r="G3410" s="83">
        <f t="shared" ca="1" si="111"/>
        <v>4.0846005868772836E-3</v>
      </c>
    </row>
    <row r="3411" spans="2:7" x14ac:dyDescent="0.2">
      <c r="B3411" s="167">
        <v>43066</v>
      </c>
      <c r="C3411" s="28">
        <v>259.25</v>
      </c>
      <c r="D3411" s="83">
        <f t="shared" si="110"/>
        <v>1.5452965037665723E-3</v>
      </c>
      <c r="E3411" s="83">
        <v>-5.7526366251198467E-3</v>
      </c>
      <c r="F3411" s="83">
        <v>3403</v>
      </c>
      <c r="G3411" s="83">
        <f t="shared" ca="1" si="111"/>
        <v>-1.4254244270914058E-2</v>
      </c>
    </row>
    <row r="3412" spans="2:7" x14ac:dyDescent="0.2">
      <c r="B3412" s="167">
        <v>42632</v>
      </c>
      <c r="C3412" s="28">
        <v>258.85000000000002</v>
      </c>
      <c r="D3412" s="83">
        <f t="shared" si="110"/>
        <v>0.11347700778595098</v>
      </c>
      <c r="E3412" s="83">
        <v>-5.7614749375840208E-3</v>
      </c>
      <c r="F3412" s="83">
        <v>3404</v>
      </c>
      <c r="G3412" s="83">
        <f t="shared" ca="1" si="111"/>
        <v>-1.0842460187783412E-2</v>
      </c>
    </row>
    <row r="3413" spans="2:7" x14ac:dyDescent="0.2">
      <c r="B3413" s="167">
        <v>42026</v>
      </c>
      <c r="C3413" s="28">
        <v>232.47</v>
      </c>
      <c r="D3413" s="83">
        <f t="shared" si="110"/>
        <v>6.1135250917992652</v>
      </c>
      <c r="E3413" s="83">
        <v>-5.7736720554272276E-3</v>
      </c>
      <c r="F3413" s="83">
        <v>3405</v>
      </c>
      <c r="G3413" s="83">
        <f t="shared" ca="1" si="111"/>
        <v>8.5137107625525132E-3</v>
      </c>
    </row>
    <row r="3414" spans="2:7" x14ac:dyDescent="0.2">
      <c r="B3414" s="167">
        <v>38489</v>
      </c>
      <c r="C3414" s="28">
        <v>32.68</v>
      </c>
      <c r="D3414" s="83">
        <f t="shared" si="110"/>
        <v>-0.91947565543071164</v>
      </c>
      <c r="E3414" s="83">
        <v>-5.7803468208091797E-3</v>
      </c>
      <c r="F3414" s="83">
        <v>3406</v>
      </c>
      <c r="G3414" s="83">
        <f t="shared" ca="1" si="111"/>
        <v>-2.8641033246196129E-2</v>
      </c>
    </row>
    <row r="3415" spans="2:7" x14ac:dyDescent="0.2">
      <c r="B3415" s="167">
        <v>45440</v>
      </c>
      <c r="C3415" s="28">
        <v>405.84</v>
      </c>
      <c r="D3415" s="83">
        <f t="shared" si="110"/>
        <v>0.62791817087845947</v>
      </c>
      <c r="E3415" s="83">
        <v>-5.7814796668300191E-3</v>
      </c>
      <c r="F3415" s="83">
        <v>3407</v>
      </c>
      <c r="G3415" s="83">
        <f t="shared" ca="1" si="111"/>
        <v>2.8869683964874757E-2</v>
      </c>
    </row>
    <row r="3416" spans="2:7" x14ac:dyDescent="0.2">
      <c r="B3416" s="167">
        <v>43788</v>
      </c>
      <c r="C3416" s="28">
        <v>249.3</v>
      </c>
      <c r="D3416" s="83">
        <f t="shared" si="110"/>
        <v>3.8533638825244736E-2</v>
      </c>
      <c r="E3416" s="83">
        <v>-5.7826520438683492E-3</v>
      </c>
      <c r="F3416" s="83">
        <v>3408</v>
      </c>
      <c r="G3416" s="83">
        <f t="shared" ca="1" si="111"/>
        <v>-7.9538963406433402E-3</v>
      </c>
    </row>
    <row r="3417" spans="2:7" x14ac:dyDescent="0.2">
      <c r="B3417" s="167">
        <v>43699</v>
      </c>
      <c r="C3417" s="28">
        <v>240.05</v>
      </c>
      <c r="D3417" s="83">
        <f t="shared" si="110"/>
        <v>-0.41861028361064684</v>
      </c>
      <c r="E3417" s="83">
        <v>-5.7983019258644741E-3</v>
      </c>
      <c r="F3417" s="83">
        <v>3409</v>
      </c>
      <c r="G3417" s="83">
        <f t="shared" ca="1" si="111"/>
        <v>3.4720952793118036E-2</v>
      </c>
    </row>
    <row r="3418" spans="2:7" x14ac:dyDescent="0.2">
      <c r="B3418" s="167">
        <v>45415</v>
      </c>
      <c r="C3418" s="28">
        <v>412.89</v>
      </c>
      <c r="D3418" s="83">
        <f t="shared" si="110"/>
        <v>-3.0664477496620593E-3</v>
      </c>
      <c r="E3418" s="83">
        <v>-5.8030339513605225E-3</v>
      </c>
      <c r="F3418" s="83">
        <v>3410</v>
      </c>
      <c r="G3418" s="83">
        <f t="shared" ca="1" si="111"/>
        <v>-1.5617485726851538E-2</v>
      </c>
    </row>
    <row r="3419" spans="2:7" x14ac:dyDescent="0.2">
      <c r="B3419" s="167">
        <v>45254</v>
      </c>
      <c r="C3419" s="28">
        <v>414.16</v>
      </c>
      <c r="D3419" s="83">
        <f t="shared" si="110"/>
        <v>0.35231502644811608</v>
      </c>
      <c r="E3419" s="83">
        <v>-5.8092083153294906E-3</v>
      </c>
      <c r="F3419" s="83">
        <v>3411</v>
      </c>
      <c r="G3419" s="83">
        <f t="shared" ca="1" si="111"/>
        <v>1.5129902008074209E-2</v>
      </c>
    </row>
    <row r="3420" spans="2:7" x14ac:dyDescent="0.2">
      <c r="B3420" s="167">
        <v>44776</v>
      </c>
      <c r="C3420" s="28">
        <v>306.26</v>
      </c>
      <c r="D3420" s="83">
        <f t="shared" si="110"/>
        <v>0.1550443145389403</v>
      </c>
      <c r="E3420" s="83">
        <v>-5.8107450089271888E-3</v>
      </c>
      <c r="F3420" s="83">
        <v>3412</v>
      </c>
      <c r="G3420" s="83">
        <f t="shared" ca="1" si="111"/>
        <v>-2.8296145151706547E-3</v>
      </c>
    </row>
    <row r="3421" spans="2:7" x14ac:dyDescent="0.2">
      <c r="B3421" s="167">
        <v>43201</v>
      </c>
      <c r="C3421" s="28">
        <v>265.14999999999998</v>
      </c>
      <c r="D3421" s="83">
        <f t="shared" si="110"/>
        <v>-0.35663504234100896</v>
      </c>
      <c r="E3421" s="83">
        <v>-5.8117735283090043E-3</v>
      </c>
      <c r="F3421" s="83">
        <v>3413</v>
      </c>
      <c r="G3421" s="83">
        <f t="shared" ca="1" si="111"/>
        <v>1.8796863585429889E-2</v>
      </c>
    </row>
    <row r="3422" spans="2:7" x14ac:dyDescent="0.2">
      <c r="B3422" s="167">
        <v>45412</v>
      </c>
      <c r="C3422" s="28">
        <v>412.13</v>
      </c>
      <c r="D3422" s="83">
        <f t="shared" si="110"/>
        <v>2.1716946282899801</v>
      </c>
      <c r="E3422" s="83">
        <v>-5.8136729869253268E-3</v>
      </c>
      <c r="F3422" s="83">
        <v>3414</v>
      </c>
      <c r="G3422" s="83">
        <f t="shared" ca="1" si="111"/>
        <v>-2.4595696927400185E-2</v>
      </c>
    </row>
    <row r="3423" spans="2:7" x14ac:dyDescent="0.2">
      <c r="B3423" s="167">
        <v>40889</v>
      </c>
      <c r="C3423" s="28">
        <v>129.94</v>
      </c>
      <c r="D3423" s="83">
        <f t="shared" si="110"/>
        <v>-0.68442015786278076</v>
      </c>
      <c r="E3423" s="83">
        <v>-5.8148431522570083E-3</v>
      </c>
      <c r="F3423" s="83">
        <v>3415</v>
      </c>
      <c r="G3423" s="83">
        <f t="shared" ca="1" si="111"/>
        <v>-8.1453362727670134E-3</v>
      </c>
    </row>
    <row r="3424" spans="2:7" x14ac:dyDescent="0.2">
      <c r="B3424" s="167">
        <v>45258</v>
      </c>
      <c r="C3424" s="28">
        <v>411.75</v>
      </c>
      <c r="D3424" s="83">
        <f t="shared" si="110"/>
        <v>1.9467088453583438E-3</v>
      </c>
      <c r="E3424" s="83">
        <v>-5.8190071469963901E-3</v>
      </c>
      <c r="F3424" s="83">
        <v>3416</v>
      </c>
      <c r="G3424" s="83">
        <f t="shared" ca="1" si="111"/>
        <v>-4.1926448380311621E-2</v>
      </c>
    </row>
    <row r="3425" spans="2:7" x14ac:dyDescent="0.2">
      <c r="B3425" s="167">
        <v>45239</v>
      </c>
      <c r="C3425" s="28">
        <v>410.95</v>
      </c>
      <c r="D3425" s="83">
        <f t="shared" si="110"/>
        <v>3.155207280080889</v>
      </c>
      <c r="E3425" s="83">
        <v>-5.8302690149023249E-3</v>
      </c>
      <c r="F3425" s="83">
        <v>3417</v>
      </c>
      <c r="G3425" s="83">
        <f t="shared" ca="1" si="111"/>
        <v>1.4283804196913209E-2</v>
      </c>
    </row>
    <row r="3426" spans="2:7" x14ac:dyDescent="0.2">
      <c r="B3426" s="167">
        <v>40375</v>
      </c>
      <c r="C3426" s="28">
        <v>98.9</v>
      </c>
      <c r="D3426" s="83">
        <f t="shared" si="110"/>
        <v>-0.51590797846304459</v>
      </c>
      <c r="E3426" s="83">
        <v>-5.8303176517892873E-3</v>
      </c>
      <c r="F3426" s="83">
        <v>3418</v>
      </c>
      <c r="G3426" s="83">
        <f t="shared" ca="1" si="111"/>
        <v>-9.5614000461396245E-3</v>
      </c>
    </row>
    <row r="3427" spans="2:7" x14ac:dyDescent="0.2">
      <c r="B3427" s="167">
        <v>44315</v>
      </c>
      <c r="C3427" s="28">
        <v>204.3</v>
      </c>
      <c r="D3427" s="83">
        <f t="shared" si="110"/>
        <v>2.079125847776941</v>
      </c>
      <c r="E3427" s="83">
        <v>-5.8394160583941056E-3</v>
      </c>
      <c r="F3427" s="83">
        <v>3419</v>
      </c>
      <c r="G3427" s="83">
        <f t="shared" ca="1" si="111"/>
        <v>5.9305181837879875E-3</v>
      </c>
    </row>
    <row r="3428" spans="2:7" x14ac:dyDescent="0.2">
      <c r="B3428" s="167">
        <v>39500</v>
      </c>
      <c r="C3428" s="28">
        <v>66.349999999999994</v>
      </c>
      <c r="D3428" s="83">
        <f t="shared" si="110"/>
        <v>-0.41777816777816779</v>
      </c>
      <c r="E3428" s="83">
        <v>-5.8435720707222145E-3</v>
      </c>
      <c r="F3428" s="83">
        <v>3420</v>
      </c>
      <c r="G3428" s="83">
        <f t="shared" ca="1" si="111"/>
        <v>1.8933815997202393E-2</v>
      </c>
    </row>
    <row r="3429" spans="2:7" x14ac:dyDescent="0.2">
      <c r="B3429" s="167">
        <v>40458</v>
      </c>
      <c r="C3429" s="28">
        <v>113.96</v>
      </c>
      <c r="D3429" s="83">
        <f t="shared" si="110"/>
        <v>-0.50690147548786302</v>
      </c>
      <c r="E3429" s="83">
        <v>-5.8448922620605581E-3</v>
      </c>
      <c r="F3429" s="83">
        <v>3421</v>
      </c>
      <c r="G3429" s="83">
        <f t="shared" ca="1" si="111"/>
        <v>2.1652849893484863E-3</v>
      </c>
    </row>
    <row r="3430" spans="2:7" x14ac:dyDescent="0.2">
      <c r="B3430" s="167">
        <v>41870</v>
      </c>
      <c r="C3430" s="28">
        <v>231.11</v>
      </c>
      <c r="D3430" s="83">
        <f t="shared" si="110"/>
        <v>-0.14876611418047878</v>
      </c>
      <c r="E3430" s="83">
        <v>-5.85021723233099E-3</v>
      </c>
      <c r="F3430" s="83">
        <v>3422</v>
      </c>
      <c r="G3430" s="83">
        <f t="shared" ca="1" si="111"/>
        <v>3.0718646788354221E-2</v>
      </c>
    </row>
    <row r="3431" spans="2:7" x14ac:dyDescent="0.2">
      <c r="B3431" s="167">
        <v>42958</v>
      </c>
      <c r="C3431" s="28">
        <v>271.5</v>
      </c>
      <c r="D3431" s="83">
        <f t="shared" si="110"/>
        <v>-0.12456066810692289</v>
      </c>
      <c r="E3431" s="83">
        <v>-5.8586598315636127E-3</v>
      </c>
      <c r="F3431" s="83">
        <v>3423</v>
      </c>
      <c r="G3431" s="83">
        <f t="shared" ca="1" si="111"/>
        <v>2.6842568757383903E-2</v>
      </c>
    </row>
    <row r="3432" spans="2:7" x14ac:dyDescent="0.2">
      <c r="B3432" s="167">
        <v>44938</v>
      </c>
      <c r="C3432" s="28">
        <v>310.13</v>
      </c>
      <c r="D3432" s="83">
        <f t="shared" si="110"/>
        <v>-0.29605502088251318</v>
      </c>
      <c r="E3432" s="83">
        <v>-5.8661366841902297E-3</v>
      </c>
      <c r="F3432" s="83">
        <v>3424</v>
      </c>
      <c r="G3432" s="83">
        <f t="shared" ca="1" si="111"/>
        <v>-6.3969149332200438E-3</v>
      </c>
    </row>
    <row r="3433" spans="2:7" x14ac:dyDescent="0.2">
      <c r="B3433" s="167">
        <v>45138</v>
      </c>
      <c r="C3433" s="28">
        <v>440.56</v>
      </c>
      <c r="D3433" s="83">
        <f t="shared" si="110"/>
        <v>0.4876245146040859</v>
      </c>
      <c r="E3433" s="83">
        <v>-5.8669555013990942E-3</v>
      </c>
      <c r="F3433" s="83">
        <v>3425</v>
      </c>
      <c r="G3433" s="83">
        <f t="shared" ca="1" si="111"/>
        <v>-5.8699812912452803E-3</v>
      </c>
    </row>
    <row r="3434" spans="2:7" x14ac:dyDescent="0.2">
      <c r="B3434" s="167">
        <v>43558</v>
      </c>
      <c r="C3434" s="28">
        <v>296.14999999999998</v>
      </c>
      <c r="D3434" s="83">
        <f t="shared" si="110"/>
        <v>1.6131650930909733</v>
      </c>
      <c r="E3434" s="83">
        <v>-5.8744545149378991E-3</v>
      </c>
      <c r="F3434" s="83">
        <v>3426</v>
      </c>
      <c r="G3434" s="83">
        <f t="shared" ca="1" si="111"/>
        <v>-2.3248107947213312E-2</v>
      </c>
    </row>
    <row r="3435" spans="2:7" x14ac:dyDescent="0.2">
      <c r="B3435" s="167">
        <v>40501</v>
      </c>
      <c r="C3435" s="28">
        <v>113.33</v>
      </c>
      <c r="D3435" s="83">
        <f t="shared" si="110"/>
        <v>-0.5373341498264953</v>
      </c>
      <c r="E3435" s="83">
        <v>-5.8771929824561553E-3</v>
      </c>
      <c r="F3435" s="83">
        <v>3427</v>
      </c>
      <c r="G3435" s="83">
        <f t="shared" ca="1" si="111"/>
        <v>-3.4856866662429924E-2</v>
      </c>
    </row>
    <row r="3436" spans="2:7" x14ac:dyDescent="0.2">
      <c r="B3436" s="167">
        <v>43801</v>
      </c>
      <c r="C3436" s="28">
        <v>244.95</v>
      </c>
      <c r="D3436" s="83">
        <f t="shared" si="110"/>
        <v>0.16007577551503663</v>
      </c>
      <c r="E3436" s="83">
        <v>-5.8847402597403285E-3</v>
      </c>
      <c r="F3436" s="83">
        <v>3428</v>
      </c>
      <c r="G3436" s="83">
        <f t="shared" ca="1" si="111"/>
        <v>6.0845705564926099E-3</v>
      </c>
    </row>
    <row r="3437" spans="2:7" x14ac:dyDescent="0.2">
      <c r="B3437" s="167">
        <v>44403</v>
      </c>
      <c r="C3437" s="28">
        <v>211.15</v>
      </c>
      <c r="D3437" s="83">
        <f t="shared" si="110"/>
        <v>-0.16656798894809549</v>
      </c>
      <c r="E3437" s="83">
        <v>-5.8851224105461392E-3</v>
      </c>
      <c r="F3437" s="83">
        <v>3429</v>
      </c>
      <c r="G3437" s="83">
        <f t="shared" ca="1" si="111"/>
        <v>-6.5146839917896038E-3</v>
      </c>
    </row>
    <row r="3438" spans="2:7" x14ac:dyDescent="0.2">
      <c r="B3438" s="167">
        <v>44645</v>
      </c>
      <c r="C3438" s="28">
        <v>253.35</v>
      </c>
      <c r="D3438" s="83">
        <f t="shared" si="110"/>
        <v>0.51615798922800715</v>
      </c>
      <c r="E3438" s="83">
        <v>-5.8858151854031789E-3</v>
      </c>
      <c r="F3438" s="83">
        <v>3430</v>
      </c>
      <c r="G3438" s="83">
        <f t="shared" ca="1" si="111"/>
        <v>1.0941819942576907E-2</v>
      </c>
    </row>
    <row r="3439" spans="2:7" x14ac:dyDescent="0.2">
      <c r="B3439" s="167">
        <v>41106</v>
      </c>
      <c r="C3439" s="28">
        <v>167.1</v>
      </c>
      <c r="D3439" s="83">
        <f t="shared" si="110"/>
        <v>-0.360627511000574</v>
      </c>
      <c r="E3439" s="83">
        <v>-5.8897019453864538E-3</v>
      </c>
      <c r="F3439" s="83">
        <v>3431</v>
      </c>
      <c r="G3439" s="83">
        <f t="shared" ca="1" si="111"/>
        <v>-1.9361744656496444E-3</v>
      </c>
    </row>
    <row r="3440" spans="2:7" x14ac:dyDescent="0.2">
      <c r="B3440" s="167">
        <v>43775</v>
      </c>
      <c r="C3440" s="28">
        <v>261.35000000000002</v>
      </c>
      <c r="D3440" s="83">
        <f t="shared" si="110"/>
        <v>2.2325293753865187</v>
      </c>
      <c r="E3440" s="83">
        <v>-5.8957778623048868E-3</v>
      </c>
      <c r="F3440" s="83">
        <v>3432</v>
      </c>
      <c r="G3440" s="83">
        <f t="shared" ca="1" si="111"/>
        <v>-3.8739861520901741E-3</v>
      </c>
    </row>
    <row r="3441" spans="2:7" x14ac:dyDescent="0.2">
      <c r="B3441" s="167">
        <v>40218</v>
      </c>
      <c r="C3441" s="28">
        <v>80.849999999999994</v>
      </c>
      <c r="D3441" s="83">
        <f t="shared" si="110"/>
        <v>-0.58249419054996132</v>
      </c>
      <c r="E3441" s="83">
        <v>-5.9018812246404029E-3</v>
      </c>
      <c r="F3441" s="83">
        <v>3433</v>
      </c>
      <c r="G3441" s="83">
        <f t="shared" ca="1" si="111"/>
        <v>-1.9531210675586115E-2</v>
      </c>
    </row>
    <row r="3442" spans="2:7" x14ac:dyDescent="0.2">
      <c r="B3442" s="167">
        <v>44162</v>
      </c>
      <c r="C3442" s="28">
        <v>193.65</v>
      </c>
      <c r="D3442" s="83">
        <f t="shared" si="110"/>
        <v>-0.25733461169702776</v>
      </c>
      <c r="E3442" s="83">
        <v>-5.9034907597536219E-3</v>
      </c>
      <c r="F3442" s="83">
        <v>3434</v>
      </c>
      <c r="G3442" s="83">
        <f t="shared" ca="1" si="111"/>
        <v>1.9209735804983755E-2</v>
      </c>
    </row>
    <row r="3443" spans="2:7" x14ac:dyDescent="0.2">
      <c r="B3443" s="167">
        <v>43102</v>
      </c>
      <c r="C3443" s="28">
        <v>260.75</v>
      </c>
      <c r="D3443" s="83">
        <f t="shared" si="110"/>
        <v>0.29212091179385524</v>
      </c>
      <c r="E3443" s="83">
        <v>-5.9092642012962687E-3</v>
      </c>
      <c r="F3443" s="83">
        <v>3435</v>
      </c>
      <c r="G3443" s="83">
        <f t="shared" ca="1" si="111"/>
        <v>4.1941860352206145E-3</v>
      </c>
    </row>
    <row r="3444" spans="2:7" x14ac:dyDescent="0.2">
      <c r="B3444" s="167">
        <v>43886</v>
      </c>
      <c r="C3444" s="28">
        <v>201.8</v>
      </c>
      <c r="D3444" s="83">
        <f t="shared" si="110"/>
        <v>4.4570037858301799</v>
      </c>
      <c r="E3444" s="83">
        <v>-5.9113300492610278E-3</v>
      </c>
      <c r="F3444" s="83">
        <v>3436</v>
      </c>
      <c r="G3444" s="83">
        <f t="shared" ca="1" si="111"/>
        <v>1.1633703032617978E-2</v>
      </c>
    </row>
    <row r="3445" spans="2:7" x14ac:dyDescent="0.2">
      <c r="B3445" s="167">
        <v>38538</v>
      </c>
      <c r="C3445" s="28">
        <v>36.979999999999997</v>
      </c>
      <c r="D3445" s="83">
        <f t="shared" si="110"/>
        <v>-0.85752263533037953</v>
      </c>
      <c r="E3445" s="83">
        <v>-5.9139784946238162E-3</v>
      </c>
      <c r="F3445" s="83">
        <v>3437</v>
      </c>
      <c r="G3445" s="83">
        <f t="shared" ca="1" si="111"/>
        <v>1.0760568218085759E-2</v>
      </c>
    </row>
    <row r="3446" spans="2:7" x14ac:dyDescent="0.2">
      <c r="B3446" s="167">
        <v>44680</v>
      </c>
      <c r="C3446" s="28">
        <v>259.55</v>
      </c>
      <c r="D3446" s="83">
        <f t="shared" si="110"/>
        <v>-0.3498572215820851</v>
      </c>
      <c r="E3446" s="83">
        <v>-5.9364228265032983E-3</v>
      </c>
      <c r="F3446" s="83">
        <v>3438</v>
      </c>
      <c r="G3446" s="83">
        <f t="shared" ca="1" si="111"/>
        <v>-5.6478962886585542E-2</v>
      </c>
    </row>
    <row r="3447" spans="2:7" x14ac:dyDescent="0.2">
      <c r="B3447" s="167">
        <v>45050</v>
      </c>
      <c r="C3447" s="28">
        <v>399.22</v>
      </c>
      <c r="D3447" s="83">
        <f t="shared" si="110"/>
        <v>0.65205876267328788</v>
      </c>
      <c r="E3447" s="83">
        <v>-5.9510470356813486E-3</v>
      </c>
      <c r="F3447" s="83">
        <v>3439</v>
      </c>
      <c r="G3447" s="83">
        <f t="shared" ca="1" si="111"/>
        <v>-4.5492928301620102E-3</v>
      </c>
    </row>
    <row r="3448" spans="2:7" x14ac:dyDescent="0.2">
      <c r="B3448" s="167">
        <v>42673</v>
      </c>
      <c r="C3448" s="28">
        <v>241.65</v>
      </c>
      <c r="D3448" s="83">
        <f t="shared" si="110"/>
        <v>2.2293197915274621</v>
      </c>
      <c r="E3448" s="83">
        <v>-5.9646236116823884E-3</v>
      </c>
      <c r="F3448" s="83">
        <v>3440</v>
      </c>
      <c r="G3448" s="83">
        <f t="shared" ca="1" si="111"/>
        <v>-1.8521124947795311E-2</v>
      </c>
    </row>
    <row r="3449" spans="2:7" x14ac:dyDescent="0.2">
      <c r="B3449" s="167">
        <v>39588</v>
      </c>
      <c r="C3449" s="28">
        <v>74.83</v>
      </c>
      <c r="D3449" s="83">
        <f t="shared" si="110"/>
        <v>-0.81630047870381739</v>
      </c>
      <c r="E3449" s="83">
        <v>-5.9776833156217164E-3</v>
      </c>
      <c r="F3449" s="83">
        <v>3441</v>
      </c>
      <c r="G3449" s="83">
        <f t="shared" ca="1" si="111"/>
        <v>-2.8237008303235497E-3</v>
      </c>
    </row>
    <row r="3450" spans="2:7" x14ac:dyDescent="0.2">
      <c r="B3450" s="167">
        <v>45742</v>
      </c>
      <c r="C3450" s="28">
        <v>407.35</v>
      </c>
      <c r="D3450" s="83">
        <f t="shared" si="110"/>
        <v>0.66809991809991831</v>
      </c>
      <c r="E3450" s="83">
        <v>-5.9785261102976786E-3</v>
      </c>
      <c r="F3450" s="83">
        <v>3442</v>
      </c>
      <c r="G3450" s="83">
        <f t="shared" ca="1" si="111"/>
        <v>-1.4719227270123109E-2</v>
      </c>
    </row>
    <row r="3451" spans="2:7" x14ac:dyDescent="0.2">
      <c r="B3451" s="167">
        <v>42550</v>
      </c>
      <c r="C3451" s="28">
        <v>244.2</v>
      </c>
      <c r="D3451" s="83">
        <f t="shared" si="110"/>
        <v>3.2016517549896766</v>
      </c>
      <c r="E3451" s="83">
        <v>-5.9836365856636908E-3</v>
      </c>
      <c r="F3451" s="83">
        <v>3443</v>
      </c>
      <c r="G3451" s="83">
        <f t="shared" ca="1" si="111"/>
        <v>-2.0416313002592997E-2</v>
      </c>
    </row>
    <row r="3452" spans="2:7" x14ac:dyDescent="0.2">
      <c r="B3452" s="167">
        <v>39125</v>
      </c>
      <c r="C3452" s="28">
        <v>58.12</v>
      </c>
      <c r="D3452" s="83">
        <f t="shared" si="110"/>
        <v>-0.31365139348134163</v>
      </c>
      <c r="E3452" s="83">
        <v>-5.985975714041413E-3</v>
      </c>
      <c r="F3452" s="83">
        <v>3444</v>
      </c>
      <c r="G3452" s="83">
        <f t="shared" ca="1" si="111"/>
        <v>-1.0199187156519416E-2</v>
      </c>
    </row>
    <row r="3453" spans="2:7" x14ac:dyDescent="0.2">
      <c r="B3453" s="167">
        <v>40150</v>
      </c>
      <c r="C3453" s="28">
        <v>84.68</v>
      </c>
      <c r="D3453" s="83">
        <f t="shared" si="110"/>
        <v>0.45773799276983995</v>
      </c>
      <c r="E3453" s="83">
        <v>-5.9866181476698078E-3</v>
      </c>
      <c r="F3453" s="83">
        <v>3445</v>
      </c>
      <c r="G3453" s="83">
        <f t="shared" ca="1" si="111"/>
        <v>3.0732164383137132E-2</v>
      </c>
    </row>
    <row r="3454" spans="2:7" x14ac:dyDescent="0.2">
      <c r="B3454" s="167">
        <v>38940</v>
      </c>
      <c r="C3454" s="28">
        <v>58.09</v>
      </c>
      <c r="D3454" s="83">
        <f t="shared" si="110"/>
        <v>0.52267365661861087</v>
      </c>
      <c r="E3454" s="83">
        <v>-5.9890485968513742E-3</v>
      </c>
      <c r="F3454" s="83">
        <v>3446</v>
      </c>
      <c r="G3454" s="83">
        <f t="shared" ca="1" si="111"/>
        <v>-7.9464126481100222E-3</v>
      </c>
    </row>
    <row r="3455" spans="2:7" x14ac:dyDescent="0.2">
      <c r="B3455" s="167">
        <v>38575</v>
      </c>
      <c r="C3455" s="28">
        <v>38.15</v>
      </c>
      <c r="D3455" s="83">
        <f t="shared" si="110"/>
        <v>-0.92035656875639349</v>
      </c>
      <c r="E3455" s="83">
        <v>-5.9927045336113588E-3</v>
      </c>
      <c r="F3455" s="83">
        <v>3447</v>
      </c>
      <c r="G3455" s="83">
        <f t="shared" ca="1" si="111"/>
        <v>4.7196883607729069E-3</v>
      </c>
    </row>
    <row r="3456" spans="2:7" x14ac:dyDescent="0.2">
      <c r="B3456" s="167">
        <v>45539</v>
      </c>
      <c r="C3456" s="28">
        <v>479.01</v>
      </c>
      <c r="D3456" s="83">
        <f t="shared" si="110"/>
        <v>1.3035971914975473</v>
      </c>
      <c r="E3456" s="83">
        <v>-5.997094832952867E-3</v>
      </c>
      <c r="F3456" s="83">
        <v>3448</v>
      </c>
      <c r="G3456" s="83">
        <f t="shared" ca="1" si="111"/>
        <v>-1.0789183006134035E-2</v>
      </c>
    </row>
    <row r="3457" spans="2:7" x14ac:dyDescent="0.2">
      <c r="B3457" s="167">
        <v>41627</v>
      </c>
      <c r="C3457" s="28">
        <v>207.94</v>
      </c>
      <c r="D3457" s="83">
        <f t="shared" si="110"/>
        <v>-6.5858041329739422E-2</v>
      </c>
      <c r="E3457" s="83">
        <v>-6.0229445506691731E-3</v>
      </c>
      <c r="F3457" s="83">
        <v>3449</v>
      </c>
      <c r="G3457" s="83">
        <f t="shared" ca="1" si="111"/>
        <v>2.739177241000133E-2</v>
      </c>
    </row>
    <row r="3458" spans="2:7" x14ac:dyDescent="0.2">
      <c r="B3458" s="167">
        <v>44575</v>
      </c>
      <c r="C3458" s="28">
        <v>222.6</v>
      </c>
      <c r="D3458" s="83">
        <f t="shared" si="110"/>
        <v>2.9285875197116724E-3</v>
      </c>
      <c r="E3458" s="83">
        <v>-6.0281312793033911E-3</v>
      </c>
      <c r="F3458" s="83">
        <v>3450</v>
      </c>
      <c r="G3458" s="83">
        <f t="shared" ca="1" si="111"/>
        <v>8.9201099992992721E-4</v>
      </c>
    </row>
    <row r="3459" spans="2:7" x14ac:dyDescent="0.2">
      <c r="B3459" s="167">
        <v>44572</v>
      </c>
      <c r="C3459" s="28">
        <v>221.95</v>
      </c>
      <c r="D3459" s="83">
        <f t="shared" si="110"/>
        <v>-0.20204925399964047</v>
      </c>
      <c r="E3459" s="83">
        <v>-6.0456784594716644E-3</v>
      </c>
      <c r="F3459" s="83">
        <v>3451</v>
      </c>
      <c r="G3459" s="83">
        <f t="shared" ca="1" si="111"/>
        <v>9.4980876794895433E-3</v>
      </c>
    </row>
    <row r="3460" spans="2:7" x14ac:dyDescent="0.2">
      <c r="B3460" s="167">
        <v>43452</v>
      </c>
      <c r="C3460" s="28">
        <v>278.14999999999998</v>
      </c>
      <c r="D3460" s="83">
        <f t="shared" si="110"/>
        <v>3.8576667830946558</v>
      </c>
      <c r="E3460" s="83">
        <v>-6.0746828658211375E-3</v>
      </c>
      <c r="F3460" s="83">
        <v>3452</v>
      </c>
      <c r="G3460" s="83">
        <f t="shared" ca="1" si="111"/>
        <v>-2.1300459432201425E-2</v>
      </c>
    </row>
    <row r="3461" spans="2:7" x14ac:dyDescent="0.2">
      <c r="B3461" s="167">
        <v>39329</v>
      </c>
      <c r="C3461" s="28">
        <v>57.26</v>
      </c>
      <c r="D3461" s="83">
        <f t="shared" si="110"/>
        <v>-0.38588588588588585</v>
      </c>
      <c r="E3461" s="83">
        <v>-6.0753341433779102E-3</v>
      </c>
      <c r="F3461" s="83">
        <v>3453</v>
      </c>
      <c r="G3461" s="83">
        <f t="shared" ca="1" si="111"/>
        <v>2.2557044217601799E-2</v>
      </c>
    </row>
    <row r="3462" spans="2:7" x14ac:dyDescent="0.2">
      <c r="B3462" s="167">
        <v>40331</v>
      </c>
      <c r="C3462" s="28">
        <v>93.24</v>
      </c>
      <c r="D3462" s="83">
        <f t="shared" si="110"/>
        <v>0.50144927536231876</v>
      </c>
      <c r="E3462" s="83">
        <v>-6.0761112887752627E-3</v>
      </c>
      <c r="F3462" s="83">
        <v>3454</v>
      </c>
      <c r="G3462" s="83">
        <f t="shared" ca="1" si="111"/>
        <v>-1.704713333209279E-2</v>
      </c>
    </row>
    <row r="3463" spans="2:7" x14ac:dyDescent="0.2">
      <c r="B3463" s="167">
        <v>39024</v>
      </c>
      <c r="C3463" s="28">
        <v>62.1</v>
      </c>
      <c r="D3463" s="83">
        <f t="shared" si="110"/>
        <v>-0.28290993071593529</v>
      </c>
      <c r="E3463" s="83">
        <v>-6.0819462227912208E-3</v>
      </c>
      <c r="F3463" s="83">
        <v>3455</v>
      </c>
      <c r="G3463" s="83">
        <f t="shared" ca="1" si="111"/>
        <v>-3.1952250287751276E-3</v>
      </c>
    </row>
    <row r="3464" spans="2:7" x14ac:dyDescent="0.2">
      <c r="B3464" s="167">
        <v>40255</v>
      </c>
      <c r="C3464" s="28">
        <v>86.6</v>
      </c>
      <c r="D3464" s="83">
        <f t="shared" si="110"/>
        <v>-0.66660250240615981</v>
      </c>
      <c r="E3464" s="83">
        <v>-6.0828646849535309E-3</v>
      </c>
      <c r="F3464" s="83">
        <v>3456</v>
      </c>
      <c r="G3464" s="83">
        <f t="shared" ca="1" si="111"/>
        <v>3.9820672179281091E-2</v>
      </c>
    </row>
    <row r="3465" spans="2:7" x14ac:dyDescent="0.2">
      <c r="B3465" s="167">
        <v>44691</v>
      </c>
      <c r="C3465" s="28">
        <v>259.75</v>
      </c>
      <c r="D3465" s="83">
        <f t="shared" ref="D3465:D3528" si="112">(C3465-C3466)/C3466</f>
        <v>-9.1147655703289046E-2</v>
      </c>
      <c r="E3465" s="83">
        <v>-6.0840284686614187E-3</v>
      </c>
      <c r="F3465" s="83">
        <v>3457</v>
      </c>
      <c r="G3465" s="83">
        <f t="shared" ref="G3465:G3528" ca="1" si="113">_xlfn.NORM.INV(RAND(),$M$10,$M$11)</f>
        <v>1.5997504616582003E-2</v>
      </c>
    </row>
    <row r="3466" spans="2:7" x14ac:dyDescent="0.2">
      <c r="B3466" s="167">
        <v>43434</v>
      </c>
      <c r="C3466" s="28">
        <v>285.8</v>
      </c>
      <c r="D3466" s="83">
        <f t="shared" si="112"/>
        <v>0.59131403118040105</v>
      </c>
      <c r="E3466" s="83">
        <v>-6.0858981046774474E-3</v>
      </c>
      <c r="F3466" s="83">
        <v>3458</v>
      </c>
      <c r="G3466" s="83">
        <f t="shared" ca="1" si="113"/>
        <v>5.805833217323547E-3</v>
      </c>
    </row>
    <row r="3467" spans="2:7" x14ac:dyDescent="0.2">
      <c r="B3467" s="167">
        <v>43942</v>
      </c>
      <c r="C3467" s="28">
        <v>179.6</v>
      </c>
      <c r="D3467" s="83">
        <f t="shared" si="112"/>
        <v>1.560593099515255</v>
      </c>
      <c r="E3467" s="83">
        <v>-6.0874377421139703E-3</v>
      </c>
      <c r="F3467" s="83">
        <v>3459</v>
      </c>
      <c r="G3467" s="83">
        <f t="shared" ca="1" si="113"/>
        <v>1.0801184999223518E-2</v>
      </c>
    </row>
    <row r="3468" spans="2:7" x14ac:dyDescent="0.2">
      <c r="B3468" s="167">
        <v>39566</v>
      </c>
      <c r="C3468" s="28">
        <v>70.14</v>
      </c>
      <c r="D3468" s="83">
        <f t="shared" si="112"/>
        <v>-0.82865099916939466</v>
      </c>
      <c r="E3468" s="83">
        <v>-6.0932407538613099E-3</v>
      </c>
      <c r="F3468" s="83">
        <v>3460</v>
      </c>
      <c r="G3468" s="83">
        <f t="shared" ca="1" si="113"/>
        <v>8.5773176569456876E-4</v>
      </c>
    </row>
    <row r="3469" spans="2:7" x14ac:dyDescent="0.2">
      <c r="B3469" s="167">
        <v>45237</v>
      </c>
      <c r="C3469" s="28">
        <v>409.34</v>
      </c>
      <c r="D3469" s="83">
        <f t="shared" si="112"/>
        <v>0.62339877057307147</v>
      </c>
      <c r="E3469" s="83">
        <v>-6.0944518635426678E-3</v>
      </c>
      <c r="F3469" s="83">
        <v>3461</v>
      </c>
      <c r="G3469" s="83">
        <f t="shared" ca="1" si="113"/>
        <v>1.0271353361973165E-2</v>
      </c>
    </row>
    <row r="3470" spans="2:7" x14ac:dyDescent="0.2">
      <c r="B3470" s="167">
        <v>42600</v>
      </c>
      <c r="C3470" s="28">
        <v>252.15</v>
      </c>
      <c r="D3470" s="83">
        <f t="shared" si="112"/>
        <v>-0.13868488471391971</v>
      </c>
      <c r="E3470" s="83">
        <v>-6.1095782420180645E-3</v>
      </c>
      <c r="F3470" s="83">
        <v>3462</v>
      </c>
      <c r="G3470" s="83">
        <f t="shared" ca="1" si="113"/>
        <v>6.5371535506702555E-3</v>
      </c>
    </row>
    <row r="3471" spans="2:7" x14ac:dyDescent="0.2">
      <c r="B3471" s="167">
        <v>43563</v>
      </c>
      <c r="C3471" s="28">
        <v>292.75</v>
      </c>
      <c r="D3471" s="83">
        <f t="shared" si="112"/>
        <v>8.0299198025909924</v>
      </c>
      <c r="E3471" s="83">
        <v>-6.1110168052962528E-3</v>
      </c>
      <c r="F3471" s="83">
        <v>3463</v>
      </c>
      <c r="G3471" s="83">
        <f t="shared" ca="1" si="113"/>
        <v>6.7531968022892649E-3</v>
      </c>
    </row>
    <row r="3472" spans="2:7" x14ac:dyDescent="0.2">
      <c r="B3472" s="167">
        <v>38484</v>
      </c>
      <c r="C3472" s="28">
        <v>32.42</v>
      </c>
      <c r="D3472" s="83">
        <f t="shared" si="112"/>
        <v>-0.83186391453168751</v>
      </c>
      <c r="E3472" s="83">
        <v>-6.1312078479459154E-3</v>
      </c>
      <c r="F3472" s="83">
        <v>3464</v>
      </c>
      <c r="G3472" s="83">
        <f t="shared" ca="1" si="113"/>
        <v>-2.3240288893211617E-2</v>
      </c>
    </row>
    <row r="3473" spans="2:7" x14ac:dyDescent="0.2">
      <c r="B3473" s="167">
        <v>41331</v>
      </c>
      <c r="C3473" s="28">
        <v>192.82</v>
      </c>
      <c r="D3473" s="83">
        <f t="shared" si="112"/>
        <v>4.180548092423428</v>
      </c>
      <c r="E3473" s="83">
        <v>-6.1337044482243069E-3</v>
      </c>
      <c r="F3473" s="83">
        <v>3465</v>
      </c>
      <c r="G3473" s="83">
        <f t="shared" ca="1" si="113"/>
        <v>2.9621078803778265E-2</v>
      </c>
    </row>
    <row r="3474" spans="2:7" x14ac:dyDescent="0.2">
      <c r="B3474" s="167">
        <v>38583</v>
      </c>
      <c r="C3474" s="28">
        <v>37.22</v>
      </c>
      <c r="D3474" s="83">
        <f t="shared" si="112"/>
        <v>-0.86462993271503907</v>
      </c>
      <c r="E3474" s="83">
        <v>-6.1415220293726024E-3</v>
      </c>
      <c r="F3474" s="83">
        <v>3466</v>
      </c>
      <c r="G3474" s="83">
        <f t="shared" ca="1" si="113"/>
        <v>2.3423944638888781E-2</v>
      </c>
    </row>
    <row r="3475" spans="2:7" x14ac:dyDescent="0.2">
      <c r="B3475" s="167">
        <v>42867</v>
      </c>
      <c r="C3475" s="28">
        <v>274.95</v>
      </c>
      <c r="D3475" s="83">
        <f t="shared" si="112"/>
        <v>2.1512893982808023</v>
      </c>
      <c r="E3475" s="83">
        <v>-6.1449484908729039E-3</v>
      </c>
      <c r="F3475" s="83">
        <v>3467</v>
      </c>
      <c r="G3475" s="83">
        <f t="shared" ca="1" si="113"/>
        <v>1.9281561287539491E-2</v>
      </c>
    </row>
    <row r="3476" spans="2:7" x14ac:dyDescent="0.2">
      <c r="B3476" s="167">
        <v>40288</v>
      </c>
      <c r="C3476" s="28">
        <v>87.25</v>
      </c>
      <c r="D3476" s="83">
        <f t="shared" si="112"/>
        <v>-0.67254644398573837</v>
      </c>
      <c r="E3476" s="83">
        <v>-6.1510422599385601E-3</v>
      </c>
      <c r="F3476" s="83">
        <v>3468</v>
      </c>
      <c r="G3476" s="83">
        <f t="shared" ca="1" si="113"/>
        <v>1.1379163323902116E-3</v>
      </c>
    </row>
    <row r="3477" spans="2:7" x14ac:dyDescent="0.2">
      <c r="B3477" s="167">
        <v>43147</v>
      </c>
      <c r="C3477" s="28">
        <v>266.45</v>
      </c>
      <c r="D3477" s="83">
        <f t="shared" si="112"/>
        <v>1.3573387596213393</v>
      </c>
      <c r="E3477" s="83">
        <v>-6.154419992540224E-3</v>
      </c>
      <c r="F3477" s="83">
        <v>3469</v>
      </c>
      <c r="G3477" s="83">
        <f t="shared" ca="1" si="113"/>
        <v>3.3716349561972191E-2</v>
      </c>
    </row>
    <row r="3478" spans="2:7" x14ac:dyDescent="0.2">
      <c r="B3478" s="167">
        <v>40470</v>
      </c>
      <c r="C3478" s="28">
        <v>113.03</v>
      </c>
      <c r="D3478" s="83">
        <f t="shared" si="112"/>
        <v>-0.155736480430236</v>
      </c>
      <c r="E3478" s="83">
        <v>-6.154928339048649E-3</v>
      </c>
      <c r="F3478" s="83">
        <v>3470</v>
      </c>
      <c r="G3478" s="83">
        <f t="shared" ca="1" si="113"/>
        <v>1.0899857777672696E-2</v>
      </c>
    </row>
    <row r="3479" spans="2:7" x14ac:dyDescent="0.2">
      <c r="B3479" s="167">
        <v>40779</v>
      </c>
      <c r="C3479" s="28">
        <v>133.88</v>
      </c>
      <c r="D3479" s="83">
        <f t="shared" si="112"/>
        <v>9.7196261682239594E-4</v>
      </c>
      <c r="E3479" s="83">
        <v>-6.1613837131616993E-3</v>
      </c>
      <c r="F3479" s="83">
        <v>3471</v>
      </c>
      <c r="G3479" s="83">
        <f t="shared" ca="1" si="113"/>
        <v>8.5378142311320609E-3</v>
      </c>
    </row>
    <row r="3480" spans="2:7" x14ac:dyDescent="0.2">
      <c r="B3480" s="167">
        <v>40739</v>
      </c>
      <c r="C3480" s="28">
        <v>133.75</v>
      </c>
      <c r="D3480" s="83">
        <f t="shared" si="112"/>
        <v>0.56726037028357157</v>
      </c>
      <c r="E3480" s="83">
        <v>-6.1673354138803123E-3</v>
      </c>
      <c r="F3480" s="83">
        <v>3472</v>
      </c>
      <c r="G3480" s="83">
        <f t="shared" ca="1" si="113"/>
        <v>-1.4987735116852488E-2</v>
      </c>
    </row>
    <row r="3481" spans="2:7" x14ac:dyDescent="0.2">
      <c r="B3481" s="167">
        <v>40127</v>
      </c>
      <c r="C3481" s="28">
        <v>85.34</v>
      </c>
      <c r="D3481" s="83">
        <f t="shared" si="112"/>
        <v>-0.59225991399904443</v>
      </c>
      <c r="E3481" s="83">
        <v>-6.1721206474904056E-3</v>
      </c>
      <c r="F3481" s="83">
        <v>3473</v>
      </c>
      <c r="G3481" s="83">
        <f t="shared" ca="1" si="113"/>
        <v>9.7272466201138216E-3</v>
      </c>
    </row>
    <row r="3482" spans="2:7" x14ac:dyDescent="0.2">
      <c r="B3482" s="167">
        <v>44445</v>
      </c>
      <c r="C3482" s="28">
        <v>209.3</v>
      </c>
      <c r="D3482" s="83">
        <f t="shared" si="112"/>
        <v>2.9460784313725492</v>
      </c>
      <c r="E3482" s="83">
        <v>-6.1728395061727585E-3</v>
      </c>
      <c r="F3482" s="83">
        <v>3474</v>
      </c>
      <c r="G3482" s="83">
        <f t="shared" ca="1" si="113"/>
        <v>1.1727576007341926E-2</v>
      </c>
    </row>
    <row r="3483" spans="2:7" x14ac:dyDescent="0.2">
      <c r="B3483" s="167">
        <v>39210</v>
      </c>
      <c r="C3483" s="28">
        <v>53.04</v>
      </c>
      <c r="D3483" s="83">
        <f t="shared" si="112"/>
        <v>-0.74573346116970285</v>
      </c>
      <c r="E3483" s="83">
        <v>-6.1832490163012616E-3</v>
      </c>
      <c r="F3483" s="83">
        <v>3475</v>
      </c>
      <c r="G3483" s="83">
        <f t="shared" ca="1" si="113"/>
        <v>1.0088967570767804E-2</v>
      </c>
    </row>
    <row r="3484" spans="2:7" x14ac:dyDescent="0.2">
      <c r="B3484" s="167">
        <v>44412</v>
      </c>
      <c r="C3484" s="28">
        <v>208.6</v>
      </c>
      <c r="D3484" s="83">
        <f t="shared" si="112"/>
        <v>-0.49959218922420001</v>
      </c>
      <c r="E3484" s="83">
        <v>-6.1934254406860951E-3</v>
      </c>
      <c r="F3484" s="83">
        <v>3476</v>
      </c>
      <c r="G3484" s="83">
        <f t="shared" ca="1" si="113"/>
        <v>-2.1606998979350207E-2</v>
      </c>
    </row>
    <row r="3485" spans="2:7" x14ac:dyDescent="0.2">
      <c r="B3485" s="167">
        <v>45082</v>
      </c>
      <c r="C3485" s="28">
        <v>416.86</v>
      </c>
      <c r="D3485" s="83">
        <f t="shared" si="112"/>
        <v>0.34775299062398962</v>
      </c>
      <c r="E3485" s="83">
        <v>-6.1984456205596864E-3</v>
      </c>
      <c r="F3485" s="83">
        <v>3477</v>
      </c>
      <c r="G3485" s="83">
        <f t="shared" ca="1" si="113"/>
        <v>-1.8950603140920105E-2</v>
      </c>
    </row>
    <row r="3486" spans="2:7" x14ac:dyDescent="0.2">
      <c r="B3486" s="167">
        <v>44783</v>
      </c>
      <c r="C3486" s="28">
        <v>309.3</v>
      </c>
      <c r="D3486" s="83">
        <f t="shared" si="112"/>
        <v>-0.16409923787903349</v>
      </c>
      <c r="E3486" s="83">
        <v>-6.2012016836423441E-3</v>
      </c>
      <c r="F3486" s="83">
        <v>3478</v>
      </c>
      <c r="G3486" s="83">
        <f t="shared" ca="1" si="113"/>
        <v>1.2813418893233773E-2</v>
      </c>
    </row>
    <row r="3487" spans="2:7" x14ac:dyDescent="0.2">
      <c r="B3487" s="167">
        <v>45028</v>
      </c>
      <c r="C3487" s="28">
        <v>370.02</v>
      </c>
      <c r="D3487" s="83">
        <f t="shared" si="112"/>
        <v>0.7190243902439023</v>
      </c>
      <c r="E3487" s="83">
        <v>-6.2041737168640788E-3</v>
      </c>
      <c r="F3487" s="83">
        <v>3479</v>
      </c>
      <c r="G3487" s="83">
        <f t="shared" ca="1" si="113"/>
        <v>4.8893587678950474E-5</v>
      </c>
    </row>
    <row r="3488" spans="2:7" x14ac:dyDescent="0.2">
      <c r="B3488" s="167">
        <v>44348</v>
      </c>
      <c r="C3488" s="28">
        <v>215.25</v>
      </c>
      <c r="D3488" s="83">
        <f t="shared" si="112"/>
        <v>-0.22807961269499738</v>
      </c>
      <c r="E3488" s="83">
        <v>-6.2326869806093926E-3</v>
      </c>
      <c r="F3488" s="83">
        <v>3480</v>
      </c>
      <c r="G3488" s="83">
        <f t="shared" ca="1" si="113"/>
        <v>-8.8249229957041726E-3</v>
      </c>
    </row>
    <row r="3489" spans="2:7" x14ac:dyDescent="0.2">
      <c r="B3489" s="167">
        <v>43468</v>
      </c>
      <c r="C3489" s="28">
        <v>278.85000000000002</v>
      </c>
      <c r="D3489" s="83">
        <f t="shared" si="112"/>
        <v>-0.39054508895397122</v>
      </c>
      <c r="E3489" s="83">
        <v>-6.23663578047042E-3</v>
      </c>
      <c r="F3489" s="83">
        <v>3481</v>
      </c>
      <c r="G3489" s="83">
        <f t="shared" ca="1" si="113"/>
        <v>-1.4810075875460734E-2</v>
      </c>
    </row>
    <row r="3490" spans="2:7" x14ac:dyDescent="0.2">
      <c r="B3490" s="167">
        <v>45586</v>
      </c>
      <c r="C3490" s="28">
        <v>457.54</v>
      </c>
      <c r="D3490" s="83">
        <f t="shared" si="112"/>
        <v>1.2156900726392252</v>
      </c>
      <c r="E3490" s="83">
        <v>-6.2551583336953112E-3</v>
      </c>
      <c r="F3490" s="83">
        <v>3482</v>
      </c>
      <c r="G3490" s="83">
        <f t="shared" ca="1" si="113"/>
        <v>-1.5513950298922614E-2</v>
      </c>
    </row>
    <row r="3491" spans="2:7" x14ac:dyDescent="0.2">
      <c r="B3491" s="167">
        <v>44265</v>
      </c>
      <c r="C3491" s="28">
        <v>206.5</v>
      </c>
      <c r="D3491" s="83">
        <f t="shared" si="112"/>
        <v>-0.23504352657899608</v>
      </c>
      <c r="E3491" s="83">
        <v>-6.2560153994225759E-3</v>
      </c>
      <c r="F3491" s="83">
        <v>3483</v>
      </c>
      <c r="G3491" s="83">
        <f t="shared" ca="1" si="113"/>
        <v>1.1771576043445239E-2</v>
      </c>
    </row>
    <row r="3492" spans="2:7" x14ac:dyDescent="0.2">
      <c r="B3492" s="167">
        <v>43252</v>
      </c>
      <c r="C3492" s="28">
        <v>269.95</v>
      </c>
      <c r="D3492" s="83">
        <f t="shared" si="112"/>
        <v>0.21588145212143039</v>
      </c>
      <c r="E3492" s="83">
        <v>-6.2580526412662936E-3</v>
      </c>
      <c r="F3492" s="83">
        <v>3484</v>
      </c>
      <c r="G3492" s="83">
        <f t="shared" ca="1" si="113"/>
        <v>7.1050324536510077E-4</v>
      </c>
    </row>
    <row r="3493" spans="2:7" x14ac:dyDescent="0.2">
      <c r="B3493" s="167">
        <v>41411</v>
      </c>
      <c r="C3493" s="28">
        <v>222.02</v>
      </c>
      <c r="D3493" s="83">
        <f t="shared" si="112"/>
        <v>1.8025751072961376</v>
      </c>
      <c r="E3493" s="83">
        <v>-6.2662250469965866E-3</v>
      </c>
      <c r="F3493" s="83">
        <v>3485</v>
      </c>
      <c r="G3493" s="83">
        <f t="shared" ca="1" si="113"/>
        <v>1.4119208557077784E-2</v>
      </c>
    </row>
    <row r="3494" spans="2:7" x14ac:dyDescent="0.2">
      <c r="B3494" s="167">
        <v>40051</v>
      </c>
      <c r="C3494" s="28">
        <v>79.22</v>
      </c>
      <c r="D3494" s="83">
        <f t="shared" si="112"/>
        <v>-0.37484217171717171</v>
      </c>
      <c r="E3494" s="83">
        <v>-6.2719518314099353E-3</v>
      </c>
      <c r="F3494" s="83">
        <v>3486</v>
      </c>
      <c r="G3494" s="83">
        <f t="shared" ca="1" si="113"/>
        <v>-2.3283973267650363E-3</v>
      </c>
    </row>
    <row r="3495" spans="2:7" x14ac:dyDescent="0.2">
      <c r="B3495" s="167">
        <v>40665</v>
      </c>
      <c r="C3495" s="28">
        <v>126.72</v>
      </c>
      <c r="D3495" s="83">
        <f t="shared" si="112"/>
        <v>1.2898445970365016</v>
      </c>
      <c r="E3495" s="83">
        <v>-6.2735257214554356E-3</v>
      </c>
      <c r="F3495" s="83">
        <v>3487</v>
      </c>
      <c r="G3495" s="83">
        <f t="shared" ca="1" si="113"/>
        <v>-1.493278772949217E-3</v>
      </c>
    </row>
    <row r="3496" spans="2:7" x14ac:dyDescent="0.2">
      <c r="B3496" s="167">
        <v>38925</v>
      </c>
      <c r="C3496" s="28">
        <v>55.34</v>
      </c>
      <c r="D3496" s="83">
        <f t="shared" si="112"/>
        <v>-0.18581727232602613</v>
      </c>
      <c r="E3496" s="83">
        <v>-6.2847908062487762E-3</v>
      </c>
      <c r="F3496" s="83">
        <v>3488</v>
      </c>
      <c r="G3496" s="83">
        <f t="shared" ca="1" si="113"/>
        <v>4.0317697251273904E-2</v>
      </c>
    </row>
    <row r="3497" spans="2:7" x14ac:dyDescent="0.2">
      <c r="B3497" s="167">
        <v>38847</v>
      </c>
      <c r="C3497" s="28">
        <v>67.97</v>
      </c>
      <c r="D3497" s="83">
        <f t="shared" si="112"/>
        <v>-0.66876218323586745</v>
      </c>
      <c r="E3497" s="83">
        <v>-6.2865497076024382E-3</v>
      </c>
      <c r="F3497" s="83">
        <v>3489</v>
      </c>
      <c r="G3497" s="83">
        <f t="shared" ca="1" si="113"/>
        <v>-5.5362157829086361E-3</v>
      </c>
    </row>
    <row r="3498" spans="2:7" x14ac:dyDescent="0.2">
      <c r="B3498" s="167">
        <v>44267</v>
      </c>
      <c r="C3498" s="28">
        <v>205.2</v>
      </c>
      <c r="D3498" s="83">
        <f t="shared" si="112"/>
        <v>-0.29581331503088537</v>
      </c>
      <c r="E3498" s="83">
        <v>-6.2953995157385536E-3</v>
      </c>
      <c r="F3498" s="83">
        <v>3490</v>
      </c>
      <c r="G3498" s="83">
        <f t="shared" ca="1" si="113"/>
        <v>-2.4691275580704525E-3</v>
      </c>
    </row>
    <row r="3499" spans="2:7" x14ac:dyDescent="0.2">
      <c r="B3499" s="167">
        <v>42941</v>
      </c>
      <c r="C3499" s="28">
        <v>291.39999999999998</v>
      </c>
      <c r="D3499" s="83">
        <f t="shared" si="112"/>
        <v>0.74626955114759974</v>
      </c>
      <c r="E3499" s="83">
        <v>-6.3086104006820892E-3</v>
      </c>
      <c r="F3499" s="83">
        <v>3491</v>
      </c>
      <c r="G3499" s="83">
        <f t="shared" ca="1" si="113"/>
        <v>-3.2037347374246808E-2</v>
      </c>
    </row>
    <row r="3500" spans="2:7" x14ac:dyDescent="0.2">
      <c r="B3500" s="167">
        <v>41102</v>
      </c>
      <c r="C3500" s="28">
        <v>166.87</v>
      </c>
      <c r="D3500" s="83">
        <f t="shared" si="112"/>
        <v>1.9497967120381829</v>
      </c>
      <c r="E3500" s="83">
        <v>-6.3121538736378383E-3</v>
      </c>
      <c r="F3500" s="83">
        <v>3492</v>
      </c>
      <c r="G3500" s="83">
        <f t="shared" ca="1" si="113"/>
        <v>1.5901570275308675E-2</v>
      </c>
    </row>
    <row r="3501" spans="2:7" x14ac:dyDescent="0.2">
      <c r="B3501" s="167">
        <v>39832</v>
      </c>
      <c r="C3501" s="28">
        <v>56.57</v>
      </c>
      <c r="D3501" s="83">
        <f t="shared" si="112"/>
        <v>-0.86412547437190756</v>
      </c>
      <c r="E3501" s="83">
        <v>-6.3235552432812127E-3</v>
      </c>
      <c r="F3501" s="83">
        <v>3493</v>
      </c>
      <c r="G3501" s="83">
        <f t="shared" ca="1" si="113"/>
        <v>2.4425349132198685E-2</v>
      </c>
    </row>
    <row r="3502" spans="2:7" x14ac:dyDescent="0.2">
      <c r="B3502" s="167">
        <v>45324</v>
      </c>
      <c r="C3502" s="28">
        <v>416.34</v>
      </c>
      <c r="D3502" s="83">
        <f t="shared" si="112"/>
        <v>1.3046775532798227</v>
      </c>
      <c r="E3502" s="83">
        <v>-6.324733287190706E-3</v>
      </c>
      <c r="F3502" s="83">
        <v>3494</v>
      </c>
      <c r="G3502" s="83">
        <f t="shared" ca="1" si="113"/>
        <v>-2.8293933899502383E-2</v>
      </c>
    </row>
    <row r="3503" spans="2:7" x14ac:dyDescent="0.2">
      <c r="B3503" s="167">
        <v>44090</v>
      </c>
      <c r="C3503" s="28">
        <v>180.65</v>
      </c>
      <c r="D3503" s="83">
        <f t="shared" si="112"/>
        <v>1.6747112822031387</v>
      </c>
      <c r="E3503" s="83">
        <v>-6.3256325632563568E-3</v>
      </c>
      <c r="F3503" s="83">
        <v>3495</v>
      </c>
      <c r="G3503" s="83">
        <f t="shared" ca="1" si="113"/>
        <v>7.0663193049584436E-3</v>
      </c>
    </row>
    <row r="3504" spans="2:7" x14ac:dyDescent="0.2">
      <c r="B3504" s="167">
        <v>38848</v>
      </c>
      <c r="C3504" s="28">
        <v>67.540000000000006</v>
      </c>
      <c r="D3504" s="83">
        <f t="shared" si="112"/>
        <v>-0.70318611294221045</v>
      </c>
      <c r="E3504" s="83">
        <v>-6.3263204354861357E-3</v>
      </c>
      <c r="F3504" s="83">
        <v>3496</v>
      </c>
      <c r="G3504" s="83">
        <f t="shared" ca="1" si="113"/>
        <v>1.1172026803992558E-2</v>
      </c>
    </row>
    <row r="3505" spans="2:7" x14ac:dyDescent="0.2">
      <c r="B3505" s="167">
        <v>44237</v>
      </c>
      <c r="C3505" s="28">
        <v>227.55</v>
      </c>
      <c r="D3505" s="83">
        <f t="shared" si="112"/>
        <v>1.1987631655232391</v>
      </c>
      <c r="E3505" s="83">
        <v>-6.3318777292575923E-3</v>
      </c>
      <c r="F3505" s="83">
        <v>3497</v>
      </c>
      <c r="G3505" s="83">
        <f t="shared" ca="1" si="113"/>
        <v>3.2642129364883914E-2</v>
      </c>
    </row>
    <row r="3506" spans="2:7" x14ac:dyDescent="0.2">
      <c r="B3506" s="167">
        <v>40582</v>
      </c>
      <c r="C3506" s="28">
        <v>103.49</v>
      </c>
      <c r="D3506" s="83">
        <f t="shared" si="112"/>
        <v>-0.78203454085930912</v>
      </c>
      <c r="E3506" s="83">
        <v>-6.3370139222276595E-3</v>
      </c>
      <c r="F3506" s="83">
        <v>3498</v>
      </c>
      <c r="G3506" s="83">
        <f t="shared" ca="1" si="113"/>
        <v>-1.5571495618345938E-2</v>
      </c>
    </row>
    <row r="3507" spans="2:7" x14ac:dyDescent="0.2">
      <c r="B3507" s="167">
        <v>45534</v>
      </c>
      <c r="C3507" s="28">
        <v>474.8</v>
      </c>
      <c r="D3507" s="83">
        <f t="shared" si="112"/>
        <v>0.68578022368187486</v>
      </c>
      <c r="E3507" s="83">
        <v>-6.3411673607767886E-3</v>
      </c>
      <c r="F3507" s="83">
        <v>3499</v>
      </c>
      <c r="G3507" s="83">
        <f t="shared" ca="1" si="113"/>
        <v>-1.3784977370532317E-2</v>
      </c>
    </row>
    <row r="3508" spans="2:7" x14ac:dyDescent="0.2">
      <c r="B3508" s="167">
        <v>42872</v>
      </c>
      <c r="C3508" s="28">
        <v>281.64999999999998</v>
      </c>
      <c r="D3508" s="83">
        <f t="shared" si="112"/>
        <v>0.20055413469735714</v>
      </c>
      <c r="E3508" s="83">
        <v>-6.3503263362145405E-3</v>
      </c>
      <c r="F3508" s="83">
        <v>3500</v>
      </c>
      <c r="G3508" s="83">
        <f t="shared" ca="1" si="113"/>
        <v>1.8420563102212649E-2</v>
      </c>
    </row>
    <row r="3509" spans="2:7" x14ac:dyDescent="0.2">
      <c r="B3509" s="167">
        <v>44543</v>
      </c>
      <c r="C3509" s="28">
        <v>234.6</v>
      </c>
      <c r="D3509" s="83">
        <f t="shared" si="112"/>
        <v>-0.48973377414303115</v>
      </c>
      <c r="E3509" s="83">
        <v>-6.3532401524777635E-3</v>
      </c>
      <c r="F3509" s="83">
        <v>3501</v>
      </c>
      <c r="G3509" s="83">
        <f t="shared" ca="1" si="113"/>
        <v>-5.0703859223994452E-3</v>
      </c>
    </row>
    <row r="3510" spans="2:7" x14ac:dyDescent="0.2">
      <c r="B3510" s="167">
        <v>45509</v>
      </c>
      <c r="C3510" s="28">
        <v>459.76</v>
      </c>
      <c r="D3510" s="83">
        <f t="shared" si="112"/>
        <v>4.1803943661971834</v>
      </c>
      <c r="E3510" s="83">
        <v>-6.3540090771558198E-3</v>
      </c>
      <c r="F3510" s="83">
        <v>3502</v>
      </c>
      <c r="G3510" s="83">
        <f t="shared" ca="1" si="113"/>
        <v>-2.4136580675148026E-2</v>
      </c>
    </row>
    <row r="3511" spans="2:7" x14ac:dyDescent="0.2">
      <c r="B3511" s="167">
        <v>40276</v>
      </c>
      <c r="C3511" s="28">
        <v>88.75</v>
      </c>
      <c r="D3511" s="83">
        <f t="shared" si="112"/>
        <v>-0.69935636856368566</v>
      </c>
      <c r="E3511" s="83">
        <v>-6.3815494849976846E-3</v>
      </c>
      <c r="F3511" s="83">
        <v>3503</v>
      </c>
      <c r="G3511" s="83">
        <f t="shared" ca="1" si="113"/>
        <v>1.7465498964094672E-2</v>
      </c>
    </row>
    <row r="3512" spans="2:7" x14ac:dyDescent="0.2">
      <c r="B3512" s="167">
        <v>43376</v>
      </c>
      <c r="C3512" s="28">
        <v>295.2</v>
      </c>
      <c r="D3512" s="83">
        <f t="shared" si="112"/>
        <v>4.2789699570815447</v>
      </c>
      <c r="E3512" s="83">
        <v>-6.3951531470886371E-3</v>
      </c>
      <c r="F3512" s="83">
        <v>3504</v>
      </c>
      <c r="G3512" s="83">
        <f t="shared" ca="1" si="113"/>
        <v>1.964787920400126E-2</v>
      </c>
    </row>
    <row r="3513" spans="2:7" x14ac:dyDescent="0.2">
      <c r="B3513" s="167">
        <v>39758</v>
      </c>
      <c r="C3513" s="28">
        <v>55.92</v>
      </c>
      <c r="D3513" s="83">
        <f t="shared" si="112"/>
        <v>-0.63619803526120622</v>
      </c>
      <c r="E3513" s="83">
        <v>-6.3965884861407144E-3</v>
      </c>
      <c r="F3513" s="83">
        <v>3505</v>
      </c>
      <c r="G3513" s="83">
        <f t="shared" ca="1" si="113"/>
        <v>3.5810767205160859E-3</v>
      </c>
    </row>
    <row r="3514" spans="2:7" x14ac:dyDescent="0.2">
      <c r="B3514" s="167">
        <v>41054</v>
      </c>
      <c r="C3514" s="28">
        <v>153.71</v>
      </c>
      <c r="D3514" s="83">
        <f t="shared" si="112"/>
        <v>-0.61889767684030439</v>
      </c>
      <c r="E3514" s="83">
        <v>-6.3994828700709811E-3</v>
      </c>
      <c r="F3514" s="83">
        <v>3506</v>
      </c>
      <c r="G3514" s="83">
        <f t="shared" ca="1" si="113"/>
        <v>-9.8573677092323401E-3</v>
      </c>
    </row>
    <row r="3515" spans="2:7" x14ac:dyDescent="0.2">
      <c r="B3515" s="167">
        <v>45391</v>
      </c>
      <c r="C3515" s="28">
        <v>403.33</v>
      </c>
      <c r="D3515" s="83">
        <f t="shared" si="112"/>
        <v>1.1316526610644255</v>
      </c>
      <c r="E3515" s="83">
        <v>-6.4050452048383284E-3</v>
      </c>
      <c r="F3515" s="83">
        <v>3507</v>
      </c>
      <c r="G3515" s="83">
        <f t="shared" ca="1" si="113"/>
        <v>1.2494777529663962E-2</v>
      </c>
    </row>
    <row r="3516" spans="2:7" x14ac:dyDescent="0.2">
      <c r="B3516" s="167">
        <v>41276</v>
      </c>
      <c r="C3516" s="28">
        <v>189.21</v>
      </c>
      <c r="D3516" s="83">
        <f t="shared" si="112"/>
        <v>-6.099255583126547E-2</v>
      </c>
      <c r="E3516" s="83">
        <v>-6.4065535892453857E-3</v>
      </c>
      <c r="F3516" s="83">
        <v>3508</v>
      </c>
      <c r="G3516" s="83">
        <f t="shared" ca="1" si="113"/>
        <v>6.5258205054297769E-3</v>
      </c>
    </row>
    <row r="3517" spans="2:7" x14ac:dyDescent="0.2">
      <c r="B3517" s="167">
        <v>44204</v>
      </c>
      <c r="C3517" s="28">
        <v>201.5</v>
      </c>
      <c r="D3517" s="83">
        <f t="shared" si="112"/>
        <v>-0.10304918762519477</v>
      </c>
      <c r="E3517" s="83">
        <v>-6.4102564102564655E-3</v>
      </c>
      <c r="F3517" s="83">
        <v>3509</v>
      </c>
      <c r="G3517" s="83">
        <f t="shared" ca="1" si="113"/>
        <v>1.0697800921908014E-3</v>
      </c>
    </row>
    <row r="3518" spans="2:7" x14ac:dyDescent="0.2">
      <c r="B3518" s="167">
        <v>42697</v>
      </c>
      <c r="C3518" s="28">
        <v>224.65</v>
      </c>
      <c r="D3518" s="83">
        <f t="shared" si="112"/>
        <v>1.7366305274698501</v>
      </c>
      <c r="E3518" s="83">
        <v>-6.4130915524103875E-3</v>
      </c>
      <c r="F3518" s="83">
        <v>3510</v>
      </c>
      <c r="G3518" s="83">
        <f t="shared" ca="1" si="113"/>
        <v>-1.8519166437739602E-2</v>
      </c>
    </row>
    <row r="3519" spans="2:7" x14ac:dyDescent="0.2">
      <c r="B3519" s="167">
        <v>40233</v>
      </c>
      <c r="C3519" s="28">
        <v>82.09</v>
      </c>
      <c r="D3519" s="83">
        <f t="shared" si="112"/>
        <v>-0.69579395960718915</v>
      </c>
      <c r="E3519" s="83">
        <v>-6.4149116436698272E-3</v>
      </c>
      <c r="F3519" s="83">
        <v>3511</v>
      </c>
      <c r="G3519" s="83">
        <f t="shared" ca="1" si="113"/>
        <v>-1.6495898555812703E-2</v>
      </c>
    </row>
    <row r="3520" spans="2:7" x14ac:dyDescent="0.2">
      <c r="B3520" s="167">
        <v>43298</v>
      </c>
      <c r="C3520" s="28">
        <v>269.85000000000002</v>
      </c>
      <c r="D3520" s="83">
        <f t="shared" si="112"/>
        <v>-0.25472271321254963</v>
      </c>
      <c r="E3520" s="83">
        <v>-6.4432989690721646E-3</v>
      </c>
      <c r="F3520" s="83">
        <v>3512</v>
      </c>
      <c r="G3520" s="83">
        <f t="shared" ca="1" si="113"/>
        <v>7.6201869078724917E-6</v>
      </c>
    </row>
    <row r="3521" spans="2:7" x14ac:dyDescent="0.2">
      <c r="B3521" s="167">
        <v>44981</v>
      </c>
      <c r="C3521" s="28">
        <v>362.08</v>
      </c>
      <c r="D3521" s="83">
        <f t="shared" si="112"/>
        <v>4.7445660796446125</v>
      </c>
      <c r="E3521" s="83">
        <v>-6.4484263095794057E-3</v>
      </c>
      <c r="F3521" s="83">
        <v>3513</v>
      </c>
      <c r="G3521" s="83">
        <f t="shared" ca="1" si="113"/>
        <v>6.7310027557916288E-3</v>
      </c>
    </row>
    <row r="3522" spans="2:7" x14ac:dyDescent="0.2">
      <c r="B3522" s="167">
        <v>39706</v>
      </c>
      <c r="C3522" s="28">
        <v>63.03</v>
      </c>
      <c r="D3522" s="83">
        <f t="shared" si="112"/>
        <v>-0.85019251794457396</v>
      </c>
      <c r="E3522" s="83">
        <v>-6.4627994955863272E-3</v>
      </c>
      <c r="F3522" s="83">
        <v>3514</v>
      </c>
      <c r="G3522" s="83">
        <f t="shared" ca="1" si="113"/>
        <v>2.4825671479930936E-2</v>
      </c>
    </row>
    <row r="3523" spans="2:7" x14ac:dyDescent="0.2">
      <c r="B3523" s="167">
        <v>45100</v>
      </c>
      <c r="C3523" s="28">
        <v>420.74</v>
      </c>
      <c r="D3523" s="83">
        <f t="shared" si="112"/>
        <v>1.0157140803909357</v>
      </c>
      <c r="E3523" s="83">
        <v>-6.4701993010295861E-3</v>
      </c>
      <c r="F3523" s="83">
        <v>3515</v>
      </c>
      <c r="G3523" s="83">
        <f t="shared" ca="1" si="113"/>
        <v>-2.2557456389160697E-2</v>
      </c>
    </row>
    <row r="3524" spans="2:7" x14ac:dyDescent="0.2">
      <c r="B3524" s="167">
        <v>42234</v>
      </c>
      <c r="C3524" s="28">
        <v>208.73</v>
      </c>
      <c r="D3524" s="83">
        <f t="shared" si="112"/>
        <v>4.4427640156453716</v>
      </c>
      <c r="E3524" s="83">
        <v>-6.4734161549812631E-3</v>
      </c>
      <c r="F3524" s="83">
        <v>3516</v>
      </c>
      <c r="G3524" s="83">
        <f t="shared" ca="1" si="113"/>
        <v>-2.1487792044331013E-2</v>
      </c>
    </row>
    <row r="3525" spans="2:7" x14ac:dyDescent="0.2">
      <c r="B3525" s="167">
        <v>38652</v>
      </c>
      <c r="C3525" s="28">
        <v>38.35</v>
      </c>
      <c r="D3525" s="83">
        <f t="shared" si="112"/>
        <v>-0.84274408496330011</v>
      </c>
      <c r="E3525" s="83">
        <v>-6.4766839378238338E-3</v>
      </c>
      <c r="F3525" s="83">
        <v>3517</v>
      </c>
      <c r="G3525" s="83">
        <f t="shared" ca="1" si="113"/>
        <v>-1.2443813685052523E-2</v>
      </c>
    </row>
    <row r="3526" spans="2:7" x14ac:dyDescent="0.2">
      <c r="B3526" s="167">
        <v>41962</v>
      </c>
      <c r="C3526" s="28">
        <v>243.87</v>
      </c>
      <c r="D3526" s="83">
        <f t="shared" si="112"/>
        <v>1.8935690555291884</v>
      </c>
      <c r="E3526" s="83">
        <v>-6.4776338303593394E-3</v>
      </c>
      <c r="F3526" s="83">
        <v>3518</v>
      </c>
      <c r="G3526" s="83">
        <f t="shared" ca="1" si="113"/>
        <v>1.6648709341285858E-2</v>
      </c>
    </row>
    <row r="3527" spans="2:7" x14ac:dyDescent="0.2">
      <c r="B3527" s="167">
        <v>40206</v>
      </c>
      <c r="C3527" s="28">
        <v>84.28</v>
      </c>
      <c r="D3527" s="83">
        <f t="shared" si="112"/>
        <v>-0.53712653778558883</v>
      </c>
      <c r="E3527" s="83">
        <v>-6.4835553459860569E-3</v>
      </c>
      <c r="F3527" s="83">
        <v>3519</v>
      </c>
      <c r="G3527" s="83">
        <f t="shared" ca="1" si="113"/>
        <v>-4.6707375294269639E-2</v>
      </c>
    </row>
    <row r="3528" spans="2:7" x14ac:dyDescent="0.2">
      <c r="B3528" s="167">
        <v>41229</v>
      </c>
      <c r="C3528" s="28">
        <v>182.08</v>
      </c>
      <c r="D3528" s="83">
        <f t="shared" si="112"/>
        <v>4.9503267973856211</v>
      </c>
      <c r="E3528" s="83">
        <v>-6.4931521798439334E-3</v>
      </c>
      <c r="F3528" s="83">
        <v>3520</v>
      </c>
      <c r="G3528" s="83">
        <f t="shared" ca="1" si="113"/>
        <v>6.9501910069557533E-3</v>
      </c>
    </row>
    <row r="3529" spans="2:7" x14ac:dyDescent="0.2">
      <c r="B3529" s="167">
        <v>38467</v>
      </c>
      <c r="C3529" s="28">
        <v>30.6</v>
      </c>
      <c r="D3529" s="83">
        <f t="shared" ref="D3529:D3592" si="114">(C3529-C3530)/C3530</f>
        <v>-0.88884852887758814</v>
      </c>
      <c r="E3529" s="83">
        <v>-6.4935064935064705E-3</v>
      </c>
      <c r="F3529" s="83">
        <v>3521</v>
      </c>
      <c r="G3529" s="83">
        <f t="shared" ref="G3529:G3592" ca="1" si="115">_xlfn.NORM.INV(RAND(),$M$10,$M$11)</f>
        <v>3.262120610798637E-2</v>
      </c>
    </row>
    <row r="3530" spans="2:7" x14ac:dyDescent="0.2">
      <c r="B3530" s="167">
        <v>43508</v>
      </c>
      <c r="C3530" s="28">
        <v>275.3</v>
      </c>
      <c r="D3530" s="83">
        <f t="shared" si="114"/>
        <v>3.2868265337900966</v>
      </c>
      <c r="E3530" s="83">
        <v>-6.4958498736918486E-3</v>
      </c>
      <c r="F3530" s="83">
        <v>3522</v>
      </c>
      <c r="G3530" s="83">
        <f t="shared" ca="1" si="115"/>
        <v>2.9620514893852704E-2</v>
      </c>
    </row>
    <row r="3531" spans="2:7" x14ac:dyDescent="0.2">
      <c r="B3531" s="167">
        <v>39714</v>
      </c>
      <c r="C3531" s="28">
        <v>64.22</v>
      </c>
      <c r="D3531" s="83">
        <f t="shared" si="114"/>
        <v>-0.65836791147994467</v>
      </c>
      <c r="E3531" s="83">
        <v>-6.4975247524752741E-3</v>
      </c>
      <c r="F3531" s="83">
        <v>3523</v>
      </c>
      <c r="G3531" s="83">
        <f t="shared" ca="1" si="115"/>
        <v>1.06267756498334E-2</v>
      </c>
    </row>
    <row r="3532" spans="2:7" x14ac:dyDescent="0.2">
      <c r="B3532" s="167">
        <v>41277</v>
      </c>
      <c r="C3532" s="28">
        <v>187.98</v>
      </c>
      <c r="D3532" s="83">
        <f t="shared" si="114"/>
        <v>1.6762528473804101</v>
      </c>
      <c r="E3532" s="83">
        <v>-6.5007134929444431E-3</v>
      </c>
      <c r="F3532" s="83">
        <v>3524</v>
      </c>
      <c r="G3532" s="83">
        <f t="shared" ca="1" si="115"/>
        <v>-1.2536547714462908E-2</v>
      </c>
    </row>
    <row r="3533" spans="2:7" x14ac:dyDescent="0.2">
      <c r="B3533" s="167">
        <v>39561</v>
      </c>
      <c r="C3533" s="28">
        <v>70.239999999999995</v>
      </c>
      <c r="D3533" s="83">
        <f t="shared" si="114"/>
        <v>-0.3693661339558269</v>
      </c>
      <c r="E3533" s="83">
        <v>-6.506364922206619E-3</v>
      </c>
      <c r="F3533" s="83">
        <v>3525</v>
      </c>
      <c r="G3533" s="83">
        <f t="shared" ca="1" si="115"/>
        <v>3.2799182886367975E-2</v>
      </c>
    </row>
    <row r="3534" spans="2:7" x14ac:dyDescent="0.2">
      <c r="B3534" s="167">
        <v>40568</v>
      </c>
      <c r="C3534" s="28">
        <v>111.38</v>
      </c>
      <c r="D3534" s="83">
        <f t="shared" si="114"/>
        <v>-0.7179181967835887</v>
      </c>
      <c r="E3534" s="83">
        <v>-6.5114619570065466E-3</v>
      </c>
      <c r="F3534" s="83">
        <v>3526</v>
      </c>
      <c r="G3534" s="83">
        <f t="shared" ca="1" si="115"/>
        <v>-1.6950775715943524E-2</v>
      </c>
    </row>
    <row r="3535" spans="2:7" x14ac:dyDescent="0.2">
      <c r="B3535" s="167">
        <v>45720</v>
      </c>
      <c r="C3535" s="28">
        <v>394.85</v>
      </c>
      <c r="D3535" s="83">
        <f t="shared" si="114"/>
        <v>2.5674918684495842</v>
      </c>
      <c r="E3535" s="83">
        <v>-6.5417033589129855E-3</v>
      </c>
      <c r="F3535" s="83">
        <v>3527</v>
      </c>
      <c r="G3535" s="83">
        <f t="shared" ca="1" si="115"/>
        <v>6.1433312732144104E-3</v>
      </c>
    </row>
    <row r="3536" spans="2:7" x14ac:dyDescent="0.2">
      <c r="B3536" s="167">
        <v>40532</v>
      </c>
      <c r="C3536" s="28">
        <v>110.68</v>
      </c>
      <c r="D3536" s="83">
        <f t="shared" si="114"/>
        <v>-0.76957988091768326</v>
      </c>
      <c r="E3536" s="83">
        <v>-6.5523741136342319E-3</v>
      </c>
      <c r="F3536" s="83">
        <v>3528</v>
      </c>
      <c r="G3536" s="83">
        <f t="shared" ca="1" si="115"/>
        <v>-1.5284520720468677E-2</v>
      </c>
    </row>
    <row r="3537" spans="2:7" x14ac:dyDescent="0.2">
      <c r="B3537" s="167">
        <v>45552</v>
      </c>
      <c r="C3537" s="28">
        <v>480.34</v>
      </c>
      <c r="D3537" s="83">
        <f t="shared" si="114"/>
        <v>7.5774999999999997</v>
      </c>
      <c r="E3537" s="83">
        <v>-6.5562242766437429E-3</v>
      </c>
      <c r="F3537" s="83">
        <v>3529</v>
      </c>
      <c r="G3537" s="83">
        <f t="shared" ca="1" si="115"/>
        <v>-1.3226656526254012E-2</v>
      </c>
    </row>
    <row r="3538" spans="2:7" x14ac:dyDescent="0.2">
      <c r="B3538" s="167">
        <v>39735</v>
      </c>
      <c r="C3538" s="28">
        <v>56</v>
      </c>
      <c r="D3538" s="83">
        <f t="shared" si="114"/>
        <v>-9.5607235142118885E-2</v>
      </c>
      <c r="E3538" s="83">
        <v>-6.563775057654736E-3</v>
      </c>
      <c r="F3538" s="83">
        <v>3530</v>
      </c>
      <c r="G3538" s="83">
        <f t="shared" ca="1" si="115"/>
        <v>1.5185253567040543E-3</v>
      </c>
    </row>
    <row r="3539" spans="2:7" x14ac:dyDescent="0.2">
      <c r="B3539" s="167">
        <v>39947</v>
      </c>
      <c r="C3539" s="28">
        <v>61.92</v>
      </c>
      <c r="D3539" s="83">
        <f t="shared" si="114"/>
        <v>-0.86838133701774889</v>
      </c>
      <c r="E3539" s="83">
        <v>-6.5778918658751257E-3</v>
      </c>
      <c r="F3539" s="83">
        <v>3531</v>
      </c>
      <c r="G3539" s="83">
        <f t="shared" ca="1" si="115"/>
        <v>2.4428530759303055E-3</v>
      </c>
    </row>
    <row r="3540" spans="2:7" x14ac:dyDescent="0.2">
      <c r="B3540" s="167">
        <v>45532</v>
      </c>
      <c r="C3540" s="28">
        <v>470.45</v>
      </c>
      <c r="D3540" s="83">
        <f t="shared" si="114"/>
        <v>1.4076253838280448</v>
      </c>
      <c r="E3540" s="83">
        <v>-6.5882551681905625E-3</v>
      </c>
      <c r="F3540" s="83">
        <v>3532</v>
      </c>
      <c r="G3540" s="83">
        <f t="shared" ca="1" si="115"/>
        <v>2.1285306106247202E-2</v>
      </c>
    </row>
    <row r="3541" spans="2:7" x14ac:dyDescent="0.2">
      <c r="B3541" s="167">
        <v>44068</v>
      </c>
      <c r="C3541" s="28">
        <v>195.4</v>
      </c>
      <c r="D3541" s="83">
        <f t="shared" si="114"/>
        <v>0.13078703703703701</v>
      </c>
      <c r="E3541" s="83">
        <v>-6.6090493136755617E-3</v>
      </c>
      <c r="F3541" s="83">
        <v>3533</v>
      </c>
      <c r="G3541" s="83">
        <f t="shared" ca="1" si="115"/>
        <v>3.3302836423361203E-2</v>
      </c>
    </row>
    <row r="3542" spans="2:7" x14ac:dyDescent="0.2">
      <c r="B3542" s="167">
        <v>44144</v>
      </c>
      <c r="C3542" s="28">
        <v>172.8</v>
      </c>
      <c r="D3542" s="83">
        <f t="shared" si="114"/>
        <v>-7.7662129703762919E-2</v>
      </c>
      <c r="E3542" s="83">
        <v>-6.6110951422821349E-3</v>
      </c>
      <c r="F3542" s="83">
        <v>3534</v>
      </c>
      <c r="G3542" s="83">
        <f t="shared" ca="1" si="115"/>
        <v>-2.0435617094394499E-2</v>
      </c>
    </row>
    <row r="3543" spans="2:7" x14ac:dyDescent="0.2">
      <c r="B3543" s="167">
        <v>44152</v>
      </c>
      <c r="C3543" s="28">
        <v>187.35</v>
      </c>
      <c r="D3543" s="83">
        <f t="shared" si="114"/>
        <v>-0.5280737550064234</v>
      </c>
      <c r="E3543" s="83">
        <v>-6.6277836691410394E-3</v>
      </c>
      <c r="F3543" s="83">
        <v>3535</v>
      </c>
      <c r="G3543" s="83">
        <f t="shared" ca="1" si="115"/>
        <v>1.5157923099143067E-2</v>
      </c>
    </row>
    <row r="3544" spans="2:7" x14ac:dyDescent="0.2">
      <c r="B3544" s="167">
        <v>45365</v>
      </c>
      <c r="C3544" s="28">
        <v>396.99</v>
      </c>
      <c r="D3544" s="83">
        <f t="shared" si="114"/>
        <v>1.9835412595821433</v>
      </c>
      <c r="E3544" s="83">
        <v>-6.6309678710839192E-3</v>
      </c>
      <c r="F3544" s="83">
        <v>3536</v>
      </c>
      <c r="G3544" s="83">
        <f t="shared" ca="1" si="115"/>
        <v>1.5627182980895465E-2</v>
      </c>
    </row>
    <row r="3545" spans="2:7" x14ac:dyDescent="0.2">
      <c r="B3545" s="167">
        <v>40906</v>
      </c>
      <c r="C3545" s="28">
        <v>133.06</v>
      </c>
      <c r="D3545" s="83">
        <f t="shared" si="114"/>
        <v>-0.38611303344867359</v>
      </c>
      <c r="E3545" s="83">
        <v>-6.6442702500932168E-3</v>
      </c>
      <c r="F3545" s="83">
        <v>3537</v>
      </c>
      <c r="G3545" s="83">
        <f t="shared" ca="1" si="115"/>
        <v>2.998242420430024E-3</v>
      </c>
    </row>
    <row r="3546" spans="2:7" x14ac:dyDescent="0.2">
      <c r="B3546" s="167">
        <v>44230</v>
      </c>
      <c r="C3546" s="28">
        <v>216.75</v>
      </c>
      <c r="D3546" s="83">
        <f t="shared" si="114"/>
        <v>-0.48942334872326387</v>
      </c>
      <c r="E3546" s="83">
        <v>-6.6452795600366122E-3</v>
      </c>
      <c r="F3546" s="83">
        <v>3538</v>
      </c>
      <c r="G3546" s="83">
        <f t="shared" ca="1" si="115"/>
        <v>-1.7458148991287156E-2</v>
      </c>
    </row>
    <row r="3547" spans="2:7" x14ac:dyDescent="0.2">
      <c r="B3547" s="167">
        <v>45149</v>
      </c>
      <c r="C3547" s="28">
        <v>424.52</v>
      </c>
      <c r="D3547" s="83">
        <f t="shared" si="114"/>
        <v>-6.1004202610042114E-2</v>
      </c>
      <c r="E3547" s="83">
        <v>-6.6454511418944954E-3</v>
      </c>
      <c r="F3547" s="83">
        <v>3539</v>
      </c>
      <c r="G3547" s="83">
        <f t="shared" ca="1" si="115"/>
        <v>5.946940703080307E-3</v>
      </c>
    </row>
    <row r="3548" spans="2:7" x14ac:dyDescent="0.2">
      <c r="B3548" s="167">
        <v>45603</v>
      </c>
      <c r="C3548" s="28">
        <v>452.1</v>
      </c>
      <c r="D3548" s="83">
        <f t="shared" si="114"/>
        <v>1.1846912148448827</v>
      </c>
      <c r="E3548" s="83">
        <v>-6.6574385340451578E-3</v>
      </c>
      <c r="F3548" s="83">
        <v>3540</v>
      </c>
      <c r="G3548" s="83">
        <f t="shared" ca="1" si="115"/>
        <v>2.6378183214207779E-2</v>
      </c>
    </row>
    <row r="3549" spans="2:7" x14ac:dyDescent="0.2">
      <c r="B3549" s="167">
        <v>42269</v>
      </c>
      <c r="C3549" s="28">
        <v>206.94</v>
      </c>
      <c r="D3549" s="83">
        <f t="shared" si="114"/>
        <v>-0.57338116148184803</v>
      </c>
      <c r="E3549" s="83">
        <v>-6.6721067537081295E-3</v>
      </c>
      <c r="F3549" s="83">
        <v>3541</v>
      </c>
      <c r="G3549" s="83">
        <f t="shared" ca="1" si="115"/>
        <v>-6.6085363342682502E-3</v>
      </c>
    </row>
    <row r="3550" spans="2:7" x14ac:dyDescent="0.2">
      <c r="B3550" s="167">
        <v>45568</v>
      </c>
      <c r="C3550" s="28">
        <v>485.07</v>
      </c>
      <c r="D3550" s="83">
        <f t="shared" si="114"/>
        <v>4.9364826826581822</v>
      </c>
      <c r="E3550" s="83">
        <v>-6.6758134867814616E-3</v>
      </c>
      <c r="F3550" s="83">
        <v>3542</v>
      </c>
      <c r="G3550" s="83">
        <f t="shared" ca="1" si="115"/>
        <v>7.8690675148289802E-3</v>
      </c>
    </row>
    <row r="3551" spans="2:7" x14ac:dyDescent="0.2">
      <c r="B3551" s="167">
        <v>40029</v>
      </c>
      <c r="C3551" s="28">
        <v>81.709999999999994</v>
      </c>
      <c r="D3551" s="83">
        <f t="shared" si="114"/>
        <v>-0.60697450697450706</v>
      </c>
      <c r="E3551" s="83">
        <v>-6.6861171893996029E-3</v>
      </c>
      <c r="F3551" s="83">
        <v>3543</v>
      </c>
      <c r="G3551" s="83">
        <f t="shared" ca="1" si="115"/>
        <v>-8.4915345255287512E-4</v>
      </c>
    </row>
    <row r="3552" spans="2:7" x14ac:dyDescent="0.2">
      <c r="B3552" s="167">
        <v>44358</v>
      </c>
      <c r="C3552" s="28">
        <v>207.9</v>
      </c>
      <c r="D3552" s="83">
        <f t="shared" si="114"/>
        <v>-0.28186528497409324</v>
      </c>
      <c r="E3552" s="83">
        <v>-6.6889632107023679E-3</v>
      </c>
      <c r="F3552" s="83">
        <v>3544</v>
      </c>
      <c r="G3552" s="83">
        <f t="shared" ca="1" si="115"/>
        <v>1.7237510710272418E-2</v>
      </c>
    </row>
    <row r="3553" spans="2:7" x14ac:dyDescent="0.2">
      <c r="B3553" s="167">
        <v>42936</v>
      </c>
      <c r="C3553" s="28">
        <v>289.5</v>
      </c>
      <c r="D3553" s="83">
        <f t="shared" si="114"/>
        <v>1.5330300113745732</v>
      </c>
      <c r="E3553" s="83">
        <v>-6.6906845084919843E-3</v>
      </c>
      <c r="F3553" s="83">
        <v>3545</v>
      </c>
      <c r="G3553" s="83">
        <f t="shared" ca="1" si="115"/>
        <v>-1.735550001315311E-2</v>
      </c>
    </row>
    <row r="3554" spans="2:7" x14ac:dyDescent="0.2">
      <c r="B3554" s="167">
        <v>40606</v>
      </c>
      <c r="C3554" s="28">
        <v>114.29</v>
      </c>
      <c r="D3554" s="83">
        <f t="shared" si="114"/>
        <v>-0.50602930371266797</v>
      </c>
      <c r="E3554" s="83">
        <v>-6.6921606118546502E-3</v>
      </c>
      <c r="F3554" s="83">
        <v>3546</v>
      </c>
      <c r="G3554" s="83">
        <f t="shared" ca="1" si="115"/>
        <v>-4.6550785635030272E-3</v>
      </c>
    </row>
    <row r="3555" spans="2:7" x14ac:dyDescent="0.2">
      <c r="B3555" s="167">
        <v>41934</v>
      </c>
      <c r="C3555" s="28">
        <v>231.37</v>
      </c>
      <c r="D3555" s="83">
        <f t="shared" si="114"/>
        <v>-0.31531131628787878</v>
      </c>
      <c r="E3555" s="83">
        <v>-6.6972910316404162E-3</v>
      </c>
      <c r="F3555" s="83">
        <v>3547</v>
      </c>
      <c r="G3555" s="83">
        <f t="shared" ca="1" si="115"/>
        <v>1.2376384310090745E-2</v>
      </c>
    </row>
    <row r="3556" spans="2:7" x14ac:dyDescent="0.2">
      <c r="B3556" s="167">
        <v>44895</v>
      </c>
      <c r="C3556" s="28">
        <v>337.92</v>
      </c>
      <c r="D3556" s="83">
        <f t="shared" si="114"/>
        <v>0.46197109976637551</v>
      </c>
      <c r="E3556" s="83">
        <v>-6.7019400352732886E-3</v>
      </c>
      <c r="F3556" s="83">
        <v>3548</v>
      </c>
      <c r="G3556" s="83">
        <f t="shared" ca="1" si="115"/>
        <v>2.3647269691780777E-2</v>
      </c>
    </row>
    <row r="3557" spans="2:7" x14ac:dyDescent="0.2">
      <c r="B3557" s="167">
        <v>42297</v>
      </c>
      <c r="C3557" s="28">
        <v>231.14</v>
      </c>
      <c r="D3557" s="83">
        <f t="shared" si="114"/>
        <v>-0.1999307718933887</v>
      </c>
      <c r="E3557" s="83">
        <v>-6.7039106145251499E-3</v>
      </c>
      <c r="F3557" s="83">
        <v>3549</v>
      </c>
      <c r="G3557" s="83">
        <f t="shared" ca="1" si="115"/>
        <v>-1.7748672136695797E-2</v>
      </c>
    </row>
    <row r="3558" spans="2:7" x14ac:dyDescent="0.2">
      <c r="B3558" s="167">
        <v>43613</v>
      </c>
      <c r="C3558" s="28">
        <v>288.89999999999998</v>
      </c>
      <c r="D3558" s="83">
        <f t="shared" si="114"/>
        <v>0.28394293586951685</v>
      </c>
      <c r="E3558" s="83">
        <v>-6.7044868488913365E-3</v>
      </c>
      <c r="F3558" s="83">
        <v>3550</v>
      </c>
      <c r="G3558" s="83">
        <f t="shared" ca="1" si="115"/>
        <v>2.8168981382523352E-2</v>
      </c>
    </row>
    <row r="3559" spans="2:7" x14ac:dyDescent="0.2">
      <c r="B3559" s="167">
        <v>41487</v>
      </c>
      <c r="C3559" s="28">
        <v>225.01</v>
      </c>
      <c r="D3559" s="83">
        <f t="shared" si="114"/>
        <v>3.002312344361437</v>
      </c>
      <c r="E3559" s="83">
        <v>-6.7099280448506167E-3</v>
      </c>
      <c r="F3559" s="83">
        <v>3551</v>
      </c>
      <c r="G3559" s="83">
        <f t="shared" ca="1" si="115"/>
        <v>-2.9137152813518991E-3</v>
      </c>
    </row>
    <row r="3560" spans="2:7" x14ac:dyDescent="0.2">
      <c r="B3560" s="167">
        <v>39073</v>
      </c>
      <c r="C3560" s="28">
        <v>56.22</v>
      </c>
      <c r="D3560" s="83">
        <f t="shared" si="114"/>
        <v>-0.78880540946656652</v>
      </c>
      <c r="E3560" s="83">
        <v>-6.7137809187279599E-3</v>
      </c>
      <c r="F3560" s="83">
        <v>3552</v>
      </c>
      <c r="G3560" s="83">
        <f t="shared" ca="1" si="115"/>
        <v>-4.847825364213079E-3</v>
      </c>
    </row>
    <row r="3561" spans="2:7" x14ac:dyDescent="0.2">
      <c r="B3561" s="167">
        <v>43018</v>
      </c>
      <c r="C3561" s="28">
        <v>266.2</v>
      </c>
      <c r="D3561" s="83">
        <f t="shared" si="114"/>
        <v>0.33366733466933868</v>
      </c>
      <c r="E3561" s="83">
        <v>-6.7164179104478037E-3</v>
      </c>
      <c r="F3561" s="83">
        <v>3553</v>
      </c>
      <c r="G3561" s="83">
        <f t="shared" ca="1" si="115"/>
        <v>-1.0330215214632121E-2</v>
      </c>
    </row>
    <row r="3562" spans="2:7" x14ac:dyDescent="0.2">
      <c r="B3562" s="167">
        <v>44320</v>
      </c>
      <c r="C3562" s="28">
        <v>199.6</v>
      </c>
      <c r="D3562" s="83">
        <f t="shared" si="114"/>
        <v>-7.1455154447339103E-2</v>
      </c>
      <c r="E3562" s="83">
        <v>-6.7180890768847694E-3</v>
      </c>
      <c r="F3562" s="83">
        <v>3554</v>
      </c>
      <c r="G3562" s="83">
        <f t="shared" ca="1" si="115"/>
        <v>1.1100157813040351E-2</v>
      </c>
    </row>
    <row r="3563" spans="2:7" x14ac:dyDescent="0.2">
      <c r="B3563" s="167">
        <v>42136</v>
      </c>
      <c r="C3563" s="28">
        <v>214.96</v>
      </c>
      <c r="D3563" s="83">
        <f t="shared" si="114"/>
        <v>-0.16568988938482426</v>
      </c>
      <c r="E3563" s="83">
        <v>-6.7461417613897956E-3</v>
      </c>
      <c r="F3563" s="83">
        <v>3555</v>
      </c>
      <c r="G3563" s="83">
        <f t="shared" ca="1" si="115"/>
        <v>2.192177610603762E-2</v>
      </c>
    </row>
    <row r="3564" spans="2:7" x14ac:dyDescent="0.2">
      <c r="B3564" s="167">
        <v>43769</v>
      </c>
      <c r="C3564" s="28">
        <v>257.64999999999998</v>
      </c>
      <c r="D3564" s="83">
        <f t="shared" si="114"/>
        <v>1.5058354405757635</v>
      </c>
      <c r="E3564" s="83">
        <v>-6.746337702390132E-3</v>
      </c>
      <c r="F3564" s="83">
        <v>3556</v>
      </c>
      <c r="G3564" s="83">
        <f t="shared" ca="1" si="115"/>
        <v>-1.4111511756023628E-2</v>
      </c>
    </row>
    <row r="3565" spans="2:7" x14ac:dyDescent="0.2">
      <c r="B3565" s="167">
        <v>40585</v>
      </c>
      <c r="C3565" s="28">
        <v>102.82</v>
      </c>
      <c r="D3565" s="83">
        <f t="shared" si="114"/>
        <v>-0.59922042486844673</v>
      </c>
      <c r="E3565" s="83">
        <v>-6.7619783616692701E-3</v>
      </c>
      <c r="F3565" s="83">
        <v>3557</v>
      </c>
      <c r="G3565" s="83">
        <f t="shared" ca="1" si="115"/>
        <v>-3.0315415620408739E-3</v>
      </c>
    </row>
    <row r="3566" spans="2:7" x14ac:dyDescent="0.2">
      <c r="B3566" s="167">
        <v>43053</v>
      </c>
      <c r="C3566" s="28">
        <v>256.55</v>
      </c>
      <c r="D3566" s="83">
        <f t="shared" si="114"/>
        <v>-0.32764630343056317</v>
      </c>
      <c r="E3566" s="83">
        <v>-6.7750677506775063E-3</v>
      </c>
      <c r="F3566" s="83">
        <v>3558</v>
      </c>
      <c r="G3566" s="83">
        <f t="shared" ca="1" si="115"/>
        <v>9.8916675422294955E-3</v>
      </c>
    </row>
    <row r="3567" spans="2:7" x14ac:dyDescent="0.2">
      <c r="B3567" s="167">
        <v>45343</v>
      </c>
      <c r="C3567" s="28">
        <v>381.57</v>
      </c>
      <c r="D3567" s="83">
        <f t="shared" si="114"/>
        <v>2.1459312391788274</v>
      </c>
      <c r="E3567" s="83">
        <v>-6.7936904575980365E-3</v>
      </c>
      <c r="F3567" s="83">
        <v>3559</v>
      </c>
      <c r="G3567" s="83">
        <f t="shared" ca="1" si="115"/>
        <v>-4.3711645421581728E-5</v>
      </c>
    </row>
    <row r="3568" spans="2:7" x14ac:dyDescent="0.2">
      <c r="B3568" s="167">
        <v>40639</v>
      </c>
      <c r="C3568" s="28">
        <v>121.29</v>
      </c>
      <c r="D3568" s="83">
        <f t="shared" si="114"/>
        <v>-0.49619937694704047</v>
      </c>
      <c r="E3568" s="83">
        <v>-6.7965935145758126E-3</v>
      </c>
      <c r="F3568" s="83">
        <v>3560</v>
      </c>
      <c r="G3568" s="83">
        <f t="shared" ca="1" si="115"/>
        <v>1.8157900338044076E-2</v>
      </c>
    </row>
    <row r="3569" spans="2:7" x14ac:dyDescent="0.2">
      <c r="B3569" s="167">
        <v>43846</v>
      </c>
      <c r="C3569" s="28">
        <v>240.75</v>
      </c>
      <c r="D3569" s="83">
        <f t="shared" si="114"/>
        <v>2.8569368792053824</v>
      </c>
      <c r="E3569" s="83">
        <v>-6.8069306930693303E-3</v>
      </c>
      <c r="F3569" s="83">
        <v>3561</v>
      </c>
      <c r="G3569" s="83">
        <f t="shared" ca="1" si="115"/>
        <v>-4.4053878358961074E-2</v>
      </c>
    </row>
    <row r="3570" spans="2:7" x14ac:dyDescent="0.2">
      <c r="B3570" s="167">
        <v>39659</v>
      </c>
      <c r="C3570" s="28">
        <v>62.42</v>
      </c>
      <c r="D3570" s="83">
        <f t="shared" si="114"/>
        <v>-0.5049567769053851</v>
      </c>
      <c r="E3570" s="83">
        <v>-6.8416865552903688E-3</v>
      </c>
      <c r="F3570" s="83">
        <v>3562</v>
      </c>
      <c r="G3570" s="83">
        <f t="shared" ca="1" si="115"/>
        <v>2.9786381302332805E-2</v>
      </c>
    </row>
    <row r="3571" spans="2:7" x14ac:dyDescent="0.2">
      <c r="B3571" s="167">
        <v>40651</v>
      </c>
      <c r="C3571" s="28">
        <v>126.09</v>
      </c>
      <c r="D3571" s="83">
        <f t="shared" si="114"/>
        <v>1.0758972670398419</v>
      </c>
      <c r="E3571" s="83">
        <v>-6.8525519848770507E-3</v>
      </c>
      <c r="F3571" s="83">
        <v>3563</v>
      </c>
      <c r="G3571" s="83">
        <f t="shared" ca="1" si="115"/>
        <v>7.6337921801391279E-3</v>
      </c>
    </row>
    <row r="3572" spans="2:7" x14ac:dyDescent="0.2">
      <c r="B3572" s="167">
        <v>39373</v>
      </c>
      <c r="C3572" s="28">
        <v>60.74</v>
      </c>
      <c r="D3572" s="83">
        <f t="shared" si="114"/>
        <v>-0.77840204304998173</v>
      </c>
      <c r="E3572" s="83">
        <v>-6.867233485938434E-3</v>
      </c>
      <c r="F3572" s="83">
        <v>3564</v>
      </c>
      <c r="G3572" s="83">
        <f t="shared" ca="1" si="115"/>
        <v>-3.2611667092914798E-2</v>
      </c>
    </row>
    <row r="3573" spans="2:7" x14ac:dyDescent="0.2">
      <c r="B3573" s="167">
        <v>43215</v>
      </c>
      <c r="C3573" s="28">
        <v>274.10000000000002</v>
      </c>
      <c r="D3573" s="83">
        <f t="shared" si="114"/>
        <v>1.0513396198173928</v>
      </c>
      <c r="E3573" s="83">
        <v>-6.8840579710144102E-3</v>
      </c>
      <c r="F3573" s="83">
        <v>3565</v>
      </c>
      <c r="G3573" s="83">
        <f t="shared" ca="1" si="115"/>
        <v>7.0540217815357248E-3</v>
      </c>
    </row>
    <row r="3574" spans="2:7" x14ac:dyDescent="0.2">
      <c r="B3574" s="167">
        <v>40725</v>
      </c>
      <c r="C3574" s="28">
        <v>133.62</v>
      </c>
      <c r="D3574" s="83">
        <f t="shared" si="114"/>
        <v>-0.65406720861595813</v>
      </c>
      <c r="E3574" s="83">
        <v>-6.9119286510591358E-3</v>
      </c>
      <c r="F3574" s="83">
        <v>3566</v>
      </c>
      <c r="G3574" s="83">
        <f t="shared" ca="1" si="115"/>
        <v>-1.4453409454370573E-2</v>
      </c>
    </row>
    <row r="3575" spans="2:7" x14ac:dyDescent="0.2">
      <c r="B3575" s="167">
        <v>45350</v>
      </c>
      <c r="C3575" s="28">
        <v>386.26</v>
      </c>
      <c r="D3575" s="83">
        <f t="shared" si="114"/>
        <v>1.8173595915390226</v>
      </c>
      <c r="E3575" s="83">
        <v>-6.9160560483352562E-3</v>
      </c>
      <c r="F3575" s="83">
        <v>3567</v>
      </c>
      <c r="G3575" s="83">
        <f t="shared" ca="1" si="115"/>
        <v>-8.4722676169312425E-3</v>
      </c>
    </row>
    <row r="3576" spans="2:7" x14ac:dyDescent="0.2">
      <c r="B3576" s="167">
        <v>40980</v>
      </c>
      <c r="C3576" s="28">
        <v>137.1</v>
      </c>
      <c r="D3576" s="83">
        <f t="shared" si="114"/>
        <v>-0.28853139595225741</v>
      </c>
      <c r="E3576" s="83">
        <v>-6.9534984789222654E-3</v>
      </c>
      <c r="F3576" s="83">
        <v>3568</v>
      </c>
      <c r="G3576" s="83">
        <f t="shared" ca="1" si="115"/>
        <v>-6.3843519747790812E-3</v>
      </c>
    </row>
    <row r="3577" spans="2:7" x14ac:dyDescent="0.2">
      <c r="B3577" s="167">
        <v>44032</v>
      </c>
      <c r="C3577" s="28">
        <v>192.7</v>
      </c>
      <c r="D3577" s="83">
        <f t="shared" si="114"/>
        <v>1.8172514619883038</v>
      </c>
      <c r="E3577" s="83">
        <v>-6.956969853130753E-3</v>
      </c>
      <c r="F3577" s="83">
        <v>3569</v>
      </c>
      <c r="G3577" s="83">
        <f t="shared" ca="1" si="115"/>
        <v>3.447992469265327E-2</v>
      </c>
    </row>
    <row r="3578" spans="2:7" x14ac:dyDescent="0.2">
      <c r="B3578" s="167">
        <v>38846</v>
      </c>
      <c r="C3578" s="28">
        <v>68.400000000000006</v>
      </c>
      <c r="D3578" s="83">
        <f t="shared" si="114"/>
        <v>-0.71597043434930652</v>
      </c>
      <c r="E3578" s="83">
        <v>-6.9686411149824301E-3</v>
      </c>
      <c r="F3578" s="83">
        <v>3570</v>
      </c>
      <c r="G3578" s="83">
        <f t="shared" ca="1" si="115"/>
        <v>1.2018491431788467E-2</v>
      </c>
    </row>
    <row r="3579" spans="2:7" x14ac:dyDescent="0.2">
      <c r="B3579" s="167">
        <v>41976</v>
      </c>
      <c r="C3579" s="28">
        <v>240.82</v>
      </c>
      <c r="D3579" s="83">
        <f t="shared" si="114"/>
        <v>0.18228680838529135</v>
      </c>
      <c r="E3579" s="83">
        <v>-6.9687847923796866E-3</v>
      </c>
      <c r="F3579" s="83">
        <v>3571</v>
      </c>
      <c r="G3579" s="83">
        <f t="shared" ca="1" si="115"/>
        <v>1.4576647987536342E-2</v>
      </c>
    </row>
    <row r="3580" spans="2:7" x14ac:dyDescent="0.2">
      <c r="B3580" s="167">
        <v>41309</v>
      </c>
      <c r="C3580" s="28">
        <v>203.69</v>
      </c>
      <c r="D3580" s="83">
        <f t="shared" si="114"/>
        <v>-8.2436145772332131E-2</v>
      </c>
      <c r="E3580" s="83">
        <v>-6.9715288611544796E-3</v>
      </c>
      <c r="F3580" s="83">
        <v>3572</v>
      </c>
      <c r="G3580" s="83">
        <f t="shared" ca="1" si="115"/>
        <v>-5.9425217628075689E-3</v>
      </c>
    </row>
    <row r="3581" spans="2:7" x14ac:dyDescent="0.2">
      <c r="B3581" s="167">
        <v>42311</v>
      </c>
      <c r="C3581" s="28">
        <v>221.99</v>
      </c>
      <c r="D3581" s="83">
        <f t="shared" si="114"/>
        <v>6.0923322683706065</v>
      </c>
      <c r="E3581" s="83">
        <v>-6.9783046298367351E-3</v>
      </c>
      <c r="F3581" s="83">
        <v>3573</v>
      </c>
      <c r="G3581" s="83">
        <f t="shared" ca="1" si="115"/>
        <v>2.5813954047032964E-2</v>
      </c>
    </row>
    <row r="3582" spans="2:7" x14ac:dyDescent="0.2">
      <c r="B3582" s="167">
        <v>38477</v>
      </c>
      <c r="C3582" s="28">
        <v>31.3</v>
      </c>
      <c r="D3582" s="83">
        <f t="shared" si="114"/>
        <v>-0.88710550045085657</v>
      </c>
      <c r="E3582" s="83">
        <v>-6.9796954314720449E-3</v>
      </c>
      <c r="F3582" s="83">
        <v>3574</v>
      </c>
      <c r="G3582" s="83">
        <f t="shared" ca="1" si="115"/>
        <v>-1.4363362093398998E-2</v>
      </c>
    </row>
    <row r="3583" spans="2:7" x14ac:dyDescent="0.2">
      <c r="B3583" s="167">
        <v>42858</v>
      </c>
      <c r="C3583" s="28">
        <v>277.25</v>
      </c>
      <c r="D3583" s="83">
        <f t="shared" si="114"/>
        <v>-0.33346956438119046</v>
      </c>
      <c r="E3583" s="83">
        <v>-6.9842406876790422E-3</v>
      </c>
      <c r="F3583" s="83">
        <v>3575</v>
      </c>
      <c r="G3583" s="83">
        <f t="shared" ca="1" si="115"/>
        <v>3.9095426143054335E-2</v>
      </c>
    </row>
    <row r="3584" spans="2:7" x14ac:dyDescent="0.2">
      <c r="B3584" s="167">
        <v>45169</v>
      </c>
      <c r="C3584" s="28">
        <v>415.96</v>
      </c>
      <c r="D3584" s="83">
        <f t="shared" si="114"/>
        <v>0.39701091519731313</v>
      </c>
      <c r="E3584" s="83">
        <v>-6.9946764066938982E-3</v>
      </c>
      <c r="F3584" s="83">
        <v>3576</v>
      </c>
      <c r="G3584" s="83">
        <f t="shared" ca="1" si="115"/>
        <v>-4.9125806314946462E-3</v>
      </c>
    </row>
    <row r="3585" spans="2:7" x14ac:dyDescent="0.2">
      <c r="B3585" s="167">
        <v>43595</v>
      </c>
      <c r="C3585" s="28">
        <v>297.75</v>
      </c>
      <c r="D3585" s="83">
        <f t="shared" si="114"/>
        <v>0.32174723664935406</v>
      </c>
      <c r="E3585" s="83">
        <v>-7.0035017508755133E-3</v>
      </c>
      <c r="F3585" s="83">
        <v>3577</v>
      </c>
      <c r="G3585" s="83">
        <f t="shared" ca="1" si="115"/>
        <v>2.8530961969604855E-3</v>
      </c>
    </row>
    <row r="3586" spans="2:7" x14ac:dyDescent="0.2">
      <c r="B3586" s="167">
        <v>41561</v>
      </c>
      <c r="C3586" s="28">
        <v>225.27</v>
      </c>
      <c r="D3586" s="83">
        <f t="shared" si="114"/>
        <v>5.6392572944297088</v>
      </c>
      <c r="E3586" s="83">
        <v>-7.0087278497752061E-3</v>
      </c>
      <c r="F3586" s="83">
        <v>3578</v>
      </c>
      <c r="G3586" s="83">
        <f t="shared" ca="1" si="115"/>
        <v>-2.2745845361244004E-2</v>
      </c>
    </row>
    <row r="3587" spans="2:7" x14ac:dyDescent="0.2">
      <c r="B3587" s="167">
        <v>38523</v>
      </c>
      <c r="C3587" s="28">
        <v>33.93</v>
      </c>
      <c r="D3587" s="83">
        <f t="shared" si="114"/>
        <v>-0.83888123842537632</v>
      </c>
      <c r="E3587" s="83">
        <v>-7.0237050043898738E-3</v>
      </c>
      <c r="F3587" s="83">
        <v>3579</v>
      </c>
      <c r="G3587" s="83">
        <f t="shared" ca="1" si="115"/>
        <v>-3.4015652738312717E-2</v>
      </c>
    </row>
    <row r="3588" spans="2:7" x14ac:dyDescent="0.2">
      <c r="B3588" s="167">
        <v>42242</v>
      </c>
      <c r="C3588" s="28">
        <v>210.59</v>
      </c>
      <c r="D3588" s="83">
        <f t="shared" si="114"/>
        <v>1.0413920124079101</v>
      </c>
      <c r="E3588" s="83">
        <v>-7.0256506978499103E-3</v>
      </c>
      <c r="F3588" s="83">
        <v>3580</v>
      </c>
      <c r="G3588" s="83">
        <f t="shared" ca="1" si="115"/>
        <v>1.3750942104071944E-3</v>
      </c>
    </row>
    <row r="3589" spans="2:7" x14ac:dyDescent="0.2">
      <c r="B3589" s="167">
        <v>40597</v>
      </c>
      <c r="C3589" s="28">
        <v>103.16</v>
      </c>
      <c r="D3589" s="83">
        <f t="shared" si="114"/>
        <v>-0.57007709939570739</v>
      </c>
      <c r="E3589" s="83">
        <v>-7.0266628164405041E-3</v>
      </c>
      <c r="F3589" s="83">
        <v>3581</v>
      </c>
      <c r="G3589" s="83">
        <f t="shared" ca="1" si="115"/>
        <v>1.251258388655181E-2</v>
      </c>
    </row>
    <row r="3590" spans="2:7" x14ac:dyDescent="0.2">
      <c r="B3590" s="167">
        <v>42675</v>
      </c>
      <c r="C3590" s="28">
        <v>239.95</v>
      </c>
      <c r="D3590" s="83">
        <f t="shared" si="114"/>
        <v>-5.3264943775892686E-2</v>
      </c>
      <c r="E3590" s="83">
        <v>-7.0349679288227475E-3</v>
      </c>
      <c r="F3590" s="83">
        <v>3582</v>
      </c>
      <c r="G3590" s="83">
        <f t="shared" ca="1" si="115"/>
        <v>1.6250929469376434E-2</v>
      </c>
    </row>
    <row r="3591" spans="2:7" x14ac:dyDescent="0.2">
      <c r="B3591" s="167">
        <v>42636</v>
      </c>
      <c r="C3591" s="28">
        <v>253.45</v>
      </c>
      <c r="D3591" s="83">
        <f t="shared" si="114"/>
        <v>-0.24363603807932194</v>
      </c>
      <c r="E3591" s="83">
        <v>-7.0519098922625324E-3</v>
      </c>
      <c r="F3591" s="83">
        <v>3583</v>
      </c>
      <c r="G3591" s="83">
        <f t="shared" ca="1" si="115"/>
        <v>1.671543875477121E-2</v>
      </c>
    </row>
    <row r="3592" spans="2:7" x14ac:dyDescent="0.2">
      <c r="B3592" s="167">
        <v>44897</v>
      </c>
      <c r="C3592" s="28">
        <v>335.09</v>
      </c>
      <c r="D3592" s="83">
        <f t="shared" si="114"/>
        <v>0.22072859744990883</v>
      </c>
      <c r="E3592" s="83">
        <v>-7.0524787388510151E-3</v>
      </c>
      <c r="F3592" s="83">
        <v>3584</v>
      </c>
      <c r="G3592" s="83">
        <f t="shared" ca="1" si="115"/>
        <v>3.2903041781888687E-2</v>
      </c>
    </row>
    <row r="3593" spans="2:7" x14ac:dyDescent="0.2">
      <c r="B3593" s="167">
        <v>43419</v>
      </c>
      <c r="C3593" s="28">
        <v>274.5</v>
      </c>
      <c r="D3593" s="83">
        <f t="shared" ref="D3593:D3656" si="116">(C3593-C3594)/C3594</f>
        <v>1.1232982673267327</v>
      </c>
      <c r="E3593" s="83">
        <v>-7.0537167661421183E-3</v>
      </c>
      <c r="F3593" s="83">
        <v>3585</v>
      </c>
      <c r="G3593" s="83">
        <f t="shared" ref="G3593:G3656" ca="1" si="117">_xlfn.NORM.INV(RAND(),$M$10,$M$11)</f>
        <v>-1.0863155157843453E-2</v>
      </c>
    </row>
    <row r="3594" spans="2:7" x14ac:dyDescent="0.2">
      <c r="B3594" s="167">
        <v>40763</v>
      </c>
      <c r="C3594" s="28">
        <v>129.28</v>
      </c>
      <c r="D3594" s="83">
        <f t="shared" si="116"/>
        <v>-0.39430284857571213</v>
      </c>
      <c r="E3594" s="83">
        <v>-7.0660522273424545E-3</v>
      </c>
      <c r="F3594" s="83">
        <v>3586</v>
      </c>
      <c r="G3594" s="83">
        <f t="shared" ca="1" si="117"/>
        <v>2.0308042335733294E-2</v>
      </c>
    </row>
    <row r="3595" spans="2:7" x14ac:dyDescent="0.2">
      <c r="B3595" s="167">
        <v>42403</v>
      </c>
      <c r="C3595" s="28">
        <v>213.44</v>
      </c>
      <c r="D3595" s="83">
        <f t="shared" si="116"/>
        <v>4.8330058939096282E-2</v>
      </c>
      <c r="E3595" s="83">
        <v>-7.0710829921846402E-3</v>
      </c>
      <c r="F3595" s="83">
        <v>3587</v>
      </c>
      <c r="G3595" s="83">
        <f t="shared" ca="1" si="117"/>
        <v>1.7682521856538649E-2</v>
      </c>
    </row>
    <row r="3596" spans="2:7" x14ac:dyDescent="0.2">
      <c r="B3596" s="167">
        <v>44375</v>
      </c>
      <c r="C3596" s="28">
        <v>203.6</v>
      </c>
      <c r="D3596" s="83">
        <f t="shared" si="116"/>
        <v>-0.32538104705102722</v>
      </c>
      <c r="E3596" s="83">
        <v>-7.0714459887833061E-3</v>
      </c>
      <c r="F3596" s="83">
        <v>3588</v>
      </c>
      <c r="G3596" s="83">
        <f t="shared" ca="1" si="117"/>
        <v>-1.5888727119325222E-2</v>
      </c>
    </row>
    <row r="3597" spans="2:7" x14ac:dyDescent="0.2">
      <c r="B3597" s="167">
        <v>43318</v>
      </c>
      <c r="C3597" s="28">
        <v>301.8</v>
      </c>
      <c r="D3597" s="83">
        <f t="shared" si="116"/>
        <v>-2.2351797862001872E-2</v>
      </c>
      <c r="E3597" s="83">
        <v>-7.0735318308931643E-3</v>
      </c>
      <c r="F3597" s="83">
        <v>3589</v>
      </c>
      <c r="G3597" s="83">
        <f t="shared" ca="1" si="117"/>
        <v>9.4965427352967022E-3</v>
      </c>
    </row>
    <row r="3598" spans="2:7" x14ac:dyDescent="0.2">
      <c r="B3598" s="167">
        <v>42906</v>
      </c>
      <c r="C3598" s="28">
        <v>308.7</v>
      </c>
      <c r="D3598" s="83">
        <f t="shared" si="116"/>
        <v>3.1023255813953488</v>
      </c>
      <c r="E3598" s="83">
        <v>-7.0762302991315175E-3</v>
      </c>
      <c r="F3598" s="83">
        <v>3590</v>
      </c>
      <c r="G3598" s="83">
        <f t="shared" ca="1" si="117"/>
        <v>1.5826490155076464E-2</v>
      </c>
    </row>
    <row r="3599" spans="2:7" x14ac:dyDescent="0.2">
      <c r="B3599" s="167">
        <v>40065</v>
      </c>
      <c r="C3599" s="28">
        <v>75.25</v>
      </c>
      <c r="D3599" s="83">
        <f t="shared" si="116"/>
        <v>0.20015948963317379</v>
      </c>
      <c r="E3599" s="83">
        <v>-7.1249505211770179E-3</v>
      </c>
      <c r="F3599" s="83">
        <v>3591</v>
      </c>
      <c r="G3599" s="83">
        <f t="shared" ca="1" si="117"/>
        <v>-2.8472712607931307E-2</v>
      </c>
    </row>
    <row r="3600" spans="2:7" x14ac:dyDescent="0.2">
      <c r="B3600" s="167">
        <v>39654</v>
      </c>
      <c r="C3600" s="28">
        <v>62.7</v>
      </c>
      <c r="D3600" s="83">
        <f t="shared" si="116"/>
        <v>-0.74276923076923085</v>
      </c>
      <c r="E3600" s="83">
        <v>-7.1258907363419754E-3</v>
      </c>
      <c r="F3600" s="83">
        <v>3592</v>
      </c>
      <c r="G3600" s="83">
        <f t="shared" ca="1" si="117"/>
        <v>-7.4188224320926996E-3</v>
      </c>
    </row>
    <row r="3601" spans="2:7" x14ac:dyDescent="0.2">
      <c r="B3601" s="167">
        <v>43719</v>
      </c>
      <c r="C3601" s="28">
        <v>243.75</v>
      </c>
      <c r="D3601" s="83">
        <f t="shared" si="116"/>
        <v>0.15182874964559112</v>
      </c>
      <c r="E3601" s="83">
        <v>-7.1283095723014261E-3</v>
      </c>
      <c r="F3601" s="83">
        <v>3593</v>
      </c>
      <c r="G3601" s="83">
        <f t="shared" ca="1" si="117"/>
        <v>1.5557171045125352E-3</v>
      </c>
    </row>
    <row r="3602" spans="2:7" x14ac:dyDescent="0.2">
      <c r="B3602" s="167">
        <v>41611</v>
      </c>
      <c r="C3602" s="28">
        <v>211.62</v>
      </c>
      <c r="D3602" s="83">
        <f t="shared" si="116"/>
        <v>2.631714432812768</v>
      </c>
      <c r="E3602" s="83">
        <v>-7.1314628882423849E-3</v>
      </c>
      <c r="F3602" s="83">
        <v>3594</v>
      </c>
      <c r="G3602" s="83">
        <f t="shared" ca="1" si="117"/>
        <v>-2.6472558745671435E-2</v>
      </c>
    </row>
    <row r="3603" spans="2:7" x14ac:dyDescent="0.2">
      <c r="B3603" s="167">
        <v>38897</v>
      </c>
      <c r="C3603" s="28">
        <v>58.27</v>
      </c>
      <c r="D3603" s="83">
        <f t="shared" si="116"/>
        <v>-0.78998017660839781</v>
      </c>
      <c r="E3603" s="83">
        <v>-7.1562446754130961E-3</v>
      </c>
      <c r="F3603" s="83">
        <v>3595</v>
      </c>
      <c r="G3603" s="83">
        <f t="shared" ca="1" si="117"/>
        <v>1.2917453185480338E-2</v>
      </c>
    </row>
    <row r="3604" spans="2:7" x14ac:dyDescent="0.2">
      <c r="B3604" s="167">
        <v>43654</v>
      </c>
      <c r="C3604" s="28">
        <v>277.45</v>
      </c>
      <c r="D3604" s="83">
        <f t="shared" si="116"/>
        <v>0.37215628090999014</v>
      </c>
      <c r="E3604" s="83">
        <v>-7.1569153694757562E-3</v>
      </c>
      <c r="F3604" s="83">
        <v>3596</v>
      </c>
      <c r="G3604" s="83">
        <f t="shared" ca="1" si="117"/>
        <v>2.1001274160487419E-2</v>
      </c>
    </row>
    <row r="3605" spans="2:7" x14ac:dyDescent="0.2">
      <c r="B3605" s="167">
        <v>41354</v>
      </c>
      <c r="C3605" s="28">
        <v>202.2</v>
      </c>
      <c r="D3605" s="83">
        <f t="shared" si="116"/>
        <v>2.3966067528976982</v>
      </c>
      <c r="E3605" s="83">
        <v>-7.1688107630364728E-3</v>
      </c>
      <c r="F3605" s="83">
        <v>3597</v>
      </c>
      <c r="G3605" s="83">
        <f t="shared" ca="1" si="117"/>
        <v>9.4149973106149205E-3</v>
      </c>
    </row>
    <row r="3606" spans="2:7" x14ac:dyDescent="0.2">
      <c r="B3606" s="167">
        <v>39049</v>
      </c>
      <c r="C3606" s="28">
        <v>59.53</v>
      </c>
      <c r="D3606" s="83">
        <f t="shared" si="116"/>
        <v>0.16428711128495987</v>
      </c>
      <c r="E3606" s="83">
        <v>-7.1714476317544977E-3</v>
      </c>
      <c r="F3606" s="83">
        <v>3598</v>
      </c>
      <c r="G3606" s="83">
        <f t="shared" ca="1" si="117"/>
        <v>-2.1680593923953913E-3</v>
      </c>
    </row>
    <row r="3607" spans="2:7" x14ac:dyDescent="0.2">
      <c r="B3607" s="167">
        <v>39279</v>
      </c>
      <c r="C3607" s="28">
        <v>51.13</v>
      </c>
      <c r="D3607" s="83">
        <f t="shared" si="116"/>
        <v>-0.58888799549730653</v>
      </c>
      <c r="E3607" s="83">
        <v>-7.1844660194174265E-3</v>
      </c>
      <c r="F3607" s="83">
        <v>3599</v>
      </c>
      <c r="G3607" s="83">
        <f t="shared" ca="1" si="117"/>
        <v>-1.0297532058110915E-2</v>
      </c>
    </row>
    <row r="3608" spans="2:7" x14ac:dyDescent="0.2">
      <c r="B3608" s="167">
        <v>40693</v>
      </c>
      <c r="C3608" s="28">
        <v>124.37</v>
      </c>
      <c r="D3608" s="83">
        <f t="shared" si="116"/>
        <v>-0.67630524178855866</v>
      </c>
      <c r="E3608" s="83">
        <v>-7.1844815199169111E-3</v>
      </c>
      <c r="F3608" s="83">
        <v>3600</v>
      </c>
      <c r="G3608" s="83">
        <f t="shared" ca="1" si="117"/>
        <v>-2.4936156565829745E-2</v>
      </c>
    </row>
    <row r="3609" spans="2:7" x14ac:dyDescent="0.2">
      <c r="B3609" s="167">
        <v>45356</v>
      </c>
      <c r="C3609" s="28">
        <v>384.22</v>
      </c>
      <c r="D3609" s="83">
        <f t="shared" si="116"/>
        <v>1.009518828451883</v>
      </c>
      <c r="E3609" s="83">
        <v>-7.2091160435129933E-3</v>
      </c>
      <c r="F3609" s="83">
        <v>3601</v>
      </c>
      <c r="G3609" s="83">
        <f t="shared" ca="1" si="117"/>
        <v>1.5926714292669727E-2</v>
      </c>
    </row>
    <row r="3610" spans="2:7" x14ac:dyDescent="0.2">
      <c r="B3610" s="167">
        <v>41270</v>
      </c>
      <c r="C3610" s="28">
        <v>191.2</v>
      </c>
      <c r="D3610" s="83">
        <f t="shared" si="116"/>
        <v>-0.17728055077452676</v>
      </c>
      <c r="E3610" s="83">
        <v>-7.2174048496807452E-3</v>
      </c>
      <c r="F3610" s="83">
        <v>3602</v>
      </c>
      <c r="G3610" s="83">
        <f t="shared" ca="1" si="117"/>
        <v>1.279298610738578E-2</v>
      </c>
    </row>
    <row r="3611" spans="2:7" x14ac:dyDescent="0.2">
      <c r="B3611" s="167">
        <v>41925</v>
      </c>
      <c r="C3611" s="28">
        <v>232.4</v>
      </c>
      <c r="D3611" s="83">
        <f t="shared" si="116"/>
        <v>2.0103590553946154E-2</v>
      </c>
      <c r="E3611" s="83">
        <v>-7.2194455124097471E-3</v>
      </c>
      <c r="F3611" s="83">
        <v>3603</v>
      </c>
      <c r="G3611" s="83">
        <f t="shared" ca="1" si="117"/>
        <v>2.4393932460096013E-2</v>
      </c>
    </row>
    <row r="3612" spans="2:7" x14ac:dyDescent="0.2">
      <c r="B3612" s="167">
        <v>41873</v>
      </c>
      <c r="C3612" s="28">
        <v>227.82</v>
      </c>
      <c r="D3612" s="83">
        <f t="shared" si="116"/>
        <v>2.7001786584375509</v>
      </c>
      <c r="E3612" s="83">
        <v>-7.2337458602056677E-3</v>
      </c>
      <c r="F3612" s="83">
        <v>3604</v>
      </c>
      <c r="G3612" s="83">
        <f t="shared" ca="1" si="117"/>
        <v>6.1769931138334561E-3</v>
      </c>
    </row>
    <row r="3613" spans="2:7" x14ac:dyDescent="0.2">
      <c r="B3613" s="167">
        <v>39415</v>
      </c>
      <c r="C3613" s="28">
        <v>61.57</v>
      </c>
      <c r="D3613" s="83">
        <f t="shared" si="116"/>
        <v>-0.54530684587548928</v>
      </c>
      <c r="E3613" s="83">
        <v>-7.2557239600129445E-3</v>
      </c>
      <c r="F3613" s="83">
        <v>3605</v>
      </c>
      <c r="G3613" s="83">
        <f t="shared" ca="1" si="117"/>
        <v>-2.1350605282209226E-2</v>
      </c>
    </row>
    <row r="3614" spans="2:7" x14ac:dyDescent="0.2">
      <c r="B3614" s="167">
        <v>40834</v>
      </c>
      <c r="C3614" s="28">
        <v>135.41</v>
      </c>
      <c r="D3614" s="83">
        <f t="shared" si="116"/>
        <v>-0.38098285714285718</v>
      </c>
      <c r="E3614" s="83">
        <v>-7.2580645161290985E-3</v>
      </c>
      <c r="F3614" s="83">
        <v>3606</v>
      </c>
      <c r="G3614" s="83">
        <f t="shared" ca="1" si="117"/>
        <v>-2.5422047288005995E-3</v>
      </c>
    </row>
    <row r="3615" spans="2:7" x14ac:dyDescent="0.2">
      <c r="B3615" s="167">
        <v>44581</v>
      </c>
      <c r="C3615" s="28">
        <v>218.75</v>
      </c>
      <c r="D3615" s="83">
        <f t="shared" si="116"/>
        <v>0.66692067362645746</v>
      </c>
      <c r="E3615" s="83">
        <v>-7.2611754027682978E-3</v>
      </c>
      <c r="F3615" s="83">
        <v>3607</v>
      </c>
      <c r="G3615" s="83">
        <f t="shared" ca="1" si="117"/>
        <v>7.2494413975385972E-3</v>
      </c>
    </row>
    <row r="3616" spans="2:7" x14ac:dyDescent="0.2">
      <c r="B3616" s="167">
        <v>40802</v>
      </c>
      <c r="C3616" s="28">
        <v>131.22999999999999</v>
      </c>
      <c r="D3616" s="83">
        <f t="shared" si="116"/>
        <v>-0.35564175586762253</v>
      </c>
      <c r="E3616" s="83">
        <v>-7.2622739995461686E-3</v>
      </c>
      <c r="F3616" s="83">
        <v>3608</v>
      </c>
      <c r="G3616" s="83">
        <f t="shared" ca="1" si="117"/>
        <v>-2.0054420026425233E-2</v>
      </c>
    </row>
    <row r="3617" spans="2:7" x14ac:dyDescent="0.2">
      <c r="B3617" s="167">
        <v>41365</v>
      </c>
      <c r="C3617" s="28">
        <v>203.66</v>
      </c>
      <c r="D3617" s="83">
        <f t="shared" si="116"/>
        <v>-0.19326599326599325</v>
      </c>
      <c r="E3617" s="83">
        <v>-7.2629783085547605E-3</v>
      </c>
      <c r="F3617" s="83">
        <v>3609</v>
      </c>
      <c r="G3617" s="83">
        <f t="shared" ca="1" si="117"/>
        <v>8.1472785692638244E-3</v>
      </c>
    </row>
    <row r="3618" spans="2:7" x14ac:dyDescent="0.2">
      <c r="B3618" s="167">
        <v>42580</v>
      </c>
      <c r="C3618" s="28">
        <v>252.45</v>
      </c>
      <c r="D3618" s="83">
        <f t="shared" si="116"/>
        <v>-0.397134328358209</v>
      </c>
      <c r="E3618" s="83">
        <v>-7.2748721981912021E-3</v>
      </c>
      <c r="F3618" s="83">
        <v>3610</v>
      </c>
      <c r="G3618" s="83">
        <f t="shared" ca="1" si="117"/>
        <v>-1.9854562893785375E-2</v>
      </c>
    </row>
    <row r="3619" spans="2:7" x14ac:dyDescent="0.2">
      <c r="B3619" s="167">
        <v>45177</v>
      </c>
      <c r="C3619" s="28">
        <v>418.75</v>
      </c>
      <c r="D3619" s="83">
        <f t="shared" si="116"/>
        <v>5.8546406940579461</v>
      </c>
      <c r="E3619" s="83">
        <v>-7.3015195694947823E-3</v>
      </c>
      <c r="F3619" s="83">
        <v>3611</v>
      </c>
      <c r="G3619" s="83">
        <f t="shared" ca="1" si="117"/>
        <v>2.5356355602869835E-3</v>
      </c>
    </row>
    <row r="3620" spans="2:7" x14ac:dyDescent="0.2">
      <c r="B3620" s="167">
        <v>38988</v>
      </c>
      <c r="C3620" s="28">
        <v>61.09</v>
      </c>
      <c r="D3620" s="83">
        <f t="shared" si="116"/>
        <v>-0.71655917969656191</v>
      </c>
      <c r="E3620" s="83">
        <v>-7.3123171920701294E-3</v>
      </c>
      <c r="F3620" s="83">
        <v>3612</v>
      </c>
      <c r="G3620" s="83">
        <f t="shared" ca="1" si="117"/>
        <v>7.529099657165464E-4</v>
      </c>
    </row>
    <row r="3621" spans="2:7" x14ac:dyDescent="0.2">
      <c r="B3621" s="167">
        <v>42373</v>
      </c>
      <c r="C3621" s="28">
        <v>215.53</v>
      </c>
      <c r="D3621" s="83">
        <f t="shared" si="116"/>
        <v>5.62557639102367</v>
      </c>
      <c r="E3621" s="83">
        <v>-7.3231392778187335E-3</v>
      </c>
      <c r="F3621" s="83">
        <v>3613</v>
      </c>
      <c r="G3621" s="83">
        <f t="shared" ca="1" si="117"/>
        <v>8.647748619382882E-3</v>
      </c>
    </row>
    <row r="3622" spans="2:7" x14ac:dyDescent="0.2">
      <c r="B3622" s="167">
        <v>38482</v>
      </c>
      <c r="C3622" s="28">
        <v>32.53</v>
      </c>
      <c r="D3622" s="83">
        <f t="shared" si="116"/>
        <v>-0.7499038979011301</v>
      </c>
      <c r="E3622" s="83">
        <v>-7.3237717424474201E-3</v>
      </c>
      <c r="F3622" s="83">
        <v>3614</v>
      </c>
      <c r="G3622" s="83">
        <f t="shared" ca="1" si="117"/>
        <v>-2.6397670078404819E-2</v>
      </c>
    </row>
    <row r="3623" spans="2:7" x14ac:dyDescent="0.2">
      <c r="B3623" s="167">
        <v>40798</v>
      </c>
      <c r="C3623" s="28">
        <v>130.07</v>
      </c>
      <c r="D3623" s="83">
        <f t="shared" si="116"/>
        <v>-0.48096568236233045</v>
      </c>
      <c r="E3623" s="83">
        <v>-7.3265664351675796E-3</v>
      </c>
      <c r="F3623" s="83">
        <v>3615</v>
      </c>
      <c r="G3623" s="83">
        <f t="shared" ca="1" si="117"/>
        <v>1.3382139154032961E-3</v>
      </c>
    </row>
    <row r="3624" spans="2:7" x14ac:dyDescent="0.2">
      <c r="B3624" s="167">
        <v>42583</v>
      </c>
      <c r="C3624" s="28">
        <v>250.6</v>
      </c>
      <c r="D3624" s="83">
        <f t="shared" si="116"/>
        <v>0.14215395834282848</v>
      </c>
      <c r="E3624" s="83">
        <v>-7.3281837987720115E-3</v>
      </c>
      <c r="F3624" s="83">
        <v>3616</v>
      </c>
      <c r="G3624" s="83">
        <f t="shared" ca="1" si="117"/>
        <v>-1.1897328865397468E-2</v>
      </c>
    </row>
    <row r="3625" spans="2:7" x14ac:dyDescent="0.2">
      <c r="B3625" s="167">
        <v>41794</v>
      </c>
      <c r="C3625" s="28">
        <v>219.41</v>
      </c>
      <c r="D3625" s="83">
        <f t="shared" si="116"/>
        <v>5.9746908809891836E-2</v>
      </c>
      <c r="E3625" s="83">
        <v>-7.3293218115188189E-3</v>
      </c>
      <c r="F3625" s="83">
        <v>3617</v>
      </c>
      <c r="G3625" s="83">
        <f t="shared" ca="1" si="117"/>
        <v>2.9023909127721694E-3</v>
      </c>
    </row>
    <row r="3626" spans="2:7" x14ac:dyDescent="0.2">
      <c r="B3626" s="167">
        <v>42199</v>
      </c>
      <c r="C3626" s="28">
        <v>207.04</v>
      </c>
      <c r="D3626" s="83">
        <f t="shared" si="116"/>
        <v>-0.19424012453784784</v>
      </c>
      <c r="E3626" s="83">
        <v>-7.3356666826485169E-3</v>
      </c>
      <c r="F3626" s="83">
        <v>3618</v>
      </c>
      <c r="G3626" s="83">
        <f t="shared" ca="1" si="117"/>
        <v>6.4801513254067651E-4</v>
      </c>
    </row>
    <row r="3627" spans="2:7" x14ac:dyDescent="0.2">
      <c r="B3627" s="167">
        <v>42633</v>
      </c>
      <c r="C3627" s="28">
        <v>256.95</v>
      </c>
      <c r="D3627" s="83">
        <f t="shared" si="116"/>
        <v>-0.37228221038745296</v>
      </c>
      <c r="E3627" s="83">
        <v>-7.3401583928917671E-3</v>
      </c>
      <c r="F3627" s="83">
        <v>3619</v>
      </c>
      <c r="G3627" s="83">
        <f t="shared" ca="1" si="117"/>
        <v>2.5025405619919162E-2</v>
      </c>
    </row>
    <row r="3628" spans="2:7" x14ac:dyDescent="0.2">
      <c r="B3628" s="167">
        <v>45224</v>
      </c>
      <c r="C3628" s="28">
        <v>409.34</v>
      </c>
      <c r="D3628" s="83">
        <f t="shared" si="116"/>
        <v>0.51860508254498228</v>
      </c>
      <c r="E3628" s="83">
        <v>-7.3477702063681387E-3</v>
      </c>
      <c r="F3628" s="83">
        <v>3620</v>
      </c>
      <c r="G3628" s="83">
        <f t="shared" ca="1" si="117"/>
        <v>-7.662332634642016E-3</v>
      </c>
    </row>
    <row r="3629" spans="2:7" x14ac:dyDescent="0.2">
      <c r="B3629" s="167">
        <v>42999</v>
      </c>
      <c r="C3629" s="28">
        <v>269.55</v>
      </c>
      <c r="D3629" s="83">
        <f t="shared" si="116"/>
        <v>-0.30740769290063974</v>
      </c>
      <c r="E3629" s="83">
        <v>-7.3651261277849376E-3</v>
      </c>
      <c r="F3629" s="83">
        <v>3621</v>
      </c>
      <c r="G3629" s="83">
        <f t="shared" ca="1" si="117"/>
        <v>-3.3435734095203264E-3</v>
      </c>
    </row>
    <row r="3630" spans="2:7" x14ac:dyDescent="0.2">
      <c r="B3630" s="167">
        <v>45345</v>
      </c>
      <c r="C3630" s="28">
        <v>389.19</v>
      </c>
      <c r="D3630" s="83">
        <f t="shared" si="116"/>
        <v>0.38133096716947645</v>
      </c>
      <c r="E3630" s="83">
        <v>-7.3709447051621777E-3</v>
      </c>
      <c r="F3630" s="83">
        <v>3622</v>
      </c>
      <c r="G3630" s="83">
        <f t="shared" ca="1" si="117"/>
        <v>1.2357026182287926E-2</v>
      </c>
    </row>
    <row r="3631" spans="2:7" x14ac:dyDescent="0.2">
      <c r="B3631" s="167">
        <v>43425</v>
      </c>
      <c r="C3631" s="28">
        <v>281.75</v>
      </c>
      <c r="D3631" s="83">
        <f t="shared" si="116"/>
        <v>2.3358986502486387</v>
      </c>
      <c r="E3631" s="83">
        <v>-7.3982737361283166E-3</v>
      </c>
      <c r="F3631" s="83">
        <v>3623</v>
      </c>
      <c r="G3631" s="83">
        <f t="shared" ca="1" si="117"/>
        <v>-1.8572590668713895E-3</v>
      </c>
    </row>
    <row r="3632" spans="2:7" x14ac:dyDescent="0.2">
      <c r="B3632" s="167">
        <v>40154</v>
      </c>
      <c r="C3632" s="28">
        <v>84.46</v>
      </c>
      <c r="D3632" s="83">
        <f t="shared" si="116"/>
        <v>-0.56430229558937328</v>
      </c>
      <c r="E3632" s="83">
        <v>-7.4039252556118186E-3</v>
      </c>
      <c r="F3632" s="83">
        <v>3624</v>
      </c>
      <c r="G3632" s="83">
        <f t="shared" ca="1" si="117"/>
        <v>-4.3978266873502897E-2</v>
      </c>
    </row>
    <row r="3633" spans="2:7" x14ac:dyDescent="0.2">
      <c r="B3633" s="167">
        <v>43893</v>
      </c>
      <c r="C3633" s="28">
        <v>193.85</v>
      </c>
      <c r="D3633" s="83">
        <f t="shared" si="116"/>
        <v>-0.30915894511760522</v>
      </c>
      <c r="E3633" s="83">
        <v>-7.4244751664107374E-3</v>
      </c>
      <c r="F3633" s="83">
        <v>3625</v>
      </c>
      <c r="G3633" s="83">
        <f t="shared" ca="1" si="117"/>
        <v>1.8361705780007887E-2</v>
      </c>
    </row>
    <row r="3634" spans="2:7" x14ac:dyDescent="0.2">
      <c r="B3634" s="167">
        <v>43467</v>
      </c>
      <c r="C3634" s="28">
        <v>280.60000000000002</v>
      </c>
      <c r="D3634" s="83">
        <f t="shared" si="116"/>
        <v>0.26630263098515283</v>
      </c>
      <c r="E3634" s="83">
        <v>-7.4283692960734555E-3</v>
      </c>
      <c r="F3634" s="83">
        <v>3626</v>
      </c>
      <c r="G3634" s="83">
        <f t="shared" ca="1" si="117"/>
        <v>1.7735112399547882E-2</v>
      </c>
    </row>
    <row r="3635" spans="2:7" x14ac:dyDescent="0.2">
      <c r="B3635" s="167">
        <v>42319</v>
      </c>
      <c r="C3635" s="28">
        <v>221.59</v>
      </c>
      <c r="D3635" s="83">
        <f t="shared" si="116"/>
        <v>3.3818469448289501</v>
      </c>
      <c r="E3635" s="83">
        <v>-7.4356103023516086E-3</v>
      </c>
      <c r="F3635" s="83">
        <v>3627</v>
      </c>
      <c r="G3635" s="83">
        <f t="shared" ca="1" si="117"/>
        <v>-2.5490202991900506E-2</v>
      </c>
    </row>
    <row r="3636" spans="2:7" x14ac:dyDescent="0.2">
      <c r="B3636" s="167">
        <v>39274</v>
      </c>
      <c r="C3636" s="28">
        <v>50.57</v>
      </c>
      <c r="D3636" s="83">
        <f t="shared" si="116"/>
        <v>-0.87813576885076028</v>
      </c>
      <c r="E3636" s="83">
        <v>-7.458292443572179E-3</v>
      </c>
      <c r="F3636" s="83">
        <v>3628</v>
      </c>
      <c r="G3636" s="83">
        <f t="shared" ca="1" si="117"/>
        <v>-1.5969870850337069E-2</v>
      </c>
    </row>
    <row r="3637" spans="2:7" x14ac:dyDescent="0.2">
      <c r="B3637" s="167">
        <v>45246</v>
      </c>
      <c r="C3637" s="28">
        <v>414.97</v>
      </c>
      <c r="D3637" s="83">
        <f t="shared" si="116"/>
        <v>0.83590673804362259</v>
      </c>
      <c r="E3637" s="83">
        <v>-7.4625080724244732E-3</v>
      </c>
      <c r="F3637" s="83">
        <v>3629</v>
      </c>
      <c r="G3637" s="83">
        <f t="shared" ca="1" si="117"/>
        <v>-1.2510662765393787E-2</v>
      </c>
    </row>
    <row r="3638" spans="2:7" x14ac:dyDescent="0.2">
      <c r="B3638" s="167">
        <v>41744</v>
      </c>
      <c r="C3638" s="28">
        <v>226.03</v>
      </c>
      <c r="D3638" s="83">
        <f t="shared" si="116"/>
        <v>-0.27621761823945695</v>
      </c>
      <c r="E3638" s="83">
        <v>-7.4649804593158071E-3</v>
      </c>
      <c r="F3638" s="83">
        <v>3630</v>
      </c>
      <c r="G3638" s="83">
        <f t="shared" ca="1" si="117"/>
        <v>4.5955901344793687E-3</v>
      </c>
    </row>
    <row r="3639" spans="2:7" x14ac:dyDescent="0.2">
      <c r="B3639" s="167">
        <v>44945</v>
      </c>
      <c r="C3639" s="28">
        <v>312.29000000000002</v>
      </c>
      <c r="D3639" s="83">
        <f t="shared" si="116"/>
        <v>4.116991643454039</v>
      </c>
      <c r="E3639" s="83">
        <v>-7.4688532926518118E-3</v>
      </c>
      <c r="F3639" s="83">
        <v>3631</v>
      </c>
      <c r="G3639" s="83">
        <f t="shared" ca="1" si="117"/>
        <v>1.4116299621252571E-2</v>
      </c>
    </row>
    <row r="3640" spans="2:7" x14ac:dyDescent="0.2">
      <c r="B3640" s="167">
        <v>39035</v>
      </c>
      <c r="C3640" s="28">
        <v>61.03</v>
      </c>
      <c r="D3640" s="83">
        <f t="shared" si="116"/>
        <v>2.4337025847599916E-2</v>
      </c>
      <c r="E3640" s="83">
        <v>-7.4808912018214484E-3</v>
      </c>
      <c r="F3640" s="83">
        <v>3632</v>
      </c>
      <c r="G3640" s="83">
        <f t="shared" ca="1" si="117"/>
        <v>4.466353830161876E-3</v>
      </c>
    </row>
    <row r="3641" spans="2:7" x14ac:dyDescent="0.2">
      <c r="B3641" s="167">
        <v>38947</v>
      </c>
      <c r="C3641" s="28">
        <v>59.58</v>
      </c>
      <c r="D3641" s="83">
        <f t="shared" si="116"/>
        <v>-0.8041098142363966</v>
      </c>
      <c r="E3641" s="83">
        <v>-7.4962518740630153E-3</v>
      </c>
      <c r="F3641" s="83">
        <v>3633</v>
      </c>
      <c r="G3641" s="83">
        <f t="shared" ca="1" si="117"/>
        <v>5.5146430017224864E-2</v>
      </c>
    </row>
    <row r="3642" spans="2:7" x14ac:dyDescent="0.2">
      <c r="B3642" s="167">
        <v>43580</v>
      </c>
      <c r="C3642" s="28">
        <v>304.14999999999998</v>
      </c>
      <c r="D3642" s="83">
        <f t="shared" si="116"/>
        <v>0.30800326839547576</v>
      </c>
      <c r="E3642" s="83">
        <v>-7.5053026594877189E-3</v>
      </c>
      <c r="F3642" s="83">
        <v>3634</v>
      </c>
      <c r="G3642" s="83">
        <f t="shared" ca="1" si="117"/>
        <v>2.1986017731905158E-2</v>
      </c>
    </row>
    <row r="3643" spans="2:7" x14ac:dyDescent="0.2">
      <c r="B3643" s="167">
        <v>41751</v>
      </c>
      <c r="C3643" s="28">
        <v>232.53</v>
      </c>
      <c r="D3643" s="83">
        <f t="shared" si="116"/>
        <v>0.12927978242921667</v>
      </c>
      <c r="E3643" s="83">
        <v>-7.5120577062614321E-3</v>
      </c>
      <c r="F3643" s="83">
        <v>3635</v>
      </c>
      <c r="G3643" s="83">
        <f t="shared" ca="1" si="117"/>
        <v>3.9184664631947926E-2</v>
      </c>
    </row>
    <row r="3644" spans="2:7" x14ac:dyDescent="0.2">
      <c r="B3644" s="167">
        <v>42194</v>
      </c>
      <c r="C3644" s="28">
        <v>205.91</v>
      </c>
      <c r="D3644" s="83">
        <f t="shared" si="116"/>
        <v>1.4796483622350671</v>
      </c>
      <c r="E3644" s="83">
        <v>-7.5191593965392694E-3</v>
      </c>
      <c r="F3644" s="83">
        <v>3636</v>
      </c>
      <c r="G3644" s="83">
        <f t="shared" ca="1" si="117"/>
        <v>-5.3638132108207144E-3</v>
      </c>
    </row>
    <row r="3645" spans="2:7" x14ac:dyDescent="0.2">
      <c r="B3645" s="167">
        <v>40103</v>
      </c>
      <c r="C3645" s="28">
        <v>83.04</v>
      </c>
      <c r="D3645" s="83">
        <f t="shared" si="116"/>
        <v>0.36961900049480462</v>
      </c>
      <c r="E3645" s="83">
        <v>-7.5295804948009495E-3</v>
      </c>
      <c r="F3645" s="83">
        <v>3637</v>
      </c>
      <c r="G3645" s="83">
        <f t="shared" ca="1" si="117"/>
        <v>-8.9100363677496065E-3</v>
      </c>
    </row>
    <row r="3646" spans="2:7" x14ac:dyDescent="0.2">
      <c r="B3646" s="167">
        <v>39380</v>
      </c>
      <c r="C3646" s="28">
        <v>60.63</v>
      </c>
      <c r="D3646" s="83">
        <f t="shared" si="116"/>
        <v>-0.61305762971472333</v>
      </c>
      <c r="E3646" s="83">
        <v>-7.5298739564576989E-3</v>
      </c>
      <c r="F3646" s="83">
        <v>3638</v>
      </c>
      <c r="G3646" s="83">
        <f t="shared" ca="1" si="117"/>
        <v>5.5239736781024706E-3</v>
      </c>
    </row>
    <row r="3647" spans="2:7" x14ac:dyDescent="0.2">
      <c r="B3647" s="167">
        <v>41036</v>
      </c>
      <c r="C3647" s="28">
        <v>156.69</v>
      </c>
      <c r="D3647" s="83">
        <f t="shared" si="116"/>
        <v>0.77612786216277485</v>
      </c>
      <c r="E3647" s="83">
        <v>-7.5373701545477434E-3</v>
      </c>
      <c r="F3647" s="83">
        <v>3639</v>
      </c>
      <c r="G3647" s="83">
        <f t="shared" ca="1" si="117"/>
        <v>-1.4416414102617483E-2</v>
      </c>
    </row>
    <row r="3648" spans="2:7" x14ac:dyDescent="0.2">
      <c r="B3648" s="167">
        <v>40315</v>
      </c>
      <c r="C3648" s="28">
        <v>88.22</v>
      </c>
      <c r="D3648" s="83">
        <f t="shared" si="116"/>
        <v>-0.60348779720436874</v>
      </c>
      <c r="E3648" s="83">
        <v>-7.5374057824277385E-3</v>
      </c>
      <c r="F3648" s="83">
        <v>3640</v>
      </c>
      <c r="G3648" s="83">
        <f t="shared" ca="1" si="117"/>
        <v>-3.60447836019109E-3</v>
      </c>
    </row>
    <row r="3649" spans="2:7" x14ac:dyDescent="0.2">
      <c r="B3649" s="167">
        <v>41708</v>
      </c>
      <c r="C3649" s="28">
        <v>222.49</v>
      </c>
      <c r="D3649" s="83">
        <f t="shared" si="116"/>
        <v>-0.38085432030054267</v>
      </c>
      <c r="E3649" s="83">
        <v>-7.538585065572298E-3</v>
      </c>
      <c r="F3649" s="83">
        <v>3641</v>
      </c>
      <c r="G3649" s="83">
        <f t="shared" ca="1" si="117"/>
        <v>-8.726170560312935E-3</v>
      </c>
    </row>
    <row r="3650" spans="2:7" x14ac:dyDescent="0.2">
      <c r="B3650" s="167">
        <v>44984</v>
      </c>
      <c r="C3650" s="28">
        <v>359.35</v>
      </c>
      <c r="D3650" s="83">
        <f t="shared" si="116"/>
        <v>0.76151960784313732</v>
      </c>
      <c r="E3650" s="83">
        <v>-7.5397702165266277E-3</v>
      </c>
      <c r="F3650" s="83">
        <v>3642</v>
      </c>
      <c r="G3650" s="83">
        <f t="shared" ca="1" si="117"/>
        <v>-2.369810135226778E-2</v>
      </c>
    </row>
    <row r="3651" spans="2:7" x14ac:dyDescent="0.2">
      <c r="B3651" s="167">
        <v>44327</v>
      </c>
      <c r="C3651" s="28">
        <v>204</v>
      </c>
      <c r="D3651" s="83">
        <f t="shared" si="116"/>
        <v>1.9745063734066426E-2</v>
      </c>
      <c r="E3651" s="83">
        <v>-7.5407443444417965E-3</v>
      </c>
      <c r="F3651" s="83">
        <v>3643</v>
      </c>
      <c r="G3651" s="83">
        <f t="shared" ca="1" si="117"/>
        <v>2.7822917661111054E-2</v>
      </c>
    </row>
    <row r="3652" spans="2:7" x14ac:dyDescent="0.2">
      <c r="B3652" s="167">
        <v>41313</v>
      </c>
      <c r="C3652" s="28">
        <v>200.05</v>
      </c>
      <c r="D3652" s="83">
        <f t="shared" si="116"/>
        <v>1.7684749515637974</v>
      </c>
      <c r="E3652" s="83">
        <v>-7.5408046832365029E-3</v>
      </c>
      <c r="F3652" s="83">
        <v>3644</v>
      </c>
      <c r="G3652" s="83">
        <f t="shared" ca="1" si="117"/>
        <v>2.5716317906791946E-2</v>
      </c>
    </row>
    <row r="3653" spans="2:7" x14ac:dyDescent="0.2">
      <c r="B3653" s="167">
        <v>40016</v>
      </c>
      <c r="C3653" s="28">
        <v>72.260000000000005</v>
      </c>
      <c r="D3653" s="83">
        <f t="shared" si="116"/>
        <v>-0.68161790623898477</v>
      </c>
      <c r="E3653" s="83">
        <v>-7.5539074302979963E-3</v>
      </c>
      <c r="F3653" s="83">
        <v>3645</v>
      </c>
      <c r="G3653" s="83">
        <f t="shared" ca="1" si="117"/>
        <v>1.1956985987203662E-2</v>
      </c>
    </row>
    <row r="3654" spans="2:7" x14ac:dyDescent="0.2">
      <c r="B3654" s="167">
        <v>41835</v>
      </c>
      <c r="C3654" s="28">
        <v>226.96</v>
      </c>
      <c r="D3654" s="83">
        <f t="shared" si="116"/>
        <v>-0.13423612435628446</v>
      </c>
      <c r="E3654" s="83">
        <v>-7.5648257466438837E-3</v>
      </c>
      <c r="F3654" s="83">
        <v>3646</v>
      </c>
      <c r="G3654" s="83">
        <f t="shared" ca="1" si="117"/>
        <v>1.2308155435834838E-2</v>
      </c>
    </row>
    <row r="3655" spans="2:7" x14ac:dyDescent="0.2">
      <c r="B3655" s="167">
        <v>43096</v>
      </c>
      <c r="C3655" s="28">
        <v>262.14999999999998</v>
      </c>
      <c r="D3655" s="83">
        <f t="shared" si="116"/>
        <v>1.0006868656032968</v>
      </c>
      <c r="E3655" s="83">
        <v>-7.571455612341473E-3</v>
      </c>
      <c r="F3655" s="83">
        <v>3647</v>
      </c>
      <c r="G3655" s="83">
        <f t="shared" ca="1" si="117"/>
        <v>2.214008370224085E-2</v>
      </c>
    </row>
    <row r="3656" spans="2:7" x14ac:dyDescent="0.2">
      <c r="B3656" s="167">
        <v>40795</v>
      </c>
      <c r="C3656" s="28">
        <v>131.03</v>
      </c>
      <c r="D3656" s="83">
        <f t="shared" si="116"/>
        <v>-0.38237096394060804</v>
      </c>
      <c r="E3656" s="83">
        <v>-7.5740362038930545E-3</v>
      </c>
      <c r="F3656" s="83">
        <v>3648</v>
      </c>
      <c r="G3656" s="83">
        <f t="shared" ca="1" si="117"/>
        <v>1.0317969816268703E-2</v>
      </c>
    </row>
    <row r="3657" spans="2:7" x14ac:dyDescent="0.2">
      <c r="B3657" s="167">
        <v>42458</v>
      </c>
      <c r="C3657" s="28">
        <v>212.15</v>
      </c>
      <c r="D3657" s="83">
        <f t="shared" ref="D3657:D3720" si="118">(C3657-C3658)/C3658</f>
        <v>-0.36109019725944891</v>
      </c>
      <c r="E3657" s="83">
        <v>-7.5782382934930278E-3</v>
      </c>
      <c r="F3657" s="83">
        <v>3649</v>
      </c>
      <c r="G3657" s="83">
        <f t="shared" ref="G3657:G3720" ca="1" si="119">_xlfn.NORM.INV(RAND(),$M$10,$M$11)</f>
        <v>7.8298003400189033E-3</v>
      </c>
    </row>
    <row r="3658" spans="2:7" x14ac:dyDescent="0.2">
      <c r="B3658" s="167">
        <v>44841</v>
      </c>
      <c r="C3658" s="28">
        <v>332.05</v>
      </c>
      <c r="D3658" s="83">
        <f t="shared" si="118"/>
        <v>1.3772193585337915</v>
      </c>
      <c r="E3658" s="83">
        <v>-7.5913804955317372E-3</v>
      </c>
      <c r="F3658" s="83">
        <v>3650</v>
      </c>
      <c r="G3658" s="83">
        <f t="shared" ca="1" si="119"/>
        <v>-2.727472628230919E-3</v>
      </c>
    </row>
    <row r="3659" spans="2:7" x14ac:dyDescent="0.2">
      <c r="B3659" s="167">
        <v>40967</v>
      </c>
      <c r="C3659" s="28">
        <v>139.68</v>
      </c>
      <c r="D3659" s="83">
        <f t="shared" si="118"/>
        <v>-0.65698288352447132</v>
      </c>
      <c r="E3659" s="83">
        <v>-7.6021314387210879E-3</v>
      </c>
      <c r="F3659" s="83">
        <v>3651</v>
      </c>
      <c r="G3659" s="83">
        <f t="shared" ca="1" si="119"/>
        <v>-4.1962399551792394E-2</v>
      </c>
    </row>
    <row r="3660" spans="2:7" x14ac:dyDescent="0.2">
      <c r="B3660" s="167">
        <v>45229</v>
      </c>
      <c r="C3660" s="28">
        <v>407.21</v>
      </c>
      <c r="D3660" s="83">
        <f t="shared" si="118"/>
        <v>0.45354274495805824</v>
      </c>
      <c r="E3660" s="83">
        <v>-7.6036360977749726E-3</v>
      </c>
      <c r="F3660" s="83">
        <v>3652</v>
      </c>
      <c r="G3660" s="83">
        <f t="shared" ca="1" si="119"/>
        <v>3.5165349335173294E-3</v>
      </c>
    </row>
    <row r="3661" spans="2:7" x14ac:dyDescent="0.2">
      <c r="B3661" s="167">
        <v>43230</v>
      </c>
      <c r="C3661" s="28">
        <v>280.14999999999998</v>
      </c>
      <c r="D3661" s="83">
        <f t="shared" si="118"/>
        <v>7.9368137160469907E-2</v>
      </c>
      <c r="E3661" s="83">
        <v>-7.6160113354588523E-3</v>
      </c>
      <c r="F3661" s="83">
        <v>3653</v>
      </c>
      <c r="G3661" s="83">
        <f t="shared" ca="1" si="119"/>
        <v>3.2187076248279385E-2</v>
      </c>
    </row>
    <row r="3662" spans="2:7" x14ac:dyDescent="0.2">
      <c r="B3662" s="167">
        <v>44671</v>
      </c>
      <c r="C3662" s="28">
        <v>259.55</v>
      </c>
      <c r="D3662" s="83">
        <f t="shared" si="118"/>
        <v>1.0222049084534477</v>
      </c>
      <c r="E3662" s="83">
        <v>-7.6467214681705219E-3</v>
      </c>
      <c r="F3662" s="83">
        <v>3654</v>
      </c>
      <c r="G3662" s="83">
        <f t="shared" ca="1" si="119"/>
        <v>6.7354436442832359E-3</v>
      </c>
    </row>
    <row r="3663" spans="2:7" x14ac:dyDescent="0.2">
      <c r="B3663" s="167">
        <v>40721</v>
      </c>
      <c r="C3663" s="28">
        <v>128.35</v>
      </c>
      <c r="D3663" s="83">
        <f t="shared" si="118"/>
        <v>1.7519296740994852</v>
      </c>
      <c r="E3663" s="83">
        <v>-7.6542446265657109E-3</v>
      </c>
      <c r="F3663" s="83">
        <v>3655</v>
      </c>
      <c r="G3663" s="83">
        <f t="shared" ca="1" si="119"/>
        <v>1.4745018304143794E-2</v>
      </c>
    </row>
    <row r="3664" spans="2:7" x14ac:dyDescent="0.2">
      <c r="B3664" s="167">
        <v>38623</v>
      </c>
      <c r="C3664" s="28">
        <v>46.64</v>
      </c>
      <c r="D3664" s="83">
        <f t="shared" si="118"/>
        <v>-0.24640491194053968</v>
      </c>
      <c r="E3664" s="83">
        <v>-7.6595744680850947E-3</v>
      </c>
      <c r="F3664" s="83">
        <v>3656</v>
      </c>
      <c r="G3664" s="83">
        <f t="shared" ca="1" si="119"/>
        <v>-2.3112086517323275E-2</v>
      </c>
    </row>
    <row r="3665" spans="2:7" x14ac:dyDescent="0.2">
      <c r="B3665" s="167">
        <v>39426</v>
      </c>
      <c r="C3665" s="28">
        <v>61.89</v>
      </c>
      <c r="D3665" s="83">
        <f t="shared" si="118"/>
        <v>-0.83890363891925668</v>
      </c>
      <c r="E3665" s="83">
        <v>-7.696007696007646E-3</v>
      </c>
      <c r="F3665" s="83">
        <v>3657</v>
      </c>
      <c r="G3665" s="83">
        <f t="shared" ca="1" si="119"/>
        <v>1.1154179284059075E-2</v>
      </c>
    </row>
    <row r="3666" spans="2:7" x14ac:dyDescent="0.2">
      <c r="B3666" s="167">
        <v>45342</v>
      </c>
      <c r="C3666" s="28">
        <v>384.18</v>
      </c>
      <c r="D3666" s="83">
        <f t="shared" si="118"/>
        <v>0.5700040866366981</v>
      </c>
      <c r="E3666" s="83">
        <v>-7.6970761442298223E-3</v>
      </c>
      <c r="F3666" s="83">
        <v>3658</v>
      </c>
      <c r="G3666" s="83">
        <f t="shared" ca="1" si="119"/>
        <v>2.7300841743827013E-2</v>
      </c>
    </row>
    <row r="3667" spans="2:7" x14ac:dyDescent="0.2">
      <c r="B3667" s="167">
        <v>44490</v>
      </c>
      <c r="C3667" s="28">
        <v>244.7</v>
      </c>
      <c r="D3667" s="83">
        <f t="shared" si="118"/>
        <v>2.3592403580690983E-2</v>
      </c>
      <c r="E3667" s="83">
        <v>-7.7047850770478737E-3</v>
      </c>
      <c r="F3667" s="83">
        <v>3659</v>
      </c>
      <c r="G3667" s="83">
        <f t="shared" ca="1" si="119"/>
        <v>2.3385101706472025E-2</v>
      </c>
    </row>
    <row r="3668" spans="2:7" x14ac:dyDescent="0.2">
      <c r="B3668" s="167">
        <v>41970</v>
      </c>
      <c r="C3668" s="28">
        <v>239.06</v>
      </c>
      <c r="D3668" s="83">
        <f t="shared" si="118"/>
        <v>-0.29472504130280852</v>
      </c>
      <c r="E3668" s="83">
        <v>-7.7204051137306383E-3</v>
      </c>
      <c r="F3668" s="83">
        <v>3660</v>
      </c>
      <c r="G3668" s="83">
        <f t="shared" ca="1" si="119"/>
        <v>-2.4461459498731335E-2</v>
      </c>
    </row>
    <row r="3669" spans="2:7" x14ac:dyDescent="0.2">
      <c r="B3669" s="167">
        <v>44883</v>
      </c>
      <c r="C3669" s="28">
        <v>338.96</v>
      </c>
      <c r="D3669" s="83">
        <f t="shared" si="118"/>
        <v>1.4910707723965606</v>
      </c>
      <c r="E3669" s="83">
        <v>-7.728337236534084E-3</v>
      </c>
      <c r="F3669" s="83">
        <v>3661</v>
      </c>
      <c r="G3669" s="83">
        <f t="shared" ca="1" si="119"/>
        <v>-1.8358347781216203E-2</v>
      </c>
    </row>
    <row r="3670" spans="2:7" x14ac:dyDescent="0.2">
      <c r="B3670" s="167">
        <v>40970</v>
      </c>
      <c r="C3670" s="28">
        <v>136.07</v>
      </c>
      <c r="D3670" s="83">
        <f t="shared" si="118"/>
        <v>-0.48023224722105512</v>
      </c>
      <c r="E3670" s="83">
        <v>-7.729891343980182E-3</v>
      </c>
      <c r="F3670" s="83">
        <v>3662</v>
      </c>
      <c r="G3670" s="83">
        <f t="shared" ca="1" si="119"/>
        <v>5.1210976211977129E-2</v>
      </c>
    </row>
    <row r="3671" spans="2:7" x14ac:dyDescent="0.2">
      <c r="B3671" s="167">
        <v>44727</v>
      </c>
      <c r="C3671" s="28">
        <v>261.79000000000002</v>
      </c>
      <c r="D3671" s="83">
        <f t="shared" si="118"/>
        <v>-3.6536631779257073E-3</v>
      </c>
      <c r="E3671" s="83">
        <v>-7.7322518288290331E-3</v>
      </c>
      <c r="F3671" s="83">
        <v>3663</v>
      </c>
      <c r="G3671" s="83">
        <f t="shared" ca="1" si="119"/>
        <v>-4.9807546556831133E-3</v>
      </c>
    </row>
    <row r="3672" spans="2:7" x14ac:dyDescent="0.2">
      <c r="B3672" s="167">
        <v>43278</v>
      </c>
      <c r="C3672" s="28">
        <v>262.75</v>
      </c>
      <c r="D3672" s="83">
        <f t="shared" si="118"/>
        <v>-0.1085665818490246</v>
      </c>
      <c r="E3672" s="83">
        <v>-7.7416918429003443E-3</v>
      </c>
      <c r="F3672" s="83">
        <v>3664</v>
      </c>
      <c r="G3672" s="83">
        <f t="shared" ca="1" si="119"/>
        <v>7.4879627516769801E-5</v>
      </c>
    </row>
    <row r="3673" spans="2:7" x14ac:dyDescent="0.2">
      <c r="B3673" s="167">
        <v>43601</v>
      </c>
      <c r="C3673" s="28">
        <v>294.75</v>
      </c>
      <c r="D3673" s="83">
        <f t="shared" si="118"/>
        <v>0.15114235500878728</v>
      </c>
      <c r="E3673" s="83">
        <v>-7.7428042417101882E-3</v>
      </c>
      <c r="F3673" s="83">
        <v>3665</v>
      </c>
      <c r="G3673" s="83">
        <f t="shared" ca="1" si="119"/>
        <v>4.1055119135129979E-3</v>
      </c>
    </row>
    <row r="3674" spans="2:7" x14ac:dyDescent="0.2">
      <c r="B3674" s="167">
        <v>43069</v>
      </c>
      <c r="C3674" s="28">
        <v>256.05</v>
      </c>
      <c r="D3674" s="83">
        <f t="shared" si="118"/>
        <v>-0.26664757267649997</v>
      </c>
      <c r="E3674" s="83">
        <v>-7.7504359620228632E-3</v>
      </c>
      <c r="F3674" s="83">
        <v>3666</v>
      </c>
      <c r="G3674" s="83">
        <f t="shared" ca="1" si="119"/>
        <v>2.335115408605409E-2</v>
      </c>
    </row>
    <row r="3675" spans="2:7" x14ac:dyDescent="0.2">
      <c r="B3675" s="167">
        <v>44967</v>
      </c>
      <c r="C3675" s="28">
        <v>349.15</v>
      </c>
      <c r="D3675" s="83">
        <f t="shared" si="118"/>
        <v>0.60861552637641081</v>
      </c>
      <c r="E3675" s="83">
        <v>-7.7583267022849215E-3</v>
      </c>
      <c r="F3675" s="83">
        <v>3667</v>
      </c>
      <c r="G3675" s="83">
        <f t="shared" ca="1" si="119"/>
        <v>-1.745765815806264E-2</v>
      </c>
    </row>
    <row r="3676" spans="2:7" x14ac:dyDescent="0.2">
      <c r="B3676" s="167">
        <v>44582</v>
      </c>
      <c r="C3676" s="28">
        <v>217.05</v>
      </c>
      <c r="D3676" s="83">
        <f t="shared" si="118"/>
        <v>-0.25389295658451072</v>
      </c>
      <c r="E3676" s="83">
        <v>-7.7714285714285194E-3</v>
      </c>
      <c r="F3676" s="83">
        <v>3668</v>
      </c>
      <c r="G3676" s="83">
        <f t="shared" ca="1" si="119"/>
        <v>1.1702640271048637E-2</v>
      </c>
    </row>
    <row r="3677" spans="2:7" x14ac:dyDescent="0.2">
      <c r="B3677" s="167">
        <v>44754</v>
      </c>
      <c r="C3677" s="28">
        <v>290.91000000000003</v>
      </c>
      <c r="D3677" s="83">
        <f t="shared" si="118"/>
        <v>3.8037466547725336E-2</v>
      </c>
      <c r="E3677" s="83">
        <v>-7.7765271666836271E-3</v>
      </c>
      <c r="F3677" s="83">
        <v>3669</v>
      </c>
      <c r="G3677" s="83">
        <f t="shared" ca="1" si="119"/>
        <v>-1.1483711360902253E-2</v>
      </c>
    </row>
    <row r="3678" spans="2:7" x14ac:dyDescent="0.2">
      <c r="B3678" s="167">
        <v>42976</v>
      </c>
      <c r="C3678" s="28">
        <v>280.25</v>
      </c>
      <c r="D3678" s="83">
        <f t="shared" si="118"/>
        <v>0.28137716611037444</v>
      </c>
      <c r="E3678" s="83">
        <v>-7.7889892016285668E-3</v>
      </c>
      <c r="F3678" s="83">
        <v>3670</v>
      </c>
      <c r="G3678" s="83">
        <f t="shared" ca="1" si="119"/>
        <v>-1.4199213518085617E-2</v>
      </c>
    </row>
    <row r="3679" spans="2:7" x14ac:dyDescent="0.2">
      <c r="B3679" s="167">
        <v>41418</v>
      </c>
      <c r="C3679" s="28">
        <v>218.71</v>
      </c>
      <c r="D3679" s="83">
        <f t="shared" si="118"/>
        <v>0.14718069761342775</v>
      </c>
      <c r="E3679" s="83">
        <v>-7.8029306355759144E-3</v>
      </c>
      <c r="F3679" s="83">
        <v>3671</v>
      </c>
      <c r="G3679" s="83">
        <f t="shared" ca="1" si="119"/>
        <v>-2.2787723898582024E-2</v>
      </c>
    </row>
    <row r="3680" spans="2:7" x14ac:dyDescent="0.2">
      <c r="B3680" s="167">
        <v>43979</v>
      </c>
      <c r="C3680" s="28">
        <v>190.65</v>
      </c>
      <c r="D3680" s="83">
        <f t="shared" si="118"/>
        <v>-0.21039552702422856</v>
      </c>
      <c r="E3680" s="83">
        <v>-7.8064012490241998E-3</v>
      </c>
      <c r="F3680" s="83">
        <v>3672</v>
      </c>
      <c r="G3680" s="83">
        <f t="shared" ca="1" si="119"/>
        <v>4.6973213204805027E-2</v>
      </c>
    </row>
    <row r="3681" spans="2:7" x14ac:dyDescent="0.2">
      <c r="B3681" s="167">
        <v>43808</v>
      </c>
      <c r="C3681" s="28">
        <v>241.45</v>
      </c>
      <c r="D3681" s="83">
        <f t="shared" si="118"/>
        <v>6.1505319616635808E-2</v>
      </c>
      <c r="E3681" s="83">
        <v>-7.8076844051777512E-3</v>
      </c>
      <c r="F3681" s="83">
        <v>3673</v>
      </c>
      <c r="G3681" s="83">
        <f t="shared" ca="1" si="119"/>
        <v>3.7511334708235766E-3</v>
      </c>
    </row>
    <row r="3682" spans="2:7" x14ac:dyDescent="0.2">
      <c r="B3682" s="167">
        <v>41782</v>
      </c>
      <c r="C3682" s="28">
        <v>227.46</v>
      </c>
      <c r="D3682" s="83">
        <f t="shared" si="118"/>
        <v>-0.14504792332268371</v>
      </c>
      <c r="E3682" s="83">
        <v>-7.8080697928025822E-3</v>
      </c>
      <c r="F3682" s="83">
        <v>3674</v>
      </c>
      <c r="G3682" s="83">
        <f t="shared" ca="1" si="119"/>
        <v>-1.5552373926126833E-2</v>
      </c>
    </row>
    <row r="3683" spans="2:7" x14ac:dyDescent="0.2">
      <c r="B3683" s="167">
        <v>42786</v>
      </c>
      <c r="C3683" s="28">
        <v>266.05</v>
      </c>
      <c r="D3683" s="83">
        <f t="shared" si="118"/>
        <v>-0.37497063383921442</v>
      </c>
      <c r="E3683" s="83">
        <v>-7.8314376281930498E-3</v>
      </c>
      <c r="F3683" s="83">
        <v>3675</v>
      </c>
      <c r="G3683" s="83">
        <f t="shared" ca="1" si="119"/>
        <v>5.1697374992042446E-3</v>
      </c>
    </row>
    <row r="3684" spans="2:7" x14ac:dyDescent="0.2">
      <c r="B3684" s="167">
        <v>45183</v>
      </c>
      <c r="C3684" s="28">
        <v>425.66</v>
      </c>
      <c r="D3684" s="83">
        <f t="shared" si="118"/>
        <v>0.4935438596491229</v>
      </c>
      <c r="E3684" s="83">
        <v>-7.8318027131601253E-3</v>
      </c>
      <c r="F3684" s="83">
        <v>3676</v>
      </c>
      <c r="G3684" s="83">
        <f t="shared" ca="1" si="119"/>
        <v>-1.1261799923945279E-2</v>
      </c>
    </row>
    <row r="3685" spans="2:7" x14ac:dyDescent="0.2">
      <c r="B3685" s="167">
        <v>43223</v>
      </c>
      <c r="C3685" s="28">
        <v>285</v>
      </c>
      <c r="D3685" s="83">
        <f t="shared" si="118"/>
        <v>5.0832443970117396</v>
      </c>
      <c r="E3685" s="83">
        <v>-7.832898172323759E-3</v>
      </c>
      <c r="F3685" s="83">
        <v>3677</v>
      </c>
      <c r="G3685" s="83">
        <f t="shared" ca="1" si="119"/>
        <v>3.2359187444515367E-2</v>
      </c>
    </row>
    <row r="3686" spans="2:7" x14ac:dyDescent="0.2">
      <c r="B3686" s="167">
        <v>38735</v>
      </c>
      <c r="C3686" s="28">
        <v>46.85</v>
      </c>
      <c r="D3686" s="83">
        <f t="shared" si="118"/>
        <v>-0.8985579421444656</v>
      </c>
      <c r="E3686" s="83">
        <v>-7.8356628547225204E-3</v>
      </c>
      <c r="F3686" s="83">
        <v>3678</v>
      </c>
      <c r="G3686" s="83">
        <f t="shared" ca="1" si="119"/>
        <v>-2.0997643061095202E-2</v>
      </c>
    </row>
    <row r="3687" spans="2:7" x14ac:dyDescent="0.2">
      <c r="B3687" s="167">
        <v>45576</v>
      </c>
      <c r="C3687" s="28">
        <v>461.84</v>
      </c>
      <c r="D3687" s="83">
        <f t="shared" si="118"/>
        <v>0.69856564913571173</v>
      </c>
      <c r="E3687" s="83">
        <v>-7.8411995961245873E-3</v>
      </c>
      <c r="F3687" s="83">
        <v>3679</v>
      </c>
      <c r="G3687" s="83">
        <f t="shared" ca="1" si="119"/>
        <v>1.5691912545754264E-2</v>
      </c>
    </row>
    <row r="3688" spans="2:7" x14ac:dyDescent="0.2">
      <c r="B3688" s="167">
        <v>43250</v>
      </c>
      <c r="C3688" s="28">
        <v>271.89999999999998</v>
      </c>
      <c r="D3688" s="83">
        <f t="shared" si="118"/>
        <v>0.20362992474546246</v>
      </c>
      <c r="E3688" s="83">
        <v>-7.8452837073527976E-3</v>
      </c>
      <c r="F3688" s="83">
        <v>3680</v>
      </c>
      <c r="G3688" s="83">
        <f t="shared" ca="1" si="119"/>
        <v>-7.1244093448014979E-4</v>
      </c>
    </row>
    <row r="3689" spans="2:7" x14ac:dyDescent="0.2">
      <c r="B3689" s="167">
        <v>42289</v>
      </c>
      <c r="C3689" s="28">
        <v>225.9</v>
      </c>
      <c r="D3689" s="83">
        <f t="shared" si="118"/>
        <v>3.5942647956070779</v>
      </c>
      <c r="E3689" s="83">
        <v>-7.8615661645219034E-3</v>
      </c>
      <c r="F3689" s="83">
        <v>3681</v>
      </c>
      <c r="G3689" s="83">
        <f t="shared" ca="1" si="119"/>
        <v>1.6065210644480535E-3</v>
      </c>
    </row>
    <row r="3690" spans="2:7" x14ac:dyDescent="0.2">
      <c r="B3690" s="167">
        <v>39176</v>
      </c>
      <c r="C3690" s="28">
        <v>49.17</v>
      </c>
      <c r="D3690" s="83">
        <f t="shared" si="118"/>
        <v>-0.78189318665720364</v>
      </c>
      <c r="E3690" s="83">
        <v>-7.8692493946731345E-3</v>
      </c>
      <c r="F3690" s="83">
        <v>3682</v>
      </c>
      <c r="G3690" s="83">
        <f t="shared" ca="1" si="119"/>
        <v>-8.1961788128472254E-3</v>
      </c>
    </row>
    <row r="3691" spans="2:7" x14ac:dyDescent="0.2">
      <c r="B3691" s="167">
        <v>41572</v>
      </c>
      <c r="C3691" s="28">
        <v>225.44</v>
      </c>
      <c r="D3691" s="83">
        <f t="shared" si="118"/>
        <v>1.705314445547235E-2</v>
      </c>
      <c r="E3691" s="83">
        <v>-7.877480966421652E-3</v>
      </c>
      <c r="F3691" s="83">
        <v>3683</v>
      </c>
      <c r="G3691" s="83">
        <f t="shared" ca="1" si="119"/>
        <v>-3.2549370340975034E-2</v>
      </c>
    </row>
    <row r="3692" spans="2:7" x14ac:dyDescent="0.2">
      <c r="B3692" s="167">
        <v>41436</v>
      </c>
      <c r="C3692" s="28">
        <v>221.66</v>
      </c>
      <c r="D3692" s="83">
        <f t="shared" si="118"/>
        <v>0.12901747058523905</v>
      </c>
      <c r="E3692" s="83">
        <v>-7.8775400590815094E-3</v>
      </c>
      <c r="F3692" s="83">
        <v>3684</v>
      </c>
      <c r="G3692" s="83">
        <f t="shared" ca="1" si="119"/>
        <v>-3.8720361091905388E-2</v>
      </c>
    </row>
    <row r="3693" spans="2:7" x14ac:dyDescent="0.2">
      <c r="B3693" s="167">
        <v>41246</v>
      </c>
      <c r="C3693" s="28">
        <v>196.33</v>
      </c>
      <c r="D3693" s="83">
        <f t="shared" si="118"/>
        <v>2.3949507176206124</v>
      </c>
      <c r="E3693" s="83">
        <v>-7.8831674162412151E-3</v>
      </c>
      <c r="F3693" s="83">
        <v>3685</v>
      </c>
      <c r="G3693" s="83">
        <f t="shared" ca="1" si="119"/>
        <v>1.1055535593650187E-3</v>
      </c>
    </row>
    <row r="3694" spans="2:7" x14ac:dyDescent="0.2">
      <c r="B3694" s="167">
        <v>39134</v>
      </c>
      <c r="C3694" s="28">
        <v>57.83</v>
      </c>
      <c r="D3694" s="83">
        <f t="shared" si="118"/>
        <v>-0.31996707431796806</v>
      </c>
      <c r="E3694" s="83">
        <v>-7.8915765997598364E-3</v>
      </c>
      <c r="F3694" s="83">
        <v>3686</v>
      </c>
      <c r="G3694" s="83">
        <f t="shared" ca="1" si="119"/>
        <v>3.441168590992247E-3</v>
      </c>
    </row>
    <row r="3695" spans="2:7" x14ac:dyDescent="0.2">
      <c r="B3695" s="167">
        <v>40156</v>
      </c>
      <c r="C3695" s="28">
        <v>85.04</v>
      </c>
      <c r="D3695" s="83">
        <f t="shared" si="118"/>
        <v>-0.63412640364841022</v>
      </c>
      <c r="E3695" s="83">
        <v>-7.9328044797012665E-3</v>
      </c>
      <c r="F3695" s="83">
        <v>3687</v>
      </c>
      <c r="G3695" s="83">
        <f t="shared" ca="1" si="119"/>
        <v>3.3329856972777822E-2</v>
      </c>
    </row>
    <row r="3696" spans="2:7" x14ac:dyDescent="0.2">
      <c r="B3696" s="167">
        <v>41467</v>
      </c>
      <c r="C3696" s="28">
        <v>232.43</v>
      </c>
      <c r="D3696" s="83">
        <f t="shared" si="118"/>
        <v>0.12084679558277475</v>
      </c>
      <c r="E3696" s="83">
        <v>-7.9388791668444456E-3</v>
      </c>
      <c r="F3696" s="83">
        <v>3688</v>
      </c>
      <c r="G3696" s="83">
        <f t="shared" ca="1" si="119"/>
        <v>-1.4317960130211525E-2</v>
      </c>
    </row>
    <row r="3697" spans="2:7" x14ac:dyDescent="0.2">
      <c r="B3697" s="167">
        <v>41624</v>
      </c>
      <c r="C3697" s="28">
        <v>207.37</v>
      </c>
      <c r="D3697" s="83">
        <f t="shared" si="118"/>
        <v>-3.3104863151023428E-2</v>
      </c>
      <c r="E3697" s="83">
        <v>-7.941443811893014E-3</v>
      </c>
      <c r="F3697" s="83">
        <v>3689</v>
      </c>
      <c r="G3697" s="83">
        <f t="shared" ca="1" si="119"/>
        <v>-2.3631037876760985E-3</v>
      </c>
    </row>
    <row r="3698" spans="2:7" x14ac:dyDescent="0.2">
      <c r="B3698" s="167">
        <v>41597</v>
      </c>
      <c r="C3698" s="28">
        <v>214.47</v>
      </c>
      <c r="D3698" s="83">
        <f t="shared" si="118"/>
        <v>-0.28318850267379675</v>
      </c>
      <c r="E3698" s="83">
        <v>-7.955964660715107E-3</v>
      </c>
      <c r="F3698" s="83">
        <v>3690</v>
      </c>
      <c r="G3698" s="83">
        <f t="shared" ca="1" si="119"/>
        <v>-2.2398895204512225E-2</v>
      </c>
    </row>
    <row r="3699" spans="2:7" x14ac:dyDescent="0.2">
      <c r="B3699" s="167">
        <v>43314</v>
      </c>
      <c r="C3699" s="28">
        <v>299.2</v>
      </c>
      <c r="D3699" s="83">
        <f t="shared" si="118"/>
        <v>0.20136518771331047</v>
      </c>
      <c r="E3699" s="83">
        <v>-7.9575596816977255E-3</v>
      </c>
      <c r="F3699" s="83">
        <v>3691</v>
      </c>
      <c r="G3699" s="83">
        <f t="shared" ca="1" si="119"/>
        <v>-2.0155124954789449E-2</v>
      </c>
    </row>
    <row r="3700" spans="2:7" x14ac:dyDescent="0.2">
      <c r="B3700" s="167">
        <v>43762</v>
      </c>
      <c r="C3700" s="28">
        <v>249.05</v>
      </c>
      <c r="D3700" s="83">
        <f t="shared" si="118"/>
        <v>-4.2998770365816161E-2</v>
      </c>
      <c r="E3700" s="83">
        <v>-7.9665405297749455E-3</v>
      </c>
      <c r="F3700" s="83">
        <v>3692</v>
      </c>
      <c r="G3700" s="83">
        <f t="shared" ca="1" si="119"/>
        <v>8.096087856734855E-3</v>
      </c>
    </row>
    <row r="3701" spans="2:7" x14ac:dyDescent="0.2">
      <c r="B3701" s="167">
        <v>41988</v>
      </c>
      <c r="C3701" s="28">
        <v>260.24</v>
      </c>
      <c r="D3701" s="83">
        <f t="shared" si="118"/>
        <v>0.35119418483904474</v>
      </c>
      <c r="E3701" s="83">
        <v>-7.9670643845537112E-3</v>
      </c>
      <c r="F3701" s="83">
        <v>3693</v>
      </c>
      <c r="G3701" s="83">
        <f t="shared" ca="1" si="119"/>
        <v>-1.2269147673968101E-3</v>
      </c>
    </row>
    <row r="3702" spans="2:7" x14ac:dyDescent="0.2">
      <c r="B3702" s="167">
        <v>44046</v>
      </c>
      <c r="C3702" s="28">
        <v>192.6</v>
      </c>
      <c r="D3702" s="83">
        <f t="shared" si="118"/>
        <v>0.91756272401433692</v>
      </c>
      <c r="E3702" s="83">
        <v>-7.983517898532121E-3</v>
      </c>
      <c r="F3702" s="83">
        <v>3694</v>
      </c>
      <c r="G3702" s="83">
        <f t="shared" ca="1" si="119"/>
        <v>1.4214926535384661E-2</v>
      </c>
    </row>
    <row r="3703" spans="2:7" x14ac:dyDescent="0.2">
      <c r="B3703" s="167">
        <v>40360</v>
      </c>
      <c r="C3703" s="28">
        <v>100.44</v>
      </c>
      <c r="D3703" s="83">
        <f t="shared" si="118"/>
        <v>-0.39928229665071768</v>
      </c>
      <c r="E3703" s="83">
        <v>-8.0000000000000227E-3</v>
      </c>
      <c r="F3703" s="83">
        <v>3695</v>
      </c>
      <c r="G3703" s="83">
        <f t="shared" ca="1" si="119"/>
        <v>4.0130129071731559E-3</v>
      </c>
    </row>
    <row r="3704" spans="2:7" x14ac:dyDescent="0.2">
      <c r="B3704" s="167">
        <v>44131</v>
      </c>
      <c r="C3704" s="28">
        <v>167.2</v>
      </c>
      <c r="D3704" s="83">
        <f t="shared" si="118"/>
        <v>1.7002583979328163</v>
      </c>
      <c r="E3704" s="83">
        <v>-8.0094927321271003E-3</v>
      </c>
      <c r="F3704" s="83">
        <v>3696</v>
      </c>
      <c r="G3704" s="83">
        <f t="shared" ca="1" si="119"/>
        <v>6.3776368976127939E-3</v>
      </c>
    </row>
    <row r="3705" spans="2:7" x14ac:dyDescent="0.2">
      <c r="B3705" s="167">
        <v>39660</v>
      </c>
      <c r="C3705" s="28">
        <v>61.92</v>
      </c>
      <c r="D3705" s="83">
        <f t="shared" si="118"/>
        <v>0</v>
      </c>
      <c r="E3705" s="83">
        <v>-8.0102531239987177E-3</v>
      </c>
      <c r="F3705" s="83">
        <v>3697</v>
      </c>
      <c r="G3705" s="83">
        <f t="shared" ca="1" si="119"/>
        <v>1.2380540272278907E-2</v>
      </c>
    </row>
    <row r="3706" spans="2:7" x14ac:dyDescent="0.2">
      <c r="B3706" s="167">
        <v>39058</v>
      </c>
      <c r="C3706" s="28">
        <v>61.92</v>
      </c>
      <c r="D3706" s="83">
        <f t="shared" si="118"/>
        <v>-0.63987437478190068</v>
      </c>
      <c r="E3706" s="83">
        <v>-8.0102531239987177E-3</v>
      </c>
      <c r="F3706" s="83">
        <v>3698</v>
      </c>
      <c r="G3706" s="83">
        <f t="shared" ca="1" si="119"/>
        <v>-3.7838888959980145E-3</v>
      </c>
    </row>
    <row r="3707" spans="2:7" x14ac:dyDescent="0.2">
      <c r="B3707" s="167">
        <v>41124</v>
      </c>
      <c r="C3707" s="28">
        <v>171.94</v>
      </c>
      <c r="D3707" s="83">
        <f t="shared" si="118"/>
        <v>-0.57186254980079687</v>
      </c>
      <c r="E3707" s="83">
        <v>-8.0193849881729333E-3</v>
      </c>
      <c r="F3707" s="83">
        <v>3699</v>
      </c>
      <c r="G3707" s="83">
        <f t="shared" ca="1" si="119"/>
        <v>2.2740920405875512E-2</v>
      </c>
    </row>
    <row r="3708" spans="2:7" x14ac:dyDescent="0.2">
      <c r="B3708" s="167">
        <v>45715</v>
      </c>
      <c r="C3708" s="28">
        <v>401.6</v>
      </c>
      <c r="D3708" s="83">
        <f t="shared" si="118"/>
        <v>0.28479109348006926</v>
      </c>
      <c r="E3708" s="83">
        <v>-8.0276645671236262E-3</v>
      </c>
      <c r="F3708" s="83">
        <v>3700</v>
      </c>
      <c r="G3708" s="83">
        <f t="shared" ca="1" si="119"/>
        <v>-1.3799547669427837E-2</v>
      </c>
    </row>
    <row r="3709" spans="2:7" x14ac:dyDescent="0.2">
      <c r="B3709" s="167">
        <v>44917</v>
      </c>
      <c r="C3709" s="28">
        <v>312.58</v>
      </c>
      <c r="D3709" s="83">
        <f t="shared" si="118"/>
        <v>0.33182786536003406</v>
      </c>
      <c r="E3709" s="83">
        <v>-8.0289422741265885E-3</v>
      </c>
      <c r="F3709" s="83">
        <v>3701</v>
      </c>
      <c r="G3709" s="83">
        <f t="shared" ca="1" si="119"/>
        <v>1.3402917459447257E-3</v>
      </c>
    </row>
    <row r="3710" spans="2:7" x14ac:dyDescent="0.2">
      <c r="B3710" s="167">
        <v>44474</v>
      </c>
      <c r="C3710" s="28">
        <v>234.7</v>
      </c>
      <c r="D3710" s="83">
        <f t="shared" si="118"/>
        <v>-0.15453890489913555</v>
      </c>
      <c r="E3710" s="83">
        <v>-8.0304311073542082E-3</v>
      </c>
      <c r="F3710" s="83">
        <v>3702</v>
      </c>
      <c r="G3710" s="83">
        <f t="shared" ca="1" si="119"/>
        <v>2.4224050897196817E-2</v>
      </c>
    </row>
    <row r="3711" spans="2:7" x14ac:dyDescent="0.2">
      <c r="B3711" s="167">
        <v>42817</v>
      </c>
      <c r="C3711" s="28">
        <v>277.60000000000002</v>
      </c>
      <c r="D3711" s="83">
        <f t="shared" si="118"/>
        <v>4.6559849198869074E-2</v>
      </c>
      <c r="E3711" s="83">
        <v>-8.0400214400571726E-3</v>
      </c>
      <c r="F3711" s="83">
        <v>3703</v>
      </c>
      <c r="G3711" s="83">
        <f t="shared" ca="1" si="119"/>
        <v>5.5307397384763875E-3</v>
      </c>
    </row>
    <row r="3712" spans="2:7" x14ac:dyDescent="0.2">
      <c r="B3712" s="167">
        <v>43013</v>
      </c>
      <c r="C3712" s="28">
        <v>265.25</v>
      </c>
      <c r="D3712" s="83">
        <f t="shared" si="118"/>
        <v>-0.35911375277858315</v>
      </c>
      <c r="E3712" s="83">
        <v>-8.0403889304412023E-3</v>
      </c>
      <c r="F3712" s="83">
        <v>3704</v>
      </c>
      <c r="G3712" s="83">
        <f t="shared" ca="1" si="119"/>
        <v>-1.9266102116867186E-2</v>
      </c>
    </row>
    <row r="3713" spans="2:7" x14ac:dyDescent="0.2">
      <c r="B3713" s="167">
        <v>45173</v>
      </c>
      <c r="C3713" s="28">
        <v>413.88</v>
      </c>
      <c r="D3713" s="83">
        <f t="shared" si="118"/>
        <v>0.97839388145315498</v>
      </c>
      <c r="E3713" s="83">
        <v>-8.0529191832039437E-3</v>
      </c>
      <c r="F3713" s="83">
        <v>3705</v>
      </c>
      <c r="G3713" s="83">
        <f t="shared" ca="1" si="119"/>
        <v>-1.2571804944960345E-2</v>
      </c>
    </row>
    <row r="3714" spans="2:7" x14ac:dyDescent="0.2">
      <c r="B3714" s="167">
        <v>44425</v>
      </c>
      <c r="C3714" s="28">
        <v>209.2</v>
      </c>
      <c r="D3714" s="83">
        <f t="shared" si="118"/>
        <v>3.4806168344399229</v>
      </c>
      <c r="E3714" s="83">
        <v>-8.0606922712186668E-3</v>
      </c>
      <c r="F3714" s="83">
        <v>3706</v>
      </c>
      <c r="G3714" s="83">
        <f t="shared" ca="1" si="119"/>
        <v>-1.6239100187478483E-2</v>
      </c>
    </row>
    <row r="3715" spans="2:7" x14ac:dyDescent="0.2">
      <c r="B3715" s="167">
        <v>39161</v>
      </c>
      <c r="C3715" s="28">
        <v>46.69</v>
      </c>
      <c r="D3715" s="83">
        <f t="shared" si="118"/>
        <v>-0.43814681107099879</v>
      </c>
      <c r="E3715" s="83">
        <v>-8.0730826428723722E-3</v>
      </c>
      <c r="F3715" s="83">
        <v>3707</v>
      </c>
      <c r="G3715" s="83">
        <f t="shared" ca="1" si="119"/>
        <v>7.4375414642355421E-3</v>
      </c>
    </row>
    <row r="3716" spans="2:7" x14ac:dyDescent="0.2">
      <c r="B3716" s="167">
        <v>40161</v>
      </c>
      <c r="C3716" s="28">
        <v>83.1</v>
      </c>
      <c r="D3716" s="83">
        <f t="shared" si="118"/>
        <v>-0.39808778791829647</v>
      </c>
      <c r="E3716" s="83">
        <v>-8.116495583671602E-3</v>
      </c>
      <c r="F3716" s="83">
        <v>3708</v>
      </c>
      <c r="G3716" s="83">
        <f t="shared" ca="1" si="119"/>
        <v>9.6335000083515483E-3</v>
      </c>
    </row>
    <row r="3717" spans="2:7" x14ac:dyDescent="0.2">
      <c r="B3717" s="167">
        <v>40977</v>
      </c>
      <c r="C3717" s="28">
        <v>138.06</v>
      </c>
      <c r="D3717" s="83">
        <f t="shared" si="118"/>
        <v>1.3595966501452745</v>
      </c>
      <c r="E3717" s="83">
        <v>-8.1183993102952479E-3</v>
      </c>
      <c r="F3717" s="83">
        <v>3709</v>
      </c>
      <c r="G3717" s="83">
        <f t="shared" ca="1" si="119"/>
        <v>2.0438530775622455E-2</v>
      </c>
    </row>
    <row r="3718" spans="2:7" x14ac:dyDescent="0.2">
      <c r="B3718" s="167">
        <v>38867</v>
      </c>
      <c r="C3718" s="28">
        <v>58.51</v>
      </c>
      <c r="D3718" s="83">
        <f t="shared" si="118"/>
        <v>-0.70883304304553374</v>
      </c>
      <c r="E3718" s="83">
        <v>-8.1369723681980668E-3</v>
      </c>
      <c r="F3718" s="83">
        <v>3710</v>
      </c>
      <c r="G3718" s="83">
        <f t="shared" ca="1" si="119"/>
        <v>2.0389380503063805E-2</v>
      </c>
    </row>
    <row r="3719" spans="2:7" x14ac:dyDescent="0.2">
      <c r="B3719" s="167">
        <v>44319</v>
      </c>
      <c r="C3719" s="28">
        <v>200.95</v>
      </c>
      <c r="D3719" s="83">
        <f t="shared" si="118"/>
        <v>1.4307487601306397</v>
      </c>
      <c r="E3719" s="83">
        <v>-8.1441263573544219E-3</v>
      </c>
      <c r="F3719" s="83">
        <v>3711</v>
      </c>
      <c r="G3719" s="83">
        <f t="shared" ca="1" si="119"/>
        <v>1.5611008602246778E-2</v>
      </c>
    </row>
    <row r="3720" spans="2:7" x14ac:dyDescent="0.2">
      <c r="B3720" s="167">
        <v>40163</v>
      </c>
      <c r="C3720" s="28">
        <v>82.67</v>
      </c>
      <c r="D3720" s="83">
        <f t="shared" si="118"/>
        <v>-2.8212060655930311E-2</v>
      </c>
      <c r="E3720" s="83">
        <v>-8.1583683263346442E-3</v>
      </c>
      <c r="F3720" s="83">
        <v>3712</v>
      </c>
      <c r="G3720" s="83">
        <f t="shared" ca="1" si="119"/>
        <v>1.3108395400375927E-2</v>
      </c>
    </row>
    <row r="3721" spans="2:7" x14ac:dyDescent="0.2">
      <c r="B3721" s="167">
        <v>40136</v>
      </c>
      <c r="C3721" s="28">
        <v>85.07</v>
      </c>
      <c r="D3721" s="83">
        <f t="shared" ref="D3721:D3784" si="120">(C3721-C3722)/C3722</f>
        <v>-0.64075168918918923</v>
      </c>
      <c r="E3721" s="83">
        <v>-8.1613617815087195E-3</v>
      </c>
      <c r="F3721" s="83">
        <v>3713</v>
      </c>
      <c r="G3721" s="83">
        <f t="shared" ref="G3721:G3784" ca="1" si="121">_xlfn.NORM.INV(RAND(),$M$10,$M$11)</f>
        <v>-1.4020365360621789E-2</v>
      </c>
    </row>
    <row r="3722" spans="2:7" x14ac:dyDescent="0.2">
      <c r="B3722" s="167">
        <v>43825</v>
      </c>
      <c r="C3722" s="28">
        <v>236.8</v>
      </c>
      <c r="D3722" s="83">
        <f t="shared" si="120"/>
        <v>5.2945241892610317</v>
      </c>
      <c r="E3722" s="83">
        <v>-8.1675392670156593E-3</v>
      </c>
      <c r="F3722" s="83">
        <v>3714</v>
      </c>
      <c r="G3722" s="83">
        <f t="shared" ca="1" si="121"/>
        <v>2.7952871503341765E-4</v>
      </c>
    </row>
    <row r="3723" spans="2:7" x14ac:dyDescent="0.2">
      <c r="B3723" s="167">
        <v>38593</v>
      </c>
      <c r="C3723" s="28">
        <v>37.619999999999997</v>
      </c>
      <c r="D3723" s="83">
        <f t="shared" si="120"/>
        <v>-0.84069447385136564</v>
      </c>
      <c r="E3723" s="83">
        <v>-8.1729501713683709E-3</v>
      </c>
      <c r="F3723" s="83">
        <v>3715</v>
      </c>
      <c r="G3723" s="83">
        <f t="shared" ca="1" si="121"/>
        <v>-7.7147535677963978E-4</v>
      </c>
    </row>
    <row r="3724" spans="2:7" x14ac:dyDescent="0.2">
      <c r="B3724" s="167">
        <v>44469</v>
      </c>
      <c r="C3724" s="28">
        <v>236.15</v>
      </c>
      <c r="D3724" s="83">
        <f t="shared" si="120"/>
        <v>2.1968322729118719</v>
      </c>
      <c r="E3724" s="83">
        <v>-8.1898362032758864E-3</v>
      </c>
      <c r="F3724" s="83">
        <v>3716</v>
      </c>
      <c r="G3724" s="83">
        <f t="shared" ca="1" si="121"/>
        <v>1.1743859879972566E-2</v>
      </c>
    </row>
    <row r="3725" spans="2:7" x14ac:dyDescent="0.2">
      <c r="B3725" s="167">
        <v>40044</v>
      </c>
      <c r="C3725" s="28">
        <v>73.87</v>
      </c>
      <c r="D3725" s="83">
        <f t="shared" si="120"/>
        <v>-0.60882228341453082</v>
      </c>
      <c r="E3725" s="83">
        <v>-8.1901181525241597E-3</v>
      </c>
      <c r="F3725" s="83">
        <v>3717</v>
      </c>
      <c r="G3725" s="83">
        <f t="shared" ca="1" si="121"/>
        <v>-2.0000613118935844E-2</v>
      </c>
    </row>
    <row r="3726" spans="2:7" x14ac:dyDescent="0.2">
      <c r="B3726" s="167">
        <v>41374</v>
      </c>
      <c r="C3726" s="28">
        <v>188.84</v>
      </c>
      <c r="D3726" s="83">
        <f t="shared" si="120"/>
        <v>-0.53401603948180132</v>
      </c>
      <c r="E3726" s="83">
        <v>-8.1932773109243823E-3</v>
      </c>
      <c r="F3726" s="83">
        <v>3718</v>
      </c>
      <c r="G3726" s="83">
        <f t="shared" ca="1" si="121"/>
        <v>-1.6420377649883872E-2</v>
      </c>
    </row>
    <row r="3727" spans="2:7" x14ac:dyDescent="0.2">
      <c r="B3727" s="167">
        <v>45706</v>
      </c>
      <c r="C3727" s="28">
        <v>405.25</v>
      </c>
      <c r="D3727" s="83">
        <f t="shared" si="120"/>
        <v>0.46141363144608721</v>
      </c>
      <c r="E3727" s="83">
        <v>-8.1987273617230121E-3</v>
      </c>
      <c r="F3727" s="83">
        <v>3719</v>
      </c>
      <c r="G3727" s="83">
        <f t="shared" ca="1" si="121"/>
        <v>-9.8874097166392894E-3</v>
      </c>
    </row>
    <row r="3728" spans="2:7" x14ac:dyDescent="0.2">
      <c r="B3728" s="167">
        <v>43410</v>
      </c>
      <c r="C3728" s="28">
        <v>277.3</v>
      </c>
      <c r="D3728" s="83">
        <f t="shared" si="120"/>
        <v>0.44660650007825142</v>
      </c>
      <c r="E3728" s="83">
        <v>-8.2260371959943183E-3</v>
      </c>
      <c r="F3728" s="83">
        <v>3720</v>
      </c>
      <c r="G3728" s="83">
        <f t="shared" ca="1" si="121"/>
        <v>5.0915022460771078E-4</v>
      </c>
    </row>
    <row r="3729" spans="2:7" x14ac:dyDescent="0.2">
      <c r="B3729" s="167">
        <v>41296</v>
      </c>
      <c r="C3729" s="28">
        <v>191.69</v>
      </c>
      <c r="D3729" s="83">
        <f t="shared" si="120"/>
        <v>-5.6318613695662864E-2</v>
      </c>
      <c r="E3729" s="83">
        <v>-8.2264072847682296E-3</v>
      </c>
      <c r="F3729" s="83">
        <v>3721</v>
      </c>
      <c r="G3729" s="83">
        <f t="shared" ca="1" si="121"/>
        <v>1.9541927387885998E-2</v>
      </c>
    </row>
    <row r="3730" spans="2:7" x14ac:dyDescent="0.2">
      <c r="B3730" s="167">
        <v>42390</v>
      </c>
      <c r="C3730" s="28">
        <v>203.13</v>
      </c>
      <c r="D3730" s="83">
        <f t="shared" si="120"/>
        <v>0.76297517792049985</v>
      </c>
      <c r="E3730" s="83">
        <v>-8.2511473488916989E-3</v>
      </c>
      <c r="F3730" s="83">
        <v>3722</v>
      </c>
      <c r="G3730" s="83">
        <f t="shared" ca="1" si="121"/>
        <v>1.8617914843637732E-2</v>
      </c>
    </row>
    <row r="3731" spans="2:7" x14ac:dyDescent="0.2">
      <c r="B3731" s="167">
        <v>40456</v>
      </c>
      <c r="C3731" s="28">
        <v>115.22</v>
      </c>
      <c r="D3731" s="83">
        <f t="shared" si="120"/>
        <v>-0.71376046505850488</v>
      </c>
      <c r="E3731" s="83">
        <v>-8.263040110173937E-3</v>
      </c>
      <c r="F3731" s="83">
        <v>3723</v>
      </c>
      <c r="G3731" s="83">
        <f t="shared" ca="1" si="121"/>
        <v>-6.4560008283831138E-3</v>
      </c>
    </row>
    <row r="3732" spans="2:7" x14ac:dyDescent="0.2">
      <c r="B3732" s="167">
        <v>45475</v>
      </c>
      <c r="C3732" s="28">
        <v>402.53</v>
      </c>
      <c r="D3732" s="83">
        <f t="shared" si="120"/>
        <v>4.7976379086850054</v>
      </c>
      <c r="E3732" s="83">
        <v>-8.2781049052699351E-3</v>
      </c>
      <c r="F3732" s="83">
        <v>3724</v>
      </c>
      <c r="G3732" s="83">
        <f t="shared" ca="1" si="121"/>
        <v>-1.0414217105904264E-2</v>
      </c>
    </row>
    <row r="3733" spans="2:7" x14ac:dyDescent="0.2">
      <c r="B3733" s="167">
        <v>40002</v>
      </c>
      <c r="C3733" s="28">
        <v>69.430000000000007</v>
      </c>
      <c r="D3733" s="83">
        <f t="shared" si="120"/>
        <v>-0.83170932712817525</v>
      </c>
      <c r="E3733" s="83">
        <v>-8.2845307813169296E-3</v>
      </c>
      <c r="F3733" s="83">
        <v>3725</v>
      </c>
      <c r="G3733" s="83">
        <f t="shared" ca="1" si="121"/>
        <v>3.7547196659941239E-2</v>
      </c>
    </row>
    <row r="3734" spans="2:7" x14ac:dyDescent="0.2">
      <c r="B3734" s="167">
        <v>45203</v>
      </c>
      <c r="C3734" s="28">
        <v>412.56</v>
      </c>
      <c r="D3734" s="83">
        <f t="shared" si="120"/>
        <v>1.1713684210526316</v>
      </c>
      <c r="E3734" s="83">
        <v>-8.2930698781279021E-3</v>
      </c>
      <c r="F3734" s="83">
        <v>3726</v>
      </c>
      <c r="G3734" s="83">
        <f t="shared" ca="1" si="121"/>
        <v>-3.0030824969259086E-3</v>
      </c>
    </row>
    <row r="3735" spans="2:7" x14ac:dyDescent="0.2">
      <c r="B3735" s="167">
        <v>41236</v>
      </c>
      <c r="C3735" s="28">
        <v>190</v>
      </c>
      <c r="D3735" s="83">
        <f t="shared" si="120"/>
        <v>-0.30858806404657935</v>
      </c>
      <c r="E3735" s="83">
        <v>-8.298971762618108E-3</v>
      </c>
      <c r="F3735" s="83">
        <v>3727</v>
      </c>
      <c r="G3735" s="83">
        <f t="shared" ca="1" si="121"/>
        <v>3.8693923433346074E-3</v>
      </c>
    </row>
    <row r="3736" spans="2:7" x14ac:dyDescent="0.2">
      <c r="B3736" s="167">
        <v>42774</v>
      </c>
      <c r="C3736" s="28">
        <v>274.8</v>
      </c>
      <c r="D3736" s="83">
        <f t="shared" si="120"/>
        <v>-0.40711974110032362</v>
      </c>
      <c r="E3736" s="83">
        <v>-8.3002526163840178E-3</v>
      </c>
      <c r="F3736" s="83">
        <v>3728</v>
      </c>
      <c r="G3736" s="83">
        <f t="shared" ca="1" si="121"/>
        <v>2.6196130951203992E-3</v>
      </c>
    </row>
    <row r="3737" spans="2:7" x14ac:dyDescent="0.2">
      <c r="B3737" s="167">
        <v>45498</v>
      </c>
      <c r="C3737" s="28">
        <v>463.5</v>
      </c>
      <c r="D3737" s="83">
        <f t="shared" si="120"/>
        <v>0.38647921029015847</v>
      </c>
      <c r="E3737" s="83">
        <v>-8.3015961316273597E-3</v>
      </c>
      <c r="F3737" s="83">
        <v>3729</v>
      </c>
      <c r="G3737" s="83">
        <f t="shared" ca="1" si="121"/>
        <v>1.9918376520357977E-2</v>
      </c>
    </row>
    <row r="3738" spans="2:7" x14ac:dyDescent="0.2">
      <c r="B3738" s="167">
        <v>42923</v>
      </c>
      <c r="C3738" s="28">
        <v>334.3</v>
      </c>
      <c r="D3738" s="83">
        <f t="shared" si="120"/>
        <v>3.4448876479191606</v>
      </c>
      <c r="E3738" s="83">
        <v>-8.3061406110946645E-3</v>
      </c>
      <c r="F3738" s="83">
        <v>3730</v>
      </c>
      <c r="G3738" s="83">
        <f t="shared" ca="1" si="121"/>
        <v>-8.3586432193660486E-3</v>
      </c>
    </row>
    <row r="3739" spans="2:7" x14ac:dyDescent="0.2">
      <c r="B3739" s="167">
        <v>40074</v>
      </c>
      <c r="C3739" s="28">
        <v>75.209999999999994</v>
      </c>
      <c r="D3739" s="83">
        <f t="shared" si="120"/>
        <v>-0.78700084961767214</v>
      </c>
      <c r="E3739" s="83">
        <v>-8.3069620253165832E-3</v>
      </c>
      <c r="F3739" s="83">
        <v>3731</v>
      </c>
      <c r="G3739" s="83">
        <f t="shared" ca="1" si="121"/>
        <v>-5.4408293756480486E-3</v>
      </c>
    </row>
    <row r="3740" spans="2:7" x14ac:dyDescent="0.2">
      <c r="B3740" s="167">
        <v>44987</v>
      </c>
      <c r="C3740" s="28">
        <v>353.1</v>
      </c>
      <c r="D3740" s="83">
        <f t="shared" si="120"/>
        <v>0.7428430404738402</v>
      </c>
      <c r="E3740" s="83">
        <v>-8.3132056394989041E-3</v>
      </c>
      <c r="F3740" s="83">
        <v>3732</v>
      </c>
      <c r="G3740" s="83">
        <f t="shared" ca="1" si="121"/>
        <v>-8.4318089841598758E-3</v>
      </c>
    </row>
    <row r="3741" spans="2:7" x14ac:dyDescent="0.2">
      <c r="B3741" s="167">
        <v>44316</v>
      </c>
      <c r="C3741" s="28">
        <v>202.6</v>
      </c>
      <c r="D3741" s="83">
        <f t="shared" si="120"/>
        <v>4.8673617144512011</v>
      </c>
      <c r="E3741" s="83">
        <v>-8.3210964268233822E-3</v>
      </c>
      <c r="F3741" s="83">
        <v>3733</v>
      </c>
      <c r="G3741" s="83">
        <f t="shared" ca="1" si="121"/>
        <v>-6.2168467656791892E-3</v>
      </c>
    </row>
    <row r="3742" spans="2:7" x14ac:dyDescent="0.2">
      <c r="B3742" s="167">
        <v>38513</v>
      </c>
      <c r="C3742" s="28">
        <v>34.53</v>
      </c>
      <c r="D3742" s="83">
        <f t="shared" si="120"/>
        <v>-0.68810405564086352</v>
      </c>
      <c r="E3742" s="83">
        <v>-8.3285468121768857E-3</v>
      </c>
      <c r="F3742" s="83">
        <v>3734</v>
      </c>
      <c r="G3742" s="83">
        <f t="shared" ca="1" si="121"/>
        <v>4.6368168858964061E-2</v>
      </c>
    </row>
    <row r="3743" spans="2:7" x14ac:dyDescent="0.2">
      <c r="B3743" s="167">
        <v>40527</v>
      </c>
      <c r="C3743" s="28">
        <v>110.71</v>
      </c>
      <c r="D3743" s="83">
        <f t="shared" si="120"/>
        <v>0.97873100983020533</v>
      </c>
      <c r="E3743" s="83">
        <v>-8.330347545682612E-3</v>
      </c>
      <c r="F3743" s="83">
        <v>3735</v>
      </c>
      <c r="G3743" s="83">
        <f t="shared" ca="1" si="121"/>
        <v>1.4633494451949092E-3</v>
      </c>
    </row>
    <row r="3744" spans="2:7" x14ac:dyDescent="0.2">
      <c r="B3744" s="167">
        <v>39395</v>
      </c>
      <c r="C3744" s="28">
        <v>55.95</v>
      </c>
      <c r="D3744" s="83">
        <f t="shared" si="120"/>
        <v>-0.80399369416710464</v>
      </c>
      <c r="E3744" s="83">
        <v>-8.3303792981212123E-3</v>
      </c>
      <c r="F3744" s="83">
        <v>3736</v>
      </c>
      <c r="G3744" s="83">
        <f t="shared" ca="1" si="121"/>
        <v>-7.3527600101711615E-3</v>
      </c>
    </row>
    <row r="3745" spans="2:7" x14ac:dyDescent="0.2">
      <c r="B3745" s="167">
        <v>42949</v>
      </c>
      <c r="C3745" s="28">
        <v>285.45</v>
      </c>
      <c r="D3745" s="83">
        <f t="shared" si="120"/>
        <v>6.6903382545318538E-2</v>
      </c>
      <c r="E3745" s="83">
        <v>-8.3376758728505602E-3</v>
      </c>
      <c r="F3745" s="83">
        <v>3737</v>
      </c>
      <c r="G3745" s="83">
        <f t="shared" ca="1" si="121"/>
        <v>-8.0675579697334805E-3</v>
      </c>
    </row>
    <row r="3746" spans="2:7" x14ac:dyDescent="0.2">
      <c r="B3746" s="167">
        <v>43112</v>
      </c>
      <c r="C3746" s="28">
        <v>267.55</v>
      </c>
      <c r="D3746" s="83">
        <f t="shared" si="120"/>
        <v>3.6938596491228073</v>
      </c>
      <c r="E3746" s="83">
        <v>-8.3395107487027418E-3</v>
      </c>
      <c r="F3746" s="83">
        <v>3738</v>
      </c>
      <c r="G3746" s="83">
        <f t="shared" ca="1" si="121"/>
        <v>1.9996336490973321E-2</v>
      </c>
    </row>
    <row r="3747" spans="2:7" x14ac:dyDescent="0.2">
      <c r="B3747" s="167">
        <v>38932</v>
      </c>
      <c r="C3747" s="28">
        <v>57</v>
      </c>
      <c r="D3747" s="83">
        <f t="shared" si="120"/>
        <v>-0.76</v>
      </c>
      <c r="E3747" s="83">
        <v>-8.3507306889352272E-3</v>
      </c>
      <c r="F3747" s="83">
        <v>3739</v>
      </c>
      <c r="G3747" s="83">
        <f t="shared" ca="1" si="121"/>
        <v>-3.5684249289949226E-2</v>
      </c>
    </row>
    <row r="3748" spans="2:7" x14ac:dyDescent="0.2">
      <c r="B3748" s="167">
        <v>44518</v>
      </c>
      <c r="C3748" s="28">
        <v>237.5</v>
      </c>
      <c r="D3748" s="83">
        <f t="shared" si="120"/>
        <v>0.2123532414497192</v>
      </c>
      <c r="E3748" s="83">
        <v>-8.350730688935281E-3</v>
      </c>
      <c r="F3748" s="83">
        <v>3740</v>
      </c>
      <c r="G3748" s="83">
        <f t="shared" ca="1" si="121"/>
        <v>1.5398067477496516E-2</v>
      </c>
    </row>
    <row r="3749" spans="2:7" x14ac:dyDescent="0.2">
      <c r="B3749" s="167">
        <v>44026</v>
      </c>
      <c r="C3749" s="28">
        <v>195.9</v>
      </c>
      <c r="D3749" s="83">
        <f t="shared" si="120"/>
        <v>-0.28254898370261855</v>
      </c>
      <c r="E3749" s="83">
        <v>-8.3523158694001794E-3</v>
      </c>
      <c r="F3749" s="83">
        <v>3741</v>
      </c>
      <c r="G3749" s="83">
        <f t="shared" ca="1" si="121"/>
        <v>4.7931967096164103E-4</v>
      </c>
    </row>
    <row r="3750" spans="2:7" x14ac:dyDescent="0.2">
      <c r="B3750" s="167">
        <v>43440</v>
      </c>
      <c r="C3750" s="28">
        <v>273.05</v>
      </c>
      <c r="D3750" s="83">
        <f t="shared" si="120"/>
        <v>6.9328878558977332</v>
      </c>
      <c r="E3750" s="83">
        <v>-8.3530052660250997E-3</v>
      </c>
      <c r="F3750" s="83">
        <v>3742</v>
      </c>
      <c r="G3750" s="83">
        <f t="shared" ca="1" si="121"/>
        <v>1.0748377924432903E-2</v>
      </c>
    </row>
    <row r="3751" spans="2:7" x14ac:dyDescent="0.2">
      <c r="B3751" s="167">
        <v>38502</v>
      </c>
      <c r="C3751" s="28">
        <v>34.42</v>
      </c>
      <c r="D3751" s="83">
        <f t="shared" si="120"/>
        <v>-0.89546572721474771</v>
      </c>
      <c r="E3751" s="83">
        <v>-8.3549409392105773E-3</v>
      </c>
      <c r="F3751" s="83">
        <v>3743</v>
      </c>
      <c r="G3751" s="83">
        <f t="shared" ca="1" si="121"/>
        <v>6.9434175472037844E-3</v>
      </c>
    </row>
    <row r="3752" spans="2:7" x14ac:dyDescent="0.2">
      <c r="B3752" s="167">
        <v>44820</v>
      </c>
      <c r="C3752" s="28">
        <v>329.27</v>
      </c>
      <c r="D3752" s="83">
        <f t="shared" si="120"/>
        <v>-0.22730152770281373</v>
      </c>
      <c r="E3752" s="83">
        <v>-8.3722330974251753E-3</v>
      </c>
      <c r="F3752" s="83">
        <v>3744</v>
      </c>
      <c r="G3752" s="83">
        <f t="shared" ca="1" si="121"/>
        <v>-1.4880271858209216E-2</v>
      </c>
    </row>
    <row r="3753" spans="2:7" x14ac:dyDescent="0.2">
      <c r="B3753" s="167">
        <v>45161</v>
      </c>
      <c r="C3753" s="28">
        <v>426.13</v>
      </c>
      <c r="D3753" s="83">
        <f t="shared" si="120"/>
        <v>0.94846822130772757</v>
      </c>
      <c r="E3753" s="83">
        <v>-8.3773532217904789E-3</v>
      </c>
      <c r="F3753" s="83">
        <v>3745</v>
      </c>
      <c r="G3753" s="83">
        <f t="shared" ca="1" si="121"/>
        <v>1.4493968674028881E-2</v>
      </c>
    </row>
    <row r="3754" spans="2:7" x14ac:dyDescent="0.2">
      <c r="B3754" s="167">
        <v>44567</v>
      </c>
      <c r="C3754" s="28">
        <v>218.7</v>
      </c>
      <c r="D3754" s="83">
        <f t="shared" si="120"/>
        <v>-0.50448613376835238</v>
      </c>
      <c r="E3754" s="83">
        <v>-8.3881206075720818E-3</v>
      </c>
      <c r="F3754" s="83">
        <v>3746</v>
      </c>
      <c r="G3754" s="83">
        <f t="shared" ca="1" si="121"/>
        <v>8.9624858126798948E-3</v>
      </c>
    </row>
    <row r="3755" spans="2:7" x14ac:dyDescent="0.2">
      <c r="B3755" s="167">
        <v>45645</v>
      </c>
      <c r="C3755" s="28">
        <v>441.36</v>
      </c>
      <c r="D3755" s="83">
        <f t="shared" si="120"/>
        <v>2.790124516960069</v>
      </c>
      <c r="E3755" s="83">
        <v>-8.4026061559200373E-3</v>
      </c>
      <c r="F3755" s="83">
        <v>3747</v>
      </c>
      <c r="G3755" s="83">
        <f t="shared" ca="1" si="121"/>
        <v>7.0260980980393168E-4</v>
      </c>
    </row>
    <row r="3756" spans="2:7" x14ac:dyDescent="0.2">
      <c r="B3756" s="167">
        <v>40490</v>
      </c>
      <c r="C3756" s="28">
        <v>116.45</v>
      </c>
      <c r="D3756" s="83">
        <f t="shared" si="120"/>
        <v>-0.60397891515048463</v>
      </c>
      <c r="E3756" s="83">
        <v>-8.4298365122615366E-3</v>
      </c>
      <c r="F3756" s="83">
        <v>3748</v>
      </c>
      <c r="G3756" s="83">
        <f t="shared" ca="1" si="121"/>
        <v>6.5051629922572522E-3</v>
      </c>
    </row>
    <row r="3757" spans="2:7" x14ac:dyDescent="0.2">
      <c r="B3757" s="167">
        <v>43481</v>
      </c>
      <c r="C3757" s="28">
        <v>294.05</v>
      </c>
      <c r="D3757" s="83">
        <f t="shared" si="120"/>
        <v>0.31742831541218652</v>
      </c>
      <c r="E3757" s="83">
        <v>-8.430281571404484E-3</v>
      </c>
      <c r="F3757" s="83">
        <v>3749</v>
      </c>
      <c r="G3757" s="83">
        <f t="shared" ca="1" si="121"/>
        <v>-2.3957977877973658E-3</v>
      </c>
    </row>
    <row r="3758" spans="2:7" x14ac:dyDescent="0.2">
      <c r="B3758" s="167">
        <v>44498</v>
      </c>
      <c r="C3758" s="28">
        <v>223.2</v>
      </c>
      <c r="D3758" s="83">
        <f t="shared" si="120"/>
        <v>0.22772277227722759</v>
      </c>
      <c r="E3758" s="83">
        <v>-8.4406930253221046E-3</v>
      </c>
      <c r="F3758" s="83">
        <v>3750</v>
      </c>
      <c r="G3758" s="83">
        <f t="shared" ca="1" si="121"/>
        <v>2.4295688325533315E-2</v>
      </c>
    </row>
    <row r="3759" spans="2:7" x14ac:dyDescent="0.2">
      <c r="B3759" s="167">
        <v>44089</v>
      </c>
      <c r="C3759" s="28">
        <v>181.8</v>
      </c>
      <c r="D3759" s="83">
        <f t="shared" si="120"/>
        <v>-0.574438202247191</v>
      </c>
      <c r="E3759" s="83">
        <v>-8.4537769293699643E-3</v>
      </c>
      <c r="F3759" s="83">
        <v>3751</v>
      </c>
      <c r="G3759" s="83">
        <f t="shared" ca="1" si="121"/>
        <v>-2.6025092240638684E-3</v>
      </c>
    </row>
    <row r="3760" spans="2:7" x14ac:dyDescent="0.2">
      <c r="B3760" s="167">
        <v>45698</v>
      </c>
      <c r="C3760" s="28">
        <v>427.2</v>
      </c>
      <c r="D3760" s="83">
        <f t="shared" si="120"/>
        <v>0.46577457539886774</v>
      </c>
      <c r="E3760" s="83">
        <v>-8.4716258558663899E-3</v>
      </c>
      <c r="F3760" s="83">
        <v>3752</v>
      </c>
      <c r="G3760" s="83">
        <f t="shared" ca="1" si="121"/>
        <v>-4.111079084313015E-3</v>
      </c>
    </row>
    <row r="3761" spans="2:7" x14ac:dyDescent="0.2">
      <c r="B3761" s="167">
        <v>43483</v>
      </c>
      <c r="C3761" s="28">
        <v>291.45</v>
      </c>
      <c r="D3761" s="83">
        <f t="shared" si="120"/>
        <v>0.39116945107398565</v>
      </c>
      <c r="E3761" s="83">
        <v>-8.5048477632250381E-3</v>
      </c>
      <c r="F3761" s="83">
        <v>3753</v>
      </c>
      <c r="G3761" s="83">
        <f t="shared" ca="1" si="121"/>
        <v>1.0195679957283609E-2</v>
      </c>
    </row>
    <row r="3762" spans="2:7" x14ac:dyDescent="0.2">
      <c r="B3762" s="167">
        <v>44440</v>
      </c>
      <c r="C3762" s="28">
        <v>209.5</v>
      </c>
      <c r="D3762" s="83">
        <f t="shared" si="120"/>
        <v>2.8306820259645273</v>
      </c>
      <c r="E3762" s="83">
        <v>-8.51869380028401E-3</v>
      </c>
      <c r="F3762" s="83">
        <v>3754</v>
      </c>
      <c r="G3762" s="83">
        <f t="shared" ca="1" si="121"/>
        <v>-1.4495012042759947E-3</v>
      </c>
    </row>
    <row r="3763" spans="2:7" x14ac:dyDescent="0.2">
      <c r="B3763" s="167">
        <v>39231</v>
      </c>
      <c r="C3763" s="28">
        <v>54.69</v>
      </c>
      <c r="D3763" s="83">
        <f t="shared" si="120"/>
        <v>-0.36436541143654122</v>
      </c>
      <c r="E3763" s="83">
        <v>-8.5206671501087544E-3</v>
      </c>
      <c r="F3763" s="83">
        <v>3755</v>
      </c>
      <c r="G3763" s="83">
        <f t="shared" ca="1" si="121"/>
        <v>-5.1359637300705746E-3</v>
      </c>
    </row>
    <row r="3764" spans="2:7" x14ac:dyDescent="0.2">
      <c r="B3764" s="167">
        <v>40309</v>
      </c>
      <c r="C3764" s="28">
        <v>86.04</v>
      </c>
      <c r="D3764" s="83">
        <f t="shared" si="120"/>
        <v>-0.59537246049661396</v>
      </c>
      <c r="E3764" s="83">
        <v>-8.5273104401935342E-3</v>
      </c>
      <c r="F3764" s="83">
        <v>3756</v>
      </c>
      <c r="G3764" s="83">
        <f t="shared" ca="1" si="121"/>
        <v>3.7508255077393533E-2</v>
      </c>
    </row>
    <row r="3765" spans="2:7" x14ac:dyDescent="0.2">
      <c r="B3765" s="167">
        <v>41598</v>
      </c>
      <c r="C3765" s="28">
        <v>212.64</v>
      </c>
      <c r="D3765" s="83">
        <f t="shared" si="120"/>
        <v>-0.20359550561797757</v>
      </c>
      <c r="E3765" s="83">
        <v>-8.5326619107568072E-3</v>
      </c>
      <c r="F3765" s="83">
        <v>3757</v>
      </c>
      <c r="G3765" s="83">
        <f t="shared" ca="1" si="121"/>
        <v>-1.0263662118095623E-2</v>
      </c>
    </row>
    <row r="3766" spans="2:7" x14ac:dyDescent="0.2">
      <c r="B3766" s="167">
        <v>42996</v>
      </c>
      <c r="C3766" s="28">
        <v>267</v>
      </c>
      <c r="D3766" s="83">
        <f t="shared" si="120"/>
        <v>-0.11530815109343939</v>
      </c>
      <c r="E3766" s="83">
        <v>-8.5406609728927267E-3</v>
      </c>
      <c r="F3766" s="83">
        <v>3758</v>
      </c>
      <c r="G3766" s="83">
        <f t="shared" ca="1" si="121"/>
        <v>-1.0370350639326431E-2</v>
      </c>
    </row>
    <row r="3767" spans="2:7" x14ac:dyDescent="0.2">
      <c r="B3767" s="167">
        <v>43577</v>
      </c>
      <c r="C3767" s="28">
        <v>301.8</v>
      </c>
      <c r="D3767" s="83">
        <f t="shared" si="120"/>
        <v>0.37657361795292832</v>
      </c>
      <c r="E3767" s="83">
        <v>-8.5413929040734759E-3</v>
      </c>
      <c r="F3767" s="83">
        <v>3759</v>
      </c>
      <c r="G3767" s="83">
        <f t="shared" ca="1" si="121"/>
        <v>-3.8243188302521734E-2</v>
      </c>
    </row>
    <row r="3768" spans="2:7" x14ac:dyDescent="0.2">
      <c r="B3768" s="167">
        <v>41397</v>
      </c>
      <c r="C3768" s="28">
        <v>219.24</v>
      </c>
      <c r="D3768" s="83">
        <f t="shared" si="120"/>
        <v>1.9123273113708821</v>
      </c>
      <c r="E3768" s="83">
        <v>-8.5470085470084854E-3</v>
      </c>
      <c r="F3768" s="83">
        <v>3760</v>
      </c>
      <c r="G3768" s="83">
        <f t="shared" ca="1" si="121"/>
        <v>-1.1704058831286724E-3</v>
      </c>
    </row>
    <row r="3769" spans="2:7" x14ac:dyDescent="0.2">
      <c r="B3769" s="167">
        <v>40067</v>
      </c>
      <c r="C3769" s="28">
        <v>75.28</v>
      </c>
      <c r="D3769" s="83">
        <f t="shared" si="120"/>
        <v>0.97016487830410891</v>
      </c>
      <c r="E3769" s="83">
        <v>-8.560516264980977E-3</v>
      </c>
      <c r="F3769" s="83">
        <v>3761</v>
      </c>
      <c r="G3769" s="83">
        <f t="shared" ca="1" si="121"/>
        <v>1.6656909443408304E-3</v>
      </c>
    </row>
    <row r="3770" spans="2:7" x14ac:dyDescent="0.2">
      <c r="B3770" s="167">
        <v>38546</v>
      </c>
      <c r="C3770" s="28">
        <v>38.21</v>
      </c>
      <c r="D3770" s="83">
        <f t="shared" si="120"/>
        <v>-0.85332053742802305</v>
      </c>
      <c r="E3770" s="83">
        <v>-8.5625324338349327E-3</v>
      </c>
      <c r="F3770" s="83">
        <v>3762</v>
      </c>
      <c r="G3770" s="83">
        <f t="shared" ca="1" si="121"/>
        <v>1.519686879313843E-2</v>
      </c>
    </row>
    <row r="3771" spans="2:7" x14ac:dyDescent="0.2">
      <c r="B3771" s="167">
        <v>43279</v>
      </c>
      <c r="C3771" s="28">
        <v>260.5</v>
      </c>
      <c r="D3771" s="83">
        <f t="shared" si="120"/>
        <v>2.2156523885940009</v>
      </c>
      <c r="E3771" s="83">
        <v>-8.5632730732635581E-3</v>
      </c>
      <c r="F3771" s="83">
        <v>3763</v>
      </c>
      <c r="G3771" s="83">
        <f t="shared" ca="1" si="121"/>
        <v>-9.5911159152430054E-3</v>
      </c>
    </row>
    <row r="3772" spans="2:7" x14ac:dyDescent="0.2">
      <c r="B3772" s="167">
        <v>40211</v>
      </c>
      <c r="C3772" s="28">
        <v>81.010000000000005</v>
      </c>
      <c r="D3772" s="83">
        <f t="shared" si="120"/>
        <v>-0.33896368829049361</v>
      </c>
      <c r="E3772" s="83">
        <v>-8.5668828784725079E-3</v>
      </c>
      <c r="F3772" s="83">
        <v>3764</v>
      </c>
      <c r="G3772" s="83">
        <f t="shared" ca="1" si="121"/>
        <v>-2.2719736736198842E-2</v>
      </c>
    </row>
    <row r="3773" spans="2:7" x14ac:dyDescent="0.2">
      <c r="B3773" s="167">
        <v>40715</v>
      </c>
      <c r="C3773" s="28">
        <v>122.55</v>
      </c>
      <c r="D3773" s="83">
        <f t="shared" si="120"/>
        <v>-0.39331683168316833</v>
      </c>
      <c r="E3773" s="83">
        <v>-8.575357980745912E-3</v>
      </c>
      <c r="F3773" s="83">
        <v>3765</v>
      </c>
      <c r="G3773" s="83">
        <f t="shared" ca="1" si="121"/>
        <v>-1.0854756973192653E-2</v>
      </c>
    </row>
    <row r="3774" spans="2:7" x14ac:dyDescent="0.2">
      <c r="B3774" s="167">
        <v>44385</v>
      </c>
      <c r="C3774" s="28">
        <v>202</v>
      </c>
      <c r="D3774" s="83">
        <f t="shared" si="120"/>
        <v>-0.54842171152642405</v>
      </c>
      <c r="E3774" s="83">
        <v>-8.5889570552147246E-3</v>
      </c>
      <c r="F3774" s="83">
        <v>3766</v>
      </c>
      <c r="G3774" s="83">
        <f t="shared" ca="1" si="121"/>
        <v>1.6843887233715087E-2</v>
      </c>
    </row>
    <row r="3775" spans="2:7" x14ac:dyDescent="0.2">
      <c r="B3775" s="167">
        <v>45608</v>
      </c>
      <c r="C3775" s="28">
        <v>447.32</v>
      </c>
      <c r="D3775" s="83">
        <f t="shared" si="120"/>
        <v>2.8813015184381778</v>
      </c>
      <c r="E3775" s="83">
        <v>-8.5992907801418338E-3</v>
      </c>
      <c r="F3775" s="83">
        <v>3767</v>
      </c>
      <c r="G3775" s="83">
        <f t="shared" ca="1" si="121"/>
        <v>3.8573875193473805E-4</v>
      </c>
    </row>
    <row r="3776" spans="2:7" x14ac:dyDescent="0.2">
      <c r="B3776" s="167">
        <v>40494</v>
      </c>
      <c r="C3776" s="28">
        <v>115.25</v>
      </c>
      <c r="D3776" s="83">
        <f t="shared" si="120"/>
        <v>0.66714884999276736</v>
      </c>
      <c r="E3776" s="83">
        <v>-8.6021505376344086E-3</v>
      </c>
      <c r="F3776" s="83">
        <v>3768</v>
      </c>
      <c r="G3776" s="83">
        <f t="shared" ca="1" si="121"/>
        <v>1.4131164116889977E-2</v>
      </c>
    </row>
    <row r="3777" spans="2:7" x14ac:dyDescent="0.2">
      <c r="B3777" s="167">
        <v>39546</v>
      </c>
      <c r="C3777" s="28">
        <v>69.13</v>
      </c>
      <c r="D3777" s="83">
        <f t="shared" si="120"/>
        <v>-0.37467209407507918</v>
      </c>
      <c r="E3777" s="83">
        <v>-8.6046178115589921E-3</v>
      </c>
      <c r="F3777" s="83">
        <v>3769</v>
      </c>
      <c r="G3777" s="83">
        <f t="shared" ca="1" si="121"/>
        <v>1.5808341911198242E-2</v>
      </c>
    </row>
    <row r="3778" spans="2:7" x14ac:dyDescent="0.2">
      <c r="B3778" s="167">
        <v>40520</v>
      </c>
      <c r="C3778" s="28">
        <v>110.55</v>
      </c>
      <c r="D3778" s="83">
        <f t="shared" si="120"/>
        <v>-0.58085308056872031</v>
      </c>
      <c r="E3778" s="83">
        <v>-8.6090933548561375E-3</v>
      </c>
      <c r="F3778" s="83">
        <v>3770</v>
      </c>
      <c r="G3778" s="83">
        <f t="shared" ca="1" si="121"/>
        <v>3.351102118927491E-2</v>
      </c>
    </row>
    <row r="3779" spans="2:7" x14ac:dyDescent="0.2">
      <c r="B3779" s="167">
        <v>43271</v>
      </c>
      <c r="C3779" s="28">
        <v>263.75</v>
      </c>
      <c r="D3779" s="83">
        <f t="shared" si="120"/>
        <v>8.8356793145654925E-3</v>
      </c>
      <c r="E3779" s="83">
        <v>-8.6449915429430979E-3</v>
      </c>
      <c r="F3779" s="83">
        <v>3771</v>
      </c>
      <c r="G3779" s="83">
        <f t="shared" ca="1" si="121"/>
        <v>9.2739427060769489E-4</v>
      </c>
    </row>
    <row r="3780" spans="2:7" x14ac:dyDescent="0.2">
      <c r="B3780" s="167">
        <v>41982</v>
      </c>
      <c r="C3780" s="28">
        <v>261.44</v>
      </c>
      <c r="D3780" s="83">
        <f t="shared" si="120"/>
        <v>0.318273497377975</v>
      </c>
      <c r="E3780" s="83">
        <v>-8.6455331412104864E-3</v>
      </c>
      <c r="F3780" s="83">
        <v>3772</v>
      </c>
      <c r="G3780" s="83">
        <f t="shared" ca="1" si="121"/>
        <v>3.9987098718226928E-2</v>
      </c>
    </row>
    <row r="3781" spans="2:7" x14ac:dyDescent="0.2">
      <c r="B3781" s="167">
        <v>41316</v>
      </c>
      <c r="C3781" s="28">
        <v>198.32</v>
      </c>
      <c r="D3781" s="83">
        <f t="shared" si="120"/>
        <v>-0.29247235105244385</v>
      </c>
      <c r="E3781" s="83">
        <v>-8.6478380404899687E-3</v>
      </c>
      <c r="F3781" s="83">
        <v>3773</v>
      </c>
      <c r="G3781" s="83">
        <f t="shared" ca="1" si="121"/>
        <v>-9.3719540861685255E-3</v>
      </c>
    </row>
    <row r="3782" spans="2:7" x14ac:dyDescent="0.2">
      <c r="B3782" s="167">
        <v>42825</v>
      </c>
      <c r="C3782" s="28">
        <v>280.3</v>
      </c>
      <c r="D3782" s="83">
        <f t="shared" si="120"/>
        <v>-1.9930069930069891E-2</v>
      </c>
      <c r="E3782" s="83">
        <v>-8.6648983200706929E-3</v>
      </c>
      <c r="F3782" s="83">
        <v>3774</v>
      </c>
      <c r="G3782" s="83">
        <f t="shared" ca="1" si="121"/>
        <v>-1.5234458483901783E-2</v>
      </c>
    </row>
    <row r="3783" spans="2:7" x14ac:dyDescent="0.2">
      <c r="B3783" s="167">
        <v>43396</v>
      </c>
      <c r="C3783" s="28">
        <v>286</v>
      </c>
      <c r="D3783" s="83">
        <f t="shared" si="120"/>
        <v>0.11284046692607004</v>
      </c>
      <c r="E3783" s="83">
        <v>-8.6655112651646445E-3</v>
      </c>
      <c r="F3783" s="83">
        <v>3775</v>
      </c>
      <c r="G3783" s="83">
        <f t="shared" ca="1" si="121"/>
        <v>-4.1232559323614174E-3</v>
      </c>
    </row>
    <row r="3784" spans="2:7" x14ac:dyDescent="0.2">
      <c r="B3784" s="167">
        <v>43067</v>
      </c>
      <c r="C3784" s="28">
        <v>257</v>
      </c>
      <c r="D3784" s="83">
        <f t="shared" si="120"/>
        <v>3.4188445667125174</v>
      </c>
      <c r="E3784" s="83">
        <v>-8.6788813886210219E-3</v>
      </c>
      <c r="F3784" s="83">
        <v>3776</v>
      </c>
      <c r="G3784" s="83">
        <f t="shared" ca="1" si="121"/>
        <v>-5.0587431939518321E-3</v>
      </c>
    </row>
    <row r="3785" spans="2:7" x14ac:dyDescent="0.2">
      <c r="B3785" s="167">
        <v>39085</v>
      </c>
      <c r="C3785" s="28">
        <v>58.16</v>
      </c>
      <c r="D3785" s="83">
        <f t="shared" ref="D3785:D3848" si="122">(C3785-C3786)/C3786</f>
        <v>-0.699974206860975</v>
      </c>
      <c r="E3785" s="83">
        <v>-8.6926879154594367E-3</v>
      </c>
      <c r="F3785" s="83">
        <v>3777</v>
      </c>
      <c r="G3785" s="83">
        <f t="shared" ref="G3785:G3848" ca="1" si="123">_xlfn.NORM.INV(RAND(),$M$10,$M$11)</f>
        <v>-3.1731428026676868E-2</v>
      </c>
    </row>
    <row r="3786" spans="2:7" x14ac:dyDescent="0.2">
      <c r="B3786" s="167">
        <v>44160</v>
      </c>
      <c r="C3786" s="28">
        <v>193.85</v>
      </c>
      <c r="D3786" s="83">
        <f t="shared" si="122"/>
        <v>-0.60453302868334091</v>
      </c>
      <c r="E3786" s="83">
        <v>-8.6934287905907279E-3</v>
      </c>
      <c r="F3786" s="83">
        <v>3778</v>
      </c>
      <c r="G3786" s="83">
        <f t="shared" ca="1" si="123"/>
        <v>1.6487905966128272E-2</v>
      </c>
    </row>
    <row r="3787" spans="2:7" x14ac:dyDescent="0.2">
      <c r="B3787" s="167">
        <v>45565</v>
      </c>
      <c r="C3787" s="28">
        <v>490.18</v>
      </c>
      <c r="D3787" s="83">
        <f t="shared" si="122"/>
        <v>0.99082121679798563</v>
      </c>
      <c r="E3787" s="83">
        <v>-8.6960038828668724E-3</v>
      </c>
      <c r="F3787" s="83">
        <v>3779</v>
      </c>
      <c r="G3787" s="83">
        <f t="shared" ca="1" si="123"/>
        <v>7.9702955059012415E-3</v>
      </c>
    </row>
    <row r="3788" spans="2:7" x14ac:dyDescent="0.2">
      <c r="B3788" s="167">
        <v>41997</v>
      </c>
      <c r="C3788" s="28">
        <v>246.22</v>
      </c>
      <c r="D3788" s="83">
        <f t="shared" si="122"/>
        <v>3.3669185558354367E-2</v>
      </c>
      <c r="E3788" s="83">
        <v>-8.6963523633142633E-3</v>
      </c>
      <c r="F3788" s="83">
        <v>3780</v>
      </c>
      <c r="G3788" s="83">
        <f t="shared" ca="1" si="123"/>
        <v>-1.450883281944294E-2</v>
      </c>
    </row>
    <row r="3789" spans="2:7" x14ac:dyDescent="0.2">
      <c r="B3789" s="167">
        <v>42517</v>
      </c>
      <c r="C3789" s="28">
        <v>238.2</v>
      </c>
      <c r="D3789" s="83">
        <f t="shared" si="122"/>
        <v>-0.2790556900726392</v>
      </c>
      <c r="E3789" s="83">
        <v>-8.6978234633151748E-3</v>
      </c>
      <c r="F3789" s="83">
        <v>3781</v>
      </c>
      <c r="G3789" s="83">
        <f t="shared" ca="1" si="123"/>
        <v>1.3519387633661974E-2</v>
      </c>
    </row>
    <row r="3790" spans="2:7" x14ac:dyDescent="0.2">
      <c r="B3790" s="167">
        <v>42927</v>
      </c>
      <c r="C3790" s="28">
        <v>330.4</v>
      </c>
      <c r="D3790" s="83">
        <f t="shared" si="122"/>
        <v>-0.28563706730665284</v>
      </c>
      <c r="E3790" s="83">
        <v>-8.7008700870088024E-3</v>
      </c>
      <c r="F3790" s="83">
        <v>3782</v>
      </c>
      <c r="G3790" s="83">
        <f t="shared" ca="1" si="123"/>
        <v>-3.6914983609462612E-3</v>
      </c>
    </row>
    <row r="3791" spans="2:7" x14ac:dyDescent="0.2">
      <c r="B3791" s="167">
        <v>45582</v>
      </c>
      <c r="C3791" s="28">
        <v>462.51</v>
      </c>
      <c r="D3791" s="83">
        <f t="shared" si="122"/>
        <v>4.5690547862733295</v>
      </c>
      <c r="E3791" s="83">
        <v>-8.7018025162355107E-3</v>
      </c>
      <c r="F3791" s="83">
        <v>3783</v>
      </c>
      <c r="G3791" s="83">
        <f t="shared" ca="1" si="123"/>
        <v>2.2025091415906438E-2</v>
      </c>
    </row>
    <row r="3792" spans="2:7" x14ac:dyDescent="0.2">
      <c r="B3792" s="167">
        <v>40196</v>
      </c>
      <c r="C3792" s="28">
        <v>83.05</v>
      </c>
      <c r="D3792" s="83">
        <f t="shared" si="122"/>
        <v>-0.59408602150537637</v>
      </c>
      <c r="E3792" s="83">
        <v>-8.7132967295297688E-3</v>
      </c>
      <c r="F3792" s="83">
        <v>3784</v>
      </c>
      <c r="G3792" s="83">
        <f t="shared" ca="1" si="123"/>
        <v>5.5712759073405956E-3</v>
      </c>
    </row>
    <row r="3793" spans="2:7" x14ac:dyDescent="0.2">
      <c r="B3793" s="167">
        <v>44434</v>
      </c>
      <c r="C3793" s="28">
        <v>204.6</v>
      </c>
      <c r="D3793" s="83">
        <f t="shared" si="122"/>
        <v>5.4400377714825305</v>
      </c>
      <c r="E3793" s="83">
        <v>-8.7209302325581949E-3</v>
      </c>
      <c r="F3793" s="83">
        <v>3785</v>
      </c>
      <c r="G3793" s="83">
        <f t="shared" ca="1" si="123"/>
        <v>2.8036621847615166E-3</v>
      </c>
    </row>
    <row r="3794" spans="2:7" x14ac:dyDescent="0.2">
      <c r="B3794" s="167">
        <v>38471</v>
      </c>
      <c r="C3794" s="28">
        <v>31.77</v>
      </c>
      <c r="D3794" s="83">
        <f t="shared" si="122"/>
        <v>-0.91996473107444265</v>
      </c>
      <c r="E3794" s="83">
        <v>-8.7363494539780852E-3</v>
      </c>
      <c r="F3794" s="83">
        <v>3786</v>
      </c>
      <c r="G3794" s="83">
        <f t="shared" ca="1" si="123"/>
        <v>1.0917143441742114E-2</v>
      </c>
    </row>
    <row r="3795" spans="2:7" x14ac:dyDescent="0.2">
      <c r="B3795" s="167">
        <v>45464</v>
      </c>
      <c r="C3795" s="28">
        <v>396.95</v>
      </c>
      <c r="D3795" s="83">
        <f t="shared" si="122"/>
        <v>1.2598918303444349</v>
      </c>
      <c r="E3795" s="83">
        <v>-8.7401673117742541E-3</v>
      </c>
      <c r="F3795" s="83">
        <v>3787</v>
      </c>
      <c r="G3795" s="83">
        <f t="shared" ca="1" si="123"/>
        <v>7.7461787223368557E-4</v>
      </c>
    </row>
    <row r="3796" spans="2:7" x14ac:dyDescent="0.2">
      <c r="B3796" s="167">
        <v>43901</v>
      </c>
      <c r="C3796" s="28">
        <v>175.65</v>
      </c>
      <c r="D3796" s="83">
        <f t="shared" si="122"/>
        <v>1.8719751471550035</v>
      </c>
      <c r="E3796" s="83">
        <v>-8.7471783295710107E-3</v>
      </c>
      <c r="F3796" s="83">
        <v>3788</v>
      </c>
      <c r="G3796" s="83">
        <f t="shared" ca="1" si="123"/>
        <v>-5.7350218109178798E-4</v>
      </c>
    </row>
    <row r="3797" spans="2:7" x14ac:dyDescent="0.2">
      <c r="B3797" s="167">
        <v>39372</v>
      </c>
      <c r="C3797" s="28">
        <v>61.16</v>
      </c>
      <c r="D3797" s="83">
        <f t="shared" si="122"/>
        <v>-0.85823888000370852</v>
      </c>
      <c r="E3797" s="83">
        <v>-8.7520259319287877E-3</v>
      </c>
      <c r="F3797" s="83">
        <v>3789</v>
      </c>
      <c r="G3797" s="83">
        <f t="shared" ca="1" si="123"/>
        <v>-4.4361412882977357E-3</v>
      </c>
    </row>
    <row r="3798" spans="2:7" x14ac:dyDescent="0.2">
      <c r="B3798" s="167">
        <v>45141</v>
      </c>
      <c r="C3798" s="28">
        <v>431.43</v>
      </c>
      <c r="D3798" s="83">
        <f t="shared" si="122"/>
        <v>1.0724888312436953</v>
      </c>
      <c r="E3798" s="83">
        <v>-8.7993383265174471E-3</v>
      </c>
      <c r="F3798" s="83">
        <v>3790</v>
      </c>
      <c r="G3798" s="83">
        <f t="shared" ca="1" si="123"/>
        <v>1.3729918969061346E-2</v>
      </c>
    </row>
    <row r="3799" spans="2:7" x14ac:dyDescent="0.2">
      <c r="B3799" s="167">
        <v>42150</v>
      </c>
      <c r="C3799" s="28">
        <v>208.17</v>
      </c>
      <c r="D3799" s="83">
        <f t="shared" si="122"/>
        <v>2.6310832025117734</v>
      </c>
      <c r="E3799" s="83">
        <v>-8.8086848871537123E-3</v>
      </c>
      <c r="F3799" s="83">
        <v>3791</v>
      </c>
      <c r="G3799" s="83">
        <f t="shared" ca="1" si="123"/>
        <v>1.2931376016279188E-2</v>
      </c>
    </row>
    <row r="3800" spans="2:7" x14ac:dyDescent="0.2">
      <c r="B3800" s="167">
        <v>39818</v>
      </c>
      <c r="C3800" s="28">
        <v>57.33</v>
      </c>
      <c r="D3800" s="83">
        <f t="shared" si="122"/>
        <v>-0.67089552238805972</v>
      </c>
      <c r="E3800" s="83">
        <v>-8.8174273858922046E-3</v>
      </c>
      <c r="F3800" s="83">
        <v>3792</v>
      </c>
      <c r="G3800" s="83">
        <f t="shared" ca="1" si="123"/>
        <v>2.6164314241179064E-2</v>
      </c>
    </row>
    <row r="3801" spans="2:7" x14ac:dyDescent="0.2">
      <c r="B3801" s="167">
        <v>44096</v>
      </c>
      <c r="C3801" s="28">
        <v>174.2</v>
      </c>
      <c r="D3801" s="83">
        <f t="shared" si="122"/>
        <v>-0.34040136312003039</v>
      </c>
      <c r="E3801" s="83">
        <v>-8.8193456614509887E-3</v>
      </c>
      <c r="F3801" s="83">
        <v>3793</v>
      </c>
      <c r="G3801" s="83">
        <f t="shared" ca="1" si="123"/>
        <v>-1.5722817426824322E-2</v>
      </c>
    </row>
    <row r="3802" spans="2:7" x14ac:dyDescent="0.2">
      <c r="B3802" s="167">
        <v>43150</v>
      </c>
      <c r="C3802" s="28">
        <v>264.10000000000002</v>
      </c>
      <c r="D3802" s="83">
        <f t="shared" si="122"/>
        <v>6.9447256529662021E-2</v>
      </c>
      <c r="E3802" s="83">
        <v>-8.819665978607491E-3</v>
      </c>
      <c r="F3802" s="83">
        <v>3794</v>
      </c>
      <c r="G3802" s="83">
        <f t="shared" ca="1" si="123"/>
        <v>3.8998242425575431E-2</v>
      </c>
    </row>
    <row r="3803" spans="2:7" x14ac:dyDescent="0.2">
      <c r="B3803" s="167">
        <v>43796</v>
      </c>
      <c r="C3803" s="28">
        <v>246.95</v>
      </c>
      <c r="D3803" s="83">
        <f t="shared" si="122"/>
        <v>1.2714311994113319</v>
      </c>
      <c r="E3803" s="83">
        <v>-8.8300220750552553E-3</v>
      </c>
      <c r="F3803" s="83">
        <v>3795</v>
      </c>
      <c r="G3803" s="83">
        <f t="shared" ca="1" si="123"/>
        <v>-2.8068699831455528E-2</v>
      </c>
    </row>
    <row r="3804" spans="2:7" x14ac:dyDescent="0.2">
      <c r="B3804" s="167">
        <v>40424</v>
      </c>
      <c r="C3804" s="28">
        <v>108.72</v>
      </c>
      <c r="D3804" s="83">
        <f t="shared" si="122"/>
        <v>0.27920931874338162</v>
      </c>
      <c r="E3804" s="83">
        <v>-8.8431032910930695E-3</v>
      </c>
      <c r="F3804" s="83">
        <v>3796</v>
      </c>
      <c r="G3804" s="83">
        <f t="shared" ca="1" si="123"/>
        <v>1.7874673315632642E-2</v>
      </c>
    </row>
    <row r="3805" spans="2:7" x14ac:dyDescent="0.2">
      <c r="B3805" s="167">
        <v>40101</v>
      </c>
      <c r="C3805" s="28">
        <v>84.99</v>
      </c>
      <c r="D3805" s="83">
        <f t="shared" si="122"/>
        <v>-0.66220190779014321</v>
      </c>
      <c r="E3805" s="83">
        <v>-8.8629737609330038E-3</v>
      </c>
      <c r="F3805" s="83">
        <v>3797</v>
      </c>
      <c r="G3805" s="83">
        <f t="shared" ca="1" si="123"/>
        <v>-6.6595984822133804E-3</v>
      </c>
    </row>
    <row r="3806" spans="2:7" x14ac:dyDescent="0.2">
      <c r="B3806" s="167">
        <v>43075</v>
      </c>
      <c r="C3806" s="28">
        <v>251.6</v>
      </c>
      <c r="D3806" s="83">
        <f t="shared" si="122"/>
        <v>2.3388244864754933E-2</v>
      </c>
      <c r="E3806" s="83">
        <v>-8.8635020681504823E-3</v>
      </c>
      <c r="F3806" s="83">
        <v>3798</v>
      </c>
      <c r="G3806" s="83">
        <f t="shared" ca="1" si="123"/>
        <v>3.5192250111842631E-3</v>
      </c>
    </row>
    <row r="3807" spans="2:7" x14ac:dyDescent="0.2">
      <c r="B3807" s="167">
        <v>42640</v>
      </c>
      <c r="C3807" s="28">
        <v>245.85</v>
      </c>
      <c r="D3807" s="83">
        <f t="shared" si="122"/>
        <v>-8.2135523613963132E-2</v>
      </c>
      <c r="E3807" s="83">
        <v>-8.8691796008869856E-3</v>
      </c>
      <c r="F3807" s="83">
        <v>3799</v>
      </c>
      <c r="G3807" s="83">
        <f t="shared" ca="1" si="123"/>
        <v>6.7234356896788807E-3</v>
      </c>
    </row>
    <row r="3808" spans="2:7" x14ac:dyDescent="0.2">
      <c r="B3808" s="167">
        <v>43264</v>
      </c>
      <c r="C3808" s="28">
        <v>267.85000000000002</v>
      </c>
      <c r="D3808" s="83">
        <f t="shared" si="122"/>
        <v>0.13471722092776958</v>
      </c>
      <c r="E3808" s="83">
        <v>-8.8806660499536616E-3</v>
      </c>
      <c r="F3808" s="83">
        <v>3800</v>
      </c>
      <c r="G3808" s="83">
        <f t="shared" ca="1" si="123"/>
        <v>-1.0211743307472919E-2</v>
      </c>
    </row>
    <row r="3809" spans="2:7" x14ac:dyDescent="0.2">
      <c r="B3809" s="167">
        <v>41851</v>
      </c>
      <c r="C3809" s="28">
        <v>236.05</v>
      </c>
      <c r="D3809" s="83">
        <f t="shared" si="122"/>
        <v>4.5790593240368711</v>
      </c>
      <c r="E3809" s="83">
        <v>-8.9012050216231101E-3</v>
      </c>
      <c r="F3809" s="83">
        <v>3801</v>
      </c>
      <c r="G3809" s="83">
        <f t="shared" ca="1" si="123"/>
        <v>-4.9934609893425496E-3</v>
      </c>
    </row>
    <row r="3810" spans="2:7" x14ac:dyDescent="0.2">
      <c r="B3810" s="167">
        <v>38636</v>
      </c>
      <c r="C3810" s="28">
        <v>42.31</v>
      </c>
      <c r="D3810" s="83">
        <f t="shared" si="122"/>
        <v>2.3640661938546375E-4</v>
      </c>
      <c r="E3810" s="83">
        <v>-8.9013820566876435E-3</v>
      </c>
      <c r="F3810" s="83">
        <v>3802</v>
      </c>
      <c r="G3810" s="83">
        <f t="shared" ca="1" si="123"/>
        <v>1.5822040518056437E-2</v>
      </c>
    </row>
    <row r="3811" spans="2:7" x14ac:dyDescent="0.2">
      <c r="B3811" s="167">
        <v>38666</v>
      </c>
      <c r="C3811" s="28">
        <v>42.3</v>
      </c>
      <c r="D3811" s="83">
        <f t="shared" si="122"/>
        <v>-0.83476562499999996</v>
      </c>
      <c r="E3811" s="83">
        <v>-8.9034676663543241E-3</v>
      </c>
      <c r="F3811" s="83">
        <v>3803</v>
      </c>
      <c r="G3811" s="83">
        <f t="shared" ca="1" si="123"/>
        <v>-2.123151144707407E-2</v>
      </c>
    </row>
    <row r="3812" spans="2:7" x14ac:dyDescent="0.2">
      <c r="B3812" s="167">
        <v>43182</v>
      </c>
      <c r="C3812" s="28">
        <v>256</v>
      </c>
      <c r="D3812" s="83">
        <f t="shared" si="122"/>
        <v>2.1546518792359826</v>
      </c>
      <c r="E3812" s="83">
        <v>-8.9043747580333388E-3</v>
      </c>
      <c r="F3812" s="83">
        <v>3804</v>
      </c>
      <c r="G3812" s="83">
        <f t="shared" ca="1" si="123"/>
        <v>9.7204144627464576E-3</v>
      </c>
    </row>
    <row r="3813" spans="2:7" x14ac:dyDescent="0.2">
      <c r="B3813" s="167">
        <v>40168</v>
      </c>
      <c r="C3813" s="28">
        <v>81.150000000000006</v>
      </c>
      <c r="D3813" s="83">
        <f t="shared" si="122"/>
        <v>0.6976987447698747</v>
      </c>
      <c r="E3813" s="83">
        <v>-8.9154860771860009E-3</v>
      </c>
      <c r="F3813" s="83">
        <v>3805</v>
      </c>
      <c r="G3813" s="83">
        <f t="shared" ca="1" si="123"/>
        <v>2.0723072255084247E-2</v>
      </c>
    </row>
    <row r="3814" spans="2:7" x14ac:dyDescent="0.2">
      <c r="B3814" s="167">
        <v>38733</v>
      </c>
      <c r="C3814" s="28">
        <v>47.8</v>
      </c>
      <c r="D3814" s="83">
        <f t="shared" si="122"/>
        <v>-0.8833064791758215</v>
      </c>
      <c r="E3814" s="83">
        <v>-8.9156126891975895E-3</v>
      </c>
      <c r="F3814" s="83">
        <v>3806</v>
      </c>
      <c r="G3814" s="83">
        <f t="shared" ca="1" si="123"/>
        <v>8.8436427586668399E-3</v>
      </c>
    </row>
    <row r="3815" spans="2:7" x14ac:dyDescent="0.2">
      <c r="B3815" s="167">
        <v>45454</v>
      </c>
      <c r="C3815" s="28">
        <v>409.62</v>
      </c>
      <c r="D3815" s="83">
        <f t="shared" si="122"/>
        <v>0.79170676231300852</v>
      </c>
      <c r="E3815" s="83">
        <v>-8.9279233505117177E-3</v>
      </c>
      <c r="F3815" s="83">
        <v>3807</v>
      </c>
      <c r="G3815" s="83">
        <f t="shared" ca="1" si="123"/>
        <v>-4.9625344542153773E-3</v>
      </c>
    </row>
    <row r="3816" spans="2:7" x14ac:dyDescent="0.2">
      <c r="B3816" s="167">
        <v>42121</v>
      </c>
      <c r="C3816" s="28">
        <v>228.62</v>
      </c>
      <c r="D3816" s="83">
        <f t="shared" si="122"/>
        <v>1.7921348314606744</v>
      </c>
      <c r="E3816" s="83">
        <v>-8.9301196462632307E-3</v>
      </c>
      <c r="F3816" s="83">
        <v>3808</v>
      </c>
      <c r="G3816" s="83">
        <f t="shared" ca="1" si="123"/>
        <v>7.0804133765106957E-3</v>
      </c>
    </row>
    <row r="3817" spans="2:7" x14ac:dyDescent="0.2">
      <c r="B3817" s="167">
        <v>40165</v>
      </c>
      <c r="C3817" s="28">
        <v>81.88</v>
      </c>
      <c r="D3817" s="83">
        <f t="shared" si="122"/>
        <v>-0.56936993794046487</v>
      </c>
      <c r="E3817" s="83">
        <v>-8.956669087388151E-3</v>
      </c>
      <c r="F3817" s="83">
        <v>3809</v>
      </c>
      <c r="G3817" s="83">
        <f t="shared" ca="1" si="123"/>
        <v>-2.125254336370783E-2</v>
      </c>
    </row>
    <row r="3818" spans="2:7" x14ac:dyDescent="0.2">
      <c r="B3818" s="167">
        <v>41274</v>
      </c>
      <c r="C3818" s="28">
        <v>190.14</v>
      </c>
      <c r="D3818" s="83">
        <f t="shared" si="122"/>
        <v>0.23227478937135432</v>
      </c>
      <c r="E3818" s="83">
        <v>-8.9648702178673368E-3</v>
      </c>
      <c r="F3818" s="83">
        <v>3810</v>
      </c>
      <c r="G3818" s="83">
        <f t="shared" ca="1" si="123"/>
        <v>6.7990752643360217E-3</v>
      </c>
    </row>
    <row r="3819" spans="2:7" x14ac:dyDescent="0.2">
      <c r="B3819" s="167">
        <v>41051</v>
      </c>
      <c r="C3819" s="28">
        <v>154.30000000000001</v>
      </c>
      <c r="D3819" s="83">
        <f t="shared" si="122"/>
        <v>3.1201602136181577</v>
      </c>
      <c r="E3819" s="83">
        <v>-8.9916506101475752E-3</v>
      </c>
      <c r="F3819" s="83">
        <v>3811</v>
      </c>
      <c r="G3819" s="83">
        <f t="shared" ca="1" si="123"/>
        <v>1.9686449787060162E-2</v>
      </c>
    </row>
    <row r="3820" spans="2:7" x14ac:dyDescent="0.2">
      <c r="B3820" s="167">
        <v>38582</v>
      </c>
      <c r="C3820" s="28">
        <v>37.450000000000003</v>
      </c>
      <c r="D3820" s="83">
        <f t="shared" si="122"/>
        <v>-0.90604851860214253</v>
      </c>
      <c r="E3820" s="83">
        <v>-8.9970891770308637E-3</v>
      </c>
      <c r="F3820" s="83">
        <v>3812</v>
      </c>
      <c r="G3820" s="83">
        <f t="shared" ca="1" si="123"/>
        <v>8.1540718273084099E-3</v>
      </c>
    </row>
    <row r="3821" spans="2:7" x14ac:dyDescent="0.2">
      <c r="B3821" s="167">
        <v>45062</v>
      </c>
      <c r="C3821" s="28">
        <v>398.61</v>
      </c>
      <c r="D3821" s="83">
        <f t="shared" si="122"/>
        <v>0.9246294239775964</v>
      </c>
      <c r="E3821" s="83">
        <v>-8.9998259702160563E-3</v>
      </c>
      <c r="F3821" s="83">
        <v>3813</v>
      </c>
      <c r="G3821" s="83">
        <f t="shared" ca="1" si="123"/>
        <v>-1.7204252267522284E-3</v>
      </c>
    </row>
    <row r="3822" spans="2:7" x14ac:dyDescent="0.2">
      <c r="B3822" s="167">
        <v>42409</v>
      </c>
      <c r="C3822" s="28">
        <v>207.11</v>
      </c>
      <c r="D3822" s="83">
        <f t="shared" si="122"/>
        <v>0.53665232230301241</v>
      </c>
      <c r="E3822" s="83">
        <v>-9.043062200956872E-3</v>
      </c>
      <c r="F3822" s="83">
        <v>3814</v>
      </c>
      <c r="G3822" s="83">
        <f t="shared" ca="1" si="123"/>
        <v>-3.2059185885067695E-4</v>
      </c>
    </row>
    <row r="3823" spans="2:7" x14ac:dyDescent="0.2">
      <c r="B3823" s="167">
        <v>40919</v>
      </c>
      <c r="C3823" s="28">
        <v>134.78</v>
      </c>
      <c r="D3823" s="83">
        <f t="shared" si="122"/>
        <v>1.1965449804432855</v>
      </c>
      <c r="E3823" s="83">
        <v>-9.0434526873023301E-3</v>
      </c>
      <c r="F3823" s="83">
        <v>3815</v>
      </c>
      <c r="G3823" s="83">
        <f t="shared" ca="1" si="123"/>
        <v>-3.2716374084896084E-3</v>
      </c>
    </row>
    <row r="3824" spans="2:7" x14ac:dyDescent="0.2">
      <c r="B3824" s="167">
        <v>39059</v>
      </c>
      <c r="C3824" s="28">
        <v>61.36</v>
      </c>
      <c r="D3824" s="83">
        <f t="shared" si="122"/>
        <v>-6.5773447015834458E-2</v>
      </c>
      <c r="E3824" s="83">
        <v>-9.0439276485788471E-3</v>
      </c>
      <c r="F3824" s="83">
        <v>3816</v>
      </c>
      <c r="G3824" s="83">
        <f t="shared" ca="1" si="123"/>
        <v>5.8006790723204239E-5</v>
      </c>
    </row>
    <row r="3825" spans="2:7" x14ac:dyDescent="0.2">
      <c r="B3825" s="167">
        <v>39612</v>
      </c>
      <c r="C3825" s="28">
        <v>65.680000000000007</v>
      </c>
      <c r="D3825" s="83">
        <f t="shared" si="122"/>
        <v>-0.6871338065069309</v>
      </c>
      <c r="E3825" s="83">
        <v>-9.0525045262521767E-3</v>
      </c>
      <c r="F3825" s="83">
        <v>3817</v>
      </c>
      <c r="G3825" s="83">
        <f t="shared" ca="1" si="123"/>
        <v>-9.7644718954687706E-3</v>
      </c>
    </row>
    <row r="3826" spans="2:7" x14ac:dyDescent="0.2">
      <c r="B3826" s="167">
        <v>41589</v>
      </c>
      <c r="C3826" s="28">
        <v>209.93</v>
      </c>
      <c r="D3826" s="83">
        <f t="shared" si="122"/>
        <v>-0.19935163996948888</v>
      </c>
      <c r="E3826" s="83">
        <v>-9.0630162851073285E-3</v>
      </c>
      <c r="F3826" s="83">
        <v>3818</v>
      </c>
      <c r="G3826" s="83">
        <f t="shared" ca="1" si="123"/>
        <v>-3.7201313790175258E-2</v>
      </c>
    </row>
    <row r="3827" spans="2:7" x14ac:dyDescent="0.2">
      <c r="B3827" s="167">
        <v>42794</v>
      </c>
      <c r="C3827" s="28">
        <v>262.2</v>
      </c>
      <c r="D3827" s="83">
        <f t="shared" si="122"/>
        <v>-0.16933312212894025</v>
      </c>
      <c r="E3827" s="83">
        <v>-9.0702947845806275E-3</v>
      </c>
      <c r="F3827" s="83">
        <v>3819</v>
      </c>
      <c r="G3827" s="83">
        <f t="shared" ca="1" si="123"/>
        <v>-2.4977494210508346E-2</v>
      </c>
    </row>
    <row r="3828" spans="2:7" x14ac:dyDescent="0.2">
      <c r="B3828" s="167">
        <v>44805</v>
      </c>
      <c r="C3828" s="28">
        <v>315.64999999999998</v>
      </c>
      <c r="D3828" s="83">
        <f t="shared" si="122"/>
        <v>0.43197386925554582</v>
      </c>
      <c r="E3828" s="83">
        <v>-9.0726439379671085E-3</v>
      </c>
      <c r="F3828" s="83">
        <v>3820</v>
      </c>
      <c r="G3828" s="83">
        <f t="shared" ca="1" si="123"/>
        <v>1.4007689610291908E-2</v>
      </c>
    </row>
    <row r="3829" spans="2:7" x14ac:dyDescent="0.2">
      <c r="B3829" s="167">
        <v>41417</v>
      </c>
      <c r="C3829" s="28">
        <v>220.43</v>
      </c>
      <c r="D3829" s="83">
        <f t="shared" si="122"/>
        <v>-0.20722891566265061</v>
      </c>
      <c r="E3829" s="83">
        <v>-9.0806922904022556E-3</v>
      </c>
      <c r="F3829" s="83">
        <v>3821</v>
      </c>
      <c r="G3829" s="83">
        <f t="shared" ca="1" si="123"/>
        <v>1.0365996780362215E-2</v>
      </c>
    </row>
    <row r="3830" spans="2:7" x14ac:dyDescent="0.2">
      <c r="B3830" s="167">
        <v>43630</v>
      </c>
      <c r="C3830" s="28">
        <v>278.05</v>
      </c>
      <c r="D3830" s="83">
        <f t="shared" si="122"/>
        <v>-0.38791907896185085</v>
      </c>
      <c r="E3830" s="83">
        <v>-9.0876692801140808E-3</v>
      </c>
      <c r="F3830" s="83">
        <v>3822</v>
      </c>
      <c r="G3830" s="83">
        <f t="shared" ca="1" si="123"/>
        <v>1.612046247002363E-2</v>
      </c>
    </row>
    <row r="3831" spans="2:7" x14ac:dyDescent="0.2">
      <c r="B3831" s="167">
        <v>45601</v>
      </c>
      <c r="C3831" s="28">
        <v>454.27</v>
      </c>
      <c r="D3831" s="83">
        <f t="shared" si="122"/>
        <v>1.1609266482732374</v>
      </c>
      <c r="E3831" s="83">
        <v>-9.0960649158014478E-3</v>
      </c>
      <c r="F3831" s="83">
        <v>3823</v>
      </c>
      <c r="G3831" s="83">
        <f t="shared" ca="1" si="123"/>
        <v>1.8921064725357931E-2</v>
      </c>
    </row>
    <row r="3832" spans="2:7" x14ac:dyDescent="0.2">
      <c r="B3832" s="167">
        <v>42251</v>
      </c>
      <c r="C3832" s="28">
        <v>210.22</v>
      </c>
      <c r="D3832" s="83">
        <f t="shared" si="122"/>
        <v>2.3288994457640539</v>
      </c>
      <c r="E3832" s="83">
        <v>-9.0973367900071024E-3</v>
      </c>
      <c r="F3832" s="83">
        <v>3824</v>
      </c>
      <c r="G3832" s="83">
        <f t="shared" ca="1" si="123"/>
        <v>-1.6828812214306006E-2</v>
      </c>
    </row>
    <row r="3833" spans="2:7" x14ac:dyDescent="0.2">
      <c r="B3833" s="167">
        <v>39519</v>
      </c>
      <c r="C3833" s="28">
        <v>63.15</v>
      </c>
      <c r="D3833" s="83">
        <f t="shared" si="122"/>
        <v>-0.79254270696452034</v>
      </c>
      <c r="E3833" s="83">
        <v>-9.1008943982425605E-3</v>
      </c>
      <c r="F3833" s="83">
        <v>3825</v>
      </c>
      <c r="G3833" s="83">
        <f t="shared" ca="1" si="123"/>
        <v>3.8972409722726302E-2</v>
      </c>
    </row>
    <row r="3834" spans="2:7" x14ac:dyDescent="0.2">
      <c r="B3834" s="167">
        <v>43573</v>
      </c>
      <c r="C3834" s="28">
        <v>304.39999999999998</v>
      </c>
      <c r="D3834" s="83">
        <f t="shared" si="122"/>
        <v>0.43958382596358475</v>
      </c>
      <c r="E3834" s="83">
        <v>-9.1145833333333703E-3</v>
      </c>
      <c r="F3834" s="83">
        <v>3826</v>
      </c>
      <c r="G3834" s="83">
        <f t="shared" ca="1" si="123"/>
        <v>1.3542804181972542E-2</v>
      </c>
    </row>
    <row r="3835" spans="2:7" x14ac:dyDescent="0.2">
      <c r="B3835" s="167">
        <v>44201</v>
      </c>
      <c r="C3835" s="28">
        <v>211.45</v>
      </c>
      <c r="D3835" s="83">
        <f t="shared" si="122"/>
        <v>-6.6157311310338821E-2</v>
      </c>
      <c r="E3835" s="83">
        <v>-9.1377694470478766E-3</v>
      </c>
      <c r="F3835" s="83">
        <v>3827</v>
      </c>
      <c r="G3835" s="83">
        <f t="shared" ca="1" si="123"/>
        <v>7.3222880867598863E-3</v>
      </c>
    </row>
    <row r="3836" spans="2:7" x14ac:dyDescent="0.2">
      <c r="B3836" s="167">
        <v>41569</v>
      </c>
      <c r="C3836" s="28">
        <v>226.43</v>
      </c>
      <c r="D3836" s="83">
        <f t="shared" si="122"/>
        <v>2.4266041162227605</v>
      </c>
      <c r="E3836" s="83">
        <v>-9.1458078067565354E-3</v>
      </c>
      <c r="F3836" s="83">
        <v>3828</v>
      </c>
      <c r="G3836" s="83">
        <f t="shared" ca="1" si="123"/>
        <v>2.2382535675462088E-3</v>
      </c>
    </row>
    <row r="3837" spans="2:7" x14ac:dyDescent="0.2">
      <c r="B3837" s="167">
        <v>39477</v>
      </c>
      <c r="C3837" s="28">
        <v>66.08</v>
      </c>
      <c r="D3837" s="83">
        <f t="shared" si="122"/>
        <v>0.60700389105058372</v>
      </c>
      <c r="E3837" s="83">
        <v>-9.1467986204828225E-3</v>
      </c>
      <c r="F3837" s="83">
        <v>3829</v>
      </c>
      <c r="G3837" s="83">
        <f t="shared" ca="1" si="123"/>
        <v>1.4820786666100566E-2</v>
      </c>
    </row>
    <row r="3838" spans="2:7" x14ac:dyDescent="0.2">
      <c r="B3838" s="167">
        <v>38642</v>
      </c>
      <c r="C3838" s="28">
        <v>41.12</v>
      </c>
      <c r="D3838" s="83">
        <f t="shared" si="122"/>
        <v>-0.86166526492851137</v>
      </c>
      <c r="E3838" s="83">
        <v>-9.1566265060241576E-3</v>
      </c>
      <c r="F3838" s="83">
        <v>3830</v>
      </c>
      <c r="G3838" s="83">
        <f t="shared" ca="1" si="123"/>
        <v>1.0311006868971389E-2</v>
      </c>
    </row>
    <row r="3839" spans="2:7" x14ac:dyDescent="0.2">
      <c r="B3839" s="167">
        <v>43553</v>
      </c>
      <c r="C3839" s="28">
        <v>297.25</v>
      </c>
      <c r="D3839" s="83">
        <f t="shared" si="122"/>
        <v>0.48662165541385355</v>
      </c>
      <c r="E3839" s="83">
        <v>-9.1666666666666667E-3</v>
      </c>
      <c r="F3839" s="83">
        <v>3831</v>
      </c>
      <c r="G3839" s="83">
        <f t="shared" ca="1" si="123"/>
        <v>-2.1945028656401803E-3</v>
      </c>
    </row>
    <row r="3840" spans="2:7" x14ac:dyDescent="0.2">
      <c r="B3840" s="167">
        <v>42159</v>
      </c>
      <c r="C3840" s="28">
        <v>199.95</v>
      </c>
      <c r="D3840" s="83">
        <f t="shared" si="122"/>
        <v>1.3730121053880842</v>
      </c>
      <c r="E3840" s="83">
        <v>-9.1674925668980313E-3</v>
      </c>
      <c r="F3840" s="83">
        <v>3832</v>
      </c>
      <c r="G3840" s="83">
        <f t="shared" ca="1" si="123"/>
        <v>-4.8598978864137698E-3</v>
      </c>
    </row>
    <row r="3841" spans="2:7" x14ac:dyDescent="0.2">
      <c r="B3841" s="167">
        <v>40157</v>
      </c>
      <c r="C3841" s="28">
        <v>84.26</v>
      </c>
      <c r="D3841" s="83">
        <f t="shared" si="122"/>
        <v>-0.28435535926617966</v>
      </c>
      <c r="E3841" s="83">
        <v>-9.1721542803386777E-3</v>
      </c>
      <c r="F3841" s="83">
        <v>3833</v>
      </c>
      <c r="G3841" s="83">
        <f t="shared" ca="1" si="123"/>
        <v>7.2122129607254245E-3</v>
      </c>
    </row>
    <row r="3842" spans="2:7" x14ac:dyDescent="0.2">
      <c r="B3842" s="167">
        <v>40632</v>
      </c>
      <c r="C3842" s="28">
        <v>117.74</v>
      </c>
      <c r="D3842" s="83">
        <f t="shared" si="122"/>
        <v>0.55761344093134002</v>
      </c>
      <c r="E3842" s="83">
        <v>-9.1727678195742107E-3</v>
      </c>
      <c r="F3842" s="83">
        <v>3834</v>
      </c>
      <c r="G3842" s="83">
        <f t="shared" ca="1" si="123"/>
        <v>3.1893755153164123E-2</v>
      </c>
    </row>
    <row r="3843" spans="2:7" x14ac:dyDescent="0.2">
      <c r="B3843" s="167">
        <v>40058</v>
      </c>
      <c r="C3843" s="28">
        <v>75.59</v>
      </c>
      <c r="D3843" s="83">
        <f t="shared" si="122"/>
        <v>-0.6813237774030354</v>
      </c>
      <c r="E3843" s="83">
        <v>-9.1755144842050433E-3</v>
      </c>
      <c r="F3843" s="83">
        <v>3835</v>
      </c>
      <c r="G3843" s="83">
        <f t="shared" ca="1" si="123"/>
        <v>1.517894488449229E-2</v>
      </c>
    </row>
    <row r="3844" spans="2:7" x14ac:dyDescent="0.2">
      <c r="B3844" s="167">
        <v>43725</v>
      </c>
      <c r="C3844" s="28">
        <v>237.2</v>
      </c>
      <c r="D3844" s="83">
        <f t="shared" si="122"/>
        <v>-4.2196648495861161E-2</v>
      </c>
      <c r="E3844" s="83">
        <v>-9.1896407685882076E-3</v>
      </c>
      <c r="F3844" s="83">
        <v>3836</v>
      </c>
      <c r="G3844" s="83">
        <f t="shared" ca="1" si="123"/>
        <v>-1.3622704707220308E-2</v>
      </c>
    </row>
    <row r="3845" spans="2:7" x14ac:dyDescent="0.2">
      <c r="B3845" s="167">
        <v>42591</v>
      </c>
      <c r="C3845" s="28">
        <v>247.65</v>
      </c>
      <c r="D3845" s="83">
        <f t="shared" si="122"/>
        <v>0.19863510962683312</v>
      </c>
      <c r="E3845" s="83">
        <v>-9.2018403680735467E-3</v>
      </c>
      <c r="F3845" s="83">
        <v>3837</v>
      </c>
      <c r="G3845" s="83">
        <f t="shared" ca="1" si="123"/>
        <v>1.582261863351395E-2</v>
      </c>
    </row>
    <row r="3846" spans="2:7" x14ac:dyDescent="0.2">
      <c r="B3846" s="167">
        <v>42212</v>
      </c>
      <c r="C3846" s="28">
        <v>206.61</v>
      </c>
      <c r="D3846" s="83">
        <f t="shared" si="122"/>
        <v>3.0953419226957388</v>
      </c>
      <c r="E3846" s="83">
        <v>-9.2073083009638294E-3</v>
      </c>
      <c r="F3846" s="83">
        <v>3838</v>
      </c>
      <c r="G3846" s="83">
        <f t="shared" ca="1" si="123"/>
        <v>-1.5304928270865516E-3</v>
      </c>
    </row>
    <row r="3847" spans="2:7" x14ac:dyDescent="0.2">
      <c r="B3847" s="167">
        <v>39287</v>
      </c>
      <c r="C3847" s="28">
        <v>50.45</v>
      </c>
      <c r="D3847" s="83">
        <f t="shared" si="122"/>
        <v>-0.81914321563004122</v>
      </c>
      <c r="E3847" s="83">
        <v>-9.2301649646504089E-3</v>
      </c>
      <c r="F3847" s="83">
        <v>3839</v>
      </c>
      <c r="G3847" s="83">
        <f t="shared" ca="1" si="123"/>
        <v>-1.1838022122152177E-2</v>
      </c>
    </row>
    <row r="3848" spans="2:7" x14ac:dyDescent="0.2">
      <c r="B3848" s="167">
        <v>42830</v>
      </c>
      <c r="C3848" s="28">
        <v>278.95</v>
      </c>
      <c r="D3848" s="83">
        <f t="shared" si="122"/>
        <v>0.26376115616363882</v>
      </c>
      <c r="E3848" s="83">
        <v>-9.234594210619864E-3</v>
      </c>
      <c r="F3848" s="83">
        <v>3840</v>
      </c>
      <c r="G3848" s="83">
        <f t="shared" ca="1" si="123"/>
        <v>-1.6725783221068338E-2</v>
      </c>
    </row>
    <row r="3849" spans="2:7" x14ac:dyDescent="0.2">
      <c r="B3849" s="167">
        <v>41808</v>
      </c>
      <c r="C3849" s="28">
        <v>220.73</v>
      </c>
      <c r="D3849" s="83">
        <f t="shared" ref="D3849:D3912" si="124">(C3849-C3850)/C3850</f>
        <v>2.1718637735306796</v>
      </c>
      <c r="E3849" s="83">
        <v>-9.2463755105705037E-3</v>
      </c>
      <c r="F3849" s="83">
        <v>3841</v>
      </c>
      <c r="G3849" s="83">
        <f t="shared" ref="G3849:G3912" ca="1" si="125">_xlfn.NORM.INV(RAND(),$M$10,$M$11)</f>
        <v>1.6875455009178413E-2</v>
      </c>
    </row>
    <row r="3850" spans="2:7" x14ac:dyDescent="0.2">
      <c r="B3850" s="167">
        <v>39562</v>
      </c>
      <c r="C3850" s="28">
        <v>69.59</v>
      </c>
      <c r="D3850" s="83">
        <f t="shared" si="124"/>
        <v>-0.30102450783447166</v>
      </c>
      <c r="E3850" s="83">
        <v>-9.2539863325739116E-3</v>
      </c>
      <c r="F3850" s="83">
        <v>3842</v>
      </c>
      <c r="G3850" s="83">
        <f t="shared" ca="1" si="125"/>
        <v>8.3951493627897091E-3</v>
      </c>
    </row>
    <row r="3851" spans="2:7" x14ac:dyDescent="0.2">
      <c r="B3851" s="167">
        <v>40368</v>
      </c>
      <c r="C3851" s="28">
        <v>99.56</v>
      </c>
      <c r="D3851" s="83">
        <f t="shared" si="124"/>
        <v>-0.21723405928139</v>
      </c>
      <c r="E3851" s="83">
        <v>-9.2546522041993505E-3</v>
      </c>
      <c r="F3851" s="83">
        <v>3843</v>
      </c>
      <c r="G3851" s="83">
        <f t="shared" ca="1" si="125"/>
        <v>-2.8345924753737537E-3</v>
      </c>
    </row>
    <row r="3852" spans="2:7" x14ac:dyDescent="0.2">
      <c r="B3852" s="167">
        <v>40661</v>
      </c>
      <c r="C3852" s="28">
        <v>127.19</v>
      </c>
      <c r="D3852" s="83">
        <f t="shared" si="124"/>
        <v>-0.53290488431876615</v>
      </c>
      <c r="E3852" s="83">
        <v>-9.2693565976008554E-3</v>
      </c>
      <c r="F3852" s="83">
        <v>3844</v>
      </c>
      <c r="G3852" s="83">
        <f t="shared" ca="1" si="125"/>
        <v>-3.8092563819276356E-4</v>
      </c>
    </row>
    <row r="3853" spans="2:7" x14ac:dyDescent="0.2">
      <c r="B3853" s="167">
        <v>43245</v>
      </c>
      <c r="C3853" s="28">
        <v>272.3</v>
      </c>
      <c r="D3853" s="83">
        <f t="shared" si="124"/>
        <v>1.3423655913978496</v>
      </c>
      <c r="E3853" s="83">
        <v>-9.2777878843005677E-3</v>
      </c>
      <c r="F3853" s="83">
        <v>3845</v>
      </c>
      <c r="G3853" s="83">
        <f t="shared" ca="1" si="125"/>
        <v>3.7747753880860817E-2</v>
      </c>
    </row>
    <row r="3854" spans="2:7" x14ac:dyDescent="0.2">
      <c r="B3854" s="167">
        <v>40493</v>
      </c>
      <c r="C3854" s="28">
        <v>116.25</v>
      </c>
      <c r="D3854" s="83">
        <f t="shared" si="124"/>
        <v>-0.56387169386606639</v>
      </c>
      <c r="E3854" s="83">
        <v>-9.2892449292654115E-3</v>
      </c>
      <c r="F3854" s="83">
        <v>3846</v>
      </c>
      <c r="G3854" s="83">
        <f t="shared" ca="1" si="125"/>
        <v>-1.7808557526572798E-2</v>
      </c>
    </row>
    <row r="3855" spans="2:7" x14ac:dyDescent="0.2">
      <c r="B3855" s="167">
        <v>43157</v>
      </c>
      <c r="C3855" s="28">
        <v>266.55</v>
      </c>
      <c r="D3855" s="83">
        <f t="shared" si="124"/>
        <v>3.5455320600272855</v>
      </c>
      <c r="E3855" s="83">
        <v>-9.2919531685560306E-3</v>
      </c>
      <c r="F3855" s="83">
        <v>3847</v>
      </c>
      <c r="G3855" s="83">
        <f t="shared" ca="1" si="125"/>
        <v>-1.0496252876028071E-2</v>
      </c>
    </row>
    <row r="3856" spans="2:7" x14ac:dyDescent="0.2">
      <c r="B3856" s="167">
        <v>38798</v>
      </c>
      <c r="C3856" s="28">
        <v>58.64</v>
      </c>
      <c r="D3856" s="83">
        <f t="shared" si="124"/>
        <v>-0.71937212863705968</v>
      </c>
      <c r="E3856" s="83">
        <v>-9.2921101537421381E-3</v>
      </c>
      <c r="F3856" s="83">
        <v>3848</v>
      </c>
      <c r="G3856" s="83">
        <f t="shared" ca="1" si="125"/>
        <v>7.4008273066928851E-3</v>
      </c>
    </row>
    <row r="3857" spans="2:7" x14ac:dyDescent="0.2">
      <c r="B3857" s="167">
        <v>42433</v>
      </c>
      <c r="C3857" s="28">
        <v>208.96</v>
      </c>
      <c r="D3857" s="83">
        <f t="shared" si="124"/>
        <v>-0.54921799158666806</v>
      </c>
      <c r="E3857" s="83">
        <v>-9.2926227953725564E-3</v>
      </c>
      <c r="F3857" s="83">
        <v>3849</v>
      </c>
      <c r="G3857" s="83">
        <f t="shared" ca="1" si="125"/>
        <v>-4.3582612477522115E-3</v>
      </c>
    </row>
    <row r="3858" spans="2:7" x14ac:dyDescent="0.2">
      <c r="B3858" s="167">
        <v>45517</v>
      </c>
      <c r="C3858" s="28">
        <v>463.55</v>
      </c>
      <c r="D3858" s="83">
        <f t="shared" si="124"/>
        <v>0.90034026155044478</v>
      </c>
      <c r="E3858" s="83">
        <v>-9.2968583030561356E-3</v>
      </c>
      <c r="F3858" s="83">
        <v>3850</v>
      </c>
      <c r="G3858" s="83">
        <f t="shared" ca="1" si="125"/>
        <v>-9.0618569673806808E-3</v>
      </c>
    </row>
    <row r="3859" spans="2:7" x14ac:dyDescent="0.2">
      <c r="B3859" s="167">
        <v>41999</v>
      </c>
      <c r="C3859" s="28">
        <v>243.93</v>
      </c>
      <c r="D3859" s="83">
        <f t="shared" si="124"/>
        <v>-0.13561304039688157</v>
      </c>
      <c r="E3859" s="83">
        <v>-9.3006254569084242E-3</v>
      </c>
      <c r="F3859" s="83">
        <v>3851</v>
      </c>
      <c r="G3859" s="83">
        <f t="shared" ca="1" si="125"/>
        <v>8.3675335835589858E-3</v>
      </c>
    </row>
    <row r="3860" spans="2:7" x14ac:dyDescent="0.2">
      <c r="B3860" s="167">
        <v>43432</v>
      </c>
      <c r="C3860" s="28">
        <v>282.2</v>
      </c>
      <c r="D3860" s="83">
        <f t="shared" si="124"/>
        <v>-0.39010157769613141</v>
      </c>
      <c r="E3860" s="83">
        <v>-9.3031420045639242E-3</v>
      </c>
      <c r="F3860" s="83">
        <v>3852</v>
      </c>
      <c r="G3860" s="83">
        <f t="shared" ca="1" si="125"/>
        <v>3.8230172770185038E-3</v>
      </c>
    </row>
    <row r="3861" spans="2:7" x14ac:dyDescent="0.2">
      <c r="B3861" s="167">
        <v>45506</v>
      </c>
      <c r="C3861" s="28">
        <v>462.7</v>
      </c>
      <c r="D3861" s="83">
        <f t="shared" si="124"/>
        <v>6.5064892926670996</v>
      </c>
      <c r="E3861" s="83">
        <v>-9.3137779680976824E-3</v>
      </c>
      <c r="F3861" s="83">
        <v>3853</v>
      </c>
      <c r="G3861" s="83">
        <f t="shared" ca="1" si="125"/>
        <v>1.1175135254433291E-2</v>
      </c>
    </row>
    <row r="3862" spans="2:7" x14ac:dyDescent="0.2">
      <c r="B3862" s="167">
        <v>39413</v>
      </c>
      <c r="C3862" s="28">
        <v>61.64</v>
      </c>
      <c r="D3862" s="83">
        <f t="shared" si="124"/>
        <v>-0.52838561591430755</v>
      </c>
      <c r="E3862" s="83">
        <v>-9.3217614914818114E-3</v>
      </c>
      <c r="F3862" s="83">
        <v>3854</v>
      </c>
      <c r="G3862" s="83">
        <f t="shared" ca="1" si="125"/>
        <v>9.7451471826981041E-3</v>
      </c>
    </row>
    <row r="3863" spans="2:7" x14ac:dyDescent="0.2">
      <c r="B3863" s="167">
        <v>40886</v>
      </c>
      <c r="C3863" s="28">
        <v>130.69999999999999</v>
      </c>
      <c r="D3863" s="83">
        <f t="shared" si="124"/>
        <v>-0.5078139710035775</v>
      </c>
      <c r="E3863" s="83">
        <v>-9.3231259000986742E-3</v>
      </c>
      <c r="F3863" s="83">
        <v>3855</v>
      </c>
      <c r="G3863" s="83">
        <f t="shared" ca="1" si="125"/>
        <v>-1.1975889539202698E-2</v>
      </c>
    </row>
    <row r="3864" spans="2:7" x14ac:dyDescent="0.2">
      <c r="B3864" s="167">
        <v>43174</v>
      </c>
      <c r="C3864" s="28">
        <v>265.55</v>
      </c>
      <c r="D3864" s="83">
        <f t="shared" si="124"/>
        <v>0.47078371642204375</v>
      </c>
      <c r="E3864" s="83">
        <v>-9.3266181682521918E-3</v>
      </c>
      <c r="F3864" s="83">
        <v>3856</v>
      </c>
      <c r="G3864" s="83">
        <f t="shared" ca="1" si="125"/>
        <v>-1.828247666882968E-3</v>
      </c>
    </row>
    <row r="3865" spans="2:7" x14ac:dyDescent="0.2">
      <c r="B3865" s="167">
        <v>43944</v>
      </c>
      <c r="C3865" s="28">
        <v>180.55</v>
      </c>
      <c r="D3865" s="83">
        <f t="shared" si="124"/>
        <v>-0.24424445374633735</v>
      </c>
      <c r="E3865" s="83">
        <v>-9.3278463648833396E-3</v>
      </c>
      <c r="F3865" s="83">
        <v>3857</v>
      </c>
      <c r="G3865" s="83">
        <f t="shared" ca="1" si="125"/>
        <v>-7.3921000844518634E-3</v>
      </c>
    </row>
    <row r="3866" spans="2:7" x14ac:dyDescent="0.2">
      <c r="B3866" s="167">
        <v>43822</v>
      </c>
      <c r="C3866" s="28">
        <v>238.9</v>
      </c>
      <c r="D3866" s="83">
        <f t="shared" si="124"/>
        <v>5.2719873982672611</v>
      </c>
      <c r="E3866" s="83">
        <v>-9.3302923491602741E-3</v>
      </c>
      <c r="F3866" s="83">
        <v>3858</v>
      </c>
      <c r="G3866" s="83">
        <f t="shared" ca="1" si="125"/>
        <v>1.8275231850934312E-2</v>
      </c>
    </row>
    <row r="3867" spans="2:7" x14ac:dyDescent="0.2">
      <c r="B3867" s="167">
        <v>38572</v>
      </c>
      <c r="C3867" s="28">
        <v>38.090000000000003</v>
      </c>
      <c r="D3867" s="83">
        <f t="shared" si="124"/>
        <v>-0.77494830132939441</v>
      </c>
      <c r="E3867" s="83">
        <v>-9.3628088426527811E-3</v>
      </c>
      <c r="F3867" s="83">
        <v>3859</v>
      </c>
      <c r="G3867" s="83">
        <f t="shared" ca="1" si="125"/>
        <v>1.0230559629289164E-2</v>
      </c>
    </row>
    <row r="3868" spans="2:7" x14ac:dyDescent="0.2">
      <c r="B3868" s="167">
        <v>44109</v>
      </c>
      <c r="C3868" s="28">
        <v>169.25</v>
      </c>
      <c r="D3868" s="83">
        <f t="shared" si="124"/>
        <v>1.5416729238624416</v>
      </c>
      <c r="E3868" s="83">
        <v>-9.3649400058530546E-3</v>
      </c>
      <c r="F3868" s="83">
        <v>3860</v>
      </c>
      <c r="G3868" s="83">
        <f t="shared" ca="1" si="125"/>
        <v>2.5471793623627677E-2</v>
      </c>
    </row>
    <row r="3869" spans="2:7" x14ac:dyDescent="0.2">
      <c r="B3869" s="167">
        <v>38835</v>
      </c>
      <c r="C3869" s="28">
        <v>66.59</v>
      </c>
      <c r="D3869" s="83">
        <f t="shared" si="124"/>
        <v>0.40042060988433242</v>
      </c>
      <c r="E3869" s="83">
        <v>-9.3722106515917204E-3</v>
      </c>
      <c r="F3869" s="83">
        <v>3861</v>
      </c>
      <c r="G3869" s="83">
        <f t="shared" ca="1" si="125"/>
        <v>1.4265298358653464E-2</v>
      </c>
    </row>
    <row r="3870" spans="2:7" x14ac:dyDescent="0.2">
      <c r="B3870" s="167">
        <v>38706</v>
      </c>
      <c r="C3870" s="28">
        <v>47.55</v>
      </c>
      <c r="D3870" s="83">
        <f t="shared" si="124"/>
        <v>-0.8007709389533666</v>
      </c>
      <c r="E3870" s="83">
        <v>-9.3750000000000586E-3</v>
      </c>
      <c r="F3870" s="83">
        <v>3862</v>
      </c>
      <c r="G3870" s="83">
        <f t="shared" ca="1" si="125"/>
        <v>5.8561122208782264E-3</v>
      </c>
    </row>
    <row r="3871" spans="2:7" x14ac:dyDescent="0.2">
      <c r="B3871" s="167">
        <v>42523</v>
      </c>
      <c r="C3871" s="28">
        <v>238.67</v>
      </c>
      <c r="D3871" s="83">
        <f t="shared" si="124"/>
        <v>3.4403720930232558</v>
      </c>
      <c r="E3871" s="83">
        <v>-9.3803179346699014E-3</v>
      </c>
      <c r="F3871" s="83">
        <v>3863</v>
      </c>
      <c r="G3871" s="83">
        <f t="shared" ca="1" si="125"/>
        <v>2.0590952744845101E-2</v>
      </c>
    </row>
    <row r="3872" spans="2:7" x14ac:dyDescent="0.2">
      <c r="B3872" s="167">
        <v>39213</v>
      </c>
      <c r="C3872" s="28">
        <v>53.75</v>
      </c>
      <c r="D3872" s="83">
        <f t="shared" si="124"/>
        <v>-0.48262585426893828</v>
      </c>
      <c r="E3872" s="83">
        <v>-9.3991890895687071E-3</v>
      </c>
      <c r="F3872" s="83">
        <v>3864</v>
      </c>
      <c r="G3872" s="83">
        <f t="shared" ca="1" si="125"/>
        <v>9.085510130458857E-3</v>
      </c>
    </row>
    <row r="3873" spans="2:7" x14ac:dyDescent="0.2">
      <c r="B3873" s="167">
        <v>40596</v>
      </c>
      <c r="C3873" s="28">
        <v>103.89</v>
      </c>
      <c r="D3873" s="83">
        <f t="shared" si="124"/>
        <v>0.35644339992166074</v>
      </c>
      <c r="E3873" s="83">
        <v>-9.439359267734506E-3</v>
      </c>
      <c r="F3873" s="83">
        <v>3865</v>
      </c>
      <c r="G3873" s="83">
        <f t="shared" ca="1" si="125"/>
        <v>-3.011122436647809E-2</v>
      </c>
    </row>
    <row r="3874" spans="2:7" x14ac:dyDescent="0.2">
      <c r="B3874" s="167">
        <v>40063</v>
      </c>
      <c r="C3874" s="28">
        <v>76.59</v>
      </c>
      <c r="D3874" s="83">
        <f t="shared" si="124"/>
        <v>0.62957446808510642</v>
      </c>
      <c r="E3874" s="83">
        <v>-9.4412829798239759E-3</v>
      </c>
      <c r="F3874" s="83">
        <v>3866</v>
      </c>
      <c r="G3874" s="83">
        <f t="shared" ca="1" si="125"/>
        <v>-6.982244888523231E-3</v>
      </c>
    </row>
    <row r="3875" spans="2:7" x14ac:dyDescent="0.2">
      <c r="B3875" s="167">
        <v>38622</v>
      </c>
      <c r="C3875" s="28">
        <v>47</v>
      </c>
      <c r="D3875" s="83">
        <f t="shared" si="124"/>
        <v>-0.6335282651072125</v>
      </c>
      <c r="E3875" s="83">
        <v>-9.4836670179136526E-3</v>
      </c>
      <c r="F3875" s="83">
        <v>3867</v>
      </c>
      <c r="G3875" s="83">
        <f t="shared" ca="1" si="125"/>
        <v>3.4279681810434649E-2</v>
      </c>
    </row>
    <row r="3876" spans="2:7" x14ac:dyDescent="0.2">
      <c r="B3876" s="167">
        <v>40697</v>
      </c>
      <c r="C3876" s="28">
        <v>128.25</v>
      </c>
      <c r="D3876" s="83">
        <f t="shared" si="124"/>
        <v>-0.4962686567164179</v>
      </c>
      <c r="E3876" s="83">
        <v>-9.4995366079702638E-3</v>
      </c>
      <c r="F3876" s="83">
        <v>3868</v>
      </c>
      <c r="G3876" s="83">
        <f t="shared" ca="1" si="125"/>
        <v>1.3386268030478841E-2</v>
      </c>
    </row>
    <row r="3877" spans="2:7" x14ac:dyDescent="0.2">
      <c r="B3877" s="167">
        <v>44649</v>
      </c>
      <c r="C3877" s="28">
        <v>254.6</v>
      </c>
      <c r="D3877" s="83">
        <f t="shared" si="124"/>
        <v>6.4357476635514015</v>
      </c>
      <c r="E3877" s="83">
        <v>-9.5312196070804003E-3</v>
      </c>
      <c r="F3877" s="83">
        <v>3869</v>
      </c>
      <c r="G3877" s="83">
        <f t="shared" ca="1" si="125"/>
        <v>1.8005125142749719E-2</v>
      </c>
    </row>
    <row r="3878" spans="2:7" x14ac:dyDescent="0.2">
      <c r="B3878" s="167">
        <v>38519</v>
      </c>
      <c r="C3878" s="28">
        <v>34.24</v>
      </c>
      <c r="D3878" s="83">
        <f t="shared" si="124"/>
        <v>-0.83434929850024186</v>
      </c>
      <c r="E3878" s="83">
        <v>-9.5458490020248268E-3</v>
      </c>
      <c r="F3878" s="83">
        <v>3870</v>
      </c>
      <c r="G3878" s="83">
        <f t="shared" ca="1" si="125"/>
        <v>6.0839169630412335E-3</v>
      </c>
    </row>
    <row r="3879" spans="2:7" x14ac:dyDescent="0.2">
      <c r="B3879" s="167">
        <v>44301</v>
      </c>
      <c r="C3879" s="28">
        <v>206.7</v>
      </c>
      <c r="D3879" s="83">
        <f t="shared" si="124"/>
        <v>1.4730796841349605</v>
      </c>
      <c r="E3879" s="83">
        <v>-9.5831336847149017E-3</v>
      </c>
      <c r="F3879" s="83">
        <v>3871</v>
      </c>
      <c r="G3879" s="83">
        <f t="shared" ca="1" si="125"/>
        <v>-7.4138730346574823E-3</v>
      </c>
    </row>
    <row r="3880" spans="2:7" x14ac:dyDescent="0.2">
      <c r="B3880" s="167">
        <v>40122</v>
      </c>
      <c r="C3880" s="28">
        <v>83.58</v>
      </c>
      <c r="D3880" s="83">
        <f t="shared" si="124"/>
        <v>0.42263829787234042</v>
      </c>
      <c r="E3880" s="83">
        <v>-9.5982936366868377E-3</v>
      </c>
      <c r="F3880" s="83">
        <v>3872</v>
      </c>
      <c r="G3880" s="83">
        <f t="shared" ca="1" si="125"/>
        <v>4.0365249645017962E-2</v>
      </c>
    </row>
    <row r="3881" spans="2:7" x14ac:dyDescent="0.2">
      <c r="B3881" s="167">
        <v>39105</v>
      </c>
      <c r="C3881" s="28">
        <v>58.75</v>
      </c>
      <c r="D3881" s="83">
        <f t="shared" si="124"/>
        <v>-0.74871685201026517</v>
      </c>
      <c r="E3881" s="83">
        <v>-9.6089008766014877E-3</v>
      </c>
      <c r="F3881" s="83">
        <v>3873</v>
      </c>
      <c r="G3881" s="83">
        <f t="shared" ca="1" si="125"/>
        <v>1.4024889108950998E-2</v>
      </c>
    </row>
    <row r="3882" spans="2:7" x14ac:dyDescent="0.2">
      <c r="B3882" s="167">
        <v>42531</v>
      </c>
      <c r="C3882" s="28">
        <v>233.8</v>
      </c>
      <c r="D3882" s="83">
        <f t="shared" si="124"/>
        <v>8.6128402861655767E-2</v>
      </c>
      <c r="E3882" s="83">
        <v>-9.6157919261235306E-3</v>
      </c>
      <c r="F3882" s="83">
        <v>3874</v>
      </c>
      <c r="G3882" s="83">
        <f t="shared" ca="1" si="125"/>
        <v>-1.068838259644056E-2</v>
      </c>
    </row>
    <row r="3883" spans="2:7" x14ac:dyDescent="0.2">
      <c r="B3883" s="167">
        <v>42138</v>
      </c>
      <c r="C3883" s="28">
        <v>215.26</v>
      </c>
      <c r="D3883" s="83">
        <f t="shared" si="124"/>
        <v>-0.18027418126428038</v>
      </c>
      <c r="E3883" s="83">
        <v>-9.6158270071313705E-3</v>
      </c>
      <c r="F3883" s="83">
        <v>3875</v>
      </c>
      <c r="G3883" s="83">
        <f t="shared" ca="1" si="125"/>
        <v>-1.9004672279362474E-2</v>
      </c>
    </row>
    <row r="3884" spans="2:7" x14ac:dyDescent="0.2">
      <c r="B3884" s="167">
        <v>43276</v>
      </c>
      <c r="C3884" s="28">
        <v>262.60000000000002</v>
      </c>
      <c r="D3884" s="83">
        <f t="shared" si="124"/>
        <v>0.18807401710175098</v>
      </c>
      <c r="E3884" s="83">
        <v>-9.6171978125587591E-3</v>
      </c>
      <c r="F3884" s="83">
        <v>3876</v>
      </c>
      <c r="G3884" s="83">
        <f t="shared" ca="1" si="125"/>
        <v>4.1568678878037675E-2</v>
      </c>
    </row>
    <row r="3885" spans="2:7" x14ac:dyDescent="0.2">
      <c r="B3885" s="167">
        <v>41793</v>
      </c>
      <c r="C3885" s="28">
        <v>221.03</v>
      </c>
      <c r="D3885" s="83">
        <f t="shared" si="124"/>
        <v>0.66701862885587149</v>
      </c>
      <c r="E3885" s="83">
        <v>-9.6334797024823261E-3</v>
      </c>
      <c r="F3885" s="83">
        <v>3877</v>
      </c>
      <c r="G3885" s="83">
        <f t="shared" ca="1" si="125"/>
        <v>-2.9231267941542703E-2</v>
      </c>
    </row>
    <row r="3886" spans="2:7" x14ac:dyDescent="0.2">
      <c r="B3886" s="167">
        <v>40785</v>
      </c>
      <c r="C3886" s="28">
        <v>132.59</v>
      </c>
      <c r="D3886" s="83">
        <f t="shared" si="124"/>
        <v>-0.52202595529920692</v>
      </c>
      <c r="E3886" s="83">
        <v>-9.6354944726620255E-3</v>
      </c>
      <c r="F3886" s="83">
        <v>3878</v>
      </c>
      <c r="G3886" s="83">
        <f t="shared" ca="1" si="125"/>
        <v>-7.1246633947251968E-3</v>
      </c>
    </row>
    <row r="3887" spans="2:7" x14ac:dyDescent="0.2">
      <c r="B3887" s="167">
        <v>43405</v>
      </c>
      <c r="C3887" s="28">
        <v>277.39999999999998</v>
      </c>
      <c r="D3887" s="83">
        <f t="shared" si="124"/>
        <v>3.8756787118517003E-2</v>
      </c>
      <c r="E3887" s="83">
        <v>-9.6394144948234398E-3</v>
      </c>
      <c r="F3887" s="83">
        <v>3879</v>
      </c>
      <c r="G3887" s="83">
        <f t="shared" ca="1" si="125"/>
        <v>1.8959814293519929E-2</v>
      </c>
    </row>
    <row r="3888" spans="2:7" x14ac:dyDescent="0.2">
      <c r="B3888" s="167">
        <v>43031</v>
      </c>
      <c r="C3888" s="28">
        <v>267.05</v>
      </c>
      <c r="D3888" s="83">
        <f t="shared" si="124"/>
        <v>3.1396682684855062</v>
      </c>
      <c r="E3888" s="83">
        <v>-9.642128685332714E-3</v>
      </c>
      <c r="F3888" s="83">
        <v>3880</v>
      </c>
      <c r="G3888" s="83">
        <f t="shared" ca="1" si="125"/>
        <v>-1.7836691935716645E-2</v>
      </c>
    </row>
    <row r="3889" spans="2:7" x14ac:dyDescent="0.2">
      <c r="B3889" s="167">
        <v>39700</v>
      </c>
      <c r="C3889" s="28">
        <v>64.510000000000005</v>
      </c>
      <c r="D3889" s="83">
        <f t="shared" si="124"/>
        <v>-0.52625394727179253</v>
      </c>
      <c r="E3889" s="83">
        <v>-9.6714768191586645E-3</v>
      </c>
      <c r="F3889" s="83">
        <v>3881</v>
      </c>
      <c r="G3889" s="83">
        <f t="shared" ca="1" si="125"/>
        <v>-9.9924172571832694E-3</v>
      </c>
    </row>
    <row r="3890" spans="2:7" x14ac:dyDescent="0.2">
      <c r="B3890" s="167">
        <v>40749</v>
      </c>
      <c r="C3890" s="28">
        <v>136.16999999999999</v>
      </c>
      <c r="D3890" s="83">
        <f t="shared" si="124"/>
        <v>-0.1686813186813188</v>
      </c>
      <c r="E3890" s="83">
        <v>-9.672727272727364E-3</v>
      </c>
      <c r="F3890" s="83">
        <v>3882</v>
      </c>
      <c r="G3890" s="83">
        <f t="shared" ca="1" si="125"/>
        <v>6.1080807684150903E-3</v>
      </c>
    </row>
    <row r="3891" spans="2:7" x14ac:dyDescent="0.2">
      <c r="B3891" s="167">
        <v>43965</v>
      </c>
      <c r="C3891" s="28">
        <v>163.80000000000001</v>
      </c>
      <c r="D3891" s="83">
        <f t="shared" si="124"/>
        <v>-0.30528458732716934</v>
      </c>
      <c r="E3891" s="83">
        <v>-9.6735187424425283E-3</v>
      </c>
      <c r="F3891" s="83">
        <v>3883</v>
      </c>
      <c r="G3891" s="83">
        <f t="shared" ca="1" si="125"/>
        <v>3.6970683960561967E-2</v>
      </c>
    </row>
    <row r="3892" spans="2:7" x14ac:dyDescent="0.2">
      <c r="B3892" s="167">
        <v>41950</v>
      </c>
      <c r="C3892" s="28">
        <v>235.78</v>
      </c>
      <c r="D3892" s="83">
        <f t="shared" si="124"/>
        <v>2.7419457229011273</v>
      </c>
      <c r="E3892" s="83">
        <v>-9.7438051238974942E-3</v>
      </c>
      <c r="F3892" s="83">
        <v>3884</v>
      </c>
      <c r="G3892" s="83">
        <f t="shared" ca="1" si="125"/>
        <v>-3.1250888968706036E-2</v>
      </c>
    </row>
    <row r="3893" spans="2:7" x14ac:dyDescent="0.2">
      <c r="B3893" s="167">
        <v>39668</v>
      </c>
      <c r="C3893" s="28">
        <v>63.01</v>
      </c>
      <c r="D3893" s="83">
        <f t="shared" si="124"/>
        <v>-0.85905064423765209</v>
      </c>
      <c r="E3893" s="83">
        <v>-9.7438315260098152E-3</v>
      </c>
      <c r="F3893" s="83">
        <v>3885</v>
      </c>
      <c r="G3893" s="83">
        <f t="shared" ca="1" si="125"/>
        <v>-2.0693038045466499E-2</v>
      </c>
    </row>
    <row r="3894" spans="2:7" x14ac:dyDescent="0.2">
      <c r="B3894" s="167">
        <v>45629</v>
      </c>
      <c r="C3894" s="28">
        <v>447.04</v>
      </c>
      <c r="D3894" s="83">
        <f t="shared" si="124"/>
        <v>0.72602316602316608</v>
      </c>
      <c r="E3894" s="83">
        <v>-9.7465886939570642E-3</v>
      </c>
      <c r="F3894" s="83">
        <v>3886</v>
      </c>
      <c r="G3894" s="83">
        <f t="shared" ca="1" si="125"/>
        <v>-9.6376332916097481E-3</v>
      </c>
    </row>
    <row r="3895" spans="2:7" x14ac:dyDescent="0.2">
      <c r="B3895" s="167">
        <v>43082</v>
      </c>
      <c r="C3895" s="28">
        <v>259</v>
      </c>
      <c r="D3895" s="83">
        <f t="shared" si="124"/>
        <v>-7.2183413935160229E-2</v>
      </c>
      <c r="E3895" s="83">
        <v>-9.749569871917458E-3</v>
      </c>
      <c r="F3895" s="83">
        <v>3887</v>
      </c>
      <c r="G3895" s="83">
        <f t="shared" ca="1" si="125"/>
        <v>-4.2420540958701836E-3</v>
      </c>
    </row>
    <row r="3896" spans="2:7" x14ac:dyDescent="0.2">
      <c r="B3896" s="167">
        <v>42838</v>
      </c>
      <c r="C3896" s="28">
        <v>279.14999999999998</v>
      </c>
      <c r="D3896" s="83">
        <f t="shared" si="124"/>
        <v>-0.30716537191928728</v>
      </c>
      <c r="E3896" s="83">
        <v>-9.7552323518978364E-3</v>
      </c>
      <c r="F3896" s="83">
        <v>3888</v>
      </c>
      <c r="G3896" s="83">
        <f t="shared" ca="1" si="125"/>
        <v>1.4011948793634236E-2</v>
      </c>
    </row>
    <row r="3897" spans="2:7" x14ac:dyDescent="0.2">
      <c r="B3897" s="167">
        <v>45397</v>
      </c>
      <c r="C3897" s="28">
        <v>402.91</v>
      </c>
      <c r="D3897" s="83">
        <f t="shared" si="124"/>
        <v>1.3357101449275364</v>
      </c>
      <c r="E3897" s="83">
        <v>-9.75717656311436E-3</v>
      </c>
      <c r="F3897" s="83">
        <v>3889</v>
      </c>
      <c r="G3897" s="83">
        <f t="shared" ca="1" si="125"/>
        <v>-2.2291391981400854E-2</v>
      </c>
    </row>
    <row r="3898" spans="2:7" x14ac:dyDescent="0.2">
      <c r="B3898" s="167">
        <v>44097</v>
      </c>
      <c r="C3898" s="28">
        <v>172.5</v>
      </c>
      <c r="D3898" s="83">
        <f t="shared" si="124"/>
        <v>-0.21945701357466063</v>
      </c>
      <c r="E3898" s="83">
        <v>-9.7588978185992464E-3</v>
      </c>
      <c r="F3898" s="83">
        <v>3890</v>
      </c>
      <c r="G3898" s="83">
        <f t="shared" ca="1" si="125"/>
        <v>6.2756254119791582E-3</v>
      </c>
    </row>
    <row r="3899" spans="2:7" x14ac:dyDescent="0.2">
      <c r="B3899" s="167">
        <v>42082</v>
      </c>
      <c r="C3899" s="28">
        <v>221</v>
      </c>
      <c r="D3899" s="83">
        <f t="shared" si="124"/>
        <v>-0.47561988373472536</v>
      </c>
      <c r="E3899" s="83">
        <v>-9.767900349493713E-3</v>
      </c>
      <c r="F3899" s="83">
        <v>3891</v>
      </c>
      <c r="G3899" s="83">
        <f t="shared" ca="1" si="125"/>
        <v>-1.3360094284354383E-2</v>
      </c>
    </row>
    <row r="3900" spans="2:7" x14ac:dyDescent="0.2">
      <c r="B3900" s="167">
        <v>45077</v>
      </c>
      <c r="C3900" s="28">
        <v>421.45</v>
      </c>
      <c r="D3900" s="83">
        <f t="shared" si="124"/>
        <v>1.1692917438748198</v>
      </c>
      <c r="E3900" s="83">
        <v>-9.7742064331195807E-3</v>
      </c>
      <c r="F3900" s="83">
        <v>3892</v>
      </c>
      <c r="G3900" s="83">
        <f t="shared" ca="1" si="125"/>
        <v>8.4931419095009503E-4</v>
      </c>
    </row>
    <row r="3901" spans="2:7" x14ac:dyDescent="0.2">
      <c r="B3901" s="167">
        <v>41260</v>
      </c>
      <c r="C3901" s="28">
        <v>194.28</v>
      </c>
      <c r="D3901" s="83">
        <f t="shared" si="124"/>
        <v>1.5617088607594936</v>
      </c>
      <c r="E3901" s="83">
        <v>-9.7859327217124752E-3</v>
      </c>
      <c r="F3901" s="83">
        <v>3893</v>
      </c>
      <c r="G3901" s="83">
        <f t="shared" ca="1" si="125"/>
        <v>-4.0862114012303547E-3</v>
      </c>
    </row>
    <row r="3902" spans="2:7" x14ac:dyDescent="0.2">
      <c r="B3902" s="167">
        <v>40073</v>
      </c>
      <c r="C3902" s="28">
        <v>75.84</v>
      </c>
      <c r="D3902" s="83">
        <f t="shared" si="124"/>
        <v>-0.65749898387752337</v>
      </c>
      <c r="E3902" s="83">
        <v>-9.7924010967489223E-3</v>
      </c>
      <c r="F3902" s="83">
        <v>3894</v>
      </c>
      <c r="G3902" s="83">
        <f t="shared" ca="1" si="125"/>
        <v>-3.2884594105952382E-2</v>
      </c>
    </row>
    <row r="3903" spans="2:7" x14ac:dyDescent="0.2">
      <c r="B3903" s="167">
        <v>41430</v>
      </c>
      <c r="C3903" s="28">
        <v>221.43</v>
      </c>
      <c r="D3903" s="83">
        <f t="shared" si="124"/>
        <v>-0.17299719887955178</v>
      </c>
      <c r="E3903" s="83">
        <v>-9.7933995170378218E-3</v>
      </c>
      <c r="F3903" s="83">
        <v>3895</v>
      </c>
      <c r="G3903" s="83">
        <f t="shared" ca="1" si="125"/>
        <v>1.2722487941802672E-2</v>
      </c>
    </row>
    <row r="3904" spans="2:7" x14ac:dyDescent="0.2">
      <c r="B3904" s="167">
        <v>43675</v>
      </c>
      <c r="C3904" s="28">
        <v>267.75</v>
      </c>
      <c r="D3904" s="83">
        <f t="shared" si="124"/>
        <v>3.733074067526958</v>
      </c>
      <c r="E3904" s="83">
        <v>-9.8002958579880822E-3</v>
      </c>
      <c r="F3904" s="83">
        <v>3896</v>
      </c>
      <c r="G3904" s="83">
        <f t="shared" ca="1" si="125"/>
        <v>-9.6710132571993478E-3</v>
      </c>
    </row>
    <row r="3905" spans="2:7" x14ac:dyDescent="0.2">
      <c r="B3905" s="167">
        <v>39808</v>
      </c>
      <c r="C3905" s="28">
        <v>56.57</v>
      </c>
      <c r="D3905" s="83">
        <f t="shared" si="124"/>
        <v>-0.7885628854419735</v>
      </c>
      <c r="E3905" s="83">
        <v>-9.802205496236692E-3</v>
      </c>
      <c r="F3905" s="83">
        <v>3897</v>
      </c>
      <c r="G3905" s="83">
        <f t="shared" ca="1" si="125"/>
        <v>2.5087500642855778E-2</v>
      </c>
    </row>
    <row r="3906" spans="2:7" x14ac:dyDescent="0.2">
      <c r="B3906" s="167">
        <v>43678</v>
      </c>
      <c r="C3906" s="28">
        <v>267.55</v>
      </c>
      <c r="D3906" s="83">
        <f t="shared" si="124"/>
        <v>-0.36173004437234602</v>
      </c>
      <c r="E3906" s="83">
        <v>-9.8075499629902939E-3</v>
      </c>
      <c r="F3906" s="83">
        <v>3898</v>
      </c>
      <c r="G3906" s="83">
        <f t="shared" ca="1" si="125"/>
        <v>5.7414655528574326E-4</v>
      </c>
    </row>
    <row r="3907" spans="2:7" x14ac:dyDescent="0.2">
      <c r="B3907" s="167">
        <v>45191</v>
      </c>
      <c r="C3907" s="28">
        <v>419.18</v>
      </c>
      <c r="D3907" s="83">
        <f t="shared" si="124"/>
        <v>0.8782148938076888</v>
      </c>
      <c r="E3907" s="83">
        <v>-9.8266169036707336E-3</v>
      </c>
      <c r="F3907" s="83">
        <v>3899</v>
      </c>
      <c r="G3907" s="83">
        <f t="shared" ca="1" si="125"/>
        <v>7.11436097551914E-5</v>
      </c>
    </row>
    <row r="3908" spans="2:7" x14ac:dyDescent="0.2">
      <c r="B3908" s="167">
        <v>42081</v>
      </c>
      <c r="C3908" s="28">
        <v>223.18</v>
      </c>
      <c r="D3908" s="83">
        <f t="shared" si="124"/>
        <v>0.64175371487420929</v>
      </c>
      <c r="E3908" s="83">
        <v>-9.8930837141208896E-3</v>
      </c>
      <c r="F3908" s="83">
        <v>3900</v>
      </c>
      <c r="G3908" s="83">
        <f t="shared" ca="1" si="125"/>
        <v>-1.3167724569438783E-2</v>
      </c>
    </row>
    <row r="3909" spans="2:7" x14ac:dyDescent="0.2">
      <c r="B3909" s="167">
        <v>40836</v>
      </c>
      <c r="C3909" s="28">
        <v>135.94</v>
      </c>
      <c r="D3909" s="83">
        <f t="shared" si="124"/>
        <v>-8.6854302411500009E-2</v>
      </c>
      <c r="E3909" s="83">
        <v>-9.9053168244720574E-3</v>
      </c>
      <c r="F3909" s="83">
        <v>3901</v>
      </c>
      <c r="G3909" s="83">
        <f t="shared" ca="1" si="125"/>
        <v>-8.7789100641751539E-3</v>
      </c>
    </row>
    <row r="3910" spans="2:7" x14ac:dyDescent="0.2">
      <c r="B3910" s="167">
        <v>40997</v>
      </c>
      <c r="C3910" s="28">
        <v>148.87</v>
      </c>
      <c r="D3910" s="83">
        <f t="shared" si="124"/>
        <v>-0.44719643520237656</v>
      </c>
      <c r="E3910" s="83">
        <v>-9.9095504123437681E-3</v>
      </c>
      <c r="F3910" s="83">
        <v>3902</v>
      </c>
      <c r="G3910" s="83">
        <f t="shared" ca="1" si="125"/>
        <v>-3.6854166683758368E-3</v>
      </c>
    </row>
    <row r="3911" spans="2:7" x14ac:dyDescent="0.2">
      <c r="B3911" s="167">
        <v>42993</v>
      </c>
      <c r="C3911" s="28">
        <v>269.3</v>
      </c>
      <c r="D3911" s="83">
        <f t="shared" si="124"/>
        <v>-1.804922515952594E-2</v>
      </c>
      <c r="E3911" s="83">
        <v>-9.9264705882352519E-3</v>
      </c>
      <c r="F3911" s="83">
        <v>3903</v>
      </c>
      <c r="G3911" s="83">
        <f t="shared" ca="1" si="125"/>
        <v>-2.089818412799762E-2</v>
      </c>
    </row>
    <row r="3912" spans="2:7" x14ac:dyDescent="0.2">
      <c r="B3912" s="167">
        <v>43637</v>
      </c>
      <c r="C3912" s="28">
        <v>274.25</v>
      </c>
      <c r="D3912" s="83">
        <f t="shared" si="124"/>
        <v>-0.32773624218654246</v>
      </c>
      <c r="E3912" s="83">
        <v>-9.9277978339350186E-3</v>
      </c>
      <c r="F3912" s="83">
        <v>3904</v>
      </c>
      <c r="G3912" s="83">
        <f t="shared" ca="1" si="125"/>
        <v>-2.1299713599801397E-2</v>
      </c>
    </row>
    <row r="3913" spans="2:7" x14ac:dyDescent="0.2">
      <c r="B3913" s="167">
        <v>45733</v>
      </c>
      <c r="C3913" s="28">
        <v>407.95</v>
      </c>
      <c r="D3913" s="83">
        <f t="shared" ref="D3913:D3976" si="126">(C3913-C3914)/C3914</f>
        <v>1.4897772352761673</v>
      </c>
      <c r="E3913" s="83">
        <v>-9.9502487562189608E-3</v>
      </c>
      <c r="F3913" s="83">
        <v>3905</v>
      </c>
      <c r="G3913" s="83">
        <f t="shared" ref="G3913:G3976" ca="1" si="127">_xlfn.NORM.INV(RAND(),$M$10,$M$11)</f>
        <v>-1.0944372504741577E-2</v>
      </c>
    </row>
    <row r="3914" spans="2:7" x14ac:dyDescent="0.2">
      <c r="B3914" s="167">
        <v>44133</v>
      </c>
      <c r="C3914" s="28">
        <v>163.85</v>
      </c>
      <c r="D3914" s="83">
        <f t="shared" si="126"/>
        <v>-0.19503807418324742</v>
      </c>
      <c r="E3914" s="83">
        <v>-9.9697885196374965E-3</v>
      </c>
      <c r="F3914" s="83">
        <v>3906</v>
      </c>
      <c r="G3914" s="83">
        <f t="shared" ca="1" si="127"/>
        <v>2.6982863038837899E-3</v>
      </c>
    </row>
    <row r="3915" spans="2:7" x14ac:dyDescent="0.2">
      <c r="B3915" s="167">
        <v>44306</v>
      </c>
      <c r="C3915" s="28">
        <v>203.55</v>
      </c>
      <c r="D3915" s="83">
        <f t="shared" si="126"/>
        <v>-0.28061494963774514</v>
      </c>
      <c r="E3915" s="83">
        <v>-9.9708171206224858E-3</v>
      </c>
      <c r="F3915" s="83">
        <v>3907</v>
      </c>
      <c r="G3915" s="83">
        <f t="shared" ca="1" si="127"/>
        <v>-1.1282554816319653E-2</v>
      </c>
    </row>
    <row r="3916" spans="2:7" x14ac:dyDescent="0.2">
      <c r="B3916" s="167">
        <v>43437</v>
      </c>
      <c r="C3916" s="28">
        <v>282.95</v>
      </c>
      <c r="D3916" s="83">
        <f t="shared" si="126"/>
        <v>0.34680375077347797</v>
      </c>
      <c r="E3916" s="83">
        <v>-9.9720083974808357E-3</v>
      </c>
      <c r="F3916" s="83">
        <v>3908</v>
      </c>
      <c r="G3916" s="83">
        <f t="shared" ca="1" si="127"/>
        <v>-6.3892945291184533E-3</v>
      </c>
    </row>
    <row r="3917" spans="2:7" x14ac:dyDescent="0.2">
      <c r="B3917" s="167">
        <v>41688</v>
      </c>
      <c r="C3917" s="28">
        <v>210.09</v>
      </c>
      <c r="D3917" s="83">
        <f t="shared" si="126"/>
        <v>-0.5178436187547335</v>
      </c>
      <c r="E3917" s="83">
        <v>-9.9901041421233891E-3</v>
      </c>
      <c r="F3917" s="83">
        <v>3909</v>
      </c>
      <c r="G3917" s="83">
        <f t="shared" ca="1" si="127"/>
        <v>5.229532428680933E-4</v>
      </c>
    </row>
    <row r="3918" spans="2:7" x14ac:dyDescent="0.2">
      <c r="B3918" s="167">
        <v>45638</v>
      </c>
      <c r="C3918" s="28">
        <v>435.73</v>
      </c>
      <c r="D3918" s="83">
        <f t="shared" si="126"/>
        <v>0.57161406672678094</v>
      </c>
      <c r="E3918" s="83">
        <v>-9.9970463272214503E-3</v>
      </c>
      <c r="F3918" s="83">
        <v>3910</v>
      </c>
      <c r="G3918" s="83">
        <f t="shared" ca="1" si="127"/>
        <v>-5.7221373939991271E-3</v>
      </c>
    </row>
    <row r="3919" spans="2:7" x14ac:dyDescent="0.2">
      <c r="B3919" s="167">
        <v>43413</v>
      </c>
      <c r="C3919" s="28">
        <v>277.25</v>
      </c>
      <c r="D3919" s="83">
        <f t="shared" si="126"/>
        <v>3.5176796480364998</v>
      </c>
      <c r="E3919" s="83">
        <v>-9.9982146045349447E-3</v>
      </c>
      <c r="F3919" s="83">
        <v>3911</v>
      </c>
      <c r="G3919" s="83">
        <f t="shared" ca="1" si="127"/>
        <v>-3.3099984606288296E-2</v>
      </c>
    </row>
    <row r="3920" spans="2:7" x14ac:dyDescent="0.2">
      <c r="B3920" s="167">
        <v>39918</v>
      </c>
      <c r="C3920" s="28">
        <v>61.37</v>
      </c>
      <c r="D3920" s="83">
        <f t="shared" si="126"/>
        <v>-0.72033357637623041</v>
      </c>
      <c r="E3920" s="83">
        <v>-1.0001613163413527E-2</v>
      </c>
      <c r="F3920" s="83">
        <v>3912</v>
      </c>
      <c r="G3920" s="83">
        <f t="shared" ca="1" si="127"/>
        <v>2.2086756062244836E-3</v>
      </c>
    </row>
    <row r="3921" spans="2:7" x14ac:dyDescent="0.2">
      <c r="B3921" s="167">
        <v>41437</v>
      </c>
      <c r="C3921" s="28">
        <v>219.44</v>
      </c>
      <c r="D3921" s="83">
        <f t="shared" si="126"/>
        <v>1.5237492811960898</v>
      </c>
      <c r="E3921" s="83">
        <v>-1.0015338807182165E-2</v>
      </c>
      <c r="F3921" s="83">
        <v>3913</v>
      </c>
      <c r="G3921" s="83">
        <f t="shared" ca="1" si="127"/>
        <v>-2.1303277585718768E-4</v>
      </c>
    </row>
    <row r="3922" spans="2:7" x14ac:dyDescent="0.2">
      <c r="B3922" s="167">
        <v>40302</v>
      </c>
      <c r="C3922" s="28">
        <v>86.95</v>
      </c>
      <c r="D3922" s="83">
        <f t="shared" si="126"/>
        <v>-0.77549703072553577</v>
      </c>
      <c r="E3922" s="83">
        <v>-1.0019355573266485E-2</v>
      </c>
      <c r="F3922" s="83">
        <v>3914</v>
      </c>
      <c r="G3922" s="83">
        <f t="shared" ca="1" si="127"/>
        <v>2.9334193082092086E-3</v>
      </c>
    </row>
    <row r="3923" spans="2:7" x14ac:dyDescent="0.2">
      <c r="B3923" s="167">
        <v>45362</v>
      </c>
      <c r="C3923" s="28">
        <v>387.3</v>
      </c>
      <c r="D3923" s="83">
        <f t="shared" si="126"/>
        <v>0.42730790491984516</v>
      </c>
      <c r="E3923" s="83">
        <v>-1.00199376310005E-2</v>
      </c>
      <c r="F3923" s="83">
        <v>3915</v>
      </c>
      <c r="G3923" s="83">
        <f t="shared" ca="1" si="127"/>
        <v>2.3277190769265953E-2</v>
      </c>
    </row>
    <row r="3924" spans="2:7" x14ac:dyDescent="0.2">
      <c r="B3924" s="167">
        <v>43140</v>
      </c>
      <c r="C3924" s="28">
        <v>271.35000000000002</v>
      </c>
      <c r="D3924" s="83">
        <f t="shared" si="126"/>
        <v>-0.34579777231303332</v>
      </c>
      <c r="E3924" s="83">
        <v>-1.0032834731849689E-2</v>
      </c>
      <c r="F3924" s="83">
        <v>3916</v>
      </c>
      <c r="G3924" s="83">
        <f t="shared" ca="1" si="127"/>
        <v>3.9054877364459012E-3</v>
      </c>
    </row>
    <row r="3925" spans="2:7" x14ac:dyDescent="0.2">
      <c r="B3925" s="167">
        <v>45086</v>
      </c>
      <c r="C3925" s="28">
        <v>414.78</v>
      </c>
      <c r="D3925" s="83">
        <f t="shared" si="126"/>
        <v>0.53281596452328139</v>
      </c>
      <c r="E3925" s="83">
        <v>-1.0047972505310476E-2</v>
      </c>
      <c r="F3925" s="83">
        <v>3917</v>
      </c>
      <c r="G3925" s="83">
        <f t="shared" ca="1" si="127"/>
        <v>9.5782356936635511E-3</v>
      </c>
    </row>
    <row r="3926" spans="2:7" x14ac:dyDescent="0.2">
      <c r="B3926" s="167">
        <v>42779</v>
      </c>
      <c r="C3926" s="28">
        <v>270.60000000000002</v>
      </c>
      <c r="D3926" s="83">
        <f t="shared" si="126"/>
        <v>-0.42859556137424237</v>
      </c>
      <c r="E3926" s="83">
        <v>-1.0060362173038229E-2</v>
      </c>
      <c r="F3926" s="83">
        <v>3918</v>
      </c>
      <c r="G3926" s="83">
        <f t="shared" ca="1" si="127"/>
        <v>-1.4274935243260688E-2</v>
      </c>
    </row>
    <row r="3927" spans="2:7" x14ac:dyDescent="0.2">
      <c r="B3927" s="167">
        <v>45531</v>
      </c>
      <c r="C3927" s="28">
        <v>473.57</v>
      </c>
      <c r="D3927" s="83">
        <f t="shared" si="126"/>
        <v>1.0572111207645527</v>
      </c>
      <c r="E3927" s="83">
        <v>-1.0096153846153814E-2</v>
      </c>
      <c r="F3927" s="83">
        <v>3919</v>
      </c>
      <c r="G3927" s="83">
        <f t="shared" ca="1" si="127"/>
        <v>3.4391142606728991E-3</v>
      </c>
    </row>
    <row r="3928" spans="2:7" x14ac:dyDescent="0.2">
      <c r="B3928" s="167">
        <v>42710</v>
      </c>
      <c r="C3928" s="28">
        <v>230.2</v>
      </c>
      <c r="D3928" s="83">
        <f t="shared" si="126"/>
        <v>6.520321669201359E-4</v>
      </c>
      <c r="E3928" s="83">
        <v>-1.0105353687379156E-2</v>
      </c>
      <c r="F3928" s="83">
        <v>3920</v>
      </c>
      <c r="G3928" s="83">
        <f t="shared" ca="1" si="127"/>
        <v>9.9138305328933998E-3</v>
      </c>
    </row>
    <row r="3929" spans="2:7" x14ac:dyDescent="0.2">
      <c r="B3929" s="167">
        <v>41926</v>
      </c>
      <c r="C3929" s="28">
        <v>230.05</v>
      </c>
      <c r="D3929" s="83">
        <f t="shared" si="126"/>
        <v>-0.12295081967213115</v>
      </c>
      <c r="E3929" s="83">
        <v>-1.0111876075731472E-2</v>
      </c>
      <c r="F3929" s="83">
        <v>3921</v>
      </c>
      <c r="G3929" s="83">
        <f t="shared" ca="1" si="127"/>
        <v>3.359740514295944E-2</v>
      </c>
    </row>
    <row r="3930" spans="2:7" x14ac:dyDescent="0.2">
      <c r="B3930" s="167">
        <v>42061</v>
      </c>
      <c r="C3930" s="28">
        <v>262.3</v>
      </c>
      <c r="D3930" s="83">
        <f t="shared" si="126"/>
        <v>-0.39737168588889393</v>
      </c>
      <c r="E3930" s="83">
        <v>-1.0113970865725741E-2</v>
      </c>
      <c r="F3930" s="83">
        <v>3922</v>
      </c>
      <c r="G3930" s="83">
        <f t="shared" ca="1" si="127"/>
        <v>4.4375480648144068E-3</v>
      </c>
    </row>
    <row r="3931" spans="2:7" x14ac:dyDescent="0.2">
      <c r="B3931" s="167">
        <v>45140</v>
      </c>
      <c r="C3931" s="28">
        <v>435.26</v>
      </c>
      <c r="D3931" s="83">
        <f t="shared" si="126"/>
        <v>9.3880668257756561</v>
      </c>
      <c r="E3931" s="83">
        <v>-1.0120306565690998E-2</v>
      </c>
      <c r="F3931" s="83">
        <v>3923</v>
      </c>
      <c r="G3931" s="83">
        <f t="shared" ca="1" si="127"/>
        <v>1.0890286748890953E-3</v>
      </c>
    </row>
    <row r="3932" spans="2:7" x14ac:dyDescent="0.2">
      <c r="B3932" s="167">
        <v>38632</v>
      </c>
      <c r="C3932" s="28">
        <v>41.9</v>
      </c>
      <c r="D3932" s="83">
        <f t="shared" si="126"/>
        <v>-0.83763465860652564</v>
      </c>
      <c r="E3932" s="83">
        <v>-1.0158280179541689E-2</v>
      </c>
      <c r="F3932" s="83">
        <v>3924</v>
      </c>
      <c r="G3932" s="83">
        <f t="shared" ca="1" si="127"/>
        <v>-8.0137939708537845E-3</v>
      </c>
    </row>
    <row r="3933" spans="2:7" x14ac:dyDescent="0.2">
      <c r="B3933" s="167">
        <v>42054</v>
      </c>
      <c r="C3933" s="28">
        <v>258.06</v>
      </c>
      <c r="D3933" s="83">
        <f t="shared" si="126"/>
        <v>0.55927492447129912</v>
      </c>
      <c r="E3933" s="83">
        <v>-1.0164550650147586E-2</v>
      </c>
      <c r="F3933" s="83">
        <v>3925</v>
      </c>
      <c r="G3933" s="83">
        <f t="shared" ca="1" si="127"/>
        <v>3.4576952293745703E-3</v>
      </c>
    </row>
    <row r="3934" spans="2:7" x14ac:dyDescent="0.2">
      <c r="B3934" s="167">
        <v>44132</v>
      </c>
      <c r="C3934" s="28">
        <v>165.5</v>
      </c>
      <c r="D3934" s="83">
        <f t="shared" si="126"/>
        <v>1.8353606304608532</v>
      </c>
      <c r="E3934" s="83">
        <v>-1.0167464114832469E-2</v>
      </c>
      <c r="F3934" s="83">
        <v>3926</v>
      </c>
      <c r="G3934" s="83">
        <f t="shared" ca="1" si="127"/>
        <v>3.331562586994111E-3</v>
      </c>
    </row>
    <row r="3935" spans="2:7" x14ac:dyDescent="0.2">
      <c r="B3935" s="167">
        <v>39080</v>
      </c>
      <c r="C3935" s="28">
        <v>58.37</v>
      </c>
      <c r="D3935" s="83">
        <f t="shared" si="126"/>
        <v>-0.11734462422501132</v>
      </c>
      <c r="E3935" s="83">
        <v>-1.0174665083941012E-2</v>
      </c>
      <c r="F3935" s="83">
        <v>3927</v>
      </c>
      <c r="G3935" s="83">
        <f t="shared" ca="1" si="127"/>
        <v>3.0894177962114449E-2</v>
      </c>
    </row>
    <row r="3936" spans="2:7" x14ac:dyDescent="0.2">
      <c r="B3936" s="167">
        <v>39610</v>
      </c>
      <c r="C3936" s="28">
        <v>66.13</v>
      </c>
      <c r="D3936" s="83">
        <f t="shared" si="126"/>
        <v>-0.68358851674641152</v>
      </c>
      <c r="E3936" s="83">
        <v>-1.0178117048346157E-2</v>
      </c>
      <c r="F3936" s="83">
        <v>3928</v>
      </c>
      <c r="G3936" s="83">
        <f t="shared" ca="1" si="127"/>
        <v>-7.990317764564811E-3</v>
      </c>
    </row>
    <row r="3937" spans="2:7" x14ac:dyDescent="0.2">
      <c r="B3937" s="167">
        <v>44196</v>
      </c>
      <c r="C3937" s="28">
        <v>209</v>
      </c>
      <c r="D3937" s="83">
        <f t="shared" si="126"/>
        <v>-3.1465776912739205E-2</v>
      </c>
      <c r="E3937" s="83">
        <v>-1.0182334833057095E-2</v>
      </c>
      <c r="F3937" s="83">
        <v>3929</v>
      </c>
      <c r="G3937" s="83">
        <f t="shared" ca="1" si="127"/>
        <v>7.0407762739130393E-3</v>
      </c>
    </row>
    <row r="3938" spans="2:7" x14ac:dyDescent="0.2">
      <c r="B3938" s="167">
        <v>41655</v>
      </c>
      <c r="C3938" s="28">
        <v>215.79</v>
      </c>
      <c r="D3938" s="83">
        <f t="shared" si="126"/>
        <v>2.4181846982417232</v>
      </c>
      <c r="E3938" s="83">
        <v>-1.0183019127562951E-2</v>
      </c>
      <c r="F3938" s="83">
        <v>3930</v>
      </c>
      <c r="G3938" s="83">
        <f t="shared" ca="1" si="127"/>
        <v>6.1765676272073754E-3</v>
      </c>
    </row>
    <row r="3939" spans="2:7" x14ac:dyDescent="0.2">
      <c r="B3939" s="167">
        <v>39724</v>
      </c>
      <c r="C3939" s="28">
        <v>63.13</v>
      </c>
      <c r="D3939" s="83">
        <f t="shared" si="126"/>
        <v>-0.29099281221922735</v>
      </c>
      <c r="E3939" s="83">
        <v>-1.0191282533709604E-2</v>
      </c>
      <c r="F3939" s="83">
        <v>3931</v>
      </c>
      <c r="G3939" s="83">
        <f t="shared" ca="1" si="127"/>
        <v>-1.5251535462221365E-2</v>
      </c>
    </row>
    <row r="3940" spans="2:7" x14ac:dyDescent="0.2">
      <c r="B3940" s="167">
        <v>40281</v>
      </c>
      <c r="C3940" s="28">
        <v>89.04</v>
      </c>
      <c r="D3940" s="83">
        <f t="shared" si="126"/>
        <v>0.41715740888110792</v>
      </c>
      <c r="E3940" s="83">
        <v>-1.022676745220084E-2</v>
      </c>
      <c r="F3940" s="83">
        <v>3932</v>
      </c>
      <c r="G3940" s="83">
        <f t="shared" ca="1" si="127"/>
        <v>-7.5260064808462647E-3</v>
      </c>
    </row>
    <row r="3941" spans="2:7" x14ac:dyDescent="0.2">
      <c r="B3941" s="167">
        <v>38961</v>
      </c>
      <c r="C3941" s="28">
        <v>62.83</v>
      </c>
      <c r="D3941" s="83">
        <f t="shared" si="126"/>
        <v>-0.70314197968343961</v>
      </c>
      <c r="E3941" s="83">
        <v>-1.0239445494643961E-2</v>
      </c>
      <c r="F3941" s="83">
        <v>3933</v>
      </c>
      <c r="G3941" s="83">
        <f t="shared" ca="1" si="127"/>
        <v>-1.3031073694710708E-2</v>
      </c>
    </row>
    <row r="3942" spans="2:7" x14ac:dyDescent="0.2">
      <c r="B3942" s="167">
        <v>42275</v>
      </c>
      <c r="C3942" s="28">
        <v>211.65</v>
      </c>
      <c r="D3942" s="83">
        <f t="shared" si="126"/>
        <v>0.10050956738768725</v>
      </c>
      <c r="E3942" s="83">
        <v>-1.0241301907968564E-2</v>
      </c>
      <c r="F3942" s="83">
        <v>3934</v>
      </c>
      <c r="G3942" s="83">
        <f t="shared" ca="1" si="127"/>
        <v>1.7040394440905628E-2</v>
      </c>
    </row>
    <row r="3943" spans="2:7" x14ac:dyDescent="0.2">
      <c r="B3943" s="167">
        <v>41262</v>
      </c>
      <c r="C3943" s="28">
        <v>192.32</v>
      </c>
      <c r="D3943" s="83">
        <f t="shared" si="126"/>
        <v>2.7650743931088493</v>
      </c>
      <c r="E3943" s="83">
        <v>-1.024136688796258E-2</v>
      </c>
      <c r="F3943" s="83">
        <v>3935</v>
      </c>
      <c r="G3943" s="83">
        <f t="shared" ca="1" si="127"/>
        <v>7.2131551277094634E-3</v>
      </c>
    </row>
    <row r="3944" spans="2:7" x14ac:dyDescent="0.2">
      <c r="B3944" s="167">
        <v>39281</v>
      </c>
      <c r="C3944" s="28">
        <v>51.08</v>
      </c>
      <c r="D3944" s="83">
        <f t="shared" si="126"/>
        <v>-0.80285604013894252</v>
      </c>
      <c r="E3944" s="83">
        <v>-1.0269327649680316E-2</v>
      </c>
      <c r="F3944" s="83">
        <v>3936</v>
      </c>
      <c r="G3944" s="83">
        <f t="shared" ca="1" si="127"/>
        <v>9.8852716657882797E-3</v>
      </c>
    </row>
    <row r="3945" spans="2:7" x14ac:dyDescent="0.2">
      <c r="B3945" s="167">
        <v>44728</v>
      </c>
      <c r="C3945" s="28">
        <v>259.10000000000002</v>
      </c>
      <c r="D3945" s="83">
        <f t="shared" si="126"/>
        <v>0.93574897273066893</v>
      </c>
      <c r="E3945" s="83">
        <v>-1.027541158944191E-2</v>
      </c>
      <c r="F3945" s="83">
        <v>3937</v>
      </c>
      <c r="G3945" s="83">
        <f t="shared" ca="1" si="127"/>
        <v>3.6150133392554788E-2</v>
      </c>
    </row>
    <row r="3946" spans="2:7" x14ac:dyDescent="0.2">
      <c r="B3946" s="167">
        <v>40829</v>
      </c>
      <c r="C3946" s="28">
        <v>133.85</v>
      </c>
      <c r="D3946" s="83">
        <f t="shared" si="126"/>
        <v>-0.69077047476030951</v>
      </c>
      <c r="E3946" s="83">
        <v>-1.0278024253179641E-2</v>
      </c>
      <c r="F3946" s="83">
        <v>3938</v>
      </c>
      <c r="G3946" s="83">
        <f t="shared" ca="1" si="127"/>
        <v>-1.41488074953155E-2</v>
      </c>
    </row>
    <row r="3947" spans="2:7" x14ac:dyDescent="0.2">
      <c r="B3947" s="167">
        <v>45673</v>
      </c>
      <c r="C3947" s="28">
        <v>432.85</v>
      </c>
      <c r="D3947" s="83">
        <f t="shared" si="126"/>
        <v>0.63648393194706998</v>
      </c>
      <c r="E3947" s="83">
        <v>-1.028924202583743E-2</v>
      </c>
      <c r="F3947" s="83">
        <v>3939</v>
      </c>
      <c r="G3947" s="83">
        <f t="shared" ca="1" si="127"/>
        <v>2.5582428852134395E-2</v>
      </c>
    </row>
    <row r="3948" spans="2:7" x14ac:dyDescent="0.2">
      <c r="B3948" s="167">
        <v>43266</v>
      </c>
      <c r="C3948" s="28">
        <v>264.5</v>
      </c>
      <c r="D3948" s="83">
        <f t="shared" si="126"/>
        <v>5.8211642328465742E-2</v>
      </c>
      <c r="E3948" s="83">
        <v>-1.028999064546305E-2</v>
      </c>
      <c r="F3948" s="83">
        <v>3940</v>
      </c>
      <c r="G3948" s="83">
        <f t="shared" ca="1" si="127"/>
        <v>-4.5318058751795842E-2</v>
      </c>
    </row>
    <row r="3949" spans="2:7" x14ac:dyDescent="0.2">
      <c r="B3949" s="167">
        <v>42590</v>
      </c>
      <c r="C3949" s="28">
        <v>249.95</v>
      </c>
      <c r="D3949" s="83">
        <f t="shared" si="126"/>
        <v>-0.29985994397759108</v>
      </c>
      <c r="E3949" s="83">
        <v>-1.0294991090873184E-2</v>
      </c>
      <c r="F3949" s="83">
        <v>3941</v>
      </c>
      <c r="G3949" s="83">
        <f t="shared" ca="1" si="127"/>
        <v>2.1473930542014564E-2</v>
      </c>
    </row>
    <row r="3950" spans="2:7" x14ac:dyDescent="0.2">
      <c r="B3950" s="167">
        <v>44999</v>
      </c>
      <c r="C3950" s="28">
        <v>357</v>
      </c>
      <c r="D3950" s="83">
        <f t="shared" si="126"/>
        <v>0.87568959176167693</v>
      </c>
      <c r="E3950" s="83">
        <v>-1.0312707917498411E-2</v>
      </c>
      <c r="F3950" s="83">
        <v>3942</v>
      </c>
      <c r="G3950" s="83">
        <f t="shared" ca="1" si="127"/>
        <v>-1.1162775596322845E-2</v>
      </c>
    </row>
    <row r="3951" spans="2:7" x14ac:dyDescent="0.2">
      <c r="B3951" s="167">
        <v>41263</v>
      </c>
      <c r="C3951" s="28">
        <v>190.33</v>
      </c>
      <c r="D3951" s="83">
        <f t="shared" si="126"/>
        <v>-0.20039490820484809</v>
      </c>
      <c r="E3951" s="83">
        <v>-1.0347337770382596E-2</v>
      </c>
      <c r="F3951" s="83">
        <v>3943</v>
      </c>
      <c r="G3951" s="83">
        <f t="shared" ca="1" si="127"/>
        <v>3.1725246501955753E-2</v>
      </c>
    </row>
    <row r="3952" spans="2:7" x14ac:dyDescent="0.2">
      <c r="B3952" s="167">
        <v>41724</v>
      </c>
      <c r="C3952" s="28">
        <v>238.03</v>
      </c>
      <c r="D3952" s="83">
        <f t="shared" si="126"/>
        <v>-0.15547276920347708</v>
      </c>
      <c r="E3952" s="83">
        <v>-1.035256943289543E-2</v>
      </c>
      <c r="F3952" s="83">
        <v>3944</v>
      </c>
      <c r="G3952" s="83">
        <f t="shared" ca="1" si="127"/>
        <v>1.6447127850932657E-2</v>
      </c>
    </row>
    <row r="3953" spans="2:7" x14ac:dyDescent="0.2">
      <c r="B3953" s="167">
        <v>43235</v>
      </c>
      <c r="C3953" s="28">
        <v>281.85000000000002</v>
      </c>
      <c r="D3953" s="83">
        <f t="shared" si="126"/>
        <v>2.1829474872953134</v>
      </c>
      <c r="E3953" s="83">
        <v>-1.035814606741569E-2</v>
      </c>
      <c r="F3953" s="83">
        <v>3945</v>
      </c>
      <c r="G3953" s="83">
        <f t="shared" ca="1" si="127"/>
        <v>-7.2518713776813766E-3</v>
      </c>
    </row>
    <row r="3954" spans="2:7" x14ac:dyDescent="0.2">
      <c r="B3954" s="167">
        <v>40297</v>
      </c>
      <c r="C3954" s="28">
        <v>88.55</v>
      </c>
      <c r="D3954" s="83">
        <f t="shared" si="126"/>
        <v>0.16835994194484746</v>
      </c>
      <c r="E3954" s="83">
        <v>-1.0393383996423857E-2</v>
      </c>
      <c r="F3954" s="83">
        <v>3946</v>
      </c>
      <c r="G3954" s="83">
        <f t="shared" ca="1" si="127"/>
        <v>-2.0446649983629942E-2</v>
      </c>
    </row>
    <row r="3955" spans="2:7" x14ac:dyDescent="0.2">
      <c r="B3955" s="167">
        <v>40064</v>
      </c>
      <c r="C3955" s="28">
        <v>75.790000000000006</v>
      </c>
      <c r="D3955" s="83">
        <f t="shared" si="126"/>
        <v>-0.63907805133577777</v>
      </c>
      <c r="E3955" s="83">
        <v>-1.0445227836532147E-2</v>
      </c>
      <c r="F3955" s="83">
        <v>3947</v>
      </c>
      <c r="G3955" s="83">
        <f t="shared" ca="1" si="127"/>
        <v>-1.5037066520757567E-2</v>
      </c>
    </row>
    <row r="3956" spans="2:7" x14ac:dyDescent="0.2">
      <c r="B3956" s="167">
        <v>42228</v>
      </c>
      <c r="C3956" s="28">
        <v>209.99</v>
      </c>
      <c r="D3956" s="83">
        <f t="shared" si="126"/>
        <v>2.416137953473239</v>
      </c>
      <c r="E3956" s="83">
        <v>-1.0461335469582013E-2</v>
      </c>
      <c r="F3956" s="83">
        <v>3948</v>
      </c>
      <c r="G3956" s="83">
        <f t="shared" ca="1" si="127"/>
        <v>2.344021062257471E-2</v>
      </c>
    </row>
    <row r="3957" spans="2:7" x14ac:dyDescent="0.2">
      <c r="B3957" s="167">
        <v>39359</v>
      </c>
      <c r="C3957" s="28">
        <v>61.47</v>
      </c>
      <c r="D3957" s="83">
        <f t="shared" si="126"/>
        <v>-0.69338587390263362</v>
      </c>
      <c r="E3957" s="83">
        <v>-1.0463618802318072E-2</v>
      </c>
      <c r="F3957" s="83">
        <v>3949</v>
      </c>
      <c r="G3957" s="83">
        <f t="shared" ca="1" si="127"/>
        <v>4.4787260050913567E-3</v>
      </c>
    </row>
    <row r="3958" spans="2:7" x14ac:dyDescent="0.2">
      <c r="B3958" s="167">
        <v>41358</v>
      </c>
      <c r="C3958" s="28">
        <v>200.48</v>
      </c>
      <c r="D3958" s="83">
        <f t="shared" si="126"/>
        <v>-0.51808850748780078</v>
      </c>
      <c r="E3958" s="83">
        <v>-1.0463968410661424E-2</v>
      </c>
      <c r="F3958" s="83">
        <v>3950</v>
      </c>
      <c r="G3958" s="83">
        <f t="shared" ca="1" si="127"/>
        <v>3.5063220856610858E-2</v>
      </c>
    </row>
    <row r="3959" spans="2:7" x14ac:dyDescent="0.2">
      <c r="B3959" s="167">
        <v>45202</v>
      </c>
      <c r="C3959" s="28">
        <v>416.01</v>
      </c>
      <c r="D3959" s="83">
        <f t="shared" si="126"/>
        <v>7.630912863070539</v>
      </c>
      <c r="E3959" s="83">
        <v>-1.0465973692348026E-2</v>
      </c>
      <c r="F3959" s="83">
        <v>3951</v>
      </c>
      <c r="G3959" s="83">
        <f t="shared" ca="1" si="127"/>
        <v>1.1889217249673747E-2</v>
      </c>
    </row>
    <row r="3960" spans="2:7" x14ac:dyDescent="0.2">
      <c r="B3960" s="167">
        <v>38722</v>
      </c>
      <c r="C3960" s="28">
        <v>48.2</v>
      </c>
      <c r="D3960" s="83">
        <f t="shared" si="126"/>
        <v>-0.78923433468888016</v>
      </c>
      <c r="E3960" s="83">
        <v>-1.0470129336891768E-2</v>
      </c>
      <c r="F3960" s="83">
        <v>3952</v>
      </c>
      <c r="G3960" s="83">
        <f t="shared" ca="1" si="127"/>
        <v>-5.797291839942895E-4</v>
      </c>
    </row>
    <row r="3961" spans="2:7" x14ac:dyDescent="0.2">
      <c r="B3961" s="167">
        <v>41871</v>
      </c>
      <c r="C3961" s="28">
        <v>228.69</v>
      </c>
      <c r="D3961" s="83">
        <f t="shared" si="126"/>
        <v>1.8163793103448276</v>
      </c>
      <c r="E3961" s="83">
        <v>-1.0471204188481744E-2</v>
      </c>
      <c r="F3961" s="83">
        <v>3953</v>
      </c>
      <c r="G3961" s="83">
        <f t="shared" ca="1" si="127"/>
        <v>-9.4041416499241158E-3</v>
      </c>
    </row>
    <row r="3962" spans="2:7" x14ac:dyDescent="0.2">
      <c r="B3962" s="167">
        <v>40093</v>
      </c>
      <c r="C3962" s="28">
        <v>81.2</v>
      </c>
      <c r="D3962" s="83">
        <f t="shared" si="126"/>
        <v>1.8507094386182072E-3</v>
      </c>
      <c r="E3962" s="83">
        <v>-1.0480136485498408E-2</v>
      </c>
      <c r="F3962" s="83">
        <v>3954</v>
      </c>
      <c r="G3962" s="83">
        <f t="shared" ca="1" si="127"/>
        <v>-1.6213548797351235E-2</v>
      </c>
    </row>
    <row r="3963" spans="2:7" x14ac:dyDescent="0.2">
      <c r="B3963" s="167">
        <v>40199</v>
      </c>
      <c r="C3963" s="28">
        <v>81.05</v>
      </c>
      <c r="D3963" s="83">
        <f t="shared" si="126"/>
        <v>0.53591055523971942</v>
      </c>
      <c r="E3963" s="83">
        <v>-1.0499328531314852E-2</v>
      </c>
      <c r="F3963" s="83">
        <v>3955</v>
      </c>
      <c r="G3963" s="83">
        <f t="shared" ca="1" si="127"/>
        <v>-5.5874961091973846E-3</v>
      </c>
    </row>
    <row r="3964" spans="2:7" x14ac:dyDescent="0.2">
      <c r="B3964" s="167">
        <v>38756</v>
      </c>
      <c r="C3964" s="28">
        <v>52.77</v>
      </c>
      <c r="D3964" s="83">
        <f t="shared" si="126"/>
        <v>-0.82488800398208062</v>
      </c>
      <c r="E3964" s="83">
        <v>-1.0500656291018099E-2</v>
      </c>
      <c r="F3964" s="83">
        <v>3956</v>
      </c>
      <c r="G3964" s="83">
        <f t="shared" ca="1" si="127"/>
        <v>-1.1497901691149757E-2</v>
      </c>
    </row>
    <row r="3965" spans="2:7" x14ac:dyDescent="0.2">
      <c r="B3965" s="167">
        <v>43585</v>
      </c>
      <c r="C3965" s="28">
        <v>301.35000000000002</v>
      </c>
      <c r="D3965" s="83">
        <f t="shared" si="126"/>
        <v>4.0989847715736047</v>
      </c>
      <c r="E3965" s="83">
        <v>-1.0507305861106512E-2</v>
      </c>
      <c r="F3965" s="83">
        <v>3957</v>
      </c>
      <c r="G3965" s="83">
        <f t="shared" ca="1" si="127"/>
        <v>8.0886526863362274E-3</v>
      </c>
    </row>
    <row r="3966" spans="2:7" x14ac:dyDescent="0.2">
      <c r="B3966" s="167">
        <v>39856</v>
      </c>
      <c r="C3966" s="28">
        <v>59.1</v>
      </c>
      <c r="D3966" s="83">
        <f t="shared" si="126"/>
        <v>5.0787201625192378E-4</v>
      </c>
      <c r="E3966" s="83">
        <v>-1.0547463586137543E-2</v>
      </c>
      <c r="F3966" s="83">
        <v>3958</v>
      </c>
      <c r="G3966" s="83">
        <f t="shared" ca="1" si="127"/>
        <v>1.1251629878498872E-2</v>
      </c>
    </row>
    <row r="3967" spans="2:7" x14ac:dyDescent="0.2">
      <c r="B3967" s="167">
        <v>39846</v>
      </c>
      <c r="C3967" s="28">
        <v>59.07</v>
      </c>
      <c r="D3967" s="83">
        <f t="shared" si="126"/>
        <v>-0.71614608361364729</v>
      </c>
      <c r="E3967" s="83">
        <v>-1.055276381909552E-2</v>
      </c>
      <c r="F3967" s="83">
        <v>3959</v>
      </c>
      <c r="G3967" s="83">
        <f t="shared" ca="1" si="127"/>
        <v>8.9859070560354085E-3</v>
      </c>
    </row>
    <row r="3968" spans="2:7" x14ac:dyDescent="0.2">
      <c r="B3968" s="167">
        <v>42384</v>
      </c>
      <c r="C3968" s="28">
        <v>208.1</v>
      </c>
      <c r="D3968" s="83">
        <f t="shared" si="126"/>
        <v>-0.29469581426876806</v>
      </c>
      <c r="E3968" s="83">
        <v>-1.0555344237352601E-2</v>
      </c>
      <c r="F3968" s="83">
        <v>3960</v>
      </c>
      <c r="G3968" s="83">
        <f t="shared" ca="1" si="127"/>
        <v>-4.157859401751373E-2</v>
      </c>
    </row>
    <row r="3969" spans="2:7" x14ac:dyDescent="0.2">
      <c r="B3969" s="167">
        <v>43549</v>
      </c>
      <c r="C3969" s="28">
        <v>295.05</v>
      </c>
      <c r="D3969" s="83">
        <f t="shared" si="126"/>
        <v>-0.32242507750602822</v>
      </c>
      <c r="E3969" s="83">
        <v>-1.0563380281690064E-2</v>
      </c>
      <c r="F3969" s="83">
        <v>3961</v>
      </c>
      <c r="G3969" s="83">
        <f t="shared" ca="1" si="127"/>
        <v>-2.1868249532792186E-3</v>
      </c>
    </row>
    <row r="3970" spans="2:7" x14ac:dyDescent="0.2">
      <c r="B3970" s="167">
        <v>45685</v>
      </c>
      <c r="C3970" s="28">
        <v>435.45</v>
      </c>
      <c r="D3970" s="83">
        <f t="shared" si="126"/>
        <v>1.1174325309992705</v>
      </c>
      <c r="E3970" s="83">
        <v>-1.0565780504430888E-2</v>
      </c>
      <c r="F3970" s="83">
        <v>3962</v>
      </c>
      <c r="G3970" s="83">
        <f t="shared" ca="1" si="127"/>
        <v>1.2353875928478404E-2</v>
      </c>
    </row>
    <row r="3971" spans="2:7" x14ac:dyDescent="0.2">
      <c r="B3971" s="167">
        <v>44364</v>
      </c>
      <c r="C3971" s="28">
        <v>205.65</v>
      </c>
      <c r="D3971" s="83">
        <f t="shared" si="126"/>
        <v>-0.13033365754641177</v>
      </c>
      <c r="E3971" s="83">
        <v>-1.0584556170315076E-2</v>
      </c>
      <c r="F3971" s="83">
        <v>3963</v>
      </c>
      <c r="G3971" s="83">
        <f t="shared" ca="1" si="127"/>
        <v>3.8568324721071734E-3</v>
      </c>
    </row>
    <row r="3972" spans="2:7" x14ac:dyDescent="0.2">
      <c r="B3972" s="167">
        <v>42543</v>
      </c>
      <c r="C3972" s="28">
        <v>236.47</v>
      </c>
      <c r="D3972" s="83">
        <f t="shared" si="126"/>
        <v>-0.14166969147005445</v>
      </c>
      <c r="E3972" s="83">
        <v>-1.0585774058577411E-2</v>
      </c>
      <c r="F3972" s="83">
        <v>3964</v>
      </c>
      <c r="G3972" s="83">
        <f t="shared" ca="1" si="127"/>
        <v>1.2219255397043277E-2</v>
      </c>
    </row>
    <row r="3973" spans="2:7" x14ac:dyDescent="0.2">
      <c r="B3973" s="167">
        <v>43495</v>
      </c>
      <c r="C3973" s="28">
        <v>275.5</v>
      </c>
      <c r="D3973" s="83">
        <f t="shared" si="126"/>
        <v>0.18164271927943382</v>
      </c>
      <c r="E3973" s="83">
        <v>-1.0594361644819496E-2</v>
      </c>
      <c r="F3973" s="83">
        <v>3965</v>
      </c>
      <c r="G3973" s="83">
        <f t="shared" ca="1" si="127"/>
        <v>-9.5086990577026686E-4</v>
      </c>
    </row>
    <row r="3974" spans="2:7" x14ac:dyDescent="0.2">
      <c r="B3974" s="167">
        <v>42718</v>
      </c>
      <c r="C3974" s="28">
        <v>233.15</v>
      </c>
      <c r="D3974" s="83">
        <f t="shared" si="126"/>
        <v>-7.259347653142402E-2</v>
      </c>
      <c r="E3974" s="83">
        <v>-1.0608953957139827E-2</v>
      </c>
      <c r="F3974" s="83">
        <v>3966</v>
      </c>
      <c r="G3974" s="83">
        <f t="shared" ca="1" si="127"/>
        <v>7.3417810104190861E-3</v>
      </c>
    </row>
    <row r="3975" spans="2:7" x14ac:dyDescent="0.2">
      <c r="B3975" s="167">
        <v>42605</v>
      </c>
      <c r="C3975" s="28">
        <v>251.4</v>
      </c>
      <c r="D3975" s="83">
        <f t="shared" si="126"/>
        <v>0.19589001997906957</v>
      </c>
      <c r="E3975" s="83">
        <v>-1.0625737898465127E-2</v>
      </c>
      <c r="F3975" s="83">
        <v>3967</v>
      </c>
      <c r="G3975" s="83">
        <f t="shared" ca="1" si="127"/>
        <v>-3.03094044452735E-2</v>
      </c>
    </row>
    <row r="3976" spans="2:7" x14ac:dyDescent="0.2">
      <c r="B3976" s="167">
        <v>42356</v>
      </c>
      <c r="C3976" s="28">
        <v>210.22</v>
      </c>
      <c r="D3976" s="83">
        <f t="shared" si="126"/>
        <v>-0.2331935072040853</v>
      </c>
      <c r="E3976" s="83">
        <v>-1.0636295180722849E-2</v>
      </c>
      <c r="F3976" s="83">
        <v>3968</v>
      </c>
      <c r="G3976" s="83">
        <f t="shared" ca="1" si="127"/>
        <v>2.2746200664176836E-2</v>
      </c>
    </row>
    <row r="3977" spans="2:7" x14ac:dyDescent="0.2">
      <c r="B3977" s="167">
        <v>43501</v>
      </c>
      <c r="C3977" s="28">
        <v>274.14999999999998</v>
      </c>
      <c r="D3977" s="83">
        <f t="shared" ref="D3977:D4040" si="128">(C3977-C3978)/C3978</f>
        <v>0.15821715251373042</v>
      </c>
      <c r="E3977" s="83">
        <v>-1.0645976181883959E-2</v>
      </c>
      <c r="F3977" s="83">
        <v>3969</v>
      </c>
      <c r="G3977" s="83">
        <f t="shared" ref="G3977:G4040" ca="1" si="129">_xlfn.NORM.INV(RAND(),$M$10,$M$11)</f>
        <v>2.1447884666587806E-2</v>
      </c>
    </row>
    <row r="3978" spans="2:7" x14ac:dyDescent="0.2">
      <c r="B3978" s="167">
        <v>43727</v>
      </c>
      <c r="C3978" s="28">
        <v>236.7</v>
      </c>
      <c r="D3978" s="83">
        <f t="shared" si="128"/>
        <v>-0.41126725531650299</v>
      </c>
      <c r="E3978" s="83">
        <v>-1.0658307210031396E-2</v>
      </c>
      <c r="F3978" s="83">
        <v>3970</v>
      </c>
      <c r="G3978" s="83">
        <f t="shared" ca="1" si="129"/>
        <v>-1.2832971065860253E-2</v>
      </c>
    </row>
    <row r="3979" spans="2:7" x14ac:dyDescent="0.2">
      <c r="B3979" s="167">
        <v>45708</v>
      </c>
      <c r="C3979" s="28">
        <v>402.05</v>
      </c>
      <c r="D3979" s="83">
        <f t="shared" si="128"/>
        <v>2.8565947242206238</v>
      </c>
      <c r="E3979" s="83">
        <v>-1.0703740157480232E-2</v>
      </c>
      <c r="F3979" s="83">
        <v>3971</v>
      </c>
      <c r="G3979" s="83">
        <f t="shared" ca="1" si="129"/>
        <v>-4.5486580311376206E-4</v>
      </c>
    </row>
    <row r="3980" spans="2:7" x14ac:dyDescent="0.2">
      <c r="B3980" s="167">
        <v>40400</v>
      </c>
      <c r="C3980" s="28">
        <v>104.25</v>
      </c>
      <c r="D3980" s="83">
        <f t="shared" si="128"/>
        <v>-0.77656085903508587</v>
      </c>
      <c r="E3980" s="83">
        <v>-1.0723097361928217E-2</v>
      </c>
      <c r="F3980" s="83">
        <v>3972</v>
      </c>
      <c r="G3980" s="83">
        <f t="shared" ca="1" si="129"/>
        <v>-2.7317173338617877E-2</v>
      </c>
    </row>
    <row r="3981" spans="2:7" x14ac:dyDescent="0.2">
      <c r="B3981" s="167">
        <v>45581</v>
      </c>
      <c r="C3981" s="28">
        <v>466.57</v>
      </c>
      <c r="D3981" s="83">
        <f t="shared" si="128"/>
        <v>6.471096877502001</v>
      </c>
      <c r="E3981" s="83">
        <v>-1.0749724366041883E-2</v>
      </c>
      <c r="F3981" s="83">
        <v>3973</v>
      </c>
      <c r="G3981" s="83">
        <f t="shared" ca="1" si="129"/>
        <v>-1.6562468232973908E-2</v>
      </c>
    </row>
    <row r="3982" spans="2:7" x14ac:dyDescent="0.2">
      <c r="B3982" s="167">
        <v>39941</v>
      </c>
      <c r="C3982" s="28">
        <v>62.45</v>
      </c>
      <c r="D3982" s="83">
        <f t="shared" si="128"/>
        <v>-0.73842931937172784</v>
      </c>
      <c r="E3982" s="83">
        <v>-1.0771424045620145E-2</v>
      </c>
      <c r="F3982" s="83">
        <v>3974</v>
      </c>
      <c r="G3982" s="83">
        <f t="shared" ca="1" si="129"/>
        <v>1.1455448847231214E-2</v>
      </c>
    </row>
    <row r="3983" spans="2:7" x14ac:dyDescent="0.2">
      <c r="B3983" s="167">
        <v>42668</v>
      </c>
      <c r="C3983" s="28">
        <v>238.75</v>
      </c>
      <c r="D3983" s="83">
        <f t="shared" si="128"/>
        <v>2.6623715293756711</v>
      </c>
      <c r="E3983" s="83">
        <v>-1.0772736689455125E-2</v>
      </c>
      <c r="F3983" s="83">
        <v>3975</v>
      </c>
      <c r="G3983" s="83">
        <f t="shared" ca="1" si="129"/>
        <v>-1.9022512074679726E-2</v>
      </c>
    </row>
    <row r="3984" spans="2:7" x14ac:dyDescent="0.2">
      <c r="B3984" s="167">
        <v>39406</v>
      </c>
      <c r="C3984" s="28">
        <v>65.19</v>
      </c>
      <c r="D3984" s="83">
        <f t="shared" si="128"/>
        <v>4.4376802306952838E-2</v>
      </c>
      <c r="E3984" s="83">
        <v>-1.0773899848255051E-2</v>
      </c>
      <c r="F3984" s="83">
        <v>3976</v>
      </c>
      <c r="G3984" s="83">
        <f t="shared" ca="1" si="129"/>
        <v>2.0367249076655002E-2</v>
      </c>
    </row>
    <row r="3985" spans="2:7" x14ac:dyDescent="0.2">
      <c r="B3985" s="167">
        <v>39057</v>
      </c>
      <c r="C3985" s="28">
        <v>62.42</v>
      </c>
      <c r="D3985" s="83">
        <f t="shared" si="128"/>
        <v>-0.75166103043564758</v>
      </c>
      <c r="E3985" s="83">
        <v>-1.0776545166402531E-2</v>
      </c>
      <c r="F3985" s="83">
        <v>3977</v>
      </c>
      <c r="G3985" s="83">
        <f t="shared" ca="1" si="129"/>
        <v>-1.7790182803400573E-2</v>
      </c>
    </row>
    <row r="3986" spans="2:7" x14ac:dyDescent="0.2">
      <c r="B3986" s="167">
        <v>44693</v>
      </c>
      <c r="C3986" s="28">
        <v>251.35</v>
      </c>
      <c r="D3986" s="83">
        <f t="shared" si="128"/>
        <v>-0.38424791768740812</v>
      </c>
      <c r="E3986" s="83">
        <v>-1.0783580621039825E-2</v>
      </c>
      <c r="F3986" s="83">
        <v>3978</v>
      </c>
      <c r="G3986" s="83">
        <f t="shared" ca="1" si="129"/>
        <v>3.5427445333791205E-2</v>
      </c>
    </row>
    <row r="3987" spans="2:7" x14ac:dyDescent="0.2">
      <c r="B3987" s="167">
        <v>45439</v>
      </c>
      <c r="C3987" s="28">
        <v>408.2</v>
      </c>
      <c r="D3987" s="83">
        <f t="shared" si="128"/>
        <v>0.91841338471660861</v>
      </c>
      <c r="E3987" s="83">
        <v>-1.0783957348842818E-2</v>
      </c>
      <c r="F3987" s="83">
        <v>3979</v>
      </c>
      <c r="G3987" s="83">
        <f t="shared" ca="1" si="129"/>
        <v>-1.7890854815331637E-2</v>
      </c>
    </row>
    <row r="3988" spans="2:7" x14ac:dyDescent="0.2">
      <c r="B3988" s="167">
        <v>42226</v>
      </c>
      <c r="C3988" s="28">
        <v>212.78</v>
      </c>
      <c r="D3988" s="83">
        <f t="shared" si="128"/>
        <v>2.6583683118637482E-2</v>
      </c>
      <c r="E3988" s="83">
        <v>-1.0785681078568076E-2</v>
      </c>
      <c r="F3988" s="83">
        <v>3980</v>
      </c>
      <c r="G3988" s="83">
        <f t="shared" ca="1" si="129"/>
        <v>2.3363969044676938E-2</v>
      </c>
    </row>
    <row r="3989" spans="2:7" x14ac:dyDescent="0.2">
      <c r="B3989" s="167">
        <v>42494</v>
      </c>
      <c r="C3989" s="28">
        <v>207.27</v>
      </c>
      <c r="D3989" s="83">
        <f t="shared" si="128"/>
        <v>1.1733249449512426</v>
      </c>
      <c r="E3989" s="83">
        <v>-1.0786044957762569E-2</v>
      </c>
      <c r="F3989" s="83">
        <v>3981</v>
      </c>
      <c r="G3989" s="83">
        <f t="shared" ca="1" si="129"/>
        <v>-1.0178541790099712E-2</v>
      </c>
    </row>
    <row r="3990" spans="2:7" x14ac:dyDescent="0.2">
      <c r="B3990" s="167">
        <v>40336</v>
      </c>
      <c r="C3990" s="28">
        <v>95.37</v>
      </c>
      <c r="D3990" s="83">
        <f t="shared" si="128"/>
        <v>0.17263002582073045</v>
      </c>
      <c r="E3990" s="83">
        <v>-1.0787262732081653E-2</v>
      </c>
      <c r="F3990" s="83">
        <v>3982</v>
      </c>
      <c r="G3990" s="83">
        <f t="shared" ca="1" si="129"/>
        <v>9.4085327589701027E-3</v>
      </c>
    </row>
    <row r="3991" spans="2:7" x14ac:dyDescent="0.2">
      <c r="B3991" s="167">
        <v>40217</v>
      </c>
      <c r="C3991" s="28">
        <v>81.33</v>
      </c>
      <c r="D3991" s="83">
        <f t="shared" si="128"/>
        <v>-0.65520603696794988</v>
      </c>
      <c r="E3991" s="83">
        <v>-1.0824616881537345E-2</v>
      </c>
      <c r="F3991" s="83">
        <v>3983</v>
      </c>
      <c r="G3991" s="83">
        <f t="shared" ca="1" si="129"/>
        <v>-2.294084397871499E-2</v>
      </c>
    </row>
    <row r="3992" spans="2:7" x14ac:dyDescent="0.2">
      <c r="B3992" s="167">
        <v>41718</v>
      </c>
      <c r="C3992" s="28">
        <v>235.88</v>
      </c>
      <c r="D3992" s="83">
        <f t="shared" si="128"/>
        <v>-0.51476003373722001</v>
      </c>
      <c r="E3992" s="83">
        <v>-1.086090493563133E-2</v>
      </c>
      <c r="F3992" s="83">
        <v>3984</v>
      </c>
      <c r="G3992" s="83">
        <f t="shared" ca="1" si="129"/>
        <v>-2.8935518912607144E-3</v>
      </c>
    </row>
    <row r="3993" spans="2:7" x14ac:dyDescent="0.2">
      <c r="B3993" s="167">
        <v>45548</v>
      </c>
      <c r="C3993" s="28">
        <v>486.11</v>
      </c>
      <c r="D3993" s="83">
        <f t="shared" si="128"/>
        <v>0.68163420624762172</v>
      </c>
      <c r="E3993" s="83">
        <v>-1.0865805270118985E-2</v>
      </c>
      <c r="F3993" s="83">
        <v>3985</v>
      </c>
      <c r="G3993" s="83">
        <f t="shared" ca="1" si="129"/>
        <v>-6.0287160149245433E-3</v>
      </c>
    </row>
    <row r="3994" spans="2:7" x14ac:dyDescent="0.2">
      <c r="B3994" s="167">
        <v>44756</v>
      </c>
      <c r="C3994" s="28">
        <v>289.07</v>
      </c>
      <c r="D3994" s="83">
        <f t="shared" si="128"/>
        <v>0.35364083352844755</v>
      </c>
      <c r="E3994" s="83">
        <v>-1.0881094952951264E-2</v>
      </c>
      <c r="F3994" s="83">
        <v>3986</v>
      </c>
      <c r="G3994" s="83">
        <f t="shared" ca="1" si="129"/>
        <v>-1.470038132183249E-2</v>
      </c>
    </row>
    <row r="3995" spans="2:7" x14ac:dyDescent="0.2">
      <c r="B3995" s="167">
        <v>44180</v>
      </c>
      <c r="C3995" s="28">
        <v>213.55</v>
      </c>
      <c r="D3995" s="83">
        <f t="shared" si="128"/>
        <v>-0.18848565456963698</v>
      </c>
      <c r="E3995" s="83">
        <v>-1.088466882816116E-2</v>
      </c>
      <c r="F3995" s="83">
        <v>3987</v>
      </c>
      <c r="G3995" s="83">
        <f t="shared" ca="1" si="129"/>
        <v>7.3702825922702248E-3</v>
      </c>
    </row>
    <row r="3996" spans="2:7" x14ac:dyDescent="0.2">
      <c r="B3996" s="167">
        <v>42787</v>
      </c>
      <c r="C3996" s="28">
        <v>263.14999999999998</v>
      </c>
      <c r="D3996" s="83">
        <f t="shared" si="128"/>
        <v>0.19918884433102432</v>
      </c>
      <c r="E3996" s="83">
        <v>-1.0900206728058763E-2</v>
      </c>
      <c r="F3996" s="83">
        <v>3988</v>
      </c>
      <c r="G3996" s="83">
        <f t="shared" ca="1" si="129"/>
        <v>-1.4969833378212342E-2</v>
      </c>
    </row>
    <row r="3997" spans="2:7" x14ac:dyDescent="0.2">
      <c r="B3997" s="167">
        <v>41415</v>
      </c>
      <c r="C3997" s="28">
        <v>219.44</v>
      </c>
      <c r="D3997" s="83">
        <f t="shared" si="128"/>
        <v>7.1222845984867E-2</v>
      </c>
      <c r="E3997" s="83">
        <v>-1.0907779680879906E-2</v>
      </c>
      <c r="F3997" s="83">
        <v>3989</v>
      </c>
      <c r="G3997" s="83">
        <f t="shared" ca="1" si="129"/>
        <v>-1.5813165656353212E-2</v>
      </c>
    </row>
    <row r="3998" spans="2:7" x14ac:dyDescent="0.2">
      <c r="B3998" s="167">
        <v>42410</v>
      </c>
      <c r="C3998" s="28">
        <v>204.85</v>
      </c>
      <c r="D3998" s="83">
        <f t="shared" si="128"/>
        <v>0.44964970631943946</v>
      </c>
      <c r="E3998" s="83">
        <v>-1.0912075708560761E-2</v>
      </c>
      <c r="F3998" s="83">
        <v>3990</v>
      </c>
      <c r="G3998" s="83">
        <f t="shared" ca="1" si="129"/>
        <v>1.3096312234951495E-2</v>
      </c>
    </row>
    <row r="3999" spans="2:7" x14ac:dyDescent="0.2">
      <c r="B3999" s="167">
        <v>40847</v>
      </c>
      <c r="C3999" s="28">
        <v>141.31</v>
      </c>
      <c r="D3999" s="83">
        <f t="shared" si="128"/>
        <v>-0.20361812443642918</v>
      </c>
      <c r="E3999" s="83">
        <v>-1.0919017288444056E-2</v>
      </c>
      <c r="F3999" s="83">
        <v>3991</v>
      </c>
      <c r="G3999" s="83">
        <f t="shared" ca="1" si="129"/>
        <v>1.3110441728718716E-2</v>
      </c>
    </row>
    <row r="4000" spans="2:7" x14ac:dyDescent="0.2">
      <c r="B4000" s="167">
        <v>41152</v>
      </c>
      <c r="C4000" s="28">
        <v>177.44</v>
      </c>
      <c r="D4000" s="83">
        <f t="shared" si="128"/>
        <v>-0.1458965102286402</v>
      </c>
      <c r="E4000" s="83">
        <v>-1.0925306577480535E-2</v>
      </c>
      <c r="F4000" s="83">
        <v>3992</v>
      </c>
      <c r="G4000" s="83">
        <f t="shared" ca="1" si="129"/>
        <v>4.499162058833648E-2</v>
      </c>
    </row>
    <row r="4001" spans="2:7" x14ac:dyDescent="0.2">
      <c r="B4001" s="167">
        <v>44335</v>
      </c>
      <c r="C4001" s="28">
        <v>207.75</v>
      </c>
      <c r="D4001" s="83">
        <f t="shared" si="128"/>
        <v>2.2908284492317441</v>
      </c>
      <c r="E4001" s="83">
        <v>-1.0949773863365918E-2</v>
      </c>
      <c r="F4001" s="83">
        <v>3993</v>
      </c>
      <c r="G4001" s="83">
        <f t="shared" ca="1" si="129"/>
        <v>-3.4049126796729577E-2</v>
      </c>
    </row>
    <row r="4002" spans="2:7" x14ac:dyDescent="0.2">
      <c r="B4002" s="167">
        <v>39940</v>
      </c>
      <c r="C4002" s="28">
        <v>63.13</v>
      </c>
      <c r="D4002" s="83">
        <f t="shared" si="128"/>
        <v>-0.7704363636363637</v>
      </c>
      <c r="E4002" s="83">
        <v>-1.0966630111232896E-2</v>
      </c>
      <c r="F4002" s="83">
        <v>3994</v>
      </c>
      <c r="G4002" s="83">
        <f t="shared" ca="1" si="129"/>
        <v>2.7866154731799445E-2</v>
      </c>
    </row>
    <row r="4003" spans="2:7" x14ac:dyDescent="0.2">
      <c r="B4003" s="167">
        <v>43633</v>
      </c>
      <c r="C4003" s="28">
        <v>275</v>
      </c>
      <c r="D4003" s="83">
        <f t="shared" si="128"/>
        <v>0.53494083500781431</v>
      </c>
      <c r="E4003" s="83">
        <v>-1.096925013486787E-2</v>
      </c>
      <c r="F4003" s="83">
        <v>3995</v>
      </c>
      <c r="G4003" s="83">
        <f t="shared" ca="1" si="129"/>
        <v>-3.471471135712597E-2</v>
      </c>
    </row>
    <row r="4004" spans="2:7" x14ac:dyDescent="0.2">
      <c r="B4004" s="167">
        <v>41185</v>
      </c>
      <c r="C4004" s="28">
        <v>179.16</v>
      </c>
      <c r="D4004" s="83">
        <f t="shared" si="128"/>
        <v>-0.23452253791924807</v>
      </c>
      <c r="E4004" s="83">
        <v>-1.0985371239304494E-2</v>
      </c>
      <c r="F4004" s="83">
        <v>3996</v>
      </c>
      <c r="G4004" s="83">
        <f t="shared" ca="1" si="129"/>
        <v>-2.6764900125075743E-2</v>
      </c>
    </row>
    <row r="4005" spans="2:7" x14ac:dyDescent="0.2">
      <c r="B4005" s="167">
        <v>43860</v>
      </c>
      <c r="C4005" s="28">
        <v>234.05</v>
      </c>
      <c r="D4005" s="83">
        <f t="shared" si="128"/>
        <v>0.53929628411706676</v>
      </c>
      <c r="E4005" s="83">
        <v>-1.0986689203465008E-2</v>
      </c>
      <c r="F4005" s="83">
        <v>3997</v>
      </c>
      <c r="G4005" s="83">
        <f t="shared" ca="1" si="129"/>
        <v>-9.8685044159706799E-4</v>
      </c>
    </row>
    <row r="4006" spans="2:7" x14ac:dyDescent="0.2">
      <c r="B4006" s="167">
        <v>41060</v>
      </c>
      <c r="C4006" s="28">
        <v>152.05000000000001</v>
      </c>
      <c r="D4006" s="83">
        <f t="shared" si="128"/>
        <v>-0.41709794901284264</v>
      </c>
      <c r="E4006" s="83">
        <v>-1.0992584883569648E-2</v>
      </c>
      <c r="F4006" s="83">
        <v>3998</v>
      </c>
      <c r="G4006" s="83">
        <f t="shared" ca="1" si="129"/>
        <v>-2.0839907669605643E-2</v>
      </c>
    </row>
    <row r="4007" spans="2:7" x14ac:dyDescent="0.2">
      <c r="B4007" s="167">
        <v>43272</v>
      </c>
      <c r="C4007" s="28">
        <v>260.85000000000002</v>
      </c>
      <c r="D4007" s="83">
        <f t="shared" si="128"/>
        <v>-0.27410602476694029</v>
      </c>
      <c r="E4007" s="83">
        <v>-1.0995260663507023E-2</v>
      </c>
      <c r="F4007" s="83">
        <v>3999</v>
      </c>
      <c r="G4007" s="83">
        <f t="shared" ca="1" si="129"/>
        <v>2.4286293401369927E-2</v>
      </c>
    </row>
    <row r="4008" spans="2:7" x14ac:dyDescent="0.2">
      <c r="B4008" s="167">
        <v>44972</v>
      </c>
      <c r="C4008" s="28">
        <v>359.35</v>
      </c>
      <c r="D4008" s="83">
        <f t="shared" si="128"/>
        <v>2.177276746242264</v>
      </c>
      <c r="E4008" s="83">
        <v>-1.1008669327095086E-2</v>
      </c>
      <c r="F4008" s="83">
        <v>4000</v>
      </c>
      <c r="G4008" s="83">
        <f t="shared" ca="1" si="129"/>
        <v>-3.728261291700178E-3</v>
      </c>
    </row>
    <row r="4009" spans="2:7" x14ac:dyDescent="0.2">
      <c r="B4009" s="167">
        <v>40553</v>
      </c>
      <c r="C4009" s="28">
        <v>113.1</v>
      </c>
      <c r="D4009" s="83">
        <f t="shared" si="128"/>
        <v>-0.52338811630847037</v>
      </c>
      <c r="E4009" s="83">
        <v>-1.1017838405036772E-2</v>
      </c>
      <c r="F4009" s="83">
        <v>4001</v>
      </c>
      <c r="G4009" s="83">
        <f t="shared" ca="1" si="129"/>
        <v>2.0216358186585025E-2</v>
      </c>
    </row>
    <row r="4010" spans="2:7" x14ac:dyDescent="0.2">
      <c r="B4010" s="167">
        <v>42676</v>
      </c>
      <c r="C4010" s="28">
        <v>237.3</v>
      </c>
      <c r="D4010" s="83">
        <f t="shared" si="128"/>
        <v>-0.28749437021468249</v>
      </c>
      <c r="E4010" s="83">
        <v>-1.1043967493227662E-2</v>
      </c>
      <c r="F4010" s="83">
        <v>4002</v>
      </c>
      <c r="G4010" s="83">
        <f t="shared" ca="1" si="129"/>
        <v>9.2609982014717433E-3</v>
      </c>
    </row>
    <row r="4011" spans="2:7" x14ac:dyDescent="0.2">
      <c r="B4011" s="167">
        <v>44911</v>
      </c>
      <c r="C4011" s="28">
        <v>333.05</v>
      </c>
      <c r="D4011" s="83">
        <f t="shared" si="128"/>
        <v>0.24341982452865404</v>
      </c>
      <c r="E4011" s="83">
        <v>-1.1046114558897677E-2</v>
      </c>
      <c r="F4011" s="83">
        <v>4003</v>
      </c>
      <c r="G4011" s="83">
        <f t="shared" ca="1" si="129"/>
        <v>9.8541364174064834E-4</v>
      </c>
    </row>
    <row r="4012" spans="2:7" x14ac:dyDescent="0.2">
      <c r="B4012" s="167">
        <v>43671</v>
      </c>
      <c r="C4012" s="28">
        <v>267.85000000000002</v>
      </c>
      <c r="D4012" s="83">
        <f t="shared" si="128"/>
        <v>3.1176018447348195</v>
      </c>
      <c r="E4012" s="83">
        <v>-1.1076241462063872E-2</v>
      </c>
      <c r="F4012" s="83">
        <v>4004</v>
      </c>
      <c r="G4012" s="83">
        <f t="shared" ca="1" si="129"/>
        <v>-1.1738173725243507E-2</v>
      </c>
    </row>
    <row r="4013" spans="2:7" x14ac:dyDescent="0.2">
      <c r="B4013" s="167">
        <v>39475</v>
      </c>
      <c r="C4013" s="28">
        <v>65.05</v>
      </c>
      <c r="D4013" s="83">
        <f t="shared" si="128"/>
        <v>-2.605180416229988E-2</v>
      </c>
      <c r="E4013" s="83">
        <v>-1.1097598054119853E-2</v>
      </c>
      <c r="F4013" s="83">
        <v>4005</v>
      </c>
      <c r="G4013" s="83">
        <f t="shared" ca="1" si="129"/>
        <v>-1.5206345248909105E-2</v>
      </c>
    </row>
    <row r="4014" spans="2:7" x14ac:dyDescent="0.2">
      <c r="B4014" s="167">
        <v>38849</v>
      </c>
      <c r="C4014" s="28">
        <v>66.790000000000006</v>
      </c>
      <c r="D4014" s="83">
        <f t="shared" si="128"/>
        <v>-0.71354434722937043</v>
      </c>
      <c r="E4014" s="83">
        <v>-1.1104530648504588E-2</v>
      </c>
      <c r="F4014" s="83">
        <v>4006</v>
      </c>
      <c r="G4014" s="83">
        <f t="shared" ca="1" si="129"/>
        <v>-4.6268418073584202E-3</v>
      </c>
    </row>
    <row r="4015" spans="2:7" x14ac:dyDescent="0.2">
      <c r="B4015" s="167">
        <v>41897</v>
      </c>
      <c r="C4015" s="28">
        <v>233.16</v>
      </c>
      <c r="D4015" s="83">
        <f t="shared" si="128"/>
        <v>-0.4619839859704179</v>
      </c>
      <c r="E4015" s="83">
        <v>-1.1112053609296822E-2</v>
      </c>
      <c r="F4015" s="83">
        <v>4007</v>
      </c>
      <c r="G4015" s="83">
        <f t="shared" ca="1" si="129"/>
        <v>1.1758204138527673E-3</v>
      </c>
    </row>
    <row r="4016" spans="2:7" x14ac:dyDescent="0.2">
      <c r="B4016" s="167">
        <v>45267</v>
      </c>
      <c r="C4016" s="28">
        <v>433.37</v>
      </c>
      <c r="D4016" s="83">
        <f t="shared" si="128"/>
        <v>0.45572724219012434</v>
      </c>
      <c r="E4016" s="83">
        <v>-1.1112632347572116E-2</v>
      </c>
      <c r="F4016" s="83">
        <v>4008</v>
      </c>
      <c r="G4016" s="83">
        <f t="shared" ca="1" si="129"/>
        <v>-3.1314426812697853E-2</v>
      </c>
    </row>
    <row r="4017" spans="2:7" x14ac:dyDescent="0.2">
      <c r="B4017" s="167">
        <v>43312</v>
      </c>
      <c r="C4017" s="28">
        <v>297.7</v>
      </c>
      <c r="D4017" s="83">
        <f t="shared" si="128"/>
        <v>0.26438734338500747</v>
      </c>
      <c r="E4017" s="83">
        <v>-1.1127719647899095E-2</v>
      </c>
      <c r="F4017" s="83">
        <v>4009</v>
      </c>
      <c r="G4017" s="83">
        <f t="shared" ca="1" si="129"/>
        <v>-2.8938547206746722E-3</v>
      </c>
    </row>
    <row r="4018" spans="2:7" x14ac:dyDescent="0.2">
      <c r="B4018" s="167">
        <v>44516</v>
      </c>
      <c r="C4018" s="28">
        <v>235.45</v>
      </c>
      <c r="D4018" s="83">
        <f t="shared" si="128"/>
        <v>1.9139851485148514</v>
      </c>
      <c r="E4018" s="83">
        <v>-1.1129777404451936E-2</v>
      </c>
      <c r="F4018" s="83">
        <v>4010</v>
      </c>
      <c r="G4018" s="83">
        <f t="shared" ca="1" si="129"/>
        <v>1.9962783138940824E-3</v>
      </c>
    </row>
    <row r="4019" spans="2:7" x14ac:dyDescent="0.2">
      <c r="B4019" s="167">
        <v>40030</v>
      </c>
      <c r="C4019" s="28">
        <v>80.8</v>
      </c>
      <c r="D4019" s="83">
        <f t="shared" si="128"/>
        <v>-0.63521444695259588</v>
      </c>
      <c r="E4019" s="83">
        <v>-1.1136947742014401E-2</v>
      </c>
      <c r="F4019" s="83">
        <v>4011</v>
      </c>
      <c r="G4019" s="83">
        <f t="shared" ca="1" si="129"/>
        <v>2.4041176652097873E-3</v>
      </c>
    </row>
    <row r="4020" spans="2:7" x14ac:dyDescent="0.2">
      <c r="B4020" s="167">
        <v>44529</v>
      </c>
      <c r="C4020" s="28">
        <v>221.5</v>
      </c>
      <c r="D4020" s="83">
        <f t="shared" si="128"/>
        <v>0.78672259417601031</v>
      </c>
      <c r="E4020" s="83">
        <v>-1.1160714285714286E-2</v>
      </c>
      <c r="F4020" s="83">
        <v>4012</v>
      </c>
      <c r="G4020" s="83">
        <f t="shared" ca="1" si="129"/>
        <v>2.3312732050332269E-2</v>
      </c>
    </row>
    <row r="4021" spans="2:7" x14ac:dyDescent="0.2">
      <c r="B4021" s="167">
        <v>40689</v>
      </c>
      <c r="C4021" s="28">
        <v>123.97</v>
      </c>
      <c r="D4021" s="83">
        <f t="shared" si="128"/>
        <v>-0.7094339622641509</v>
      </c>
      <c r="E4021" s="83">
        <v>-1.116694584031272E-2</v>
      </c>
      <c r="F4021" s="83">
        <v>4013</v>
      </c>
      <c r="G4021" s="83">
        <f t="shared" ca="1" si="129"/>
        <v>3.1138761017028026E-2</v>
      </c>
    </row>
    <row r="4022" spans="2:7" x14ac:dyDescent="0.2">
      <c r="B4022" s="167">
        <v>45280</v>
      </c>
      <c r="C4022" s="28">
        <v>426.65</v>
      </c>
      <c r="D4022" s="83">
        <f t="shared" si="128"/>
        <v>0.18277334220447977</v>
      </c>
      <c r="E4022" s="83">
        <v>-1.1194029850746363E-2</v>
      </c>
      <c r="F4022" s="83">
        <v>4014</v>
      </c>
      <c r="G4022" s="83">
        <f t="shared" ca="1" si="129"/>
        <v>-1.9596924978482751E-2</v>
      </c>
    </row>
    <row r="4023" spans="2:7" x14ac:dyDescent="0.2">
      <c r="B4023" s="167">
        <v>44998</v>
      </c>
      <c r="C4023" s="28">
        <v>360.72</v>
      </c>
      <c r="D4023" s="83">
        <f t="shared" si="128"/>
        <v>3.4038578928091816</v>
      </c>
      <c r="E4023" s="83">
        <v>-1.1211315479290522E-2</v>
      </c>
      <c r="F4023" s="83">
        <v>4015</v>
      </c>
      <c r="G4023" s="83">
        <f t="shared" ca="1" si="129"/>
        <v>2.3035618531040813E-2</v>
      </c>
    </row>
    <row r="4024" spans="2:7" x14ac:dyDescent="0.2">
      <c r="B4024" s="167">
        <v>40198</v>
      </c>
      <c r="C4024" s="28">
        <v>81.91</v>
      </c>
      <c r="D4024" s="83">
        <f t="shared" si="128"/>
        <v>-0.75559467685146509</v>
      </c>
      <c r="E4024" s="83">
        <v>-1.1226460647030503E-2</v>
      </c>
      <c r="F4024" s="83">
        <v>4016</v>
      </c>
      <c r="G4024" s="83">
        <f t="shared" ca="1" si="129"/>
        <v>2.0166653968999297E-2</v>
      </c>
    </row>
    <row r="4025" spans="2:7" x14ac:dyDescent="0.2">
      <c r="B4025" s="167">
        <v>44886</v>
      </c>
      <c r="C4025" s="28">
        <v>335.14</v>
      </c>
      <c r="D4025" s="83">
        <f t="shared" si="128"/>
        <v>0.63005836575875485</v>
      </c>
      <c r="E4025" s="83">
        <v>-1.1269766344111381E-2</v>
      </c>
      <c r="F4025" s="83">
        <v>4017</v>
      </c>
      <c r="G4025" s="83">
        <f t="shared" ca="1" si="129"/>
        <v>-8.299041527862509E-3</v>
      </c>
    </row>
    <row r="4026" spans="2:7" x14ac:dyDescent="0.2">
      <c r="B4026" s="167">
        <v>44305</v>
      </c>
      <c r="C4026" s="28">
        <v>205.6</v>
      </c>
      <c r="D4026" s="83">
        <f t="shared" si="128"/>
        <v>-7.7157861663449873E-2</v>
      </c>
      <c r="E4026" s="83">
        <v>-1.1300793459966312E-2</v>
      </c>
      <c r="F4026" s="83">
        <v>4018</v>
      </c>
      <c r="G4026" s="83">
        <f t="shared" ca="1" si="129"/>
        <v>-5.5266768070046197E-3</v>
      </c>
    </row>
    <row r="4027" spans="2:7" x14ac:dyDescent="0.2">
      <c r="B4027" s="167">
        <v>41428</v>
      </c>
      <c r="C4027" s="28">
        <v>222.79</v>
      </c>
      <c r="D4027" s="83">
        <f t="shared" si="128"/>
        <v>-0.28531100631957151</v>
      </c>
      <c r="E4027" s="83">
        <v>-1.1316233247537106E-2</v>
      </c>
      <c r="F4027" s="83">
        <v>4019</v>
      </c>
      <c r="G4027" s="83">
        <f t="shared" ca="1" si="129"/>
        <v>-1.6610986086778187E-2</v>
      </c>
    </row>
    <row r="4028" spans="2:7" x14ac:dyDescent="0.2">
      <c r="B4028" s="167">
        <v>44925</v>
      </c>
      <c r="C4028" s="28">
        <v>311.73</v>
      </c>
      <c r="D4028" s="83">
        <f t="shared" si="128"/>
        <v>0.34918848734040253</v>
      </c>
      <c r="E4028" s="83">
        <v>-1.1322549952426238E-2</v>
      </c>
      <c r="F4028" s="83">
        <v>4020</v>
      </c>
      <c r="G4028" s="83">
        <f t="shared" ca="1" si="129"/>
        <v>-1.0311011502993097E-2</v>
      </c>
    </row>
    <row r="4029" spans="2:7" x14ac:dyDescent="0.2">
      <c r="B4029" s="167">
        <v>42703</v>
      </c>
      <c r="C4029" s="28">
        <v>231.05</v>
      </c>
      <c r="D4029" s="83">
        <f t="shared" si="128"/>
        <v>0.29367301231802923</v>
      </c>
      <c r="E4029" s="83">
        <v>-1.1339323919554889E-2</v>
      </c>
      <c r="F4029" s="83">
        <v>4021</v>
      </c>
      <c r="G4029" s="83">
        <f t="shared" ca="1" si="129"/>
        <v>-2.4097029242051794E-2</v>
      </c>
    </row>
    <row r="4030" spans="2:7" x14ac:dyDescent="0.2">
      <c r="B4030" s="167">
        <v>44091</v>
      </c>
      <c r="C4030" s="28">
        <v>178.6</v>
      </c>
      <c r="D4030" s="83">
        <f t="shared" si="128"/>
        <v>-9.169506179118142E-2</v>
      </c>
      <c r="E4030" s="83">
        <v>-1.1347910323830675E-2</v>
      </c>
      <c r="F4030" s="83">
        <v>4022</v>
      </c>
      <c r="G4030" s="83">
        <f t="shared" ca="1" si="129"/>
        <v>6.850763855904783E-3</v>
      </c>
    </row>
    <row r="4031" spans="2:7" x14ac:dyDescent="0.2">
      <c r="B4031" s="167">
        <v>41326</v>
      </c>
      <c r="C4031" s="28">
        <v>196.63</v>
      </c>
      <c r="D4031" s="83">
        <f t="shared" si="128"/>
        <v>-0.3448942195568882</v>
      </c>
      <c r="E4031" s="83">
        <v>-1.136306501080995E-2</v>
      </c>
      <c r="F4031" s="83">
        <v>4023</v>
      </c>
      <c r="G4031" s="83">
        <f t="shared" ca="1" si="129"/>
        <v>1.2881511701494054E-2</v>
      </c>
    </row>
    <row r="4032" spans="2:7" x14ac:dyDescent="0.2">
      <c r="B4032" s="167">
        <v>42878</v>
      </c>
      <c r="C4032" s="28">
        <v>300.14999999999998</v>
      </c>
      <c r="D4032" s="83">
        <f t="shared" si="128"/>
        <v>0.16949152542372883</v>
      </c>
      <c r="E4032" s="83">
        <v>-1.1363636363636513E-2</v>
      </c>
      <c r="F4032" s="83">
        <v>4024</v>
      </c>
      <c r="G4032" s="83">
        <f t="shared" ca="1" si="129"/>
        <v>1.1281813201555128E-2</v>
      </c>
    </row>
    <row r="4033" spans="2:7" x14ac:dyDescent="0.2">
      <c r="B4033" s="167">
        <v>44658</v>
      </c>
      <c r="C4033" s="28">
        <v>256.64999999999998</v>
      </c>
      <c r="D4033" s="83">
        <f t="shared" si="128"/>
        <v>0.22161930601170915</v>
      </c>
      <c r="E4033" s="83">
        <v>-1.1363636363636537E-2</v>
      </c>
      <c r="F4033" s="83">
        <v>4025</v>
      </c>
      <c r="G4033" s="83">
        <f t="shared" ca="1" si="129"/>
        <v>2.0216011199588015E-2</v>
      </c>
    </row>
    <row r="4034" spans="2:7" x14ac:dyDescent="0.2">
      <c r="B4034" s="167">
        <v>41683</v>
      </c>
      <c r="C4034" s="28">
        <v>210.09</v>
      </c>
      <c r="D4034" s="83">
        <f t="shared" si="128"/>
        <v>7.5729646697388589E-2</v>
      </c>
      <c r="E4034" s="83">
        <v>-1.1387699402381006E-2</v>
      </c>
      <c r="F4034" s="83">
        <v>4026</v>
      </c>
      <c r="G4034" s="83">
        <f t="shared" ca="1" si="129"/>
        <v>-2.8915867311037399E-2</v>
      </c>
    </row>
    <row r="4035" spans="2:7" x14ac:dyDescent="0.2">
      <c r="B4035" s="167">
        <v>43892</v>
      </c>
      <c r="C4035" s="28">
        <v>195.3</v>
      </c>
      <c r="D4035" s="83">
        <f t="shared" si="128"/>
        <v>0.44303236293778636</v>
      </c>
      <c r="E4035" s="83">
        <v>-1.1389521640091115E-2</v>
      </c>
      <c r="F4035" s="83">
        <v>4027</v>
      </c>
      <c r="G4035" s="83">
        <f t="shared" ca="1" si="129"/>
        <v>-9.7693651904989642E-3</v>
      </c>
    </row>
    <row r="4036" spans="2:7" x14ac:dyDescent="0.2">
      <c r="B4036" s="167">
        <v>40882</v>
      </c>
      <c r="C4036" s="28">
        <v>135.34</v>
      </c>
      <c r="D4036" s="83">
        <f t="shared" si="128"/>
        <v>-0.48831758034026462</v>
      </c>
      <c r="E4036" s="83">
        <v>-1.1395178962746546E-2</v>
      </c>
      <c r="F4036" s="83">
        <v>4028</v>
      </c>
      <c r="G4036" s="83">
        <f t="shared" ca="1" si="129"/>
        <v>3.2115238540149815E-3</v>
      </c>
    </row>
    <row r="4037" spans="2:7" x14ac:dyDescent="0.2">
      <c r="B4037" s="167">
        <v>43679</v>
      </c>
      <c r="C4037" s="28">
        <v>264.5</v>
      </c>
      <c r="D4037" s="83">
        <f t="shared" si="128"/>
        <v>1.4283878075651852</v>
      </c>
      <c r="E4037" s="83">
        <v>-1.1399738366660479E-2</v>
      </c>
      <c r="F4037" s="83">
        <v>4029</v>
      </c>
      <c r="G4037" s="83">
        <f t="shared" ca="1" si="129"/>
        <v>-1.1253775401509668E-2</v>
      </c>
    </row>
    <row r="4038" spans="2:7" x14ac:dyDescent="0.2">
      <c r="B4038" s="167">
        <v>40429</v>
      </c>
      <c r="C4038" s="28">
        <v>108.92</v>
      </c>
      <c r="D4038" s="83">
        <f t="shared" si="128"/>
        <v>-0.48537680132293881</v>
      </c>
      <c r="E4038" s="83">
        <v>-1.1435832274460021E-2</v>
      </c>
      <c r="F4038" s="83">
        <v>4030</v>
      </c>
      <c r="G4038" s="83">
        <f t="shared" ca="1" si="129"/>
        <v>-1.5852181998224548E-2</v>
      </c>
    </row>
    <row r="4039" spans="2:7" x14ac:dyDescent="0.2">
      <c r="B4039" s="167">
        <v>42354</v>
      </c>
      <c r="C4039" s="28">
        <v>211.65</v>
      </c>
      <c r="D4039" s="83">
        <f t="shared" si="128"/>
        <v>-0.10291188064256347</v>
      </c>
      <c r="E4039" s="83">
        <v>-1.1443250817375005E-2</v>
      </c>
      <c r="F4039" s="83">
        <v>4031</v>
      </c>
      <c r="G4039" s="83">
        <f t="shared" ca="1" si="129"/>
        <v>-7.7135371770927731E-3</v>
      </c>
    </row>
    <row r="4040" spans="2:7" x14ac:dyDescent="0.2">
      <c r="B4040" s="167">
        <v>42524</v>
      </c>
      <c r="C4040" s="28">
        <v>235.93</v>
      </c>
      <c r="D4040" s="83">
        <f t="shared" si="128"/>
        <v>-0.23795219638242898</v>
      </c>
      <c r="E4040" s="83">
        <v>-1.1480286588176063E-2</v>
      </c>
      <c r="F4040" s="83">
        <v>4032</v>
      </c>
      <c r="G4040" s="83">
        <f t="shared" ca="1" si="129"/>
        <v>-1.0827801776581822E-3</v>
      </c>
    </row>
    <row r="4041" spans="2:7" x14ac:dyDescent="0.2">
      <c r="B4041" s="167">
        <v>43347</v>
      </c>
      <c r="C4041" s="28">
        <v>309.60000000000002</v>
      </c>
      <c r="D4041" s="83">
        <f t="shared" ref="D4041:D4104" si="130">(C4041-C4042)/C4042</f>
        <v>0.48989412897016366</v>
      </c>
      <c r="E4041" s="83">
        <v>-1.1494252873563111E-2</v>
      </c>
      <c r="F4041" s="83">
        <v>4033</v>
      </c>
      <c r="G4041" s="83">
        <f t="shared" ref="G4041:G4104" ca="1" si="131">_xlfn.NORM.INV(RAND(),$M$10,$M$11)</f>
        <v>-9.1823088752234598E-3</v>
      </c>
    </row>
    <row r="4042" spans="2:7" x14ac:dyDescent="0.2">
      <c r="B4042" s="167">
        <v>42254</v>
      </c>
      <c r="C4042" s="28">
        <v>207.8</v>
      </c>
      <c r="D4042" s="83">
        <f t="shared" si="130"/>
        <v>0.12227262907755462</v>
      </c>
      <c r="E4042" s="83">
        <v>-1.1511749595661628E-2</v>
      </c>
      <c r="F4042" s="83">
        <v>4034</v>
      </c>
      <c r="G4042" s="83">
        <f t="shared" ca="1" si="131"/>
        <v>-1.2349952434636376E-2</v>
      </c>
    </row>
    <row r="4043" spans="2:7" x14ac:dyDescent="0.2">
      <c r="B4043" s="167">
        <v>41214</v>
      </c>
      <c r="C4043" s="28">
        <v>185.16</v>
      </c>
      <c r="D4043" s="83">
        <f t="shared" si="130"/>
        <v>0.38540965207631867</v>
      </c>
      <c r="E4043" s="83">
        <v>-1.1531069827033934E-2</v>
      </c>
      <c r="F4043" s="83">
        <v>4035</v>
      </c>
      <c r="G4043" s="83">
        <f t="shared" ca="1" si="131"/>
        <v>-3.4742770889129001E-3</v>
      </c>
    </row>
    <row r="4044" spans="2:7" x14ac:dyDescent="0.2">
      <c r="B4044" s="167">
        <v>40940</v>
      </c>
      <c r="C4044" s="28">
        <v>133.65</v>
      </c>
      <c r="D4044" s="83">
        <f t="shared" si="130"/>
        <v>-0.69754231918167831</v>
      </c>
      <c r="E4044" s="83">
        <v>-1.1537608165076563E-2</v>
      </c>
      <c r="F4044" s="83">
        <v>4036</v>
      </c>
      <c r="G4044" s="83">
        <f t="shared" ca="1" si="131"/>
        <v>4.584895806087611E-3</v>
      </c>
    </row>
    <row r="4045" spans="2:7" x14ac:dyDescent="0.2">
      <c r="B4045" s="167">
        <v>45630</v>
      </c>
      <c r="C4045" s="28">
        <v>441.88</v>
      </c>
      <c r="D4045" s="83">
        <f t="shared" si="130"/>
        <v>-6.7880422566868551E-3</v>
      </c>
      <c r="E4045" s="83">
        <v>-1.1542591267000772E-2</v>
      </c>
      <c r="F4045" s="83">
        <v>4037</v>
      </c>
      <c r="G4045" s="83">
        <f t="shared" ca="1" si="131"/>
        <v>-2.5289613774973328E-2</v>
      </c>
    </row>
    <row r="4046" spans="2:7" x14ac:dyDescent="0.2">
      <c r="B4046" s="167">
        <v>45667</v>
      </c>
      <c r="C4046" s="28">
        <v>444.9</v>
      </c>
      <c r="D4046" s="83">
        <f t="shared" si="130"/>
        <v>0.43474475152375119</v>
      </c>
      <c r="E4046" s="83">
        <v>-1.1552988224839024E-2</v>
      </c>
      <c r="F4046" s="83">
        <v>4038</v>
      </c>
      <c r="G4046" s="83">
        <f t="shared" ca="1" si="131"/>
        <v>-8.632410247756803E-3</v>
      </c>
    </row>
    <row r="4047" spans="2:7" x14ac:dyDescent="0.2">
      <c r="B4047" s="167">
        <v>44792</v>
      </c>
      <c r="C4047" s="28">
        <v>310.08999999999997</v>
      </c>
      <c r="D4047" s="83">
        <f t="shared" si="130"/>
        <v>1.4393486469477657</v>
      </c>
      <c r="E4047" s="83">
        <v>-1.1570827489481232E-2</v>
      </c>
      <c r="F4047" s="83">
        <v>4039</v>
      </c>
      <c r="G4047" s="83">
        <f t="shared" ca="1" si="131"/>
        <v>-1.8222693419718324E-2</v>
      </c>
    </row>
    <row r="4048" spans="2:7" x14ac:dyDescent="0.2">
      <c r="B4048" s="167">
        <v>40711</v>
      </c>
      <c r="C4048" s="28">
        <v>127.12</v>
      </c>
      <c r="D4048" s="83">
        <f t="shared" si="130"/>
        <v>-3.8644785600846901E-2</v>
      </c>
      <c r="E4048" s="83">
        <v>-1.1585413264909486E-2</v>
      </c>
      <c r="F4048" s="83">
        <v>4040</v>
      </c>
      <c r="G4048" s="83">
        <f t="shared" ca="1" si="131"/>
        <v>1.9893978938228078E-2</v>
      </c>
    </row>
    <row r="4049" spans="2:7" x14ac:dyDescent="0.2">
      <c r="B4049" s="167">
        <v>40868</v>
      </c>
      <c r="C4049" s="28">
        <v>132.22999999999999</v>
      </c>
      <c r="D4049" s="83">
        <f t="shared" si="130"/>
        <v>0.16676961087090789</v>
      </c>
      <c r="E4049" s="83">
        <v>-1.1586186275975567E-2</v>
      </c>
      <c r="F4049" s="83">
        <v>4041</v>
      </c>
      <c r="G4049" s="83">
        <f t="shared" ca="1" si="131"/>
        <v>-6.2801490002411054E-3</v>
      </c>
    </row>
    <row r="4050" spans="2:7" x14ac:dyDescent="0.2">
      <c r="B4050" s="167">
        <v>40463</v>
      </c>
      <c r="C4050" s="28">
        <v>113.33</v>
      </c>
      <c r="D4050" s="83">
        <f t="shared" si="130"/>
        <v>-0.75279207748015009</v>
      </c>
      <c r="E4050" s="83">
        <v>-1.1599511599511584E-2</v>
      </c>
      <c r="F4050" s="83">
        <v>4042</v>
      </c>
      <c r="G4050" s="83">
        <f t="shared" ca="1" si="131"/>
        <v>-1.0357492791675894E-2</v>
      </c>
    </row>
    <row r="4051" spans="2:7" x14ac:dyDescent="0.2">
      <c r="B4051" s="167">
        <v>45600</v>
      </c>
      <c r="C4051" s="28">
        <v>458.44</v>
      </c>
      <c r="D4051" s="83">
        <f t="shared" si="130"/>
        <v>3.4596375617792385E-2</v>
      </c>
      <c r="E4051" s="83">
        <v>-1.1620636871267461E-2</v>
      </c>
      <c r="F4051" s="83">
        <v>4043</v>
      </c>
      <c r="G4051" s="83">
        <f t="shared" ca="1" si="131"/>
        <v>-1.9444388706371898E-2</v>
      </c>
    </row>
    <row r="4052" spans="2:7" x14ac:dyDescent="0.2">
      <c r="B4052" s="167">
        <v>45114</v>
      </c>
      <c r="C4052" s="28">
        <v>443.11</v>
      </c>
      <c r="D4052" s="83">
        <f t="shared" si="130"/>
        <v>0.6540126913027251</v>
      </c>
      <c r="E4052" s="83">
        <v>-1.1621163454675187E-2</v>
      </c>
      <c r="F4052" s="83">
        <v>4044</v>
      </c>
      <c r="G4052" s="83">
        <f t="shared" ca="1" si="131"/>
        <v>-1.1838870767565565E-2</v>
      </c>
    </row>
    <row r="4053" spans="2:7" x14ac:dyDescent="0.2">
      <c r="B4053" s="167">
        <v>43259</v>
      </c>
      <c r="C4053" s="28">
        <v>267.89999999999998</v>
      </c>
      <c r="D4053" s="83">
        <f t="shared" si="130"/>
        <v>-0.32223543400713439</v>
      </c>
      <c r="E4053" s="83">
        <v>-1.1621472053126854E-2</v>
      </c>
      <c r="F4053" s="83">
        <v>4045</v>
      </c>
      <c r="G4053" s="83">
        <f t="shared" ca="1" si="131"/>
        <v>-1.1021450257591676E-2</v>
      </c>
    </row>
    <row r="4054" spans="2:7" x14ac:dyDescent="0.2">
      <c r="B4054" s="167">
        <v>45057</v>
      </c>
      <c r="C4054" s="28">
        <v>395.27</v>
      </c>
      <c r="D4054" s="83">
        <f t="shared" si="130"/>
        <v>0.66499578770008416</v>
      </c>
      <c r="E4054" s="83">
        <v>-1.1627325465093104E-2</v>
      </c>
      <c r="F4054" s="83">
        <v>4046</v>
      </c>
      <c r="G4054" s="83">
        <f t="shared" ca="1" si="131"/>
        <v>-1.0971147452274057E-2</v>
      </c>
    </row>
    <row r="4055" spans="2:7" x14ac:dyDescent="0.2">
      <c r="B4055" s="167">
        <v>42649</v>
      </c>
      <c r="C4055" s="28">
        <v>237.4</v>
      </c>
      <c r="D4055" s="83">
        <f t="shared" si="130"/>
        <v>-0.42469405064824906</v>
      </c>
      <c r="E4055" s="83">
        <v>-1.1656952539550304E-2</v>
      </c>
      <c r="F4055" s="83">
        <v>4047</v>
      </c>
      <c r="G4055" s="83">
        <f t="shared" ca="1" si="131"/>
        <v>9.698148549296487E-3</v>
      </c>
    </row>
    <row r="4056" spans="2:7" x14ac:dyDescent="0.2">
      <c r="B4056" s="167">
        <v>45436</v>
      </c>
      <c r="C4056" s="28">
        <v>412.65</v>
      </c>
      <c r="D4056" s="83">
        <f t="shared" si="130"/>
        <v>0.93814287727208667</v>
      </c>
      <c r="E4056" s="83">
        <v>-1.1664111898831205E-2</v>
      </c>
      <c r="F4056" s="83">
        <v>4048</v>
      </c>
      <c r="G4056" s="83">
        <f t="shared" ca="1" si="131"/>
        <v>1.9520900706849902E-2</v>
      </c>
    </row>
    <row r="4057" spans="2:7" x14ac:dyDescent="0.2">
      <c r="B4057" s="167">
        <v>42492</v>
      </c>
      <c r="C4057" s="28">
        <v>212.91</v>
      </c>
      <c r="D4057" s="83">
        <f t="shared" si="130"/>
        <v>-0.12973635806253836</v>
      </c>
      <c r="E4057" s="83">
        <v>-1.169753516223372E-2</v>
      </c>
      <c r="F4057" s="83">
        <v>4049</v>
      </c>
      <c r="G4057" s="83">
        <f t="shared" ca="1" si="131"/>
        <v>5.8434620540189636E-3</v>
      </c>
    </row>
    <row r="4058" spans="2:7" x14ac:dyDescent="0.2">
      <c r="B4058" s="167">
        <v>42747</v>
      </c>
      <c r="C4058" s="28">
        <v>244.65</v>
      </c>
      <c r="D4058" s="83">
        <f t="shared" si="130"/>
        <v>-0.28773145452428089</v>
      </c>
      <c r="E4058" s="83">
        <v>-1.1714805089880855E-2</v>
      </c>
      <c r="F4058" s="83">
        <v>4050</v>
      </c>
      <c r="G4058" s="83">
        <f t="shared" ca="1" si="131"/>
        <v>-7.1023965742219154E-4</v>
      </c>
    </row>
    <row r="4059" spans="2:7" x14ac:dyDescent="0.2">
      <c r="B4059" s="167">
        <v>44855</v>
      </c>
      <c r="C4059" s="28">
        <v>343.48</v>
      </c>
      <c r="D4059" s="83">
        <f t="shared" si="130"/>
        <v>0.73781937768783212</v>
      </c>
      <c r="E4059" s="83">
        <v>-1.1738980319944713E-2</v>
      </c>
      <c r="F4059" s="83">
        <v>4051</v>
      </c>
      <c r="G4059" s="83">
        <f t="shared" ca="1" si="131"/>
        <v>3.5024318007893268E-2</v>
      </c>
    </row>
    <row r="4060" spans="2:7" x14ac:dyDescent="0.2">
      <c r="B4060" s="167">
        <v>43990</v>
      </c>
      <c r="C4060" s="28">
        <v>197.65</v>
      </c>
      <c r="D4060" s="83">
        <f t="shared" si="130"/>
        <v>6.8378378378378415E-2</v>
      </c>
      <c r="E4060" s="83">
        <v>-1.1749999999999972E-2</v>
      </c>
      <c r="F4060" s="83">
        <v>4052</v>
      </c>
      <c r="G4060" s="83">
        <f t="shared" ca="1" si="131"/>
        <v>5.0863519991471109E-2</v>
      </c>
    </row>
    <row r="4061" spans="2:7" x14ac:dyDescent="0.2">
      <c r="B4061" s="167">
        <v>43998</v>
      </c>
      <c r="C4061" s="28">
        <v>185</v>
      </c>
      <c r="D4061" s="83">
        <f t="shared" si="130"/>
        <v>-5.084397927248472E-2</v>
      </c>
      <c r="E4061" s="83">
        <v>-1.1752136752136691E-2</v>
      </c>
      <c r="F4061" s="83">
        <v>4053</v>
      </c>
      <c r="G4061" s="83">
        <f t="shared" ca="1" si="131"/>
        <v>1.9557291382458094E-2</v>
      </c>
    </row>
    <row r="4062" spans="2:7" x14ac:dyDescent="0.2">
      <c r="B4062" s="167">
        <v>41204</v>
      </c>
      <c r="C4062" s="28">
        <v>194.91</v>
      </c>
      <c r="D4062" s="83">
        <f t="shared" si="130"/>
        <v>2.8672619047619046</v>
      </c>
      <c r="E4062" s="83">
        <v>-1.1762916392029575E-2</v>
      </c>
      <c r="F4062" s="83">
        <v>4054</v>
      </c>
      <c r="G4062" s="83">
        <f t="shared" ca="1" si="131"/>
        <v>2.0412587377810379E-3</v>
      </c>
    </row>
    <row r="4063" spans="2:7" x14ac:dyDescent="0.2">
      <c r="B4063" s="167">
        <v>39246</v>
      </c>
      <c r="C4063" s="28">
        <v>50.4</v>
      </c>
      <c r="D4063" s="83">
        <f t="shared" si="130"/>
        <v>-0.77334052887209925</v>
      </c>
      <c r="E4063" s="83">
        <v>-1.1764705882352969E-2</v>
      </c>
      <c r="F4063" s="83">
        <v>4055</v>
      </c>
      <c r="G4063" s="83">
        <f t="shared" ca="1" si="131"/>
        <v>-4.369910159609908E-3</v>
      </c>
    </row>
    <row r="4064" spans="2:7" x14ac:dyDescent="0.2">
      <c r="B4064" s="167">
        <v>42079</v>
      </c>
      <c r="C4064" s="28">
        <v>222.36</v>
      </c>
      <c r="D4064" s="83">
        <f t="shared" si="130"/>
        <v>1.105482435375438</v>
      </c>
      <c r="E4064" s="83">
        <v>-1.1777254344251266E-2</v>
      </c>
      <c r="F4064" s="83">
        <v>4056</v>
      </c>
      <c r="G4064" s="83">
        <f t="shared" ca="1" si="131"/>
        <v>-2.426182674585322E-2</v>
      </c>
    </row>
    <row r="4065" spans="2:7" x14ac:dyDescent="0.2">
      <c r="B4065" s="167">
        <v>40420</v>
      </c>
      <c r="C4065" s="28">
        <v>105.61</v>
      </c>
      <c r="D4065" s="83">
        <f t="shared" si="130"/>
        <v>-0.53671696788910339</v>
      </c>
      <c r="E4065" s="83">
        <v>-1.17900252643399E-2</v>
      </c>
      <c r="F4065" s="83">
        <v>4057</v>
      </c>
      <c r="G4065" s="83">
        <f t="shared" ca="1" si="131"/>
        <v>1.2271426589040848E-2</v>
      </c>
    </row>
    <row r="4066" spans="2:7" x14ac:dyDescent="0.2">
      <c r="B4066" s="167">
        <v>41739</v>
      </c>
      <c r="C4066" s="28">
        <v>227.96</v>
      </c>
      <c r="D4066" s="83">
        <f t="shared" si="130"/>
        <v>9.4225507608121706E-2</v>
      </c>
      <c r="E4066" s="83">
        <v>-1.1791225940697064E-2</v>
      </c>
      <c r="F4066" s="83">
        <v>4058</v>
      </c>
      <c r="G4066" s="83">
        <f t="shared" ca="1" si="131"/>
        <v>4.993798302062087E-3</v>
      </c>
    </row>
    <row r="4067" spans="2:7" x14ac:dyDescent="0.2">
      <c r="B4067" s="167">
        <v>42268</v>
      </c>
      <c r="C4067" s="28">
        <v>208.33</v>
      </c>
      <c r="D4067" s="83">
        <f t="shared" si="130"/>
        <v>2.5072390572390573</v>
      </c>
      <c r="E4067" s="83">
        <v>-1.1811023622047152E-2</v>
      </c>
      <c r="F4067" s="83">
        <v>4059</v>
      </c>
      <c r="G4067" s="83">
        <f t="shared" ca="1" si="131"/>
        <v>-2.052743035039907E-2</v>
      </c>
    </row>
    <row r="4068" spans="2:7" x14ac:dyDescent="0.2">
      <c r="B4068" s="167">
        <v>39044</v>
      </c>
      <c r="C4068" s="28">
        <v>59.4</v>
      </c>
      <c r="D4068" s="83">
        <f t="shared" si="130"/>
        <v>0.61632653061224485</v>
      </c>
      <c r="E4068" s="83">
        <v>-1.181167858925305E-2</v>
      </c>
      <c r="F4068" s="83">
        <v>4060</v>
      </c>
      <c r="G4068" s="83">
        <f t="shared" ca="1" si="131"/>
        <v>1.405396544760514E-2</v>
      </c>
    </row>
    <row r="4069" spans="2:7" x14ac:dyDescent="0.2">
      <c r="B4069" s="167">
        <v>38565</v>
      </c>
      <c r="C4069" s="28">
        <v>36.75</v>
      </c>
      <c r="D4069" s="83">
        <f t="shared" si="130"/>
        <v>-0.86029272001520629</v>
      </c>
      <c r="E4069" s="83">
        <v>-1.1831137402527501E-2</v>
      </c>
      <c r="F4069" s="83">
        <v>4061</v>
      </c>
      <c r="G4069" s="83">
        <f t="shared" ca="1" si="131"/>
        <v>-5.091692986859167E-2</v>
      </c>
    </row>
    <row r="4070" spans="2:7" x14ac:dyDescent="0.2">
      <c r="B4070" s="167">
        <v>43283</v>
      </c>
      <c r="C4070" s="28">
        <v>263.05</v>
      </c>
      <c r="D4070" s="83">
        <f t="shared" si="130"/>
        <v>0.26072369997603645</v>
      </c>
      <c r="E4070" s="83">
        <v>-1.1833208114199766E-2</v>
      </c>
      <c r="F4070" s="83">
        <v>4062</v>
      </c>
      <c r="G4070" s="83">
        <f t="shared" ca="1" si="131"/>
        <v>-6.4358907319643161E-3</v>
      </c>
    </row>
    <row r="4071" spans="2:7" x14ac:dyDescent="0.2">
      <c r="B4071" s="167">
        <v>44404</v>
      </c>
      <c r="C4071" s="28">
        <v>208.65</v>
      </c>
      <c r="D4071" s="83">
        <f t="shared" si="130"/>
        <v>0.30210933599600598</v>
      </c>
      <c r="E4071" s="83">
        <v>-1.1839924224484964E-2</v>
      </c>
      <c r="F4071" s="83">
        <v>4063</v>
      </c>
      <c r="G4071" s="83">
        <f t="shared" ca="1" si="131"/>
        <v>-1.7798448180501393E-2</v>
      </c>
    </row>
    <row r="4072" spans="2:7" x14ac:dyDescent="0.2">
      <c r="B4072" s="167">
        <v>41032</v>
      </c>
      <c r="C4072" s="28">
        <v>160.24</v>
      </c>
      <c r="D4072" s="83">
        <f t="shared" si="130"/>
        <v>0.48880423673696938</v>
      </c>
      <c r="E4072" s="83">
        <v>-1.1840157868771507E-2</v>
      </c>
      <c r="F4072" s="83">
        <v>4064</v>
      </c>
      <c r="G4072" s="83">
        <f t="shared" ca="1" si="131"/>
        <v>-2.6915234339640517E-2</v>
      </c>
    </row>
    <row r="4073" spans="2:7" x14ac:dyDescent="0.2">
      <c r="B4073" s="167">
        <v>40430</v>
      </c>
      <c r="C4073" s="28">
        <v>107.63</v>
      </c>
      <c r="D4073" s="83">
        <f t="shared" si="130"/>
        <v>0.25340631186677526</v>
      </c>
      <c r="E4073" s="83">
        <v>-1.1843554902680924E-2</v>
      </c>
      <c r="F4073" s="83">
        <v>4065</v>
      </c>
      <c r="G4073" s="83">
        <f t="shared" ca="1" si="131"/>
        <v>-2.5089059358089909E-2</v>
      </c>
    </row>
    <row r="4074" spans="2:7" x14ac:dyDescent="0.2">
      <c r="B4074" s="167">
        <v>40304</v>
      </c>
      <c r="C4074" s="28">
        <v>85.87</v>
      </c>
      <c r="D4074" s="83">
        <f t="shared" si="130"/>
        <v>-0.53583783783783778</v>
      </c>
      <c r="E4074" s="83">
        <v>-1.1852704257767561E-2</v>
      </c>
      <c r="F4074" s="83">
        <v>4066</v>
      </c>
      <c r="G4074" s="83">
        <f t="shared" ca="1" si="131"/>
        <v>-1.1959650722342626E-3</v>
      </c>
    </row>
    <row r="4075" spans="2:7" x14ac:dyDescent="0.2">
      <c r="B4075" s="167">
        <v>41281</v>
      </c>
      <c r="C4075" s="28">
        <v>185</v>
      </c>
      <c r="D4075" s="83">
        <f t="shared" si="130"/>
        <v>-0.3826130485566494</v>
      </c>
      <c r="E4075" s="83">
        <v>-1.1857707509881417E-2</v>
      </c>
      <c r="F4075" s="83">
        <v>4067</v>
      </c>
      <c r="G4075" s="83">
        <f t="shared" ca="1" si="131"/>
        <v>1.732385117617514E-4</v>
      </c>
    </row>
    <row r="4076" spans="2:7" x14ac:dyDescent="0.2">
      <c r="B4076" s="167">
        <v>43362</v>
      </c>
      <c r="C4076" s="28">
        <v>299.64999999999998</v>
      </c>
      <c r="D4076" s="83">
        <f t="shared" si="130"/>
        <v>0.42990074441687331</v>
      </c>
      <c r="E4076" s="83">
        <v>-1.1871393239901147E-2</v>
      </c>
      <c r="F4076" s="83">
        <v>4068</v>
      </c>
      <c r="G4076" s="83">
        <f t="shared" ca="1" si="131"/>
        <v>1.21627207677462E-2</v>
      </c>
    </row>
    <row r="4077" spans="2:7" x14ac:dyDescent="0.2">
      <c r="B4077" s="167">
        <v>42439</v>
      </c>
      <c r="C4077" s="28">
        <v>209.56</v>
      </c>
      <c r="D4077" s="83">
        <f t="shared" si="130"/>
        <v>-0.47711961674734266</v>
      </c>
      <c r="E4077" s="83">
        <v>-1.1882308562806535E-2</v>
      </c>
      <c r="F4077" s="83">
        <v>4069</v>
      </c>
      <c r="G4077" s="83">
        <f t="shared" ca="1" si="131"/>
        <v>-4.6913746087771388E-3</v>
      </c>
    </row>
    <row r="4078" spans="2:7" x14ac:dyDescent="0.2">
      <c r="B4078" s="167">
        <v>45462</v>
      </c>
      <c r="C4078" s="28">
        <v>400.78</v>
      </c>
      <c r="D4078" s="83">
        <f t="shared" si="130"/>
        <v>5.7997964031218183</v>
      </c>
      <c r="E4078" s="83">
        <v>-1.1883629191321621E-2</v>
      </c>
      <c r="F4078" s="83">
        <v>4070</v>
      </c>
      <c r="G4078" s="83">
        <f t="shared" ca="1" si="131"/>
        <v>1.7145163211447094E-2</v>
      </c>
    </row>
    <row r="4079" spans="2:7" x14ac:dyDescent="0.2">
      <c r="B4079" s="167">
        <v>39805</v>
      </c>
      <c r="C4079" s="28">
        <v>58.94</v>
      </c>
      <c r="D4079" s="83">
        <f t="shared" si="130"/>
        <v>-0.65359976491331184</v>
      </c>
      <c r="E4079" s="83">
        <v>-1.1902766135792135E-2</v>
      </c>
      <c r="F4079" s="83">
        <v>4071</v>
      </c>
      <c r="G4079" s="83">
        <f t="shared" ca="1" si="131"/>
        <v>-1.7141409802005486E-2</v>
      </c>
    </row>
    <row r="4080" spans="2:7" x14ac:dyDescent="0.2">
      <c r="B4080" s="167">
        <v>44117</v>
      </c>
      <c r="C4080" s="28">
        <v>170.15</v>
      </c>
      <c r="D4080" s="83">
        <f t="shared" si="130"/>
        <v>-0.37719619326500725</v>
      </c>
      <c r="E4080" s="83">
        <v>-1.1904761904761807E-2</v>
      </c>
      <c r="F4080" s="83">
        <v>4072</v>
      </c>
      <c r="G4080" s="83">
        <f t="shared" ca="1" si="131"/>
        <v>-4.030775423986944E-3</v>
      </c>
    </row>
    <row r="4081" spans="2:7" x14ac:dyDescent="0.2">
      <c r="B4081" s="167">
        <v>43381</v>
      </c>
      <c r="C4081" s="28">
        <v>273.2</v>
      </c>
      <c r="D4081" s="83">
        <f t="shared" si="130"/>
        <v>0.2631189606546766</v>
      </c>
      <c r="E4081" s="83">
        <v>-1.1934900542495521E-2</v>
      </c>
      <c r="F4081" s="83">
        <v>4073</v>
      </c>
      <c r="G4081" s="83">
        <f t="shared" ca="1" si="131"/>
        <v>-1.0777172441922655E-2</v>
      </c>
    </row>
    <row r="4082" spans="2:7" x14ac:dyDescent="0.2">
      <c r="B4082" s="167">
        <v>42129</v>
      </c>
      <c r="C4082" s="28">
        <v>216.29</v>
      </c>
      <c r="D4082" s="83">
        <f t="shared" si="130"/>
        <v>0.92874977706438377</v>
      </c>
      <c r="E4082" s="83">
        <v>-1.1968388835594557E-2</v>
      </c>
      <c r="F4082" s="83">
        <v>4074</v>
      </c>
      <c r="G4082" s="83">
        <f t="shared" ca="1" si="131"/>
        <v>-1.1450300851144277E-2</v>
      </c>
    </row>
    <row r="4083" spans="2:7" x14ac:dyDescent="0.2">
      <c r="B4083" s="167">
        <v>40476</v>
      </c>
      <c r="C4083" s="28">
        <v>112.14</v>
      </c>
      <c r="D4083" s="83">
        <f t="shared" si="130"/>
        <v>1.4738583719391132</v>
      </c>
      <c r="E4083" s="83">
        <v>-1.1982378854625546E-2</v>
      </c>
      <c r="F4083" s="83">
        <v>4075</v>
      </c>
      <c r="G4083" s="83">
        <f t="shared" ca="1" si="131"/>
        <v>-1.6999667008399971E-2</v>
      </c>
    </row>
    <row r="4084" spans="2:7" x14ac:dyDescent="0.2">
      <c r="B4084" s="167">
        <v>38625</v>
      </c>
      <c r="C4084" s="28">
        <v>45.33</v>
      </c>
      <c r="D4084" s="83">
        <f t="shared" si="130"/>
        <v>-0.78419423946679367</v>
      </c>
      <c r="E4084" s="83">
        <v>-1.1987794245858854E-2</v>
      </c>
      <c r="F4084" s="83">
        <v>4076</v>
      </c>
      <c r="G4084" s="83">
        <f t="shared" ca="1" si="131"/>
        <v>2.9427363907301381E-2</v>
      </c>
    </row>
    <row r="4085" spans="2:7" x14ac:dyDescent="0.2">
      <c r="B4085" s="167">
        <v>44334</v>
      </c>
      <c r="C4085" s="28">
        <v>210.05</v>
      </c>
      <c r="D4085" s="83">
        <f t="shared" si="130"/>
        <v>0.28251312736597883</v>
      </c>
      <c r="E4085" s="83">
        <v>-1.1994355597365865E-2</v>
      </c>
      <c r="F4085" s="83">
        <v>4077</v>
      </c>
      <c r="G4085" s="83">
        <f t="shared" ca="1" si="131"/>
        <v>2.9255819244304832E-2</v>
      </c>
    </row>
    <row r="4086" spans="2:7" x14ac:dyDescent="0.2">
      <c r="B4086" s="167">
        <v>41086</v>
      </c>
      <c r="C4086" s="28">
        <v>163.78</v>
      </c>
      <c r="D4086" s="83">
        <f t="shared" si="130"/>
        <v>-0.54026666666666667</v>
      </c>
      <c r="E4086" s="83">
        <v>-1.2004584665500447E-2</v>
      </c>
      <c r="F4086" s="83">
        <v>4078</v>
      </c>
      <c r="G4086" s="83">
        <f t="shared" ca="1" si="131"/>
        <v>-1.4822533706359629E-2</v>
      </c>
    </row>
    <row r="4087" spans="2:7" x14ac:dyDescent="0.2">
      <c r="B4087" s="167">
        <v>45019</v>
      </c>
      <c r="C4087" s="28">
        <v>356.25</v>
      </c>
      <c r="D4087" s="83">
        <f t="shared" si="130"/>
        <v>3.0095666854248733</v>
      </c>
      <c r="E4087" s="83">
        <v>-1.2008430861389939E-2</v>
      </c>
      <c r="F4087" s="83">
        <v>4079</v>
      </c>
      <c r="G4087" s="83">
        <f t="shared" ca="1" si="131"/>
        <v>1.8418057072437627E-2</v>
      </c>
    </row>
    <row r="4088" spans="2:7" x14ac:dyDescent="0.2">
      <c r="B4088" s="167">
        <v>40322</v>
      </c>
      <c r="C4088" s="28">
        <v>88.85</v>
      </c>
      <c r="D4088" s="83">
        <f t="shared" si="130"/>
        <v>-0.53985188254181993</v>
      </c>
      <c r="E4088" s="83">
        <v>-1.2009340598243216E-2</v>
      </c>
      <c r="F4088" s="83">
        <v>4080</v>
      </c>
      <c r="G4088" s="83">
        <f t="shared" ca="1" si="131"/>
        <v>7.1372409010132982E-3</v>
      </c>
    </row>
    <row r="4089" spans="2:7" x14ac:dyDescent="0.2">
      <c r="B4089" s="167">
        <v>41334</v>
      </c>
      <c r="C4089" s="28">
        <v>193.09</v>
      </c>
      <c r="D4089" s="83">
        <f t="shared" si="130"/>
        <v>-0.12613142650253442</v>
      </c>
      <c r="E4089" s="83">
        <v>-1.2024150634465791E-2</v>
      </c>
      <c r="F4089" s="83">
        <v>4081</v>
      </c>
      <c r="G4089" s="83">
        <f t="shared" ca="1" si="131"/>
        <v>-8.1128972546333465E-3</v>
      </c>
    </row>
    <row r="4090" spans="2:7" x14ac:dyDescent="0.2">
      <c r="B4090" s="167">
        <v>41801</v>
      </c>
      <c r="C4090" s="28">
        <v>220.96</v>
      </c>
      <c r="D4090" s="83">
        <f t="shared" si="130"/>
        <v>-0.47805546369348512</v>
      </c>
      <c r="E4090" s="83">
        <v>-1.2027721886876806E-2</v>
      </c>
      <c r="F4090" s="83">
        <v>4082</v>
      </c>
      <c r="G4090" s="83">
        <f t="shared" ca="1" si="131"/>
        <v>-8.6075491703824347E-3</v>
      </c>
    </row>
    <row r="4091" spans="2:7" x14ac:dyDescent="0.2">
      <c r="B4091" s="167">
        <v>45190</v>
      </c>
      <c r="C4091" s="28">
        <v>423.34</v>
      </c>
      <c r="D4091" s="83">
        <f t="shared" si="130"/>
        <v>0.85228615182673351</v>
      </c>
      <c r="E4091" s="83">
        <v>-1.2042007001166919E-2</v>
      </c>
      <c r="F4091" s="83">
        <v>4083</v>
      </c>
      <c r="G4091" s="83">
        <f t="shared" ca="1" si="131"/>
        <v>8.8130712718871886E-3</v>
      </c>
    </row>
    <row r="4092" spans="2:7" x14ac:dyDescent="0.2">
      <c r="B4092" s="167">
        <v>41542</v>
      </c>
      <c r="C4092" s="28">
        <v>228.55</v>
      </c>
      <c r="D4092" s="83">
        <f t="shared" si="130"/>
        <v>-0.48222740762556354</v>
      </c>
      <c r="E4092" s="83">
        <v>-1.2060171176623117E-2</v>
      </c>
      <c r="F4092" s="83">
        <v>4084</v>
      </c>
      <c r="G4092" s="83">
        <f t="shared" ca="1" si="131"/>
        <v>7.6732649387065517E-3</v>
      </c>
    </row>
    <row r="4093" spans="2:7" x14ac:dyDescent="0.2">
      <c r="B4093" s="167">
        <v>45308</v>
      </c>
      <c r="C4093" s="28">
        <v>441.41</v>
      </c>
      <c r="D4093" s="83">
        <f t="shared" si="130"/>
        <v>0.68509257491887787</v>
      </c>
      <c r="E4093" s="83">
        <v>-1.2063563115487883E-2</v>
      </c>
      <c r="F4093" s="83">
        <v>4085</v>
      </c>
      <c r="G4093" s="83">
        <f t="shared" ca="1" si="131"/>
        <v>7.6837114983056391E-3</v>
      </c>
    </row>
    <row r="4094" spans="2:7" x14ac:dyDescent="0.2">
      <c r="B4094" s="167">
        <v>43202</v>
      </c>
      <c r="C4094" s="28">
        <v>261.95</v>
      </c>
      <c r="D4094" s="83">
        <f t="shared" si="130"/>
        <v>0.20831219152174915</v>
      </c>
      <c r="E4094" s="83">
        <v>-1.2068640392230771E-2</v>
      </c>
      <c r="F4094" s="83">
        <v>4086</v>
      </c>
      <c r="G4094" s="83">
        <f t="shared" ca="1" si="131"/>
        <v>-2.8706708611417501E-2</v>
      </c>
    </row>
    <row r="4095" spans="2:7" x14ac:dyDescent="0.2">
      <c r="B4095" s="167">
        <v>41438</v>
      </c>
      <c r="C4095" s="28">
        <v>216.79</v>
      </c>
      <c r="D4095" s="83">
        <f t="shared" si="130"/>
        <v>-0.17113362645765634</v>
      </c>
      <c r="E4095" s="83">
        <v>-1.207619394823189E-2</v>
      </c>
      <c r="F4095" s="83">
        <v>4087</v>
      </c>
      <c r="G4095" s="83">
        <f t="shared" ca="1" si="131"/>
        <v>1.7532232534628479E-2</v>
      </c>
    </row>
    <row r="4096" spans="2:7" x14ac:dyDescent="0.2">
      <c r="B4096" s="167">
        <v>42797</v>
      </c>
      <c r="C4096" s="28">
        <v>261.55</v>
      </c>
      <c r="D4096" s="83">
        <f t="shared" si="130"/>
        <v>1.3533381320856579</v>
      </c>
      <c r="E4096" s="83">
        <v>-1.2086874409820543E-2</v>
      </c>
      <c r="F4096" s="83">
        <v>4088</v>
      </c>
      <c r="G4096" s="83">
        <f t="shared" ca="1" si="131"/>
        <v>-1.0900262107888154E-2</v>
      </c>
    </row>
    <row r="4097" spans="2:7" x14ac:dyDescent="0.2">
      <c r="B4097" s="167">
        <v>40508</v>
      </c>
      <c r="C4097" s="28">
        <v>111.14</v>
      </c>
      <c r="D4097" s="83">
        <f t="shared" si="130"/>
        <v>-0.70952144481325641</v>
      </c>
      <c r="E4097" s="83">
        <v>-1.2088888888888883E-2</v>
      </c>
      <c r="F4097" s="83">
        <v>4089</v>
      </c>
      <c r="G4097" s="83">
        <f t="shared" ca="1" si="131"/>
        <v>-4.9361050215922546E-3</v>
      </c>
    </row>
    <row r="4098" spans="2:7" x14ac:dyDescent="0.2">
      <c r="B4098" s="167">
        <v>45363</v>
      </c>
      <c r="C4098" s="28">
        <v>382.61</v>
      </c>
      <c r="D4098" s="83">
        <f t="shared" si="130"/>
        <v>7.1027107157983904</v>
      </c>
      <c r="E4098" s="83">
        <v>-1.210947585850761E-2</v>
      </c>
      <c r="F4098" s="83">
        <v>4090</v>
      </c>
      <c r="G4098" s="83">
        <f t="shared" ca="1" si="131"/>
        <v>7.2162059023384417E-3</v>
      </c>
    </row>
    <row r="4099" spans="2:7" x14ac:dyDescent="0.2">
      <c r="B4099" s="167">
        <v>38734</v>
      </c>
      <c r="C4099" s="28">
        <v>47.22</v>
      </c>
      <c r="D4099" s="83">
        <f t="shared" si="130"/>
        <v>-0.38201806046329012</v>
      </c>
      <c r="E4099" s="83">
        <v>-1.2133891213389087E-2</v>
      </c>
      <c r="F4099" s="83">
        <v>4091</v>
      </c>
      <c r="G4099" s="83">
        <f t="shared" ca="1" si="131"/>
        <v>-1.6938256962051385E-2</v>
      </c>
    </row>
    <row r="4100" spans="2:7" x14ac:dyDescent="0.2">
      <c r="B4100" s="167">
        <v>40079</v>
      </c>
      <c r="C4100" s="28">
        <v>76.41</v>
      </c>
      <c r="D4100" s="83">
        <f t="shared" si="130"/>
        <v>0.22295134443021766</v>
      </c>
      <c r="E4100" s="83">
        <v>-1.2152553329023888E-2</v>
      </c>
      <c r="F4100" s="83">
        <v>4092</v>
      </c>
      <c r="G4100" s="83">
        <f t="shared" ca="1" si="131"/>
        <v>2.3750762098144157E-3</v>
      </c>
    </row>
    <row r="4101" spans="2:7" x14ac:dyDescent="0.2">
      <c r="B4101" s="167">
        <v>39023</v>
      </c>
      <c r="C4101" s="28">
        <v>62.48</v>
      </c>
      <c r="D4101" s="83">
        <f t="shared" si="130"/>
        <v>8.8312140742031017E-2</v>
      </c>
      <c r="E4101" s="83">
        <v>-1.2173913043478311E-2</v>
      </c>
      <c r="F4101" s="83">
        <v>4093</v>
      </c>
      <c r="G4101" s="83">
        <f t="shared" ca="1" si="131"/>
        <v>7.9218422258067814E-3</v>
      </c>
    </row>
    <row r="4102" spans="2:7" x14ac:dyDescent="0.2">
      <c r="B4102" s="167">
        <v>39126</v>
      </c>
      <c r="C4102" s="28">
        <v>57.41</v>
      </c>
      <c r="D4102" s="83">
        <f t="shared" si="130"/>
        <v>-0.87766104801074019</v>
      </c>
      <c r="E4102" s="83">
        <v>-1.2216104611149362E-2</v>
      </c>
      <c r="F4102" s="83">
        <v>4094</v>
      </c>
      <c r="G4102" s="83">
        <f t="shared" ca="1" si="131"/>
        <v>-1.309962139385717E-2</v>
      </c>
    </row>
    <row r="4103" spans="2:7" x14ac:dyDescent="0.2">
      <c r="B4103" s="167">
        <v>45502</v>
      </c>
      <c r="C4103" s="28">
        <v>469.27</v>
      </c>
      <c r="D4103" s="83">
        <f t="shared" si="130"/>
        <v>0.71360233704582776</v>
      </c>
      <c r="E4103" s="83">
        <v>-1.2250310467490356E-2</v>
      </c>
      <c r="F4103" s="83">
        <v>4095</v>
      </c>
      <c r="G4103" s="83">
        <f t="shared" ca="1" si="131"/>
        <v>-1.3044391108969971E-2</v>
      </c>
    </row>
    <row r="4104" spans="2:7" x14ac:dyDescent="0.2">
      <c r="B4104" s="167">
        <v>43416</v>
      </c>
      <c r="C4104" s="28">
        <v>273.85000000000002</v>
      </c>
      <c r="D4104" s="83">
        <f t="shared" si="130"/>
        <v>3.730523406460529</v>
      </c>
      <c r="E4104" s="83">
        <v>-1.2263300270513894E-2</v>
      </c>
      <c r="F4104" s="83">
        <v>4096</v>
      </c>
      <c r="G4104" s="83">
        <f t="shared" ca="1" si="131"/>
        <v>2.9879729850218265E-3</v>
      </c>
    </row>
    <row r="4105" spans="2:7" x14ac:dyDescent="0.2">
      <c r="B4105" s="167">
        <v>39066</v>
      </c>
      <c r="C4105" s="28">
        <v>57.89</v>
      </c>
      <c r="D4105" s="83">
        <f t="shared" ref="D4105:D4168" si="132">(C4105-C4106)/C4106</f>
        <v>-7.5534972852123877E-2</v>
      </c>
      <c r="E4105" s="83">
        <v>-1.2284593072854443E-2</v>
      </c>
      <c r="F4105" s="83">
        <v>4097</v>
      </c>
      <c r="G4105" s="83">
        <f t="shared" ref="G4105:G4168" ca="1" si="133">_xlfn.NORM.INV(RAND(),$M$10,$M$11)</f>
        <v>5.379852542593648E-3</v>
      </c>
    </row>
    <row r="4106" spans="2:7" x14ac:dyDescent="0.2">
      <c r="B4106" s="167">
        <v>39028</v>
      </c>
      <c r="C4106" s="28">
        <v>62.62</v>
      </c>
      <c r="D4106" s="83">
        <f t="shared" si="132"/>
        <v>-0.739896157840083</v>
      </c>
      <c r="E4106" s="83">
        <v>-1.230283911671926E-2</v>
      </c>
      <c r="F4106" s="83">
        <v>4098</v>
      </c>
      <c r="G4106" s="83">
        <f t="shared" ca="1" si="133"/>
        <v>3.5793534534658111E-2</v>
      </c>
    </row>
    <row r="4107" spans="2:7" x14ac:dyDescent="0.2">
      <c r="B4107" s="167">
        <v>43720</v>
      </c>
      <c r="C4107" s="28">
        <v>240.75</v>
      </c>
      <c r="D4107" s="83">
        <f t="shared" si="132"/>
        <v>2.4916606236403189</v>
      </c>
      <c r="E4107" s="83">
        <v>-1.2307692307692308E-2</v>
      </c>
      <c r="F4107" s="83">
        <v>4099</v>
      </c>
      <c r="G4107" s="83">
        <f t="shared" ca="1" si="133"/>
        <v>2.3694851381094801E-2</v>
      </c>
    </row>
    <row r="4108" spans="2:7" x14ac:dyDescent="0.2">
      <c r="B4108" s="167">
        <v>39540</v>
      </c>
      <c r="C4108" s="28">
        <v>68.95</v>
      </c>
      <c r="D4108" s="83">
        <f t="shared" si="132"/>
        <v>-0.65400441589722991</v>
      </c>
      <c r="E4108" s="83">
        <v>-1.2319151983956445E-2</v>
      </c>
      <c r="F4108" s="83">
        <v>4100</v>
      </c>
      <c r="G4108" s="83">
        <f t="shared" ca="1" si="133"/>
        <v>1.2320729330284922E-2</v>
      </c>
    </row>
    <row r="4109" spans="2:7" x14ac:dyDescent="0.2">
      <c r="B4109" s="167">
        <v>42164</v>
      </c>
      <c r="C4109" s="28">
        <v>199.28</v>
      </c>
      <c r="D4109" s="83">
        <f t="shared" si="132"/>
        <v>-0.1126547332799003</v>
      </c>
      <c r="E4109" s="83">
        <v>-1.2340784061059666E-2</v>
      </c>
      <c r="F4109" s="83">
        <v>4101</v>
      </c>
      <c r="G4109" s="83">
        <f t="shared" ca="1" si="133"/>
        <v>-1.5748294100355791E-3</v>
      </c>
    </row>
    <row r="4110" spans="2:7" x14ac:dyDescent="0.2">
      <c r="B4110" s="167">
        <v>41550</v>
      </c>
      <c r="C4110" s="28">
        <v>224.58</v>
      </c>
      <c r="D4110" s="83">
        <f t="shared" si="132"/>
        <v>-0.26953976256301831</v>
      </c>
      <c r="E4110" s="83">
        <v>-1.235762346629128E-2</v>
      </c>
      <c r="F4110" s="83">
        <v>4102</v>
      </c>
      <c r="G4110" s="83">
        <f t="shared" ca="1" si="133"/>
        <v>2.0536747601450446E-2</v>
      </c>
    </row>
    <row r="4111" spans="2:7" x14ac:dyDescent="0.2">
      <c r="B4111" s="167">
        <v>44930</v>
      </c>
      <c r="C4111" s="28">
        <v>307.45</v>
      </c>
      <c r="D4111" s="83">
        <f t="shared" si="132"/>
        <v>-0.33660589060308554</v>
      </c>
      <c r="E4111" s="83">
        <v>-1.2399216215348089E-2</v>
      </c>
      <c r="F4111" s="83">
        <v>4103</v>
      </c>
      <c r="G4111" s="83">
        <f t="shared" ca="1" si="133"/>
        <v>-3.3691651421964341E-2</v>
      </c>
    </row>
    <row r="4112" spans="2:7" x14ac:dyDescent="0.2">
      <c r="B4112" s="167">
        <v>45503</v>
      </c>
      <c r="C4112" s="28">
        <v>463.45</v>
      </c>
      <c r="D4112" s="83">
        <f t="shared" si="132"/>
        <v>8.0961727183513243</v>
      </c>
      <c r="E4112" s="83">
        <v>-1.2402241779785611E-2</v>
      </c>
      <c r="F4112" s="83">
        <v>4104</v>
      </c>
      <c r="G4112" s="83">
        <f t="shared" ca="1" si="133"/>
        <v>1.8519524662545038E-3</v>
      </c>
    </row>
    <row r="4113" spans="2:7" x14ac:dyDescent="0.2">
      <c r="B4113" s="167">
        <v>39273</v>
      </c>
      <c r="C4113" s="28">
        <v>50.95</v>
      </c>
      <c r="D4113" s="83">
        <f t="shared" si="132"/>
        <v>-0.80881801125703567</v>
      </c>
      <c r="E4113" s="83">
        <v>-1.2405504942818385E-2</v>
      </c>
      <c r="F4113" s="83">
        <v>4105</v>
      </c>
      <c r="G4113" s="83">
        <f t="shared" ca="1" si="133"/>
        <v>4.1900405154729576E-3</v>
      </c>
    </row>
    <row r="4114" spans="2:7" x14ac:dyDescent="0.2">
      <c r="B4114" s="167">
        <v>43145</v>
      </c>
      <c r="C4114" s="28">
        <v>266.5</v>
      </c>
      <c r="D4114" s="83">
        <f t="shared" si="132"/>
        <v>3.1746031746031703E-2</v>
      </c>
      <c r="E4114" s="83">
        <v>-1.24143042430981E-2</v>
      </c>
      <c r="F4114" s="83">
        <v>4106</v>
      </c>
      <c r="G4114" s="83">
        <f t="shared" ca="1" si="133"/>
        <v>-3.3057067503293024E-3</v>
      </c>
    </row>
    <row r="4115" spans="2:7" x14ac:dyDescent="0.2">
      <c r="B4115" s="167">
        <v>43007</v>
      </c>
      <c r="C4115" s="28">
        <v>258.3</v>
      </c>
      <c r="D4115" s="83">
        <f t="shared" si="132"/>
        <v>0.25206010664081435</v>
      </c>
      <c r="E4115" s="83">
        <v>-1.2425922385777097E-2</v>
      </c>
      <c r="F4115" s="83">
        <v>4107</v>
      </c>
      <c r="G4115" s="83">
        <f t="shared" ca="1" si="133"/>
        <v>1.49669973412802E-2</v>
      </c>
    </row>
    <row r="4116" spans="2:7" x14ac:dyDescent="0.2">
      <c r="B4116" s="167">
        <v>44431</v>
      </c>
      <c r="C4116" s="28">
        <v>206.3</v>
      </c>
      <c r="D4116" s="83">
        <f t="shared" si="132"/>
        <v>2.6714717921338318</v>
      </c>
      <c r="E4116" s="83">
        <v>-1.2446146481570101E-2</v>
      </c>
      <c r="F4116" s="83">
        <v>4108</v>
      </c>
      <c r="G4116" s="83">
        <f t="shared" ca="1" si="133"/>
        <v>-2.0234358083072102E-2</v>
      </c>
    </row>
    <row r="4117" spans="2:7" x14ac:dyDescent="0.2">
      <c r="B4117" s="167">
        <v>39099</v>
      </c>
      <c r="C4117" s="28">
        <v>56.19</v>
      </c>
      <c r="D4117" s="83">
        <f t="shared" si="132"/>
        <v>-0.84577169050037049</v>
      </c>
      <c r="E4117" s="83">
        <v>-1.2478031634446413E-2</v>
      </c>
      <c r="F4117" s="83">
        <v>4109</v>
      </c>
      <c r="G4117" s="83">
        <f t="shared" ca="1" si="133"/>
        <v>-4.2801871764350539E-2</v>
      </c>
    </row>
    <row r="4118" spans="2:7" x14ac:dyDescent="0.2">
      <c r="B4118" s="167">
        <v>44994</v>
      </c>
      <c r="C4118" s="28">
        <v>364.33</v>
      </c>
      <c r="D4118" s="83">
        <f t="shared" si="132"/>
        <v>0.62140631953716063</v>
      </c>
      <c r="E4118" s="83">
        <v>-1.2495256681303231E-2</v>
      </c>
      <c r="F4118" s="83">
        <v>4110</v>
      </c>
      <c r="G4118" s="83">
        <f t="shared" ca="1" si="133"/>
        <v>-1.0051258091112325E-2</v>
      </c>
    </row>
    <row r="4119" spans="2:7" x14ac:dyDescent="0.2">
      <c r="B4119" s="167">
        <v>42727</v>
      </c>
      <c r="C4119" s="28">
        <v>224.7</v>
      </c>
      <c r="D4119" s="83">
        <f t="shared" si="132"/>
        <v>-0.18513145965548508</v>
      </c>
      <c r="E4119" s="83">
        <v>-1.2524719841793111E-2</v>
      </c>
      <c r="F4119" s="83">
        <v>4111</v>
      </c>
      <c r="G4119" s="83">
        <f t="shared" ca="1" si="133"/>
        <v>-3.0978174765375802E-2</v>
      </c>
    </row>
    <row r="4120" spans="2:7" x14ac:dyDescent="0.2">
      <c r="B4120" s="167">
        <v>43622</v>
      </c>
      <c r="C4120" s="28">
        <v>275.75</v>
      </c>
      <c r="D4120" s="83">
        <f t="shared" si="132"/>
        <v>3.0767297457125964</v>
      </c>
      <c r="E4120" s="83">
        <v>-1.2533572068039392E-2</v>
      </c>
      <c r="F4120" s="83">
        <v>4112</v>
      </c>
      <c r="G4120" s="83">
        <f t="shared" ca="1" si="133"/>
        <v>-9.4880098937373623E-3</v>
      </c>
    </row>
    <row r="4121" spans="2:7" x14ac:dyDescent="0.2">
      <c r="B4121" s="167">
        <v>39549</v>
      </c>
      <c r="C4121" s="28">
        <v>67.64</v>
      </c>
      <c r="D4121" s="83">
        <f t="shared" si="132"/>
        <v>-0.77935083999347587</v>
      </c>
      <c r="E4121" s="83">
        <v>-1.2554744525547437E-2</v>
      </c>
      <c r="F4121" s="83">
        <v>4113</v>
      </c>
      <c r="G4121" s="83">
        <f t="shared" ca="1" si="133"/>
        <v>-6.6694459824679798E-3</v>
      </c>
    </row>
    <row r="4122" spans="2:7" x14ac:dyDescent="0.2">
      <c r="B4122" s="167">
        <v>43353</v>
      </c>
      <c r="C4122" s="28">
        <v>306.55</v>
      </c>
      <c r="D4122" s="83">
        <f t="shared" si="132"/>
        <v>0.41927867030881061</v>
      </c>
      <c r="E4122" s="83">
        <v>-1.2562409405701329E-2</v>
      </c>
      <c r="F4122" s="83">
        <v>4114</v>
      </c>
      <c r="G4122" s="83">
        <f t="shared" ca="1" si="133"/>
        <v>5.6414218303140751E-3</v>
      </c>
    </row>
    <row r="4123" spans="2:7" x14ac:dyDescent="0.2">
      <c r="B4123" s="167">
        <v>42482</v>
      </c>
      <c r="C4123" s="28">
        <v>215.99</v>
      </c>
      <c r="D4123" s="83">
        <f t="shared" si="132"/>
        <v>1.1892357591729172</v>
      </c>
      <c r="E4123" s="83">
        <v>-1.2572003291579044E-2</v>
      </c>
      <c r="F4123" s="83">
        <v>4115</v>
      </c>
      <c r="G4123" s="83">
        <f t="shared" ca="1" si="133"/>
        <v>-1.2098081572187811E-2</v>
      </c>
    </row>
    <row r="4124" spans="2:7" x14ac:dyDescent="0.2">
      <c r="B4124" s="167">
        <v>40357</v>
      </c>
      <c r="C4124" s="28">
        <v>98.66</v>
      </c>
      <c r="D4124" s="83">
        <f t="shared" si="132"/>
        <v>1.1013844515441957</v>
      </c>
      <c r="E4124" s="83">
        <v>-1.2610088070456417E-2</v>
      </c>
      <c r="F4124" s="83">
        <v>4116</v>
      </c>
      <c r="G4124" s="83">
        <f t="shared" ca="1" si="133"/>
        <v>-1.9764875706508093E-2</v>
      </c>
    </row>
    <row r="4125" spans="2:7" x14ac:dyDescent="0.2">
      <c r="B4125" s="167">
        <v>38707</v>
      </c>
      <c r="C4125" s="28">
        <v>46.95</v>
      </c>
      <c r="D4125" s="83">
        <f t="shared" si="132"/>
        <v>-0.64421036677781141</v>
      </c>
      <c r="E4125" s="83">
        <v>-1.2618296529968336E-2</v>
      </c>
      <c r="F4125" s="83">
        <v>4117</v>
      </c>
      <c r="G4125" s="83">
        <f t="shared" ca="1" si="133"/>
        <v>2.2914033645674244E-2</v>
      </c>
    </row>
    <row r="4126" spans="2:7" x14ac:dyDescent="0.2">
      <c r="B4126" s="167">
        <v>40941</v>
      </c>
      <c r="C4126" s="28">
        <v>131.96</v>
      </c>
      <c r="D4126" s="83">
        <f t="shared" si="132"/>
        <v>-0.37167888772497859</v>
      </c>
      <c r="E4126" s="83">
        <v>-1.2644968200523738E-2</v>
      </c>
      <c r="F4126" s="83">
        <v>4118</v>
      </c>
      <c r="G4126" s="83">
        <f t="shared" ca="1" si="133"/>
        <v>1.7383146132317531E-2</v>
      </c>
    </row>
    <row r="4127" spans="2:7" x14ac:dyDescent="0.2">
      <c r="B4127" s="167">
        <v>41620</v>
      </c>
      <c r="C4127" s="28">
        <v>210.02</v>
      </c>
      <c r="D4127" s="83">
        <f t="shared" si="132"/>
        <v>3.560157790927021E-2</v>
      </c>
      <c r="E4127" s="83">
        <v>-1.2646325983733711E-2</v>
      </c>
      <c r="F4127" s="83">
        <v>4119</v>
      </c>
      <c r="G4127" s="83">
        <f t="shared" ca="1" si="133"/>
        <v>7.4516717502321828E-3</v>
      </c>
    </row>
    <row r="4128" spans="2:7" x14ac:dyDescent="0.2">
      <c r="B4128" s="167">
        <v>44203</v>
      </c>
      <c r="C4128" s="28">
        <v>202.8</v>
      </c>
      <c r="D4128" s="83">
        <f t="shared" si="132"/>
        <v>-0.19936833793920253</v>
      </c>
      <c r="E4128" s="83">
        <v>-1.2658227848101238E-2</v>
      </c>
      <c r="F4128" s="83">
        <v>4120</v>
      </c>
      <c r="G4128" s="83">
        <f t="shared" ca="1" si="133"/>
        <v>3.4215899508581778E-3</v>
      </c>
    </row>
    <row r="4129" spans="2:7" x14ac:dyDescent="0.2">
      <c r="B4129" s="167">
        <v>43054</v>
      </c>
      <c r="C4129" s="28">
        <v>253.3</v>
      </c>
      <c r="D4129" s="83">
        <f t="shared" si="132"/>
        <v>-9.1300448430493231E-2</v>
      </c>
      <c r="E4129" s="83">
        <v>-1.266809588774118E-2</v>
      </c>
      <c r="F4129" s="83">
        <v>4121</v>
      </c>
      <c r="G4129" s="83">
        <f t="shared" ca="1" si="133"/>
        <v>3.6253926823879255E-3</v>
      </c>
    </row>
    <row r="4130" spans="2:7" x14ac:dyDescent="0.2">
      <c r="B4130" s="167">
        <v>43242</v>
      </c>
      <c r="C4130" s="28">
        <v>278.75</v>
      </c>
      <c r="D4130" s="83">
        <f t="shared" si="132"/>
        <v>-0.34089189444812262</v>
      </c>
      <c r="E4130" s="83">
        <v>-1.2750132813883557E-2</v>
      </c>
      <c r="F4130" s="83">
        <v>4122</v>
      </c>
      <c r="G4130" s="83">
        <f t="shared" ca="1" si="133"/>
        <v>2.7929690895894924E-2</v>
      </c>
    </row>
    <row r="4131" spans="2:7" x14ac:dyDescent="0.2">
      <c r="B4131" s="167">
        <v>45098</v>
      </c>
      <c r="C4131" s="28">
        <v>422.92</v>
      </c>
      <c r="D4131" s="83">
        <f t="shared" si="132"/>
        <v>4.5949199629580635</v>
      </c>
      <c r="E4131" s="83">
        <v>-1.2791783380018585E-2</v>
      </c>
      <c r="F4131" s="83">
        <v>4123</v>
      </c>
      <c r="G4131" s="83">
        <f t="shared" ca="1" si="133"/>
        <v>-1.008807433025259E-2</v>
      </c>
    </row>
    <row r="4132" spans="2:7" x14ac:dyDescent="0.2">
      <c r="B4132" s="167">
        <v>39456</v>
      </c>
      <c r="C4132" s="28">
        <v>75.59</v>
      </c>
      <c r="D4132" s="83">
        <f t="shared" si="132"/>
        <v>-0.69842409734689803</v>
      </c>
      <c r="E4132" s="83">
        <v>-1.2798746245265637E-2</v>
      </c>
      <c r="F4132" s="83">
        <v>4124</v>
      </c>
      <c r="G4132" s="83">
        <f t="shared" ca="1" si="133"/>
        <v>1.4972738130504353E-2</v>
      </c>
    </row>
    <row r="4133" spans="2:7" x14ac:dyDescent="0.2">
      <c r="B4133" s="167">
        <v>43784</v>
      </c>
      <c r="C4133" s="28">
        <v>250.65</v>
      </c>
      <c r="D4133" s="83">
        <f t="shared" si="132"/>
        <v>3.5145893371757921</v>
      </c>
      <c r="E4133" s="83">
        <v>-1.2800315084679006E-2</v>
      </c>
      <c r="F4133" s="83">
        <v>4125</v>
      </c>
      <c r="G4133" s="83">
        <f t="shared" ca="1" si="133"/>
        <v>1.2945251562824521E-2</v>
      </c>
    </row>
    <row r="4134" spans="2:7" x14ac:dyDescent="0.2">
      <c r="B4134" s="167">
        <v>38917</v>
      </c>
      <c r="C4134" s="28">
        <v>55.52</v>
      </c>
      <c r="D4134" s="83">
        <f t="shared" si="132"/>
        <v>-0.81994486784498133</v>
      </c>
      <c r="E4134" s="83">
        <v>-1.2802275960170676E-2</v>
      </c>
      <c r="F4134" s="83">
        <v>4126</v>
      </c>
      <c r="G4134" s="83">
        <f t="shared" ca="1" si="133"/>
        <v>-9.3887640546281084E-3</v>
      </c>
    </row>
    <row r="4135" spans="2:7" x14ac:dyDescent="0.2">
      <c r="B4135" s="167">
        <v>42914</v>
      </c>
      <c r="C4135" s="28">
        <v>308.35000000000002</v>
      </c>
      <c r="D4135" s="83">
        <f t="shared" si="132"/>
        <v>2.0124071903087146</v>
      </c>
      <c r="E4135" s="83">
        <v>-1.2806146950536256E-2</v>
      </c>
      <c r="F4135" s="83">
        <v>4127</v>
      </c>
      <c r="G4135" s="83">
        <f t="shared" ca="1" si="133"/>
        <v>-1.3198799728394698E-2</v>
      </c>
    </row>
    <row r="4136" spans="2:7" x14ac:dyDescent="0.2">
      <c r="B4136" s="167">
        <v>40393</v>
      </c>
      <c r="C4136" s="28">
        <v>102.36</v>
      </c>
      <c r="D4136" s="83">
        <f t="shared" si="132"/>
        <v>-0.75944726452340661</v>
      </c>
      <c r="E4136" s="83">
        <v>-1.2826694956119185E-2</v>
      </c>
      <c r="F4136" s="83">
        <v>4128</v>
      </c>
      <c r="G4136" s="83">
        <f t="shared" ca="1" si="133"/>
        <v>-3.2175970302016806E-2</v>
      </c>
    </row>
    <row r="4137" spans="2:7" x14ac:dyDescent="0.2">
      <c r="B4137" s="167">
        <v>45320</v>
      </c>
      <c r="C4137" s="28">
        <v>425.52</v>
      </c>
      <c r="D4137" s="83">
        <f t="shared" si="132"/>
        <v>0.67758722649319914</v>
      </c>
      <c r="E4137" s="83">
        <v>-1.2829138151026631E-2</v>
      </c>
      <c r="F4137" s="83">
        <v>4129</v>
      </c>
      <c r="G4137" s="83">
        <f t="shared" ca="1" si="133"/>
        <v>-1.9085159471990839E-3</v>
      </c>
    </row>
    <row r="4138" spans="2:7" x14ac:dyDescent="0.2">
      <c r="B4138" s="167">
        <v>42634</v>
      </c>
      <c r="C4138" s="28">
        <v>253.65</v>
      </c>
      <c r="D4138" s="83">
        <f t="shared" si="132"/>
        <v>3.0766634522661525</v>
      </c>
      <c r="E4138" s="83">
        <v>-1.2842965557501394E-2</v>
      </c>
      <c r="F4138" s="83">
        <v>4130</v>
      </c>
      <c r="G4138" s="83">
        <f t="shared" ca="1" si="133"/>
        <v>1.521883172479139E-2</v>
      </c>
    </row>
    <row r="4139" spans="2:7" x14ac:dyDescent="0.2">
      <c r="B4139" s="167">
        <v>38965</v>
      </c>
      <c r="C4139" s="28">
        <v>62.22</v>
      </c>
      <c r="D4139" s="83">
        <f t="shared" si="132"/>
        <v>0.50036170725825901</v>
      </c>
      <c r="E4139" s="83">
        <v>-1.2851023322227546E-2</v>
      </c>
      <c r="F4139" s="83">
        <v>4131</v>
      </c>
      <c r="G4139" s="83">
        <f t="shared" ca="1" si="133"/>
        <v>8.3873714035887417E-3</v>
      </c>
    </row>
    <row r="4140" spans="2:7" x14ac:dyDescent="0.2">
      <c r="B4140" s="167">
        <v>38678</v>
      </c>
      <c r="C4140" s="28">
        <v>41.47</v>
      </c>
      <c r="D4140" s="83">
        <f t="shared" si="132"/>
        <v>-0.80838185010627484</v>
      </c>
      <c r="E4140" s="83">
        <v>-1.2854082361342518E-2</v>
      </c>
      <c r="F4140" s="83">
        <v>4132</v>
      </c>
      <c r="G4140" s="83">
        <f t="shared" ca="1" si="133"/>
        <v>-3.2392532491328898E-3</v>
      </c>
    </row>
    <row r="4141" spans="2:7" x14ac:dyDescent="0.2">
      <c r="B4141" s="167">
        <v>42465</v>
      </c>
      <c r="C4141" s="28">
        <v>216.42</v>
      </c>
      <c r="D4141" s="83">
        <f t="shared" si="132"/>
        <v>2.6562944692154419E-2</v>
      </c>
      <c r="E4141" s="83">
        <v>-1.2862616310892271E-2</v>
      </c>
      <c r="F4141" s="83">
        <v>4133</v>
      </c>
      <c r="G4141" s="83">
        <f t="shared" ca="1" si="133"/>
        <v>-2.5629646403293317E-3</v>
      </c>
    </row>
    <row r="4142" spans="2:7" x14ac:dyDescent="0.2">
      <c r="B4142" s="167">
        <v>42265</v>
      </c>
      <c r="C4142" s="28">
        <v>210.82</v>
      </c>
      <c r="D4142" s="83">
        <f t="shared" si="132"/>
        <v>0.25078611687926416</v>
      </c>
      <c r="E4142" s="83">
        <v>-1.2876340309968629E-2</v>
      </c>
      <c r="F4142" s="83">
        <v>4134</v>
      </c>
      <c r="G4142" s="83">
        <f t="shared" ca="1" si="133"/>
        <v>-2.1757758342446439E-4</v>
      </c>
    </row>
    <row r="4143" spans="2:7" x14ac:dyDescent="0.2">
      <c r="B4143" s="167">
        <v>44130</v>
      </c>
      <c r="C4143" s="28">
        <v>168.55</v>
      </c>
      <c r="D4143" s="83">
        <f t="shared" si="132"/>
        <v>-0.39717453505007155</v>
      </c>
      <c r="E4143" s="83">
        <v>-1.2884333821376215E-2</v>
      </c>
      <c r="F4143" s="83">
        <v>4135</v>
      </c>
      <c r="G4143" s="83">
        <f t="shared" ca="1" si="133"/>
        <v>-2.2387538011361865E-2</v>
      </c>
    </row>
    <row r="4144" spans="2:7" x14ac:dyDescent="0.2">
      <c r="B4144" s="167">
        <v>43409</v>
      </c>
      <c r="C4144" s="28">
        <v>279.60000000000002</v>
      </c>
      <c r="D4144" s="83">
        <f t="shared" si="132"/>
        <v>4.0017889087656533</v>
      </c>
      <c r="E4144" s="83">
        <v>-1.2886142983230282E-2</v>
      </c>
      <c r="F4144" s="83">
        <v>4136</v>
      </c>
      <c r="G4144" s="83">
        <f t="shared" ca="1" si="133"/>
        <v>1.7803769991770545E-2</v>
      </c>
    </row>
    <row r="4145" spans="2:7" x14ac:dyDescent="0.2">
      <c r="B4145" s="167">
        <v>39744</v>
      </c>
      <c r="C4145" s="28">
        <v>55.9</v>
      </c>
      <c r="D4145" s="83">
        <f t="shared" si="132"/>
        <v>8.9525514771704841E-4</v>
      </c>
      <c r="E4145" s="83">
        <v>-1.2890693978456718E-2</v>
      </c>
      <c r="F4145" s="83">
        <v>4137</v>
      </c>
      <c r="G4145" s="83">
        <f t="shared" ca="1" si="133"/>
        <v>1.8103377185753545E-2</v>
      </c>
    </row>
    <row r="4146" spans="2:7" x14ac:dyDescent="0.2">
      <c r="B4146" s="167">
        <v>39828</v>
      </c>
      <c r="C4146" s="28">
        <v>55.85</v>
      </c>
      <c r="D4146" s="83">
        <f t="shared" si="132"/>
        <v>-0.784985563041386</v>
      </c>
      <c r="E4146" s="83">
        <v>-1.2902085542594501E-2</v>
      </c>
      <c r="F4146" s="83">
        <v>4138</v>
      </c>
      <c r="G4146" s="83">
        <f t="shared" ca="1" si="133"/>
        <v>2.3563425393486333E-2</v>
      </c>
    </row>
    <row r="4147" spans="2:7" x14ac:dyDescent="0.2">
      <c r="B4147" s="167">
        <v>44685</v>
      </c>
      <c r="C4147" s="28">
        <v>259.75</v>
      </c>
      <c r="D4147" s="83">
        <f t="shared" si="132"/>
        <v>9.7844463229078638E-2</v>
      </c>
      <c r="E4147" s="83">
        <v>-1.2920387611628264E-2</v>
      </c>
      <c r="F4147" s="83">
        <v>4139</v>
      </c>
      <c r="G4147" s="83">
        <f t="shared" ca="1" si="133"/>
        <v>-2.8914799386332658E-2</v>
      </c>
    </row>
    <row r="4148" spans="2:7" x14ac:dyDescent="0.2">
      <c r="B4148" s="167">
        <v>42537</v>
      </c>
      <c r="C4148" s="28">
        <v>236.6</v>
      </c>
      <c r="D4148" s="83">
        <f t="shared" si="132"/>
        <v>1.333333333333333</v>
      </c>
      <c r="E4148" s="83">
        <v>-1.2932832707551082E-2</v>
      </c>
      <c r="F4148" s="83">
        <v>4140</v>
      </c>
      <c r="G4148" s="83">
        <f t="shared" ca="1" si="133"/>
        <v>3.1063123743500548E-4</v>
      </c>
    </row>
    <row r="4149" spans="2:7" x14ac:dyDescent="0.2">
      <c r="B4149" s="167">
        <v>40402</v>
      </c>
      <c r="C4149" s="28">
        <v>101.4</v>
      </c>
      <c r="D4149" s="83">
        <f t="shared" si="132"/>
        <v>-0.55296918397037431</v>
      </c>
      <c r="E4149" s="83">
        <v>-1.2946558940913056E-2</v>
      </c>
      <c r="F4149" s="83">
        <v>4141</v>
      </c>
      <c r="G4149" s="83">
        <f t="shared" ca="1" si="133"/>
        <v>4.9894551487612701E-3</v>
      </c>
    </row>
    <row r="4150" spans="2:7" x14ac:dyDescent="0.2">
      <c r="B4150" s="167">
        <v>41767</v>
      </c>
      <c r="C4150" s="28">
        <v>226.83</v>
      </c>
      <c r="D4150" s="83">
        <f t="shared" si="132"/>
        <v>3.9754332090370696</v>
      </c>
      <c r="E4150" s="83">
        <v>-1.2967233801836255E-2</v>
      </c>
      <c r="F4150" s="83">
        <v>4142</v>
      </c>
      <c r="G4150" s="83">
        <f t="shared" ca="1" si="133"/>
        <v>-3.9074862192195303E-2</v>
      </c>
    </row>
    <row r="4151" spans="2:7" x14ac:dyDescent="0.2">
      <c r="B4151" s="167">
        <v>38712</v>
      </c>
      <c r="C4151" s="28">
        <v>45.59</v>
      </c>
      <c r="D4151" s="83">
        <f t="shared" si="132"/>
        <v>-0.82349980642663567</v>
      </c>
      <c r="E4151" s="83">
        <v>-1.2989824637367272E-2</v>
      </c>
      <c r="F4151" s="83">
        <v>4143</v>
      </c>
      <c r="G4151" s="83">
        <f t="shared" ca="1" si="133"/>
        <v>-3.939215481266363E-3</v>
      </c>
    </row>
    <row r="4152" spans="2:7" x14ac:dyDescent="0.2">
      <c r="B4152" s="167">
        <v>43052</v>
      </c>
      <c r="C4152" s="28">
        <v>258.3</v>
      </c>
      <c r="D4152" s="83">
        <f t="shared" si="132"/>
        <v>-0.37902682950283673</v>
      </c>
      <c r="E4152" s="83">
        <v>-1.2991975544516535E-2</v>
      </c>
      <c r="F4152" s="83">
        <v>4144</v>
      </c>
      <c r="G4152" s="83">
        <f t="shared" ca="1" si="133"/>
        <v>-2.1481326528327547E-2</v>
      </c>
    </row>
    <row r="4153" spans="2:7" x14ac:dyDescent="0.2">
      <c r="B4153" s="167">
        <v>45078</v>
      </c>
      <c r="C4153" s="28">
        <v>415.96</v>
      </c>
      <c r="D4153" s="83">
        <f t="shared" si="132"/>
        <v>0.17562602453224799</v>
      </c>
      <c r="E4153" s="83">
        <v>-1.3026456281883994E-2</v>
      </c>
      <c r="F4153" s="83">
        <v>4145</v>
      </c>
      <c r="G4153" s="83">
        <f t="shared" ca="1" si="133"/>
        <v>2.2487358966798359E-2</v>
      </c>
    </row>
    <row r="4154" spans="2:7" x14ac:dyDescent="0.2">
      <c r="B4154" s="167">
        <v>44875</v>
      </c>
      <c r="C4154" s="28">
        <v>353.82</v>
      </c>
      <c r="D4154" s="83">
        <f t="shared" si="132"/>
        <v>0.55730633802816909</v>
      </c>
      <c r="E4154" s="83">
        <v>-1.3026862673993739E-2</v>
      </c>
      <c r="F4154" s="83">
        <v>4146</v>
      </c>
      <c r="G4154" s="83">
        <f t="shared" ca="1" si="133"/>
        <v>-9.3638068234083646E-3</v>
      </c>
    </row>
    <row r="4155" spans="2:7" x14ac:dyDescent="0.2">
      <c r="B4155" s="167">
        <v>42711</v>
      </c>
      <c r="C4155" s="28">
        <v>227.2</v>
      </c>
      <c r="D4155" s="83">
        <f t="shared" si="132"/>
        <v>1.7542732452418475</v>
      </c>
      <c r="E4155" s="83">
        <v>-1.3032145960034753E-2</v>
      </c>
      <c r="F4155" s="83">
        <v>4147</v>
      </c>
      <c r="G4155" s="83">
        <f t="shared" ca="1" si="133"/>
        <v>7.8781232201298179E-3</v>
      </c>
    </row>
    <row r="4156" spans="2:7" x14ac:dyDescent="0.2">
      <c r="B4156" s="167">
        <v>40123</v>
      </c>
      <c r="C4156" s="28">
        <v>82.49</v>
      </c>
      <c r="D4156" s="83">
        <f t="shared" si="132"/>
        <v>-0.50139023210831724</v>
      </c>
      <c r="E4156" s="83">
        <v>-1.3041397463508058E-2</v>
      </c>
      <c r="F4156" s="83">
        <v>4148</v>
      </c>
      <c r="G4156" s="83">
        <f t="shared" ca="1" si="133"/>
        <v>1.1176990624108834E-2</v>
      </c>
    </row>
    <row r="4157" spans="2:7" x14ac:dyDescent="0.2">
      <c r="B4157" s="167">
        <v>41113</v>
      </c>
      <c r="C4157" s="28">
        <v>165.44</v>
      </c>
      <c r="D4157" s="83">
        <f t="shared" si="132"/>
        <v>1.528076096962264E-2</v>
      </c>
      <c r="E4157" s="83">
        <v>-1.3064487263616285E-2</v>
      </c>
      <c r="F4157" s="83">
        <v>4149</v>
      </c>
      <c r="G4157" s="83">
        <f t="shared" ca="1" si="133"/>
        <v>1.6337574142698253E-2</v>
      </c>
    </row>
    <row r="4158" spans="2:7" x14ac:dyDescent="0.2">
      <c r="B4158" s="167">
        <v>41026</v>
      </c>
      <c r="C4158" s="28">
        <v>162.94999999999999</v>
      </c>
      <c r="D4158" s="83">
        <f t="shared" si="132"/>
        <v>-0.32427949409081491</v>
      </c>
      <c r="E4158" s="83">
        <v>-1.3082187632487583E-2</v>
      </c>
      <c r="F4158" s="83">
        <v>4150</v>
      </c>
      <c r="G4158" s="83">
        <f t="shared" ca="1" si="133"/>
        <v>-2.4065394799477967E-2</v>
      </c>
    </row>
    <row r="4159" spans="2:7" x14ac:dyDescent="0.2">
      <c r="B4159" s="167">
        <v>43819</v>
      </c>
      <c r="C4159" s="28">
        <v>241.15</v>
      </c>
      <c r="D4159" s="83">
        <f t="shared" si="132"/>
        <v>0.86201837695930839</v>
      </c>
      <c r="E4159" s="83">
        <v>-1.3095968897073823E-2</v>
      </c>
      <c r="F4159" s="83">
        <v>4151</v>
      </c>
      <c r="G4159" s="83">
        <f t="shared" ca="1" si="133"/>
        <v>-1.7789704804957274E-3</v>
      </c>
    </row>
    <row r="4160" spans="2:7" x14ac:dyDescent="0.2">
      <c r="B4160" s="167">
        <v>40805</v>
      </c>
      <c r="C4160" s="28">
        <v>129.51</v>
      </c>
      <c r="D4160" s="83">
        <f t="shared" si="132"/>
        <v>-1.6628701594533012E-2</v>
      </c>
      <c r="E4160" s="83">
        <v>-1.3106759125200023E-2</v>
      </c>
      <c r="F4160" s="83">
        <v>4152</v>
      </c>
      <c r="G4160" s="83">
        <f t="shared" ca="1" si="133"/>
        <v>1.2141904043248028E-4</v>
      </c>
    </row>
    <row r="4161" spans="2:7" x14ac:dyDescent="0.2">
      <c r="B4161" s="167">
        <v>40910</v>
      </c>
      <c r="C4161" s="28">
        <v>131.69999999999999</v>
      </c>
      <c r="D4161" s="83">
        <f t="shared" si="132"/>
        <v>-0.35658801113879529</v>
      </c>
      <c r="E4161" s="83">
        <v>-1.3113525665043089E-2</v>
      </c>
      <c r="F4161" s="83">
        <v>4153</v>
      </c>
      <c r="G4161" s="83">
        <f t="shared" ca="1" si="133"/>
        <v>2.5764950441273547E-2</v>
      </c>
    </row>
    <row r="4162" spans="2:7" x14ac:dyDescent="0.2">
      <c r="B4162" s="167">
        <v>41613</v>
      </c>
      <c r="C4162" s="28">
        <v>204.69</v>
      </c>
      <c r="D4162" s="83">
        <f t="shared" si="132"/>
        <v>-0.19980453479280694</v>
      </c>
      <c r="E4162" s="83">
        <v>-1.3114121787763363E-2</v>
      </c>
      <c r="F4162" s="83">
        <v>4154</v>
      </c>
      <c r="G4162" s="83">
        <f t="shared" ca="1" si="133"/>
        <v>-4.1356528366209164E-2</v>
      </c>
    </row>
    <row r="4163" spans="2:7" x14ac:dyDescent="0.2">
      <c r="B4163" s="167">
        <v>43060</v>
      </c>
      <c r="C4163" s="28">
        <v>255.8</v>
      </c>
      <c r="D4163" s="83">
        <f t="shared" si="132"/>
        <v>1.2825020076737756</v>
      </c>
      <c r="E4163" s="83">
        <v>-1.3117283950617196E-2</v>
      </c>
      <c r="F4163" s="83">
        <v>4155</v>
      </c>
      <c r="G4163" s="83">
        <f t="shared" ca="1" si="133"/>
        <v>5.6673113216547952E-3</v>
      </c>
    </row>
    <row r="4164" spans="2:7" x14ac:dyDescent="0.2">
      <c r="B4164" s="167">
        <v>40518</v>
      </c>
      <c r="C4164" s="28">
        <v>112.07</v>
      </c>
      <c r="D4164" s="83">
        <f t="shared" si="132"/>
        <v>-0.56136986301369862</v>
      </c>
      <c r="E4164" s="83">
        <v>-1.3120817189151189E-2</v>
      </c>
      <c r="F4164" s="83">
        <v>4156</v>
      </c>
      <c r="G4164" s="83">
        <f t="shared" ca="1" si="133"/>
        <v>-4.6375496585484028E-3</v>
      </c>
    </row>
    <row r="4165" spans="2:7" x14ac:dyDescent="0.2">
      <c r="B4165" s="167">
        <v>43187</v>
      </c>
      <c r="C4165" s="28">
        <v>255.5</v>
      </c>
      <c r="D4165" s="83">
        <f t="shared" si="132"/>
        <v>3.6847658469280141E-2</v>
      </c>
      <c r="E4165" s="83">
        <v>-1.3132483584395433E-2</v>
      </c>
      <c r="F4165" s="83">
        <v>4157</v>
      </c>
      <c r="G4165" s="83">
        <f t="shared" ca="1" si="133"/>
        <v>-2.1274190712405609E-2</v>
      </c>
    </row>
    <row r="4166" spans="2:7" x14ac:dyDescent="0.2">
      <c r="B4166" s="167">
        <v>41908</v>
      </c>
      <c r="C4166" s="28">
        <v>246.42</v>
      </c>
      <c r="D4166" s="83">
        <f t="shared" si="132"/>
        <v>-8.8851913477537445E-2</v>
      </c>
      <c r="E4166" s="83">
        <v>-1.3135762915498603E-2</v>
      </c>
      <c r="F4166" s="83">
        <v>4158</v>
      </c>
      <c r="G4166" s="83">
        <f t="shared" ca="1" si="133"/>
        <v>2.7202253179523118E-2</v>
      </c>
    </row>
    <row r="4167" spans="2:7" x14ac:dyDescent="0.2">
      <c r="B4167" s="167">
        <v>43444</v>
      </c>
      <c r="C4167" s="28">
        <v>270.45</v>
      </c>
      <c r="D4167" s="83">
        <f t="shared" si="132"/>
        <v>2.8740868070477008</v>
      </c>
      <c r="E4167" s="83">
        <v>-1.3136288998358047E-2</v>
      </c>
      <c r="F4167" s="83">
        <v>4159</v>
      </c>
      <c r="G4167" s="83">
        <f t="shared" ca="1" si="133"/>
        <v>1.2041687163565714E-2</v>
      </c>
    </row>
    <row r="4168" spans="2:7" x14ac:dyDescent="0.2">
      <c r="B4168" s="167">
        <v>40004</v>
      </c>
      <c r="C4168" s="28">
        <v>69.81</v>
      </c>
      <c r="D4168" s="83">
        <f t="shared" si="132"/>
        <v>-0.84128680231897235</v>
      </c>
      <c r="E4168" s="83">
        <v>-1.3146734520780219E-2</v>
      </c>
      <c r="F4168" s="83">
        <v>4160</v>
      </c>
      <c r="G4168" s="83">
        <f t="shared" ca="1" si="133"/>
        <v>-9.6241814462027162E-3</v>
      </c>
    </row>
    <row r="4169" spans="2:7" x14ac:dyDescent="0.2">
      <c r="B4169" s="167">
        <v>45635</v>
      </c>
      <c r="C4169" s="28">
        <v>439.85</v>
      </c>
      <c r="D4169" s="83">
        <f t="shared" ref="D4169:D4232" si="134">(C4169-C4170)/C4170</f>
        <v>1.8221159321262074E-3</v>
      </c>
      <c r="E4169" s="83">
        <v>-1.3147562316304227E-2</v>
      </c>
      <c r="F4169" s="83">
        <v>4161</v>
      </c>
      <c r="G4169" s="83">
        <f t="shared" ref="G4169:G4232" ca="1" si="135">_xlfn.NORM.INV(RAND(),$M$10,$M$11)</f>
        <v>8.5867533521349938E-3</v>
      </c>
    </row>
    <row r="4170" spans="2:7" x14ac:dyDescent="0.2">
      <c r="B4170" s="167">
        <v>45670</v>
      </c>
      <c r="C4170" s="28">
        <v>439.05</v>
      </c>
      <c r="D4170" s="83">
        <f t="shared" si="134"/>
        <v>1.2555869509375803</v>
      </c>
      <c r="E4170" s="83">
        <v>-1.3149022252191427E-2</v>
      </c>
      <c r="F4170" s="83">
        <v>4162</v>
      </c>
      <c r="G4170" s="83">
        <f t="shared" ca="1" si="135"/>
        <v>-8.090671575746269E-3</v>
      </c>
    </row>
    <row r="4171" spans="2:7" x14ac:dyDescent="0.2">
      <c r="B4171" s="167">
        <v>44012</v>
      </c>
      <c r="C4171" s="28">
        <v>194.65</v>
      </c>
      <c r="D4171" s="83">
        <f t="shared" si="134"/>
        <v>3.1283138918345705</v>
      </c>
      <c r="E4171" s="83">
        <v>-1.3181242078580452E-2</v>
      </c>
      <c r="F4171" s="83">
        <v>4163</v>
      </c>
      <c r="G4171" s="83">
        <f t="shared" ca="1" si="135"/>
        <v>1.6809265217516512E-2</v>
      </c>
    </row>
    <row r="4172" spans="2:7" x14ac:dyDescent="0.2">
      <c r="B4172" s="167">
        <v>39167</v>
      </c>
      <c r="C4172" s="28">
        <v>47.15</v>
      </c>
      <c r="D4172" s="83">
        <f t="shared" si="134"/>
        <v>-0.18057003823427181</v>
      </c>
      <c r="E4172" s="83">
        <v>-1.3185433235663511E-2</v>
      </c>
      <c r="F4172" s="83">
        <v>4164</v>
      </c>
      <c r="G4172" s="83">
        <f t="shared" ca="1" si="135"/>
        <v>-1.4667179683099543E-2</v>
      </c>
    </row>
    <row r="4173" spans="2:7" x14ac:dyDescent="0.2">
      <c r="B4173" s="167">
        <v>38792</v>
      </c>
      <c r="C4173" s="28">
        <v>57.54</v>
      </c>
      <c r="D4173" s="83">
        <f t="shared" si="134"/>
        <v>-0.86946460980036289</v>
      </c>
      <c r="E4173" s="83">
        <v>-1.3205282112845192E-2</v>
      </c>
      <c r="F4173" s="83">
        <v>4165</v>
      </c>
      <c r="G4173" s="83">
        <f t="shared" ca="1" si="135"/>
        <v>-4.9343734629258363E-3</v>
      </c>
    </row>
    <row r="4174" spans="2:7" x14ac:dyDescent="0.2">
      <c r="B4174" s="167">
        <v>45610</v>
      </c>
      <c r="C4174" s="28">
        <v>440.8</v>
      </c>
      <c r="D4174" s="83">
        <f t="shared" si="134"/>
        <v>2.5643244117409232</v>
      </c>
      <c r="E4174" s="83">
        <v>-1.3230059770320719E-2</v>
      </c>
      <c r="F4174" s="83">
        <v>4166</v>
      </c>
      <c r="G4174" s="83">
        <f t="shared" ca="1" si="135"/>
        <v>7.3567182794925228E-3</v>
      </c>
    </row>
    <row r="4175" spans="2:7" x14ac:dyDescent="0.2">
      <c r="B4175" s="167">
        <v>40683</v>
      </c>
      <c r="C4175" s="28">
        <v>123.67</v>
      </c>
      <c r="D4175" s="83">
        <f t="shared" si="134"/>
        <v>-0.42732113915258157</v>
      </c>
      <c r="E4175" s="83">
        <v>-1.3245033112582754E-2</v>
      </c>
      <c r="F4175" s="83">
        <v>4167</v>
      </c>
      <c r="G4175" s="83">
        <f t="shared" ca="1" si="135"/>
        <v>1.5247941480442291E-2</v>
      </c>
    </row>
    <row r="4176" spans="2:7" x14ac:dyDescent="0.2">
      <c r="B4176" s="167">
        <v>44246</v>
      </c>
      <c r="C4176" s="28">
        <v>215.95</v>
      </c>
      <c r="D4176" s="83">
        <f t="shared" si="134"/>
        <v>0.65263641233642011</v>
      </c>
      <c r="E4176" s="83">
        <v>-1.3251085218185998E-2</v>
      </c>
      <c r="F4176" s="83">
        <v>4168</v>
      </c>
      <c r="G4176" s="83">
        <f t="shared" ca="1" si="135"/>
        <v>1.0195852122824915E-2</v>
      </c>
    </row>
    <row r="4177" spans="2:7" x14ac:dyDescent="0.2">
      <c r="B4177" s="167">
        <v>40765</v>
      </c>
      <c r="C4177" s="28">
        <v>130.66999999999999</v>
      </c>
      <c r="D4177" s="83">
        <f t="shared" si="134"/>
        <v>-0.38864976139234592</v>
      </c>
      <c r="E4177" s="83">
        <v>-1.329004002114339E-2</v>
      </c>
      <c r="F4177" s="83">
        <v>4169</v>
      </c>
      <c r="G4177" s="83">
        <f t="shared" ca="1" si="135"/>
        <v>-5.1197236742893636E-3</v>
      </c>
    </row>
    <row r="4178" spans="2:7" x14ac:dyDescent="0.2">
      <c r="B4178" s="167">
        <v>42089</v>
      </c>
      <c r="C4178" s="28">
        <v>213.74</v>
      </c>
      <c r="D4178" s="83">
        <f t="shared" si="134"/>
        <v>-0.20598833537649983</v>
      </c>
      <c r="E4178" s="83">
        <v>-1.3295171267657628E-2</v>
      </c>
      <c r="F4178" s="83">
        <v>4170</v>
      </c>
      <c r="G4178" s="83">
        <f t="shared" ca="1" si="135"/>
        <v>2.7821050517028587E-2</v>
      </c>
    </row>
    <row r="4179" spans="2:7" x14ac:dyDescent="0.2">
      <c r="B4179" s="167">
        <v>44705</v>
      </c>
      <c r="C4179" s="28">
        <v>269.19</v>
      </c>
      <c r="D4179" s="83">
        <f t="shared" si="134"/>
        <v>0.23120197585071356</v>
      </c>
      <c r="E4179" s="83">
        <v>-1.3305476138113025E-2</v>
      </c>
      <c r="F4179" s="83">
        <v>4171</v>
      </c>
      <c r="G4179" s="83">
        <f t="shared" ca="1" si="135"/>
        <v>-6.4843624634212515E-3</v>
      </c>
    </row>
    <row r="4180" spans="2:7" x14ac:dyDescent="0.2">
      <c r="B4180" s="167">
        <v>42321</v>
      </c>
      <c r="C4180" s="28">
        <v>218.64</v>
      </c>
      <c r="D4180" s="83">
        <f t="shared" si="134"/>
        <v>-0.21324217344368476</v>
      </c>
      <c r="E4180" s="83">
        <v>-1.3312875129744198E-2</v>
      </c>
      <c r="F4180" s="83">
        <v>4172</v>
      </c>
      <c r="G4180" s="83">
        <f t="shared" ca="1" si="135"/>
        <v>-6.3339491505239338E-3</v>
      </c>
    </row>
    <row r="4181" spans="2:7" x14ac:dyDescent="0.2">
      <c r="B4181" s="167">
        <v>42873</v>
      </c>
      <c r="C4181" s="28">
        <v>277.89999999999998</v>
      </c>
      <c r="D4181" s="83">
        <f t="shared" si="134"/>
        <v>2.8870443883073061E-3</v>
      </c>
      <c r="E4181" s="83">
        <v>-1.3314397301615481E-2</v>
      </c>
      <c r="F4181" s="83">
        <v>4173</v>
      </c>
      <c r="G4181" s="83">
        <f t="shared" ca="1" si="135"/>
        <v>2.5538537825701528E-2</v>
      </c>
    </row>
    <row r="4182" spans="2:7" x14ac:dyDescent="0.2">
      <c r="B4182" s="167">
        <v>43500</v>
      </c>
      <c r="C4182" s="28">
        <v>277.10000000000002</v>
      </c>
      <c r="D4182" s="83">
        <f t="shared" si="134"/>
        <v>0.41521961184882539</v>
      </c>
      <c r="E4182" s="83">
        <v>-1.335232330425494E-2</v>
      </c>
      <c r="F4182" s="83">
        <v>4174</v>
      </c>
      <c r="G4182" s="83">
        <f t="shared" ca="1" si="135"/>
        <v>-3.5015808027667232E-2</v>
      </c>
    </row>
    <row r="4183" spans="2:7" x14ac:dyDescent="0.2">
      <c r="B4183" s="167">
        <v>44063</v>
      </c>
      <c r="C4183" s="28">
        <v>195.8</v>
      </c>
      <c r="D4183" s="83">
        <f t="shared" si="134"/>
        <v>-7.0054618855378767E-2</v>
      </c>
      <c r="E4183" s="83">
        <v>-1.335348954396562E-2</v>
      </c>
      <c r="F4183" s="83">
        <v>4175</v>
      </c>
      <c r="G4183" s="83">
        <f t="shared" ca="1" si="135"/>
        <v>-5.1073610589240656E-3</v>
      </c>
    </row>
    <row r="4184" spans="2:7" x14ac:dyDescent="0.2">
      <c r="B4184" s="167">
        <v>43871</v>
      </c>
      <c r="C4184" s="28">
        <v>210.55</v>
      </c>
      <c r="D4184" s="83">
        <f t="shared" si="134"/>
        <v>-9.4018932874354533E-2</v>
      </c>
      <c r="E4184" s="83">
        <v>-1.335520149953137E-2</v>
      </c>
      <c r="F4184" s="83">
        <v>4176</v>
      </c>
      <c r="G4184" s="83">
        <f t="shared" ca="1" si="135"/>
        <v>-4.4289930164627192E-3</v>
      </c>
    </row>
    <row r="4185" spans="2:7" x14ac:dyDescent="0.2">
      <c r="B4185" s="167">
        <v>41883</v>
      </c>
      <c r="C4185" s="28">
        <v>232.4</v>
      </c>
      <c r="D4185" s="83">
        <f t="shared" si="134"/>
        <v>8.8269726059470824E-2</v>
      </c>
      <c r="E4185" s="83">
        <v>-1.3372956909361093E-2</v>
      </c>
      <c r="F4185" s="83">
        <v>4177</v>
      </c>
      <c r="G4185" s="83">
        <f t="shared" ca="1" si="135"/>
        <v>5.4649318980184306E-3</v>
      </c>
    </row>
    <row r="4186" spans="2:7" x14ac:dyDescent="0.2">
      <c r="B4186" s="167">
        <v>43867</v>
      </c>
      <c r="C4186" s="28">
        <v>213.55</v>
      </c>
      <c r="D4186" s="83">
        <f t="shared" si="134"/>
        <v>0.30915890142226587</v>
      </c>
      <c r="E4186" s="83">
        <v>-1.3398013398013294E-2</v>
      </c>
      <c r="F4186" s="83">
        <v>4178</v>
      </c>
      <c r="G4186" s="83">
        <f t="shared" ca="1" si="135"/>
        <v>-2.5142542460518131E-2</v>
      </c>
    </row>
    <row r="4187" spans="2:7" x14ac:dyDescent="0.2">
      <c r="B4187" s="167">
        <v>41080</v>
      </c>
      <c r="C4187" s="28">
        <v>163.12</v>
      </c>
      <c r="D4187" s="83">
        <f t="shared" si="134"/>
        <v>-0.19027053859518483</v>
      </c>
      <c r="E4187" s="83">
        <v>-1.3426877948469813E-2</v>
      </c>
      <c r="F4187" s="83">
        <v>4179</v>
      </c>
      <c r="G4187" s="83">
        <f t="shared" ca="1" si="135"/>
        <v>6.6853113707377734E-4</v>
      </c>
    </row>
    <row r="4188" spans="2:7" x14ac:dyDescent="0.2">
      <c r="B4188" s="167">
        <v>44056</v>
      </c>
      <c r="C4188" s="28">
        <v>201.45</v>
      </c>
      <c r="D4188" s="83">
        <f t="shared" si="134"/>
        <v>2.5274032568727014</v>
      </c>
      <c r="E4188" s="83">
        <v>-1.3467189030362391E-2</v>
      </c>
      <c r="F4188" s="83">
        <v>4180</v>
      </c>
      <c r="G4188" s="83">
        <f t="shared" ca="1" si="135"/>
        <v>-2.81881009643681E-2</v>
      </c>
    </row>
    <row r="4189" spans="2:7" x14ac:dyDescent="0.2">
      <c r="B4189" s="167">
        <v>39762</v>
      </c>
      <c r="C4189" s="28">
        <v>57.11</v>
      </c>
      <c r="D4189" s="83">
        <f t="shared" si="134"/>
        <v>-0.70999847661605642</v>
      </c>
      <c r="E4189" s="83">
        <v>-1.347382967697359E-2</v>
      </c>
      <c r="F4189" s="83">
        <v>4181</v>
      </c>
      <c r="G4189" s="83">
        <f t="shared" ca="1" si="135"/>
        <v>-1.9194152601155682E-3</v>
      </c>
    </row>
    <row r="4190" spans="2:7" x14ac:dyDescent="0.2">
      <c r="B4190" s="167">
        <v>42166</v>
      </c>
      <c r="C4190" s="28">
        <v>196.93</v>
      </c>
      <c r="D4190" s="83">
        <f t="shared" si="134"/>
        <v>-0.15625535561268208</v>
      </c>
      <c r="E4190" s="83">
        <v>-1.3475603646929154E-2</v>
      </c>
      <c r="F4190" s="83">
        <v>4182</v>
      </c>
      <c r="G4190" s="83">
        <f t="shared" ca="1" si="135"/>
        <v>-1.6161852992166832E-2</v>
      </c>
    </row>
    <row r="4191" spans="2:7" x14ac:dyDescent="0.2">
      <c r="B4191" s="167">
        <v>44494</v>
      </c>
      <c r="C4191" s="28">
        <v>233.4</v>
      </c>
      <c r="D4191" s="83">
        <f t="shared" si="134"/>
        <v>0.14048375274859515</v>
      </c>
      <c r="E4191" s="83">
        <v>-1.3524936601859631E-2</v>
      </c>
      <c r="F4191" s="83">
        <v>4183</v>
      </c>
      <c r="G4191" s="83">
        <f t="shared" ca="1" si="135"/>
        <v>-2.0884409454912569E-2</v>
      </c>
    </row>
    <row r="4192" spans="2:7" x14ac:dyDescent="0.2">
      <c r="B4192" s="167">
        <v>41600</v>
      </c>
      <c r="C4192" s="28">
        <v>204.65</v>
      </c>
      <c r="D4192" s="83">
        <f t="shared" si="134"/>
        <v>-5.3685378710810992E-2</v>
      </c>
      <c r="E4192" s="83">
        <v>-1.3592326601436319E-2</v>
      </c>
      <c r="F4192" s="83">
        <v>4184</v>
      </c>
      <c r="G4192" s="83">
        <f t="shared" ca="1" si="135"/>
        <v>-3.3826425059308544E-2</v>
      </c>
    </row>
    <row r="4193" spans="2:7" x14ac:dyDescent="0.2">
      <c r="B4193" s="167">
        <v>41400</v>
      </c>
      <c r="C4193" s="28">
        <v>216.26</v>
      </c>
      <c r="D4193" s="83">
        <f t="shared" si="134"/>
        <v>0.12483095807760325</v>
      </c>
      <c r="E4193" s="83">
        <v>-1.3592410144134365E-2</v>
      </c>
      <c r="F4193" s="83">
        <v>4185</v>
      </c>
      <c r="G4193" s="83">
        <f t="shared" ca="1" si="135"/>
        <v>6.7528846689203694E-3</v>
      </c>
    </row>
    <row r="4194" spans="2:7" x14ac:dyDescent="0.2">
      <c r="B4194" s="167">
        <v>41205</v>
      </c>
      <c r="C4194" s="28">
        <v>192.26</v>
      </c>
      <c r="D4194" s="83">
        <f t="shared" si="134"/>
        <v>0.44970592670788706</v>
      </c>
      <c r="E4194" s="83">
        <v>-1.3596018675286059E-2</v>
      </c>
      <c r="F4194" s="83">
        <v>4186</v>
      </c>
      <c r="G4194" s="83">
        <f t="shared" ca="1" si="135"/>
        <v>2.6274930821971205E-2</v>
      </c>
    </row>
    <row r="4195" spans="2:7" x14ac:dyDescent="0.2">
      <c r="B4195" s="167">
        <v>40793</v>
      </c>
      <c r="C4195" s="28">
        <v>132.62</v>
      </c>
      <c r="D4195" s="83">
        <f t="shared" si="134"/>
        <v>1.2062884711362503</v>
      </c>
      <c r="E4195" s="83">
        <v>-1.3611007809594528E-2</v>
      </c>
      <c r="F4195" s="83">
        <v>4187</v>
      </c>
      <c r="G4195" s="83">
        <f t="shared" ca="1" si="135"/>
        <v>3.0853123651691825E-2</v>
      </c>
    </row>
    <row r="4196" spans="2:7" x14ac:dyDescent="0.2">
      <c r="B4196" s="167">
        <v>39043</v>
      </c>
      <c r="C4196" s="28">
        <v>60.11</v>
      </c>
      <c r="D4196" s="83">
        <f t="shared" si="134"/>
        <v>0.59994676603673136</v>
      </c>
      <c r="E4196" s="83">
        <v>-1.3619954053167021E-2</v>
      </c>
      <c r="F4196" s="83">
        <v>4188</v>
      </c>
      <c r="G4196" s="83">
        <f t="shared" ca="1" si="135"/>
        <v>5.7741523884384397E-3</v>
      </c>
    </row>
    <row r="4197" spans="2:7" x14ac:dyDescent="0.2">
      <c r="B4197" s="167">
        <v>38573</v>
      </c>
      <c r="C4197" s="28">
        <v>37.57</v>
      </c>
      <c r="D4197" s="83">
        <f t="shared" si="134"/>
        <v>-0.79587068731323019</v>
      </c>
      <c r="E4197" s="83">
        <v>-1.3651877133105884E-2</v>
      </c>
      <c r="F4197" s="83">
        <v>4189</v>
      </c>
      <c r="G4197" s="83">
        <f t="shared" ca="1" si="135"/>
        <v>2.2389953331161033E-2</v>
      </c>
    </row>
    <row r="4198" spans="2:7" x14ac:dyDescent="0.2">
      <c r="B4198" s="167">
        <v>44001</v>
      </c>
      <c r="C4198" s="28">
        <v>184.05</v>
      </c>
      <c r="D4198" s="83">
        <f t="shared" si="134"/>
        <v>0.51046368485843263</v>
      </c>
      <c r="E4198" s="83">
        <v>-1.3665594855305375E-2</v>
      </c>
      <c r="F4198" s="83">
        <v>4190</v>
      </c>
      <c r="G4198" s="83">
        <f t="shared" ca="1" si="135"/>
        <v>1.0008573728827339E-2</v>
      </c>
    </row>
    <row r="4199" spans="2:7" x14ac:dyDescent="0.2">
      <c r="B4199" s="167">
        <v>40675</v>
      </c>
      <c r="C4199" s="28">
        <v>121.85</v>
      </c>
      <c r="D4199" s="83">
        <f t="shared" si="134"/>
        <v>-0.47501077121930202</v>
      </c>
      <c r="E4199" s="83">
        <v>-1.3679779828395758E-2</v>
      </c>
      <c r="F4199" s="83">
        <v>4191</v>
      </c>
      <c r="G4199" s="83">
        <f t="shared" ca="1" si="135"/>
        <v>3.3021362224095159E-3</v>
      </c>
    </row>
    <row r="4200" spans="2:7" x14ac:dyDescent="0.2">
      <c r="B4200" s="167">
        <v>42110</v>
      </c>
      <c r="C4200" s="28">
        <v>232.1</v>
      </c>
      <c r="D4200" s="83">
        <f t="shared" si="134"/>
        <v>1.9593267882187935</v>
      </c>
      <c r="E4200" s="83">
        <v>-1.3683494815570282E-2</v>
      </c>
      <c r="F4200" s="83">
        <v>4192</v>
      </c>
      <c r="G4200" s="83">
        <f t="shared" ca="1" si="135"/>
        <v>5.4454674441959923E-3</v>
      </c>
    </row>
    <row r="4201" spans="2:7" x14ac:dyDescent="0.2">
      <c r="B4201" s="167">
        <v>40053</v>
      </c>
      <c r="C4201" s="28">
        <v>78.430000000000007</v>
      </c>
      <c r="D4201" s="83">
        <f t="shared" si="134"/>
        <v>-0.63865468785994006</v>
      </c>
      <c r="E4201" s="83">
        <v>-1.3707243460764452E-2</v>
      </c>
      <c r="F4201" s="83">
        <v>4193</v>
      </c>
      <c r="G4201" s="83">
        <f t="shared" ca="1" si="135"/>
        <v>-1.1266548658605874E-2</v>
      </c>
    </row>
    <row r="4202" spans="2:7" x14ac:dyDescent="0.2">
      <c r="B4202" s="167">
        <v>42145</v>
      </c>
      <c r="C4202" s="28">
        <v>217.05</v>
      </c>
      <c r="D4202" s="83">
        <f t="shared" si="134"/>
        <v>-0.30758924298975981</v>
      </c>
      <c r="E4202" s="83">
        <v>-1.3722906347980107E-2</v>
      </c>
      <c r="F4202" s="83">
        <v>4194</v>
      </c>
      <c r="G4202" s="83">
        <f t="shared" ca="1" si="135"/>
        <v>2.5916260207723193E-3</v>
      </c>
    </row>
    <row r="4203" spans="2:7" x14ac:dyDescent="0.2">
      <c r="B4203" s="167">
        <v>44936</v>
      </c>
      <c r="C4203" s="28">
        <v>313.47000000000003</v>
      </c>
      <c r="D4203" s="83">
        <f t="shared" si="134"/>
        <v>0.68215723101690384</v>
      </c>
      <c r="E4203" s="83">
        <v>-1.3749056128869707E-2</v>
      </c>
      <c r="F4203" s="83">
        <v>4195</v>
      </c>
      <c r="G4203" s="83">
        <f t="shared" ca="1" si="135"/>
        <v>-1.3765328609214693E-2</v>
      </c>
    </row>
    <row r="4204" spans="2:7" x14ac:dyDescent="0.2">
      <c r="B4204" s="167">
        <v>43973</v>
      </c>
      <c r="C4204" s="28">
        <v>186.35</v>
      </c>
      <c r="D4204" s="83">
        <f t="shared" si="134"/>
        <v>-0.10322425409047169</v>
      </c>
      <c r="E4204" s="83">
        <v>-1.3760254035459087E-2</v>
      </c>
      <c r="F4204" s="83">
        <v>4196</v>
      </c>
      <c r="G4204" s="83">
        <f t="shared" ca="1" si="135"/>
        <v>-1.1664381641272583E-2</v>
      </c>
    </row>
    <row r="4205" spans="2:7" x14ac:dyDescent="0.2">
      <c r="B4205" s="167">
        <v>44221</v>
      </c>
      <c r="C4205" s="28">
        <v>207.8</v>
      </c>
      <c r="D4205" s="83">
        <f t="shared" si="134"/>
        <v>1.6373905317933746</v>
      </c>
      <c r="E4205" s="83">
        <v>-1.3763644992880766E-2</v>
      </c>
      <c r="F4205" s="83">
        <v>4197</v>
      </c>
      <c r="G4205" s="83">
        <f t="shared" ca="1" si="135"/>
        <v>2.2307297847039543E-2</v>
      </c>
    </row>
    <row r="4206" spans="2:7" x14ac:dyDescent="0.2">
      <c r="B4206" s="167">
        <v>40023</v>
      </c>
      <c r="C4206" s="28">
        <v>78.790000000000006</v>
      </c>
      <c r="D4206" s="83">
        <f t="shared" si="134"/>
        <v>-0.69004720692368204</v>
      </c>
      <c r="E4206" s="83">
        <v>-1.3768932281887525E-2</v>
      </c>
      <c r="F4206" s="83">
        <v>4198</v>
      </c>
      <c r="G4206" s="83">
        <f t="shared" ca="1" si="135"/>
        <v>5.4986878899696296E-3</v>
      </c>
    </row>
    <row r="4207" spans="2:7" x14ac:dyDescent="0.2">
      <c r="B4207" s="167">
        <v>43686</v>
      </c>
      <c r="C4207" s="28">
        <v>254.2</v>
      </c>
      <c r="D4207" s="83">
        <f t="shared" si="134"/>
        <v>-6.3375092114959439E-2</v>
      </c>
      <c r="E4207" s="83">
        <v>-1.3773035887487919E-2</v>
      </c>
      <c r="F4207" s="83">
        <v>4199</v>
      </c>
      <c r="G4207" s="83">
        <f t="shared" ca="1" si="135"/>
        <v>7.9985944557451286E-3</v>
      </c>
    </row>
    <row r="4208" spans="2:7" x14ac:dyDescent="0.2">
      <c r="B4208" s="167">
        <v>43131</v>
      </c>
      <c r="C4208" s="28">
        <v>271.39999999999998</v>
      </c>
      <c r="D4208" s="83">
        <f t="shared" si="134"/>
        <v>0.61740166865315826</v>
      </c>
      <c r="E4208" s="83">
        <v>-1.3808139534883763E-2</v>
      </c>
      <c r="F4208" s="83">
        <v>4200</v>
      </c>
      <c r="G4208" s="83">
        <f t="shared" ca="1" si="135"/>
        <v>-1.3802266578790691E-2</v>
      </c>
    </row>
    <row r="4209" spans="2:7" x14ac:dyDescent="0.2">
      <c r="B4209" s="167">
        <v>44118</v>
      </c>
      <c r="C4209" s="28">
        <v>167.8</v>
      </c>
      <c r="D4209" s="83">
        <f t="shared" si="134"/>
        <v>1.9051246537396127</v>
      </c>
      <c r="E4209" s="83">
        <v>-1.3811342932706402E-2</v>
      </c>
      <c r="F4209" s="83">
        <v>4201</v>
      </c>
      <c r="G4209" s="83">
        <f t="shared" ca="1" si="135"/>
        <v>1.2780043206242745E-2</v>
      </c>
    </row>
    <row r="4210" spans="2:7" x14ac:dyDescent="0.2">
      <c r="B4210" s="167">
        <v>38779</v>
      </c>
      <c r="C4210" s="28">
        <v>57.76</v>
      </c>
      <c r="D4210" s="83">
        <f t="shared" si="134"/>
        <v>-0.65444211785821127</v>
      </c>
      <c r="E4210" s="83">
        <v>-1.3829605600136628E-2</v>
      </c>
      <c r="F4210" s="83">
        <v>4202</v>
      </c>
      <c r="G4210" s="83">
        <f t="shared" ca="1" si="135"/>
        <v>-2.2158644013841551E-2</v>
      </c>
    </row>
    <row r="4211" spans="2:7" x14ac:dyDescent="0.2">
      <c r="B4211" s="167">
        <v>44112</v>
      </c>
      <c r="C4211" s="28">
        <v>167.15</v>
      </c>
      <c r="D4211" s="83">
        <f t="shared" si="134"/>
        <v>-0.19434135055670695</v>
      </c>
      <c r="E4211" s="83">
        <v>-1.3864306784660734E-2</v>
      </c>
      <c r="F4211" s="83">
        <v>4203</v>
      </c>
      <c r="G4211" s="83">
        <f t="shared" ca="1" si="135"/>
        <v>-2.6469443042609071E-4</v>
      </c>
    </row>
    <row r="4212" spans="2:7" x14ac:dyDescent="0.2">
      <c r="B4212" s="167">
        <v>42193</v>
      </c>
      <c r="C4212" s="28">
        <v>207.47</v>
      </c>
      <c r="D4212" s="83">
        <f t="shared" si="134"/>
        <v>-9.8315277048632767E-3</v>
      </c>
      <c r="E4212" s="83">
        <v>-1.3878986643851836E-2</v>
      </c>
      <c r="F4212" s="83">
        <v>4204</v>
      </c>
      <c r="G4212" s="83">
        <f t="shared" ca="1" si="135"/>
        <v>2.6118979576653198E-2</v>
      </c>
    </row>
    <row r="4213" spans="2:7" x14ac:dyDescent="0.2">
      <c r="B4213" s="167">
        <v>41815</v>
      </c>
      <c r="C4213" s="28">
        <v>209.53</v>
      </c>
      <c r="D4213" s="83">
        <f t="shared" si="134"/>
        <v>0.64906343459782778</v>
      </c>
      <c r="E4213" s="83">
        <v>-1.3883659638554164E-2</v>
      </c>
      <c r="F4213" s="83">
        <v>4205</v>
      </c>
      <c r="G4213" s="83">
        <f t="shared" ca="1" si="135"/>
        <v>-1.0133608738787006E-2</v>
      </c>
    </row>
    <row r="4214" spans="2:7" x14ac:dyDescent="0.2">
      <c r="B4214" s="167">
        <v>40820</v>
      </c>
      <c r="C4214" s="28">
        <v>127.06</v>
      </c>
      <c r="D4214" s="83">
        <f t="shared" si="134"/>
        <v>0.54405152509417898</v>
      </c>
      <c r="E4214" s="83">
        <v>-1.3892122623205216E-2</v>
      </c>
      <c r="F4214" s="83">
        <v>4206</v>
      </c>
      <c r="G4214" s="83">
        <f t="shared" ca="1" si="135"/>
        <v>1.2364470965491465E-2</v>
      </c>
    </row>
    <row r="4215" spans="2:7" x14ac:dyDescent="0.2">
      <c r="B4215" s="167">
        <v>40227</v>
      </c>
      <c r="C4215" s="28">
        <v>82.29</v>
      </c>
      <c r="D4215" s="83">
        <f t="shared" si="134"/>
        <v>0.93486950387961454</v>
      </c>
      <c r="E4215" s="83">
        <v>-1.3900539245056879E-2</v>
      </c>
      <c r="F4215" s="83">
        <v>4207</v>
      </c>
      <c r="G4215" s="83">
        <f t="shared" ca="1" si="135"/>
        <v>-2.7085712189522632E-2</v>
      </c>
    </row>
    <row r="4216" spans="2:7" x14ac:dyDescent="0.2">
      <c r="B4216" s="167">
        <v>38670</v>
      </c>
      <c r="C4216" s="28">
        <v>42.53</v>
      </c>
      <c r="D4216" s="83">
        <f t="shared" si="134"/>
        <v>-0.67721615057680629</v>
      </c>
      <c r="E4216" s="83">
        <v>-1.3911430558775827E-2</v>
      </c>
      <c r="F4216" s="83">
        <v>4208</v>
      </c>
      <c r="G4216" s="83">
        <f t="shared" ca="1" si="135"/>
        <v>1.3447077625979508E-2</v>
      </c>
    </row>
    <row r="4217" spans="2:7" x14ac:dyDescent="0.2">
      <c r="B4217" s="167">
        <v>40728</v>
      </c>
      <c r="C4217" s="28">
        <v>131.76</v>
      </c>
      <c r="D4217" s="83">
        <f t="shared" si="134"/>
        <v>1.1142490372272142</v>
      </c>
      <c r="E4217" s="83">
        <v>-1.3920071845532208E-2</v>
      </c>
      <c r="F4217" s="83">
        <v>4209</v>
      </c>
      <c r="G4217" s="83">
        <f t="shared" ca="1" si="135"/>
        <v>3.3987789955113229E-2</v>
      </c>
    </row>
    <row r="4218" spans="2:7" x14ac:dyDescent="0.2">
      <c r="B4218" s="167">
        <v>38982</v>
      </c>
      <c r="C4218" s="28">
        <v>62.32</v>
      </c>
      <c r="D4218" s="83">
        <f t="shared" si="134"/>
        <v>-0.79990367635254456</v>
      </c>
      <c r="E4218" s="83">
        <v>-1.3924050632911432E-2</v>
      </c>
      <c r="F4218" s="83">
        <v>4210</v>
      </c>
      <c r="G4218" s="83">
        <f t="shared" ca="1" si="135"/>
        <v>-1.2902056854793146E-2</v>
      </c>
    </row>
    <row r="4219" spans="2:7" x14ac:dyDescent="0.2">
      <c r="B4219" s="167">
        <v>42885</v>
      </c>
      <c r="C4219" s="28">
        <v>311.45</v>
      </c>
      <c r="D4219" s="83">
        <f t="shared" si="134"/>
        <v>0.52075195312499989</v>
      </c>
      <c r="E4219" s="83">
        <v>-1.393066328953628E-2</v>
      </c>
      <c r="F4219" s="83">
        <v>4211</v>
      </c>
      <c r="G4219" s="83">
        <f t="shared" ca="1" si="135"/>
        <v>-1.5993462856980323E-2</v>
      </c>
    </row>
    <row r="4220" spans="2:7" x14ac:dyDescent="0.2">
      <c r="B4220" s="167">
        <v>43878</v>
      </c>
      <c r="C4220" s="28">
        <v>204.8</v>
      </c>
      <c r="D4220" s="83">
        <f t="shared" si="134"/>
        <v>-7.9343672735446069E-2</v>
      </c>
      <c r="E4220" s="83">
        <v>-1.3962445835339322E-2</v>
      </c>
      <c r="F4220" s="83">
        <v>4212</v>
      </c>
      <c r="G4220" s="83">
        <f t="shared" ca="1" si="135"/>
        <v>7.2688760861171556E-3</v>
      </c>
    </row>
    <row r="4221" spans="2:7" x14ac:dyDescent="0.2">
      <c r="B4221" s="167">
        <v>44503</v>
      </c>
      <c r="C4221" s="28">
        <v>222.45</v>
      </c>
      <c r="D4221" s="83">
        <f t="shared" si="134"/>
        <v>-0.1597733711048159</v>
      </c>
      <c r="E4221" s="83">
        <v>-1.3962765957446834E-2</v>
      </c>
      <c r="F4221" s="83">
        <v>4213</v>
      </c>
      <c r="G4221" s="83">
        <f t="shared" ca="1" si="135"/>
        <v>1.0254274891884125E-2</v>
      </c>
    </row>
    <row r="4222" spans="2:7" x14ac:dyDescent="0.2">
      <c r="B4222" s="167">
        <v>42796</v>
      </c>
      <c r="C4222" s="28">
        <v>264.75</v>
      </c>
      <c r="D4222" s="83">
        <f t="shared" si="134"/>
        <v>3.5302874743326491</v>
      </c>
      <c r="E4222" s="83">
        <v>-1.3966480446927373E-2</v>
      </c>
      <c r="F4222" s="83">
        <v>4214</v>
      </c>
      <c r="G4222" s="83">
        <f t="shared" ca="1" si="135"/>
        <v>-4.1478883449278725E-3</v>
      </c>
    </row>
    <row r="4223" spans="2:7" x14ac:dyDescent="0.2">
      <c r="B4223" s="167">
        <v>38939</v>
      </c>
      <c r="C4223" s="28">
        <v>58.44</v>
      </c>
      <c r="D4223" s="83">
        <f t="shared" si="134"/>
        <v>-0.72500117641522754</v>
      </c>
      <c r="E4223" s="83">
        <v>-1.4003711827231405E-2</v>
      </c>
      <c r="F4223" s="83">
        <v>4215</v>
      </c>
      <c r="G4223" s="83">
        <f t="shared" ca="1" si="135"/>
        <v>1.8238406656272722E-2</v>
      </c>
    </row>
    <row r="4224" spans="2:7" x14ac:dyDescent="0.2">
      <c r="B4224" s="167">
        <v>41682</v>
      </c>
      <c r="C4224" s="28">
        <v>212.51</v>
      </c>
      <c r="D4224" s="83">
        <f t="shared" si="134"/>
        <v>3.576012058570198</v>
      </c>
      <c r="E4224" s="83">
        <v>-1.401197049134696E-2</v>
      </c>
      <c r="F4224" s="83">
        <v>4216</v>
      </c>
      <c r="G4224" s="83">
        <f t="shared" ca="1" si="135"/>
        <v>-2.1433199162269989E-2</v>
      </c>
    </row>
    <row r="4225" spans="2:7" x14ac:dyDescent="0.2">
      <c r="B4225" s="167">
        <v>38719</v>
      </c>
      <c r="C4225" s="28">
        <v>46.44</v>
      </c>
      <c r="D4225" s="83">
        <f t="shared" si="134"/>
        <v>-0.65072202166064985</v>
      </c>
      <c r="E4225" s="83">
        <v>-1.4012738853503263E-2</v>
      </c>
      <c r="F4225" s="83">
        <v>4217</v>
      </c>
      <c r="G4225" s="83">
        <f t="shared" ca="1" si="135"/>
        <v>-1.9325902363021962E-3</v>
      </c>
    </row>
    <row r="4226" spans="2:7" x14ac:dyDescent="0.2">
      <c r="B4226" s="167">
        <v>40732</v>
      </c>
      <c r="C4226" s="28">
        <v>132.96</v>
      </c>
      <c r="D4226" s="83">
        <f t="shared" si="134"/>
        <v>1.1736145169200589</v>
      </c>
      <c r="E4226" s="83">
        <v>-1.4015572858731824E-2</v>
      </c>
      <c r="F4226" s="83">
        <v>4218</v>
      </c>
      <c r="G4226" s="83">
        <f t="shared" ca="1" si="135"/>
        <v>-1.2734026371781278E-2</v>
      </c>
    </row>
    <row r="4227" spans="2:7" x14ac:dyDescent="0.2">
      <c r="B4227" s="167">
        <v>39351</v>
      </c>
      <c r="C4227" s="28">
        <v>61.17</v>
      </c>
      <c r="D4227" s="83">
        <f t="shared" si="134"/>
        <v>-0.70968201233981953</v>
      </c>
      <c r="E4227" s="83">
        <v>-1.4023210831721429E-2</v>
      </c>
      <c r="F4227" s="83">
        <v>4219</v>
      </c>
      <c r="G4227" s="83">
        <f t="shared" ca="1" si="135"/>
        <v>1.9552878567012627E-2</v>
      </c>
    </row>
    <row r="4228" spans="2:7" x14ac:dyDescent="0.2">
      <c r="B4228" s="167">
        <v>44218</v>
      </c>
      <c r="C4228" s="28">
        <v>210.7</v>
      </c>
      <c r="D4228" s="83">
        <f t="shared" si="134"/>
        <v>3.2033699059561091E-2</v>
      </c>
      <c r="E4228" s="83">
        <v>-1.4038371548900329E-2</v>
      </c>
      <c r="F4228" s="83">
        <v>4220</v>
      </c>
      <c r="G4228" s="83">
        <f t="shared" ca="1" si="135"/>
        <v>-3.0998405945169786E-3</v>
      </c>
    </row>
    <row r="4229" spans="2:7" x14ac:dyDescent="0.2">
      <c r="B4229" s="167">
        <v>42181</v>
      </c>
      <c r="C4229" s="28">
        <v>204.16</v>
      </c>
      <c r="D4229" s="83">
        <f t="shared" si="134"/>
        <v>-0.25352833638025596</v>
      </c>
      <c r="E4229" s="83">
        <v>-1.4053218718307803E-2</v>
      </c>
      <c r="F4229" s="83">
        <v>4221</v>
      </c>
      <c r="G4229" s="83">
        <f t="shared" ca="1" si="135"/>
        <v>-8.7772013642784235E-3</v>
      </c>
    </row>
    <row r="4230" spans="2:7" x14ac:dyDescent="0.2">
      <c r="B4230" s="167">
        <v>43643</v>
      </c>
      <c r="C4230" s="28">
        <v>273.5</v>
      </c>
      <c r="D4230" s="83">
        <f t="shared" si="134"/>
        <v>2.6849905685798978</v>
      </c>
      <c r="E4230" s="83">
        <v>-1.4059120403749018E-2</v>
      </c>
      <c r="F4230" s="83">
        <v>4222</v>
      </c>
      <c r="G4230" s="83">
        <f t="shared" ca="1" si="135"/>
        <v>-2.0163944528845217E-2</v>
      </c>
    </row>
    <row r="4231" spans="2:7" x14ac:dyDescent="0.2">
      <c r="B4231" s="167">
        <v>40070</v>
      </c>
      <c r="C4231" s="28">
        <v>74.22</v>
      </c>
      <c r="D4231" s="83">
        <f t="shared" si="134"/>
        <v>-0.27256689209056162</v>
      </c>
      <c r="E4231" s="83">
        <v>-1.408076514346443E-2</v>
      </c>
      <c r="F4231" s="83">
        <v>4223</v>
      </c>
      <c r="G4231" s="83">
        <f t="shared" ca="1" si="135"/>
        <v>-1.4127565386100792E-2</v>
      </c>
    </row>
    <row r="4232" spans="2:7" x14ac:dyDescent="0.2">
      <c r="B4232" s="167">
        <v>40583</v>
      </c>
      <c r="C4232" s="28">
        <v>102.03</v>
      </c>
      <c r="D4232" s="83">
        <f t="shared" si="134"/>
        <v>2.1116893514811844E-2</v>
      </c>
      <c r="E4232" s="83">
        <v>-1.410764325055555E-2</v>
      </c>
      <c r="F4232" s="83">
        <v>4224</v>
      </c>
      <c r="G4232" s="83">
        <f t="shared" ca="1" si="135"/>
        <v>1.0473982054908756E-3</v>
      </c>
    </row>
    <row r="4233" spans="2:7" x14ac:dyDescent="0.2">
      <c r="B4233" s="167">
        <v>40354</v>
      </c>
      <c r="C4233" s="28">
        <v>99.92</v>
      </c>
      <c r="D4233" s="83">
        <f t="shared" ref="D4233:D4296" si="136">(C4233-C4234)/C4234</f>
        <v>0.61057382333978083</v>
      </c>
      <c r="E4233" s="83">
        <v>-1.4109521460286064E-2</v>
      </c>
      <c r="F4233" s="83">
        <v>4225</v>
      </c>
      <c r="G4233" s="83">
        <f t="shared" ref="G4233:G4296" ca="1" si="137">_xlfn.NORM.INV(RAND(),$M$10,$M$11)</f>
        <v>-1.8576932335971696E-2</v>
      </c>
    </row>
    <row r="4234" spans="2:7" x14ac:dyDescent="0.2">
      <c r="B4234" s="167">
        <v>39912</v>
      </c>
      <c r="C4234" s="28">
        <v>62.04</v>
      </c>
      <c r="D4234" s="83">
        <f t="shared" si="136"/>
        <v>-0.62036470444254066</v>
      </c>
      <c r="E4234" s="83">
        <v>-1.4142698236135398E-2</v>
      </c>
      <c r="F4234" s="83">
        <v>4226</v>
      </c>
      <c r="G4234" s="83">
        <f t="shared" ca="1" si="137"/>
        <v>1.438323820152659E-2</v>
      </c>
    </row>
    <row r="4235" spans="2:7" x14ac:dyDescent="0.2">
      <c r="B4235" s="167">
        <v>41093</v>
      </c>
      <c r="C4235" s="28">
        <v>163.41999999999999</v>
      </c>
      <c r="D4235" s="83">
        <f t="shared" si="136"/>
        <v>2.2200985221674876</v>
      </c>
      <c r="E4235" s="83">
        <v>-1.4176268323581001E-2</v>
      </c>
      <c r="F4235" s="83">
        <v>4227</v>
      </c>
      <c r="G4235" s="83">
        <f t="shared" ca="1" si="137"/>
        <v>-3.2009881231941338E-3</v>
      </c>
    </row>
    <row r="4236" spans="2:7" x14ac:dyDescent="0.2">
      <c r="B4236" s="167">
        <v>39750</v>
      </c>
      <c r="C4236" s="28">
        <v>50.75</v>
      </c>
      <c r="D4236" s="83">
        <f t="shared" si="136"/>
        <v>-0.17034494033022726</v>
      </c>
      <c r="E4236" s="83">
        <v>-1.4180264180264121E-2</v>
      </c>
      <c r="F4236" s="83">
        <v>4228</v>
      </c>
      <c r="G4236" s="83">
        <f t="shared" ca="1" si="137"/>
        <v>1.9785539441900498E-4</v>
      </c>
    </row>
    <row r="4237" spans="2:7" x14ac:dyDescent="0.2">
      <c r="B4237" s="167">
        <v>38996</v>
      </c>
      <c r="C4237" s="28">
        <v>61.17</v>
      </c>
      <c r="D4237" s="83">
        <f t="shared" si="136"/>
        <v>-0.7826226012793176</v>
      </c>
      <c r="E4237" s="83">
        <v>-1.4182111200644569E-2</v>
      </c>
      <c r="F4237" s="83">
        <v>4229</v>
      </c>
      <c r="G4237" s="83">
        <f t="shared" ca="1" si="137"/>
        <v>7.3578189002405205E-3</v>
      </c>
    </row>
    <row r="4238" spans="2:7" x14ac:dyDescent="0.2">
      <c r="B4238" s="167">
        <v>42950</v>
      </c>
      <c r="C4238" s="28">
        <v>281.39999999999998</v>
      </c>
      <c r="D4238" s="83">
        <f t="shared" si="136"/>
        <v>1.2638777152051486</v>
      </c>
      <c r="E4238" s="83">
        <v>-1.418812401471365E-2</v>
      </c>
      <c r="F4238" s="83">
        <v>4230</v>
      </c>
      <c r="G4238" s="83">
        <f t="shared" ca="1" si="137"/>
        <v>-1.728536136610509E-2</v>
      </c>
    </row>
    <row r="4239" spans="2:7" x14ac:dyDescent="0.2">
      <c r="B4239" s="167">
        <v>40652</v>
      </c>
      <c r="C4239" s="28">
        <v>124.3</v>
      </c>
      <c r="D4239" s="83">
        <f t="shared" si="136"/>
        <v>1.2101706970128023</v>
      </c>
      <c r="E4239" s="83">
        <v>-1.4196209057022811E-2</v>
      </c>
      <c r="F4239" s="83">
        <v>4231</v>
      </c>
      <c r="G4239" s="83">
        <f t="shared" ca="1" si="137"/>
        <v>-9.9651360214979626E-4</v>
      </c>
    </row>
    <row r="4240" spans="2:7" x14ac:dyDescent="0.2">
      <c r="B4240" s="167">
        <v>38916</v>
      </c>
      <c r="C4240" s="28">
        <v>56.24</v>
      </c>
      <c r="D4240" s="83">
        <f t="shared" si="136"/>
        <v>-0.78390009606147926</v>
      </c>
      <c r="E4240" s="83">
        <v>-1.419807186678344E-2</v>
      </c>
      <c r="F4240" s="83">
        <v>4232</v>
      </c>
      <c r="G4240" s="83">
        <f t="shared" ca="1" si="137"/>
        <v>9.9191927448760014E-3</v>
      </c>
    </row>
    <row r="4241" spans="2:7" x14ac:dyDescent="0.2">
      <c r="B4241" s="167">
        <v>43164</v>
      </c>
      <c r="C4241" s="28">
        <v>260.25</v>
      </c>
      <c r="D4241" s="83">
        <f t="shared" si="136"/>
        <v>0.10697575499787328</v>
      </c>
      <c r="E4241" s="83">
        <v>-1.4204545454545454E-2</v>
      </c>
      <c r="F4241" s="83">
        <v>4233</v>
      </c>
      <c r="G4241" s="83">
        <f t="shared" ca="1" si="137"/>
        <v>3.1157271990301313E-3</v>
      </c>
    </row>
    <row r="4242" spans="2:7" x14ac:dyDescent="0.2">
      <c r="B4242" s="167">
        <v>43836</v>
      </c>
      <c r="C4242" s="28">
        <v>235.1</v>
      </c>
      <c r="D4242" s="83">
        <f t="shared" si="136"/>
        <v>-1.4049066890333381E-2</v>
      </c>
      <c r="E4242" s="83">
        <v>-1.425576519916145E-2</v>
      </c>
      <c r="F4242" s="83">
        <v>4234</v>
      </c>
      <c r="G4242" s="83">
        <f t="shared" ca="1" si="137"/>
        <v>-1.7702763158469428E-2</v>
      </c>
    </row>
    <row r="4243" spans="2:7" x14ac:dyDescent="0.2">
      <c r="B4243" s="167">
        <v>43851</v>
      </c>
      <c r="C4243" s="28">
        <v>238.45</v>
      </c>
      <c r="D4243" s="83">
        <f t="shared" si="136"/>
        <v>3.1090815095640183</v>
      </c>
      <c r="E4243" s="83">
        <v>-1.4262091773460177E-2</v>
      </c>
      <c r="F4243" s="83">
        <v>4235</v>
      </c>
      <c r="G4243" s="83">
        <f t="shared" ca="1" si="137"/>
        <v>-1.7049860502961691E-3</v>
      </c>
    </row>
    <row r="4244" spans="2:7" x14ac:dyDescent="0.2">
      <c r="B4244" s="167">
        <v>39119</v>
      </c>
      <c r="C4244" s="28">
        <v>58.03</v>
      </c>
      <c r="D4244" s="83">
        <f t="shared" si="136"/>
        <v>-0.86418423947386902</v>
      </c>
      <c r="E4244" s="83">
        <v>-1.4268727705112899E-2</v>
      </c>
      <c r="F4244" s="83">
        <v>4236</v>
      </c>
      <c r="G4244" s="83">
        <f t="shared" ca="1" si="137"/>
        <v>-1.90351167149178E-2</v>
      </c>
    </row>
    <row r="4245" spans="2:7" x14ac:dyDescent="0.2">
      <c r="B4245" s="167">
        <v>45278</v>
      </c>
      <c r="C4245" s="28">
        <v>427.27</v>
      </c>
      <c r="D4245" s="83">
        <f t="shared" si="136"/>
        <v>0.88340826941726158</v>
      </c>
      <c r="E4245" s="83">
        <v>-1.4280441101831768E-2</v>
      </c>
      <c r="F4245" s="83">
        <v>4237</v>
      </c>
      <c r="G4245" s="83">
        <f t="shared" ca="1" si="137"/>
        <v>4.3549543644118838E-3</v>
      </c>
    </row>
    <row r="4246" spans="2:7" x14ac:dyDescent="0.2">
      <c r="B4246" s="167">
        <v>41558</v>
      </c>
      <c r="C4246" s="28">
        <v>226.86</v>
      </c>
      <c r="D4246" s="83">
        <f t="shared" si="136"/>
        <v>4.8772020725388607</v>
      </c>
      <c r="E4246" s="83">
        <v>-1.4295024983706243E-2</v>
      </c>
      <c r="F4246" s="83">
        <v>4238</v>
      </c>
      <c r="G4246" s="83">
        <f t="shared" ca="1" si="137"/>
        <v>-1.5214911105466116E-3</v>
      </c>
    </row>
    <row r="4247" spans="2:7" x14ac:dyDescent="0.2">
      <c r="B4247" s="167">
        <v>38651</v>
      </c>
      <c r="C4247" s="28">
        <v>38.6</v>
      </c>
      <c r="D4247" s="83">
        <f t="shared" si="136"/>
        <v>-0.82043170822478606</v>
      </c>
      <c r="E4247" s="83">
        <v>-1.4300306435137774E-2</v>
      </c>
      <c r="F4247" s="83">
        <v>4239</v>
      </c>
      <c r="G4247" s="83">
        <f t="shared" ca="1" si="137"/>
        <v>2.2970536727186151E-2</v>
      </c>
    </row>
    <row r="4248" spans="2:7" x14ac:dyDescent="0.2">
      <c r="B4248" s="167">
        <v>41663</v>
      </c>
      <c r="C4248" s="28">
        <v>214.96</v>
      </c>
      <c r="D4248" s="83">
        <f t="shared" si="136"/>
        <v>-0.39307696651420182</v>
      </c>
      <c r="E4248" s="83">
        <v>-1.4306676449009558E-2</v>
      </c>
      <c r="F4248" s="83">
        <v>4240</v>
      </c>
      <c r="G4248" s="83">
        <f t="shared" ca="1" si="137"/>
        <v>-1.2104840013279099E-2</v>
      </c>
    </row>
    <row r="4249" spans="2:7" x14ac:dyDescent="0.2">
      <c r="B4249" s="167">
        <v>44985</v>
      </c>
      <c r="C4249" s="28">
        <v>354.18</v>
      </c>
      <c r="D4249" s="83">
        <f t="shared" si="136"/>
        <v>0.88043535970268127</v>
      </c>
      <c r="E4249" s="83">
        <v>-1.4387087797412037E-2</v>
      </c>
      <c r="F4249" s="83">
        <v>4241</v>
      </c>
      <c r="G4249" s="83">
        <f t="shared" ca="1" si="137"/>
        <v>-4.7508135505263255E-3</v>
      </c>
    </row>
    <row r="4250" spans="2:7" x14ac:dyDescent="0.2">
      <c r="B4250" s="167">
        <v>41212</v>
      </c>
      <c r="C4250" s="28">
        <v>188.35</v>
      </c>
      <c r="D4250" s="83">
        <f t="shared" si="136"/>
        <v>-0.32040411329604901</v>
      </c>
      <c r="E4250" s="83">
        <v>-1.4390371533228677E-2</v>
      </c>
      <c r="F4250" s="83">
        <v>4242</v>
      </c>
      <c r="G4250" s="83">
        <f t="shared" ca="1" si="137"/>
        <v>-1.0891123396610638E-2</v>
      </c>
    </row>
    <row r="4251" spans="2:7" x14ac:dyDescent="0.2">
      <c r="B4251" s="167">
        <v>42860</v>
      </c>
      <c r="C4251" s="28">
        <v>277.14999999999998</v>
      </c>
      <c r="D4251" s="83">
        <f t="shared" si="136"/>
        <v>8.0506822612085679E-2</v>
      </c>
      <c r="E4251" s="83">
        <v>-1.4402560455192075E-2</v>
      </c>
      <c r="F4251" s="83">
        <v>4243</v>
      </c>
      <c r="G4251" s="83">
        <f t="shared" ca="1" si="137"/>
        <v>-1.5912831230332748E-2</v>
      </c>
    </row>
    <row r="4252" spans="2:7" x14ac:dyDescent="0.2">
      <c r="B4252" s="167">
        <v>43165</v>
      </c>
      <c r="C4252" s="28">
        <v>256.5</v>
      </c>
      <c r="D4252" s="83">
        <f t="shared" si="136"/>
        <v>0.19385617872934607</v>
      </c>
      <c r="E4252" s="83">
        <v>-1.4409221902017291E-2</v>
      </c>
      <c r="F4252" s="83">
        <v>4244</v>
      </c>
      <c r="G4252" s="83">
        <f t="shared" ca="1" si="137"/>
        <v>7.3557324666858048E-3</v>
      </c>
    </row>
    <row r="4253" spans="2:7" x14ac:dyDescent="0.2">
      <c r="B4253" s="167">
        <v>44614</v>
      </c>
      <c r="C4253" s="28">
        <v>214.85</v>
      </c>
      <c r="D4253" s="83">
        <f t="shared" si="136"/>
        <v>2.540705339485827</v>
      </c>
      <c r="E4253" s="83">
        <v>-1.4449541284403697E-2</v>
      </c>
      <c r="F4253" s="83">
        <v>4245</v>
      </c>
      <c r="G4253" s="83">
        <f t="shared" ca="1" si="137"/>
        <v>1.0009057638593969E-2</v>
      </c>
    </row>
    <row r="4254" spans="2:7" x14ac:dyDescent="0.2">
      <c r="B4254" s="167">
        <v>39525</v>
      </c>
      <c r="C4254" s="28">
        <v>60.68</v>
      </c>
      <c r="D4254" s="83">
        <f t="shared" si="136"/>
        <v>0.11257792445911259</v>
      </c>
      <c r="E4254" s="83">
        <v>-1.4455091765470206E-2</v>
      </c>
      <c r="F4254" s="83">
        <v>4246</v>
      </c>
      <c r="G4254" s="83">
        <f t="shared" ca="1" si="137"/>
        <v>-1.6895949617590001E-3</v>
      </c>
    </row>
    <row r="4255" spans="2:7" x14ac:dyDescent="0.2">
      <c r="B4255" s="167">
        <v>38926</v>
      </c>
      <c r="C4255" s="28">
        <v>54.54</v>
      </c>
      <c r="D4255" s="83">
        <f t="shared" si="136"/>
        <v>-0.60380647973267476</v>
      </c>
      <c r="E4255" s="83">
        <v>-1.4456089627755768E-2</v>
      </c>
      <c r="F4255" s="83">
        <v>4247</v>
      </c>
      <c r="G4255" s="83">
        <f t="shared" ca="1" si="137"/>
        <v>9.0751974241781361E-4</v>
      </c>
    </row>
    <row r="4256" spans="2:7" x14ac:dyDescent="0.2">
      <c r="B4256" s="167">
        <v>40968</v>
      </c>
      <c r="C4256" s="28">
        <v>137.66</v>
      </c>
      <c r="D4256" s="83">
        <f t="shared" si="136"/>
        <v>1.3039330543933054</v>
      </c>
      <c r="E4256" s="83">
        <v>-1.4461626575028709E-2</v>
      </c>
      <c r="F4256" s="83">
        <v>4248</v>
      </c>
      <c r="G4256" s="83">
        <f t="shared" ca="1" si="137"/>
        <v>1.1579341426653764E-2</v>
      </c>
    </row>
    <row r="4257" spans="2:7" x14ac:dyDescent="0.2">
      <c r="B4257" s="167">
        <v>39381</v>
      </c>
      <c r="C4257" s="28">
        <v>59.75</v>
      </c>
      <c r="D4257" s="83">
        <f t="shared" si="136"/>
        <v>0.15951872695517172</v>
      </c>
      <c r="E4257" s="83">
        <v>-1.4514266864588529E-2</v>
      </c>
      <c r="F4257" s="83">
        <v>4249</v>
      </c>
      <c r="G4257" s="83">
        <f t="shared" ca="1" si="137"/>
        <v>6.8972859403140475E-3</v>
      </c>
    </row>
    <row r="4258" spans="2:7" x14ac:dyDescent="0.2">
      <c r="B4258" s="167">
        <v>38744</v>
      </c>
      <c r="C4258" s="28">
        <v>51.53</v>
      </c>
      <c r="D4258" s="83">
        <f t="shared" si="136"/>
        <v>-0.80510590015128591</v>
      </c>
      <c r="E4258" s="83">
        <v>-1.4534327787339797E-2</v>
      </c>
      <c r="F4258" s="83">
        <v>4250</v>
      </c>
      <c r="G4258" s="83">
        <f t="shared" ca="1" si="137"/>
        <v>3.4625397642148999E-3</v>
      </c>
    </row>
    <row r="4259" spans="2:7" x14ac:dyDescent="0.2">
      <c r="B4259" s="167">
        <v>43668</v>
      </c>
      <c r="C4259" s="28">
        <v>264.39999999999998</v>
      </c>
      <c r="D4259" s="83">
        <f t="shared" si="136"/>
        <v>8.6500924594205802E-2</v>
      </c>
      <c r="E4259" s="83">
        <v>-1.4535967200894647E-2</v>
      </c>
      <c r="F4259" s="83">
        <v>4251</v>
      </c>
      <c r="G4259" s="83">
        <f t="shared" ca="1" si="137"/>
        <v>5.7394736847848193E-3</v>
      </c>
    </row>
    <row r="4260" spans="2:7" x14ac:dyDescent="0.2">
      <c r="B4260" s="167">
        <v>43805</v>
      </c>
      <c r="C4260" s="28">
        <v>243.35</v>
      </c>
      <c r="D4260" s="83">
        <f t="shared" si="136"/>
        <v>1.3688309159933807</v>
      </c>
      <c r="E4260" s="83">
        <v>-1.4577849767159321E-2</v>
      </c>
      <c r="F4260" s="83">
        <v>4252</v>
      </c>
      <c r="G4260" s="83">
        <f t="shared" ca="1" si="137"/>
        <v>2.3279334535178369E-3</v>
      </c>
    </row>
    <row r="4261" spans="2:7" x14ac:dyDescent="0.2">
      <c r="B4261" s="167">
        <v>40401</v>
      </c>
      <c r="C4261" s="28">
        <v>102.73</v>
      </c>
      <c r="D4261" s="83">
        <f t="shared" si="136"/>
        <v>-0.54614535012149323</v>
      </c>
      <c r="E4261" s="83">
        <v>-1.458033573141483E-2</v>
      </c>
      <c r="F4261" s="83">
        <v>4253</v>
      </c>
      <c r="G4261" s="83">
        <f t="shared" ca="1" si="137"/>
        <v>1.4819339234017749E-2</v>
      </c>
    </row>
    <row r="4262" spans="2:7" x14ac:dyDescent="0.2">
      <c r="B4262" s="167">
        <v>42720</v>
      </c>
      <c r="C4262" s="28">
        <v>226.35</v>
      </c>
      <c r="D4262" s="83">
        <f t="shared" si="136"/>
        <v>9.8519776753215146E-2</v>
      </c>
      <c r="E4262" s="83">
        <v>-1.4584240313452306E-2</v>
      </c>
      <c r="F4262" s="83">
        <v>4254</v>
      </c>
      <c r="G4262" s="83">
        <f t="shared" ca="1" si="137"/>
        <v>3.6091799577184572E-2</v>
      </c>
    </row>
    <row r="4263" spans="2:7" x14ac:dyDescent="0.2">
      <c r="B4263" s="167">
        <v>44406</v>
      </c>
      <c r="C4263" s="28">
        <v>206.05</v>
      </c>
      <c r="D4263" s="83">
        <f t="shared" si="136"/>
        <v>1.5217231672989846</v>
      </c>
      <c r="E4263" s="83">
        <v>-1.4586322333811493E-2</v>
      </c>
      <c r="F4263" s="83">
        <v>4255</v>
      </c>
      <c r="G4263" s="83">
        <f t="shared" ca="1" si="137"/>
        <v>5.0910118979395638E-2</v>
      </c>
    </row>
    <row r="4264" spans="2:7" x14ac:dyDescent="0.2">
      <c r="B4264" s="167">
        <v>40210</v>
      </c>
      <c r="C4264" s="28">
        <v>81.709999999999994</v>
      </c>
      <c r="D4264" s="83">
        <f t="shared" si="136"/>
        <v>-0.26638534745914888</v>
      </c>
      <c r="E4264" s="83">
        <v>-1.4592378195851519E-2</v>
      </c>
      <c r="F4264" s="83">
        <v>4256</v>
      </c>
      <c r="G4264" s="83">
        <f t="shared" ca="1" si="137"/>
        <v>2.3109700967101826E-2</v>
      </c>
    </row>
    <row r="4265" spans="2:7" x14ac:dyDescent="0.2">
      <c r="B4265" s="167">
        <v>40471</v>
      </c>
      <c r="C4265" s="28">
        <v>111.38</v>
      </c>
      <c r="D4265" s="83">
        <f t="shared" si="136"/>
        <v>-0.56949598021026604</v>
      </c>
      <c r="E4265" s="83">
        <v>-1.4597894364328104E-2</v>
      </c>
      <c r="F4265" s="83">
        <v>4257</v>
      </c>
      <c r="G4265" s="83">
        <f t="shared" ca="1" si="137"/>
        <v>-3.2721740356761363E-2</v>
      </c>
    </row>
    <row r="4266" spans="2:7" x14ac:dyDescent="0.2">
      <c r="B4266" s="167">
        <v>42058</v>
      </c>
      <c r="C4266" s="28">
        <v>258.72000000000003</v>
      </c>
      <c r="D4266" s="83">
        <f t="shared" si="136"/>
        <v>0.93146696528555473</v>
      </c>
      <c r="E4266" s="83">
        <v>-1.4625228519195517E-2</v>
      </c>
      <c r="F4266" s="83">
        <v>4258</v>
      </c>
      <c r="G4266" s="83">
        <f t="shared" ca="1" si="137"/>
        <v>-1.6758844285644014E-2</v>
      </c>
    </row>
    <row r="4267" spans="2:7" x14ac:dyDescent="0.2">
      <c r="B4267" s="167">
        <v>40905</v>
      </c>
      <c r="C4267" s="28">
        <v>133.94999999999999</v>
      </c>
      <c r="D4267" s="83">
        <f t="shared" si="136"/>
        <v>-0.42270396069473781</v>
      </c>
      <c r="E4267" s="83">
        <v>-1.4638811240253119E-2</v>
      </c>
      <c r="F4267" s="83">
        <v>4259</v>
      </c>
      <c r="G4267" s="83">
        <f t="shared" ca="1" si="137"/>
        <v>1.7773145930629813E-2</v>
      </c>
    </row>
    <row r="4268" spans="2:7" x14ac:dyDescent="0.2">
      <c r="B4268" s="167">
        <v>42306</v>
      </c>
      <c r="C4268" s="28">
        <v>232.03</v>
      </c>
      <c r="D4268" s="83">
        <f t="shared" si="136"/>
        <v>3.3729729729729779E-3</v>
      </c>
      <c r="E4268" s="83">
        <v>-1.4650925768642725E-2</v>
      </c>
      <c r="F4268" s="83">
        <v>4260</v>
      </c>
      <c r="G4268" s="83">
        <f t="shared" ca="1" si="137"/>
        <v>-2.560889883818682E-2</v>
      </c>
    </row>
    <row r="4269" spans="2:7" x14ac:dyDescent="0.2">
      <c r="B4269" s="167">
        <v>44475</v>
      </c>
      <c r="C4269" s="28">
        <v>231.25</v>
      </c>
      <c r="D4269" s="83">
        <f t="shared" si="136"/>
        <v>3.4824578406667954</v>
      </c>
      <c r="E4269" s="83">
        <v>-1.4699616531742602E-2</v>
      </c>
      <c r="F4269" s="83">
        <v>4261</v>
      </c>
      <c r="G4269" s="83">
        <f t="shared" ca="1" si="137"/>
        <v>-1.5413615146036455E-3</v>
      </c>
    </row>
    <row r="4270" spans="2:7" x14ac:dyDescent="0.2">
      <c r="B4270" s="167">
        <v>39268</v>
      </c>
      <c r="C4270" s="28">
        <v>51.59</v>
      </c>
      <c r="D4270" s="83">
        <f t="shared" si="136"/>
        <v>-0.65268614514608858</v>
      </c>
      <c r="E4270" s="83">
        <v>-1.47058823529411E-2</v>
      </c>
      <c r="F4270" s="83">
        <v>4262</v>
      </c>
      <c r="G4270" s="83">
        <f t="shared" ca="1" si="137"/>
        <v>-2.4829658904022479E-2</v>
      </c>
    </row>
    <row r="4271" spans="2:7" x14ac:dyDescent="0.2">
      <c r="B4271" s="167">
        <v>41008</v>
      </c>
      <c r="C4271" s="28">
        <v>148.54</v>
      </c>
      <c r="D4271" s="83">
        <f t="shared" si="136"/>
        <v>-0.52860905715464446</v>
      </c>
      <c r="E4271" s="83">
        <v>-1.472539135049084E-2</v>
      </c>
      <c r="F4271" s="83">
        <v>4263</v>
      </c>
      <c r="G4271" s="83">
        <f t="shared" ca="1" si="137"/>
        <v>-2.0268627221036617E-2</v>
      </c>
    </row>
    <row r="4272" spans="2:7" x14ac:dyDescent="0.2">
      <c r="B4272" s="167">
        <v>44916</v>
      </c>
      <c r="C4272" s="28">
        <v>315.11</v>
      </c>
      <c r="D4272" s="83">
        <f t="shared" si="136"/>
        <v>0.99588294907524721</v>
      </c>
      <c r="E4272" s="83">
        <v>-1.4727033956600525E-2</v>
      </c>
      <c r="F4272" s="83">
        <v>4264</v>
      </c>
      <c r="G4272" s="83">
        <f t="shared" ca="1" si="137"/>
        <v>-2.4743693480187311E-2</v>
      </c>
    </row>
    <row r="4273" spans="2:7" x14ac:dyDescent="0.2">
      <c r="B4273" s="167">
        <v>41033</v>
      </c>
      <c r="C4273" s="28">
        <v>157.88</v>
      </c>
      <c r="D4273" s="83">
        <f t="shared" si="136"/>
        <v>1.9156048014773774</v>
      </c>
      <c r="E4273" s="83">
        <v>-1.4727908137793394E-2</v>
      </c>
      <c r="F4273" s="83">
        <v>4265</v>
      </c>
      <c r="G4273" s="83">
        <f t="shared" ca="1" si="137"/>
        <v>-1.4654582664717147E-2</v>
      </c>
    </row>
    <row r="4274" spans="2:7" x14ac:dyDescent="0.2">
      <c r="B4274" s="167">
        <v>39731</v>
      </c>
      <c r="C4274" s="28">
        <v>54.15</v>
      </c>
      <c r="D4274" s="83">
        <f t="shared" si="136"/>
        <v>-0.5774483027701911</v>
      </c>
      <c r="E4274" s="83">
        <v>-1.4737991266375587E-2</v>
      </c>
      <c r="F4274" s="83">
        <v>4266</v>
      </c>
      <c r="G4274" s="83">
        <f t="shared" ca="1" si="137"/>
        <v>-3.0643538198332571E-2</v>
      </c>
    </row>
    <row r="4275" spans="2:7" x14ac:dyDescent="0.2">
      <c r="B4275" s="167">
        <v>40870</v>
      </c>
      <c r="C4275" s="28">
        <v>128.15</v>
      </c>
      <c r="D4275" s="83">
        <f t="shared" si="136"/>
        <v>-0.68204937352685768</v>
      </c>
      <c r="E4275" s="83">
        <v>-1.4761282386407224E-2</v>
      </c>
      <c r="F4275" s="83">
        <v>4267</v>
      </c>
      <c r="G4275" s="83">
        <f t="shared" ca="1" si="137"/>
        <v>-2.0387026655694741E-2</v>
      </c>
    </row>
    <row r="4276" spans="2:7" x14ac:dyDescent="0.2">
      <c r="B4276" s="167">
        <v>45735</v>
      </c>
      <c r="C4276" s="28">
        <v>403.05</v>
      </c>
      <c r="D4276" s="83">
        <f t="shared" si="136"/>
        <v>0.88570225507626088</v>
      </c>
      <c r="E4276" s="83">
        <v>-1.47885602542166E-2</v>
      </c>
      <c r="F4276" s="83">
        <v>4268</v>
      </c>
      <c r="G4276" s="83">
        <f t="shared" ca="1" si="137"/>
        <v>6.182353098217892E-3</v>
      </c>
    </row>
    <row r="4277" spans="2:7" x14ac:dyDescent="0.2">
      <c r="B4277" s="167">
        <v>42472</v>
      </c>
      <c r="C4277" s="28">
        <v>213.74</v>
      </c>
      <c r="D4277" s="83">
        <f t="shared" si="136"/>
        <v>-6.9481932956029516E-2</v>
      </c>
      <c r="E4277" s="83">
        <v>-1.4796035952984465E-2</v>
      </c>
      <c r="F4277" s="83">
        <v>4269</v>
      </c>
      <c r="G4277" s="83">
        <f t="shared" ca="1" si="137"/>
        <v>6.3930735460043971E-3</v>
      </c>
    </row>
    <row r="4278" spans="2:7" x14ac:dyDescent="0.2">
      <c r="B4278" s="167">
        <v>42719</v>
      </c>
      <c r="C4278" s="28">
        <v>229.7</v>
      </c>
      <c r="D4278" s="83">
        <f t="shared" si="136"/>
        <v>8.1755674861071798E-2</v>
      </c>
      <c r="E4278" s="83">
        <v>-1.4797340767746159E-2</v>
      </c>
      <c r="F4278" s="83">
        <v>4270</v>
      </c>
      <c r="G4278" s="83">
        <f t="shared" ca="1" si="137"/>
        <v>-2.779196939053398E-2</v>
      </c>
    </row>
    <row r="4279" spans="2:7" x14ac:dyDescent="0.2">
      <c r="B4279" s="167">
        <v>41673</v>
      </c>
      <c r="C4279" s="28">
        <v>212.34</v>
      </c>
      <c r="D4279" s="83">
        <f t="shared" si="136"/>
        <v>2.7682342502218278</v>
      </c>
      <c r="E4279" s="83">
        <v>-1.4800723797151197E-2</v>
      </c>
      <c r="F4279" s="83">
        <v>4271</v>
      </c>
      <c r="G4279" s="83">
        <f t="shared" ca="1" si="137"/>
        <v>1.0001496018259289E-2</v>
      </c>
    </row>
    <row r="4280" spans="2:7" x14ac:dyDescent="0.2">
      <c r="B4280" s="167">
        <v>39764</v>
      </c>
      <c r="C4280" s="28">
        <v>56.35</v>
      </c>
      <c r="D4280" s="83">
        <f t="shared" si="136"/>
        <v>-0.73517247861641133</v>
      </c>
      <c r="E4280" s="83">
        <v>-1.4860139860139884E-2</v>
      </c>
      <c r="F4280" s="83">
        <v>4272</v>
      </c>
      <c r="G4280" s="83">
        <f t="shared" ca="1" si="137"/>
        <v>8.9917978893931227E-3</v>
      </c>
    </row>
    <row r="4281" spans="2:7" x14ac:dyDescent="0.2">
      <c r="B4281" s="167">
        <v>42485</v>
      </c>
      <c r="C4281" s="28">
        <v>212.78</v>
      </c>
      <c r="D4281" s="83">
        <f t="shared" si="136"/>
        <v>-0.21468905702159066</v>
      </c>
      <c r="E4281" s="83">
        <v>-1.4861799157368433E-2</v>
      </c>
      <c r="F4281" s="83">
        <v>4273</v>
      </c>
      <c r="G4281" s="83">
        <f t="shared" ca="1" si="137"/>
        <v>-1.0535862923349229E-2</v>
      </c>
    </row>
    <row r="4282" spans="2:7" x14ac:dyDescent="0.2">
      <c r="B4282" s="167">
        <v>43661</v>
      </c>
      <c r="C4282" s="28">
        <v>270.95</v>
      </c>
      <c r="D4282" s="83">
        <f t="shared" si="136"/>
        <v>0.15494458653026427</v>
      </c>
      <c r="E4282" s="83">
        <v>-1.4906380658062253E-2</v>
      </c>
      <c r="F4282" s="83">
        <v>4274</v>
      </c>
      <c r="G4282" s="83">
        <f t="shared" ca="1" si="137"/>
        <v>-1.3595443316363632E-2</v>
      </c>
    </row>
    <row r="4283" spans="2:7" x14ac:dyDescent="0.2">
      <c r="B4283" s="167">
        <v>43857</v>
      </c>
      <c r="C4283" s="28">
        <v>234.6</v>
      </c>
      <c r="D4283" s="83">
        <f t="shared" si="136"/>
        <v>5.3439697133585726</v>
      </c>
      <c r="E4283" s="83">
        <v>-1.4906571488557679E-2</v>
      </c>
      <c r="F4283" s="83">
        <v>4275</v>
      </c>
      <c r="G4283" s="83">
        <f t="shared" ca="1" si="137"/>
        <v>-2.1998498935669041E-2</v>
      </c>
    </row>
    <row r="4284" spans="2:7" x14ac:dyDescent="0.2">
      <c r="B4284" s="167">
        <v>38553</v>
      </c>
      <c r="C4284" s="28">
        <v>36.979999999999997</v>
      </c>
      <c r="D4284" s="83">
        <f t="shared" si="136"/>
        <v>-0.39713074665797204</v>
      </c>
      <c r="E4284" s="83">
        <v>-1.4917421417155095E-2</v>
      </c>
      <c r="F4284" s="83">
        <v>4276</v>
      </c>
      <c r="G4284" s="83">
        <f t="shared" ca="1" si="137"/>
        <v>3.1967570983863831E-2</v>
      </c>
    </row>
    <row r="4285" spans="2:7" x14ac:dyDescent="0.2">
      <c r="B4285" s="167">
        <v>38994</v>
      </c>
      <c r="C4285" s="28">
        <v>61.34</v>
      </c>
      <c r="D4285" s="83">
        <f t="shared" si="136"/>
        <v>-0.72515458374406305</v>
      </c>
      <c r="E4285" s="83">
        <v>-1.4934960655211172E-2</v>
      </c>
      <c r="F4285" s="83">
        <v>4277</v>
      </c>
      <c r="G4285" s="83">
        <f t="shared" ca="1" si="137"/>
        <v>-1.0975900752958541E-2</v>
      </c>
    </row>
    <row r="4286" spans="2:7" x14ac:dyDescent="0.2">
      <c r="B4286" s="167">
        <v>41792</v>
      </c>
      <c r="C4286" s="28">
        <v>223.18</v>
      </c>
      <c r="D4286" s="83">
        <f t="shared" si="136"/>
        <v>-8.4952849528495272E-2</v>
      </c>
      <c r="E4286" s="83">
        <v>-1.4962263318179752E-2</v>
      </c>
      <c r="F4286" s="83">
        <v>4278</v>
      </c>
      <c r="G4286" s="83">
        <f t="shared" ca="1" si="137"/>
        <v>3.6261942493935355E-3</v>
      </c>
    </row>
    <row r="4287" spans="2:7" x14ac:dyDescent="0.2">
      <c r="B4287" s="167">
        <v>42044</v>
      </c>
      <c r="C4287" s="28">
        <v>243.9</v>
      </c>
      <c r="D4287" s="83">
        <f t="shared" si="136"/>
        <v>1.1570708410719026</v>
      </c>
      <c r="E4287" s="83">
        <v>-1.4983239772222478E-2</v>
      </c>
      <c r="F4287" s="83">
        <v>4279</v>
      </c>
      <c r="G4287" s="83">
        <f t="shared" ca="1" si="137"/>
        <v>1.6521516668779237E-2</v>
      </c>
    </row>
    <row r="4288" spans="2:7" x14ac:dyDescent="0.2">
      <c r="B4288" s="167">
        <v>40557</v>
      </c>
      <c r="C4288" s="28">
        <v>113.07</v>
      </c>
      <c r="D4288" s="83">
        <f t="shared" si="136"/>
        <v>1.073157315731573</v>
      </c>
      <c r="E4288" s="83">
        <v>-1.49838836135553E-2</v>
      </c>
      <c r="F4288" s="83">
        <v>4280</v>
      </c>
      <c r="G4288" s="83">
        <f t="shared" ca="1" si="137"/>
        <v>1.3153620449118577E-2</v>
      </c>
    </row>
    <row r="4289" spans="2:7" x14ac:dyDescent="0.2">
      <c r="B4289" s="167">
        <v>39878</v>
      </c>
      <c r="C4289" s="28">
        <v>54.54</v>
      </c>
      <c r="D4289" s="83">
        <f t="shared" si="136"/>
        <v>-0.7483737024221454</v>
      </c>
      <c r="E4289" s="83">
        <v>-1.4990066823189423E-2</v>
      </c>
      <c r="F4289" s="83">
        <v>4281</v>
      </c>
      <c r="G4289" s="83">
        <f t="shared" ca="1" si="137"/>
        <v>6.2467149029816231E-3</v>
      </c>
    </row>
    <row r="4290" spans="2:7" x14ac:dyDescent="0.2">
      <c r="B4290" s="167">
        <v>44559</v>
      </c>
      <c r="C4290" s="28">
        <v>216.75</v>
      </c>
      <c r="D4290" s="83">
        <f t="shared" si="136"/>
        <v>-0.49281636091351555</v>
      </c>
      <c r="E4290" s="83">
        <v>-1.4996591683708298E-2</v>
      </c>
      <c r="F4290" s="83">
        <v>4282</v>
      </c>
      <c r="G4290" s="83">
        <f t="shared" ca="1" si="137"/>
        <v>-2.6753019257980664E-2</v>
      </c>
    </row>
    <row r="4291" spans="2:7" x14ac:dyDescent="0.2">
      <c r="B4291" s="167">
        <v>45148</v>
      </c>
      <c r="C4291" s="28">
        <v>427.36</v>
      </c>
      <c r="D4291" s="83">
        <f t="shared" si="136"/>
        <v>0.65323017408123796</v>
      </c>
      <c r="E4291" s="83">
        <v>-1.5049897439443115E-2</v>
      </c>
      <c r="F4291" s="83">
        <v>4283</v>
      </c>
      <c r="G4291" s="83">
        <f t="shared" ca="1" si="137"/>
        <v>-8.0124320312830195E-3</v>
      </c>
    </row>
    <row r="4292" spans="2:7" x14ac:dyDescent="0.2">
      <c r="B4292" s="167">
        <v>43005</v>
      </c>
      <c r="C4292" s="28">
        <v>258.5</v>
      </c>
      <c r="D4292" s="83">
        <f t="shared" si="136"/>
        <v>6.5057063985826669E-2</v>
      </c>
      <c r="E4292" s="83">
        <v>-1.5050485806820304E-2</v>
      </c>
      <c r="F4292" s="83">
        <v>4284</v>
      </c>
      <c r="G4292" s="83">
        <f t="shared" ca="1" si="137"/>
        <v>2.9808784623855885E-2</v>
      </c>
    </row>
    <row r="4293" spans="2:7" x14ac:dyDescent="0.2">
      <c r="B4293" s="167">
        <v>41911</v>
      </c>
      <c r="C4293" s="28">
        <v>242.71</v>
      </c>
      <c r="D4293" s="83">
        <f t="shared" si="136"/>
        <v>0.15962732919254655</v>
      </c>
      <c r="E4293" s="83">
        <v>-1.5055596136677136E-2</v>
      </c>
      <c r="F4293" s="83">
        <v>4285</v>
      </c>
      <c r="G4293" s="83">
        <f t="shared" ca="1" si="137"/>
        <v>2.6085061807489013E-2</v>
      </c>
    </row>
    <row r="4294" spans="2:7" x14ac:dyDescent="0.2">
      <c r="B4294" s="167">
        <v>44357</v>
      </c>
      <c r="C4294" s="28">
        <v>209.3</v>
      </c>
      <c r="D4294" s="83">
        <f t="shared" si="136"/>
        <v>0.11241031092213662</v>
      </c>
      <c r="E4294" s="83">
        <v>-1.5058823529411711E-2</v>
      </c>
      <c r="F4294" s="83">
        <v>4286</v>
      </c>
      <c r="G4294" s="83">
        <f t="shared" ca="1" si="137"/>
        <v>2.4455303532392111E-2</v>
      </c>
    </row>
    <row r="4295" spans="2:7" x14ac:dyDescent="0.2">
      <c r="B4295" s="167">
        <v>41225</v>
      </c>
      <c r="C4295" s="28">
        <v>188.15</v>
      </c>
      <c r="D4295" s="83">
        <f t="shared" si="136"/>
        <v>2.4714022140221399</v>
      </c>
      <c r="E4295" s="83">
        <v>-1.507616604721769E-2</v>
      </c>
      <c r="F4295" s="83">
        <v>4287</v>
      </c>
      <c r="G4295" s="83">
        <f t="shared" ca="1" si="137"/>
        <v>3.1038058737715833E-2</v>
      </c>
    </row>
    <row r="4296" spans="2:7" x14ac:dyDescent="0.2">
      <c r="B4296" s="167">
        <v>38772</v>
      </c>
      <c r="C4296" s="28">
        <v>54.2</v>
      </c>
      <c r="D4296" s="83">
        <f t="shared" si="136"/>
        <v>-0.35360763267740003</v>
      </c>
      <c r="E4296" s="83">
        <v>-1.5082682173359955E-2</v>
      </c>
      <c r="F4296" s="83">
        <v>4288</v>
      </c>
      <c r="G4296" s="83">
        <f t="shared" ca="1" si="137"/>
        <v>-5.4367500832616092E-3</v>
      </c>
    </row>
    <row r="4297" spans="2:7" x14ac:dyDescent="0.2">
      <c r="B4297" s="167">
        <v>40129</v>
      </c>
      <c r="C4297" s="28">
        <v>83.85</v>
      </c>
      <c r="D4297" s="83">
        <f t="shared" ref="D4297:D4360" si="138">(C4297-C4298)/C4298</f>
        <v>-0.6928008792819198</v>
      </c>
      <c r="E4297" s="83">
        <v>-1.5151515151515225E-2</v>
      </c>
      <c r="F4297" s="83">
        <v>4289</v>
      </c>
      <c r="G4297" s="83">
        <f t="shared" ref="G4297:G4360" ca="1" si="139">_xlfn.NORM.INV(RAND(),$M$10,$M$11)</f>
        <v>-2.1805598270953257E-3</v>
      </c>
    </row>
    <row r="4298" spans="2:7" x14ac:dyDescent="0.2">
      <c r="B4298" s="167">
        <v>42863</v>
      </c>
      <c r="C4298" s="28">
        <v>272.95</v>
      </c>
      <c r="D4298" s="83">
        <f t="shared" si="138"/>
        <v>-0.33118521967116715</v>
      </c>
      <c r="E4298" s="83">
        <v>-1.515424860184012E-2</v>
      </c>
      <c r="F4298" s="83">
        <v>4290</v>
      </c>
      <c r="G4298" s="83">
        <f t="shared" ca="1" si="139"/>
        <v>-1.0153888515631116E-3</v>
      </c>
    </row>
    <row r="4299" spans="2:7" x14ac:dyDescent="0.2">
      <c r="B4299" s="167">
        <v>45328</v>
      </c>
      <c r="C4299" s="28">
        <v>408.11</v>
      </c>
      <c r="D4299" s="83">
        <f t="shared" si="138"/>
        <v>5.3558635726522361</v>
      </c>
      <c r="E4299" s="83">
        <v>-1.5178571428571342E-2</v>
      </c>
      <c r="F4299" s="83">
        <v>4291</v>
      </c>
      <c r="G4299" s="83">
        <f t="shared" ca="1" si="139"/>
        <v>1.033100210631047E-2</v>
      </c>
    </row>
    <row r="4300" spans="2:7" x14ac:dyDescent="0.2">
      <c r="B4300" s="167">
        <v>39993</v>
      </c>
      <c r="C4300" s="28">
        <v>64.209999999999994</v>
      </c>
      <c r="D4300" s="83">
        <f t="shared" si="138"/>
        <v>-0.72862516377160735</v>
      </c>
      <c r="E4300" s="83">
        <v>-1.5184049079754741E-2</v>
      </c>
      <c r="F4300" s="83">
        <v>4292</v>
      </c>
      <c r="G4300" s="83">
        <f t="shared" ca="1" si="139"/>
        <v>6.3462504711326168E-3</v>
      </c>
    </row>
    <row r="4301" spans="2:7" x14ac:dyDescent="0.2">
      <c r="B4301" s="167">
        <v>42013</v>
      </c>
      <c r="C4301" s="28">
        <v>236.61</v>
      </c>
      <c r="D4301" s="83">
        <f t="shared" si="138"/>
        <v>0.14448099061623296</v>
      </c>
      <c r="E4301" s="83">
        <v>-1.5191875468242643E-2</v>
      </c>
      <c r="F4301" s="83">
        <v>4293</v>
      </c>
      <c r="G4301" s="83">
        <f t="shared" ca="1" si="139"/>
        <v>2.419406911172526E-2</v>
      </c>
    </row>
    <row r="4302" spans="2:7" x14ac:dyDescent="0.2">
      <c r="B4302" s="167">
        <v>41690</v>
      </c>
      <c r="C4302" s="28">
        <v>206.74</v>
      </c>
      <c r="D4302" s="83">
        <f t="shared" si="138"/>
        <v>-0.19210629152012504</v>
      </c>
      <c r="E4302" s="83">
        <v>-1.5195541370933157E-2</v>
      </c>
      <c r="F4302" s="83">
        <v>4294</v>
      </c>
      <c r="G4302" s="83">
        <f t="shared" ca="1" si="139"/>
        <v>-8.2558001929377359E-3</v>
      </c>
    </row>
    <row r="4303" spans="2:7" x14ac:dyDescent="0.2">
      <c r="B4303" s="167">
        <v>43739</v>
      </c>
      <c r="C4303" s="28">
        <v>255.9</v>
      </c>
      <c r="D4303" s="83">
        <f t="shared" si="138"/>
        <v>2.950903195924039</v>
      </c>
      <c r="E4303" s="83">
        <v>-1.5201077544737414E-2</v>
      </c>
      <c r="F4303" s="83">
        <v>4295</v>
      </c>
      <c r="G4303" s="83">
        <f t="shared" ca="1" si="139"/>
        <v>8.1915687701483234E-3</v>
      </c>
    </row>
    <row r="4304" spans="2:7" x14ac:dyDescent="0.2">
      <c r="B4304" s="167">
        <v>39622</v>
      </c>
      <c r="C4304" s="28">
        <v>64.77</v>
      </c>
      <c r="D4304" s="83">
        <f t="shared" si="138"/>
        <v>-0.6922894199249372</v>
      </c>
      <c r="E4304" s="83">
        <v>-1.5204500532157519E-2</v>
      </c>
      <c r="F4304" s="83">
        <v>4296</v>
      </c>
      <c r="G4304" s="83">
        <f t="shared" ca="1" si="139"/>
        <v>-1.6230403951204902E-3</v>
      </c>
    </row>
    <row r="4305" spans="2:7" x14ac:dyDescent="0.2">
      <c r="B4305" s="167">
        <v>42090</v>
      </c>
      <c r="C4305" s="28">
        <v>210.49</v>
      </c>
      <c r="D4305" s="83">
        <f t="shared" si="138"/>
        <v>-0.53799385425812118</v>
      </c>
      <c r="E4305" s="83">
        <v>-1.5205389725835126E-2</v>
      </c>
      <c r="F4305" s="83">
        <v>4297</v>
      </c>
      <c r="G4305" s="83">
        <f t="shared" ca="1" si="139"/>
        <v>1.2530871667947103E-2</v>
      </c>
    </row>
    <row r="4306" spans="2:7" x14ac:dyDescent="0.2">
      <c r="B4306" s="167">
        <v>45660</v>
      </c>
      <c r="C4306" s="28">
        <v>455.6</v>
      </c>
      <c r="D4306" s="83">
        <f t="shared" si="138"/>
        <v>6.2054404554799945</v>
      </c>
      <c r="E4306" s="83">
        <v>-1.5238301091537782E-2</v>
      </c>
      <c r="F4306" s="83">
        <v>4298</v>
      </c>
      <c r="G4306" s="83">
        <f t="shared" ca="1" si="139"/>
        <v>-1.3731720810186379E-2</v>
      </c>
    </row>
    <row r="4307" spans="2:7" x14ac:dyDescent="0.2">
      <c r="B4307" s="167">
        <v>39994</v>
      </c>
      <c r="C4307" s="28">
        <v>63.23</v>
      </c>
      <c r="D4307" s="83">
        <f t="shared" si="138"/>
        <v>-0.85627585579851795</v>
      </c>
      <c r="E4307" s="83">
        <v>-1.5262420183771951E-2</v>
      </c>
      <c r="F4307" s="83">
        <v>4299</v>
      </c>
      <c r="G4307" s="83">
        <f t="shared" ca="1" si="139"/>
        <v>1.6363924443803309E-3</v>
      </c>
    </row>
    <row r="4308" spans="2:7" x14ac:dyDescent="0.2">
      <c r="B4308" s="167">
        <v>45134</v>
      </c>
      <c r="C4308" s="28">
        <v>439.94</v>
      </c>
      <c r="D4308" s="83">
        <f t="shared" si="138"/>
        <v>1.0027313697819458</v>
      </c>
      <c r="E4308" s="83">
        <v>-1.5265466917360537E-2</v>
      </c>
      <c r="F4308" s="83">
        <v>4300</v>
      </c>
      <c r="G4308" s="83">
        <f t="shared" ca="1" si="139"/>
        <v>1.6504403771365268E-2</v>
      </c>
    </row>
    <row r="4309" spans="2:7" x14ac:dyDescent="0.2">
      <c r="B4309" s="167">
        <v>41530</v>
      </c>
      <c r="C4309" s="28">
        <v>219.67</v>
      </c>
      <c r="D4309" s="83">
        <f t="shared" si="138"/>
        <v>-6.1359654745118203E-2</v>
      </c>
      <c r="E4309" s="83">
        <v>-1.5285996055226935E-2</v>
      </c>
      <c r="F4309" s="83">
        <v>4301</v>
      </c>
      <c r="G4309" s="83">
        <f t="shared" ca="1" si="139"/>
        <v>2.4476313623955373E-2</v>
      </c>
    </row>
    <row r="4310" spans="2:7" x14ac:dyDescent="0.2">
      <c r="B4310" s="167">
        <v>42521</v>
      </c>
      <c r="C4310" s="28">
        <v>234.03</v>
      </c>
      <c r="D4310" s="83">
        <f t="shared" si="138"/>
        <v>2.9148544663767146</v>
      </c>
      <c r="E4310" s="83">
        <v>-1.5315353220852385E-2</v>
      </c>
      <c r="F4310" s="83">
        <v>4302</v>
      </c>
      <c r="G4310" s="83">
        <f t="shared" ca="1" si="139"/>
        <v>-1.2241251291204311E-2</v>
      </c>
    </row>
    <row r="4311" spans="2:7" x14ac:dyDescent="0.2">
      <c r="B4311" s="167">
        <v>39854</v>
      </c>
      <c r="C4311" s="28">
        <v>59.78</v>
      </c>
      <c r="D4311" s="83">
        <f t="shared" si="138"/>
        <v>-0.51548062895120761</v>
      </c>
      <c r="E4311" s="83">
        <v>-1.5318728380826877E-2</v>
      </c>
      <c r="F4311" s="83">
        <v>4303</v>
      </c>
      <c r="G4311" s="83">
        <f t="shared" ca="1" si="139"/>
        <v>2.044544635824852E-2</v>
      </c>
    </row>
    <row r="4312" spans="2:7" x14ac:dyDescent="0.2">
      <c r="B4312" s="167">
        <v>40679</v>
      </c>
      <c r="C4312" s="28">
        <v>123.38</v>
      </c>
      <c r="D4312" s="83">
        <f t="shared" si="138"/>
        <v>-0.46805208243511254</v>
      </c>
      <c r="E4312" s="83">
        <v>-1.5323224261771762E-2</v>
      </c>
      <c r="F4312" s="83">
        <v>4304</v>
      </c>
      <c r="G4312" s="83">
        <f t="shared" ca="1" si="139"/>
        <v>-1.2773901108875415E-2</v>
      </c>
    </row>
    <row r="4313" spans="2:7" x14ac:dyDescent="0.2">
      <c r="B4313" s="167">
        <v>41540</v>
      </c>
      <c r="C4313" s="28">
        <v>231.94</v>
      </c>
      <c r="D4313" s="83">
        <f t="shared" si="138"/>
        <v>-0.31226093402520388</v>
      </c>
      <c r="E4313" s="83">
        <v>-1.5325833156442425E-2</v>
      </c>
      <c r="F4313" s="83">
        <v>4305</v>
      </c>
      <c r="G4313" s="83">
        <f t="shared" ca="1" si="139"/>
        <v>4.8177534637859369E-3</v>
      </c>
    </row>
    <row r="4314" spans="2:7" x14ac:dyDescent="0.2">
      <c r="B4314" s="167">
        <v>42920</v>
      </c>
      <c r="C4314" s="28">
        <v>337.25</v>
      </c>
      <c r="D4314" s="83">
        <f t="shared" si="138"/>
        <v>1.2380383568916318</v>
      </c>
      <c r="E4314" s="83">
        <v>-1.5328467153284672E-2</v>
      </c>
      <c r="F4314" s="83">
        <v>4306</v>
      </c>
      <c r="G4314" s="83">
        <f t="shared" ca="1" si="139"/>
        <v>-1.1437268637554917E-2</v>
      </c>
    </row>
    <row r="4315" spans="2:7" x14ac:dyDescent="0.2">
      <c r="B4315" s="167">
        <v>41045</v>
      </c>
      <c r="C4315" s="28">
        <v>150.69</v>
      </c>
      <c r="D4315" s="83">
        <f t="shared" si="138"/>
        <v>2.1341514143094842</v>
      </c>
      <c r="E4315" s="83">
        <v>-1.5355462624150513E-2</v>
      </c>
      <c r="F4315" s="83">
        <v>4307</v>
      </c>
      <c r="G4315" s="83">
        <f t="shared" ca="1" si="139"/>
        <v>-1.4615613314243577E-2</v>
      </c>
    </row>
    <row r="4316" spans="2:7" x14ac:dyDescent="0.2">
      <c r="B4316" s="167">
        <v>39157</v>
      </c>
      <c r="C4316" s="28">
        <v>48.08</v>
      </c>
      <c r="D4316" s="83">
        <f t="shared" si="138"/>
        <v>-0.89271449291531857</v>
      </c>
      <c r="E4316" s="83">
        <v>-1.5359410198648372E-2</v>
      </c>
      <c r="F4316" s="83">
        <v>4308</v>
      </c>
      <c r="G4316" s="83">
        <f t="shared" ca="1" si="139"/>
        <v>2.6549924704295472E-2</v>
      </c>
    </row>
    <row r="4317" spans="2:7" x14ac:dyDescent="0.2">
      <c r="B4317" s="167">
        <v>45693</v>
      </c>
      <c r="C4317" s="28">
        <v>448.15</v>
      </c>
      <c r="D4317" s="83">
        <f t="shared" si="138"/>
        <v>1.046907828628848</v>
      </c>
      <c r="E4317" s="83">
        <v>-1.5379545204877514E-2</v>
      </c>
      <c r="F4317" s="83">
        <v>4309</v>
      </c>
      <c r="G4317" s="83">
        <f t="shared" ca="1" si="139"/>
        <v>-2.1231503442349614E-2</v>
      </c>
    </row>
    <row r="4318" spans="2:7" x14ac:dyDescent="0.2">
      <c r="B4318" s="167">
        <v>41492</v>
      </c>
      <c r="C4318" s="28">
        <v>218.94</v>
      </c>
      <c r="D4318" s="83">
        <f t="shared" si="138"/>
        <v>0.10136324764827208</v>
      </c>
      <c r="E4318" s="83">
        <v>-1.5380464112250476E-2</v>
      </c>
      <c r="F4318" s="83">
        <v>4310</v>
      </c>
      <c r="G4318" s="83">
        <f t="shared" ca="1" si="139"/>
        <v>2.4191141337817457E-2</v>
      </c>
    </row>
    <row r="4319" spans="2:7" x14ac:dyDescent="0.2">
      <c r="B4319" s="167">
        <v>42422</v>
      </c>
      <c r="C4319" s="28">
        <v>198.79</v>
      </c>
      <c r="D4319" s="83">
        <f t="shared" si="138"/>
        <v>1.8805970149253726</v>
      </c>
      <c r="E4319" s="83">
        <v>-1.5403665180782632E-2</v>
      </c>
      <c r="F4319" s="83">
        <v>4311</v>
      </c>
      <c r="G4319" s="83">
        <f t="shared" ca="1" si="139"/>
        <v>-4.9679247163669348E-3</v>
      </c>
    </row>
    <row r="4320" spans="2:7" x14ac:dyDescent="0.2">
      <c r="B4320" s="167">
        <v>39559</v>
      </c>
      <c r="C4320" s="28">
        <v>69.010000000000005</v>
      </c>
      <c r="D4320" s="83">
        <f t="shared" si="138"/>
        <v>0.3340421418905859</v>
      </c>
      <c r="E4320" s="83">
        <v>-1.5408760165501472E-2</v>
      </c>
      <c r="F4320" s="83">
        <v>4312</v>
      </c>
      <c r="G4320" s="83">
        <f t="shared" ca="1" si="139"/>
        <v>8.4860658820320352E-3</v>
      </c>
    </row>
    <row r="4321" spans="2:7" x14ac:dyDescent="0.2">
      <c r="B4321" s="167">
        <v>39189</v>
      </c>
      <c r="C4321" s="28">
        <v>51.73</v>
      </c>
      <c r="D4321" s="83">
        <f t="shared" si="138"/>
        <v>-0.8534975927499292</v>
      </c>
      <c r="E4321" s="83">
        <v>-1.5416825275980249E-2</v>
      </c>
      <c r="F4321" s="83">
        <v>4313</v>
      </c>
      <c r="G4321" s="83">
        <f t="shared" ca="1" si="139"/>
        <v>2.8104031907327542E-3</v>
      </c>
    </row>
    <row r="4322" spans="2:7" x14ac:dyDescent="0.2">
      <c r="B4322" s="167">
        <v>45002</v>
      </c>
      <c r="C4322" s="28">
        <v>353.1</v>
      </c>
      <c r="D4322" s="83">
        <f t="shared" si="138"/>
        <v>0.29175050301810862</v>
      </c>
      <c r="E4322" s="83">
        <v>-1.5474696779590003E-2</v>
      </c>
      <c r="F4322" s="83">
        <v>4314</v>
      </c>
      <c r="G4322" s="83">
        <f t="shared" ca="1" si="139"/>
        <v>1.0534615517788464E-2</v>
      </c>
    </row>
    <row r="4323" spans="2:7" x14ac:dyDescent="0.2">
      <c r="B4323" s="167">
        <v>42776</v>
      </c>
      <c r="C4323" s="28">
        <v>273.35000000000002</v>
      </c>
      <c r="D4323" s="83">
        <f t="shared" si="138"/>
        <v>2.1645056726094007</v>
      </c>
      <c r="E4323" s="83">
        <v>-1.5487124077075292E-2</v>
      </c>
      <c r="F4323" s="83">
        <v>4315</v>
      </c>
      <c r="G4323" s="83">
        <f t="shared" ca="1" si="139"/>
        <v>3.0568890257644379E-2</v>
      </c>
    </row>
    <row r="4324" spans="2:7" x14ac:dyDescent="0.2">
      <c r="B4324" s="167">
        <v>40113</v>
      </c>
      <c r="C4324" s="28">
        <v>86.38</v>
      </c>
      <c r="D4324" s="83">
        <f t="shared" si="138"/>
        <v>-0.55377621655129672</v>
      </c>
      <c r="E4324" s="83">
        <v>-1.5500341919307038E-2</v>
      </c>
      <c r="F4324" s="83">
        <v>4316</v>
      </c>
      <c r="G4324" s="83">
        <f t="shared" ca="1" si="139"/>
        <v>-2.4708541888116262E-2</v>
      </c>
    </row>
    <row r="4325" spans="2:7" x14ac:dyDescent="0.2">
      <c r="B4325" s="167">
        <v>41327</v>
      </c>
      <c r="C4325" s="28">
        <v>193.58</v>
      </c>
      <c r="D4325" s="83">
        <f t="shared" si="138"/>
        <v>1.3136130034659974</v>
      </c>
      <c r="E4325" s="83">
        <v>-1.5511366525962382E-2</v>
      </c>
      <c r="F4325" s="83">
        <v>4317</v>
      </c>
      <c r="G4325" s="83">
        <f t="shared" ca="1" si="139"/>
        <v>6.3865470738766056E-2</v>
      </c>
    </row>
    <row r="4326" spans="2:7" x14ac:dyDescent="0.2">
      <c r="B4326" s="167">
        <v>40102</v>
      </c>
      <c r="C4326" s="28">
        <v>83.67</v>
      </c>
      <c r="D4326" s="83">
        <f t="shared" si="138"/>
        <v>-0.35494564798396427</v>
      </c>
      <c r="E4326" s="83">
        <v>-1.5531238969290425E-2</v>
      </c>
      <c r="F4326" s="83">
        <v>4318</v>
      </c>
      <c r="G4326" s="83">
        <f t="shared" ca="1" si="139"/>
        <v>-2.366596987626968E-2</v>
      </c>
    </row>
    <row r="4327" spans="2:7" x14ac:dyDescent="0.2">
      <c r="B4327" s="167">
        <v>40729</v>
      </c>
      <c r="C4327" s="28">
        <v>129.71</v>
      </c>
      <c r="D4327" s="83">
        <f t="shared" si="138"/>
        <v>-0.51172595520421604</v>
      </c>
      <c r="E4327" s="83">
        <v>-1.5558591378263381E-2</v>
      </c>
      <c r="F4327" s="83">
        <v>4319</v>
      </c>
      <c r="G4327" s="83">
        <f t="shared" ca="1" si="139"/>
        <v>1.4826460305278523E-2</v>
      </c>
    </row>
    <row r="4328" spans="2:7" x14ac:dyDescent="0.2">
      <c r="B4328" s="167">
        <v>43041</v>
      </c>
      <c r="C4328" s="28">
        <v>265.64999999999998</v>
      </c>
      <c r="D4328" s="83">
        <f t="shared" si="138"/>
        <v>0.73582070047046522</v>
      </c>
      <c r="E4328" s="83">
        <v>-1.5564202334630517E-2</v>
      </c>
      <c r="F4328" s="83">
        <v>4320</v>
      </c>
      <c r="G4328" s="83">
        <f t="shared" ca="1" si="139"/>
        <v>1.8374975811471822E-2</v>
      </c>
    </row>
    <row r="4329" spans="2:7" x14ac:dyDescent="0.2">
      <c r="B4329" s="167">
        <v>41044</v>
      </c>
      <c r="C4329" s="28">
        <v>153.04</v>
      </c>
      <c r="D4329" s="83">
        <f t="shared" si="138"/>
        <v>-0.42281727324156138</v>
      </c>
      <c r="E4329" s="83">
        <v>-1.556670526180378E-2</v>
      </c>
      <c r="F4329" s="83">
        <v>4321</v>
      </c>
      <c r="G4329" s="83">
        <f t="shared" ca="1" si="139"/>
        <v>1.2345480043201771E-4</v>
      </c>
    </row>
    <row r="4330" spans="2:7" x14ac:dyDescent="0.2">
      <c r="B4330" s="167">
        <v>43038</v>
      </c>
      <c r="C4330" s="28">
        <v>265.14999999999998</v>
      </c>
      <c r="D4330" s="83">
        <f t="shared" si="138"/>
        <v>0.32237793626253047</v>
      </c>
      <c r="E4330" s="83">
        <v>-1.5593094486727474E-2</v>
      </c>
      <c r="F4330" s="83">
        <v>4322</v>
      </c>
      <c r="G4330" s="83">
        <f t="shared" ca="1" si="139"/>
        <v>-1.0880824179978739E-2</v>
      </c>
    </row>
    <row r="4331" spans="2:7" x14ac:dyDescent="0.2">
      <c r="B4331" s="167">
        <v>41310</v>
      </c>
      <c r="C4331" s="28">
        <v>200.51</v>
      </c>
      <c r="D4331" s="83">
        <f t="shared" si="138"/>
        <v>-0.1428266073871409</v>
      </c>
      <c r="E4331" s="83">
        <v>-1.561195934999267E-2</v>
      </c>
      <c r="F4331" s="83">
        <v>4323</v>
      </c>
      <c r="G4331" s="83">
        <f t="shared" ca="1" si="139"/>
        <v>7.8072544765964928E-3</v>
      </c>
    </row>
    <row r="4332" spans="2:7" x14ac:dyDescent="0.2">
      <c r="B4332" s="167">
        <v>41729</v>
      </c>
      <c r="C4332" s="28">
        <v>233.92</v>
      </c>
      <c r="D4332" s="83">
        <f t="shared" si="138"/>
        <v>-0.42508847817538342</v>
      </c>
      <c r="E4332" s="83">
        <v>-1.5653930314761821E-2</v>
      </c>
      <c r="F4332" s="83">
        <v>4324</v>
      </c>
      <c r="G4332" s="83">
        <f t="shared" ca="1" si="139"/>
        <v>-2.03473537363901E-2</v>
      </c>
    </row>
    <row r="4333" spans="2:7" x14ac:dyDescent="0.2">
      <c r="B4333" s="167">
        <v>45394</v>
      </c>
      <c r="C4333" s="28">
        <v>406.88</v>
      </c>
      <c r="D4333" s="83">
        <f t="shared" si="138"/>
        <v>0.48985719516660547</v>
      </c>
      <c r="E4333" s="83">
        <v>-1.5676407973679161E-2</v>
      </c>
      <c r="F4333" s="83">
        <v>4325</v>
      </c>
      <c r="G4333" s="83">
        <f t="shared" ca="1" si="139"/>
        <v>3.9795477171764597E-3</v>
      </c>
    </row>
    <row r="4334" spans="2:7" x14ac:dyDescent="0.2">
      <c r="B4334" s="167">
        <v>43655</v>
      </c>
      <c r="C4334" s="28">
        <v>273.10000000000002</v>
      </c>
      <c r="D4334" s="83">
        <f t="shared" si="138"/>
        <v>4.063971815316151</v>
      </c>
      <c r="E4334" s="83">
        <v>-1.5678500630744156E-2</v>
      </c>
      <c r="F4334" s="83">
        <v>4326</v>
      </c>
      <c r="G4334" s="83">
        <f t="shared" ca="1" si="139"/>
        <v>-1.796024601403259E-2</v>
      </c>
    </row>
    <row r="4335" spans="2:7" x14ac:dyDescent="0.2">
      <c r="B4335" s="167">
        <v>39090</v>
      </c>
      <c r="C4335" s="28">
        <v>53.93</v>
      </c>
      <c r="D4335" s="83">
        <f t="shared" si="138"/>
        <v>-0.63400067865626053</v>
      </c>
      <c r="E4335" s="83">
        <v>-1.5696294944332896E-2</v>
      </c>
      <c r="F4335" s="83">
        <v>4327</v>
      </c>
      <c r="G4335" s="83">
        <f t="shared" ca="1" si="139"/>
        <v>-7.5513666951208458E-3</v>
      </c>
    </row>
    <row r="4336" spans="2:7" x14ac:dyDescent="0.2">
      <c r="B4336" s="167">
        <v>43915</v>
      </c>
      <c r="C4336" s="28">
        <v>147.35</v>
      </c>
      <c r="D4336" s="83">
        <f t="shared" si="138"/>
        <v>-0.66594876445250506</v>
      </c>
      <c r="E4336" s="83">
        <v>-1.5698062792251131E-2</v>
      </c>
      <c r="F4336" s="83">
        <v>4328</v>
      </c>
      <c r="G4336" s="83">
        <f t="shared" ca="1" si="139"/>
        <v>-2.0020419581126766E-2</v>
      </c>
    </row>
    <row r="4337" spans="2:7" x14ac:dyDescent="0.2">
      <c r="B4337" s="167">
        <v>45694</v>
      </c>
      <c r="C4337" s="28">
        <v>441.1</v>
      </c>
      <c r="D4337" s="83">
        <f t="shared" si="138"/>
        <v>0.93592275619925402</v>
      </c>
      <c r="E4337" s="83">
        <v>-1.5731339953140588E-2</v>
      </c>
      <c r="F4337" s="83">
        <v>4329</v>
      </c>
      <c r="G4337" s="83">
        <f t="shared" ca="1" si="139"/>
        <v>-3.483302733398573E-2</v>
      </c>
    </row>
    <row r="4338" spans="2:7" x14ac:dyDescent="0.2">
      <c r="B4338" s="167">
        <v>42692</v>
      </c>
      <c r="C4338" s="28">
        <v>227.85</v>
      </c>
      <c r="D4338" s="83">
        <f t="shared" si="138"/>
        <v>-6.311677631578945E-2</v>
      </c>
      <c r="E4338" s="83">
        <v>-1.5766738660907151E-2</v>
      </c>
      <c r="F4338" s="83">
        <v>4330</v>
      </c>
      <c r="G4338" s="83">
        <f t="shared" ca="1" si="139"/>
        <v>1.5749357347227318E-2</v>
      </c>
    </row>
    <row r="4339" spans="2:7" x14ac:dyDescent="0.2">
      <c r="B4339" s="167">
        <v>43748</v>
      </c>
      <c r="C4339" s="28">
        <v>243.2</v>
      </c>
      <c r="D4339" s="83">
        <f t="shared" si="138"/>
        <v>1.254774707954756</v>
      </c>
      <c r="E4339" s="83">
        <v>-1.5783083771752349E-2</v>
      </c>
      <c r="F4339" s="83">
        <v>4331</v>
      </c>
      <c r="G4339" s="83">
        <f t="shared" ca="1" si="139"/>
        <v>1.6959546923793579E-2</v>
      </c>
    </row>
    <row r="4340" spans="2:7" x14ac:dyDescent="0.2">
      <c r="B4340" s="167">
        <v>40410</v>
      </c>
      <c r="C4340" s="28">
        <v>107.86</v>
      </c>
      <c r="D4340" s="83">
        <f t="shared" si="138"/>
        <v>0.22861373732771376</v>
      </c>
      <c r="E4340" s="83">
        <v>-1.5786111871521159E-2</v>
      </c>
      <c r="F4340" s="83">
        <v>4332</v>
      </c>
      <c r="G4340" s="83">
        <f t="shared" ca="1" si="139"/>
        <v>-1.304786097856068E-2</v>
      </c>
    </row>
    <row r="4341" spans="2:7" x14ac:dyDescent="0.2">
      <c r="B4341" s="167">
        <v>40287</v>
      </c>
      <c r="C4341" s="28">
        <v>87.79</v>
      </c>
      <c r="D4341" s="83">
        <f t="shared" si="138"/>
        <v>-0.52889723638314989</v>
      </c>
      <c r="E4341" s="83">
        <v>-1.5807174887892336E-2</v>
      </c>
      <c r="F4341" s="83">
        <v>4333</v>
      </c>
      <c r="G4341" s="83">
        <f t="shared" ca="1" si="139"/>
        <v>-1.0484470965088297E-2</v>
      </c>
    </row>
    <row r="4342" spans="2:7" x14ac:dyDescent="0.2">
      <c r="B4342" s="167">
        <v>43937</v>
      </c>
      <c r="C4342" s="28">
        <v>186.35</v>
      </c>
      <c r="D4342" s="83">
        <f t="shared" si="138"/>
        <v>-6.168177240684794E-2</v>
      </c>
      <c r="E4342" s="83">
        <v>-1.5843675732770002E-2</v>
      </c>
      <c r="F4342" s="83">
        <v>4334</v>
      </c>
      <c r="G4342" s="83">
        <f t="shared" ca="1" si="139"/>
        <v>-2.0415544135746759E-3</v>
      </c>
    </row>
    <row r="4343" spans="2:7" x14ac:dyDescent="0.2">
      <c r="B4343" s="167">
        <v>43887</v>
      </c>
      <c r="C4343" s="28">
        <v>198.6</v>
      </c>
      <c r="D4343" s="83">
        <f t="shared" si="138"/>
        <v>-0.1224038886433938</v>
      </c>
      <c r="E4343" s="83">
        <v>-1.5857284440039726E-2</v>
      </c>
      <c r="F4343" s="83">
        <v>4335</v>
      </c>
      <c r="G4343" s="83">
        <f t="shared" ca="1" si="139"/>
        <v>-1.9345308064290953E-2</v>
      </c>
    </row>
    <row r="4344" spans="2:7" x14ac:dyDescent="0.2">
      <c r="B4344" s="167">
        <v>42725</v>
      </c>
      <c r="C4344" s="28">
        <v>226.3</v>
      </c>
      <c r="D4344" s="83">
        <f t="shared" si="138"/>
        <v>8.0036271655610225E-2</v>
      </c>
      <c r="E4344" s="83">
        <v>-1.5873015873015775E-2</v>
      </c>
      <c r="F4344" s="83">
        <v>4336</v>
      </c>
      <c r="G4344" s="83">
        <f t="shared" ca="1" si="139"/>
        <v>4.0592720942539753E-3</v>
      </c>
    </row>
    <row r="4345" spans="2:7" x14ac:dyDescent="0.2">
      <c r="B4345" s="167">
        <v>42493</v>
      </c>
      <c r="C4345" s="28">
        <v>209.53</v>
      </c>
      <c r="D4345" s="83">
        <f t="shared" si="138"/>
        <v>-6.2169904216274226E-2</v>
      </c>
      <c r="E4345" s="83">
        <v>-1.5875252454088561E-2</v>
      </c>
      <c r="F4345" s="83">
        <v>4337</v>
      </c>
      <c r="G4345" s="83">
        <f t="shared" ca="1" si="139"/>
        <v>-1.5601944562017449E-2</v>
      </c>
    </row>
    <row r="4346" spans="2:7" x14ac:dyDescent="0.2">
      <c r="B4346" s="167">
        <v>41410</v>
      </c>
      <c r="C4346" s="28">
        <v>223.42</v>
      </c>
      <c r="D4346" s="83">
        <f t="shared" si="138"/>
        <v>-0.23170563961485566</v>
      </c>
      <c r="E4346" s="83">
        <v>-1.5900982249042038E-2</v>
      </c>
      <c r="F4346" s="83">
        <v>4338</v>
      </c>
      <c r="G4346" s="83">
        <f t="shared" ca="1" si="139"/>
        <v>2.0418566723056294E-2</v>
      </c>
    </row>
    <row r="4347" spans="2:7" x14ac:dyDescent="0.2">
      <c r="B4347" s="167">
        <v>43539</v>
      </c>
      <c r="C4347" s="28">
        <v>290.8</v>
      </c>
      <c r="D4347" s="83">
        <f t="shared" si="138"/>
        <v>-4.4615283527169931E-2</v>
      </c>
      <c r="E4347" s="83">
        <v>-1.5905245346869674E-2</v>
      </c>
      <c r="F4347" s="83">
        <v>4339</v>
      </c>
      <c r="G4347" s="83">
        <f t="shared" ca="1" si="139"/>
        <v>1.406586021293614E-2</v>
      </c>
    </row>
    <row r="4348" spans="2:7" x14ac:dyDescent="0.2">
      <c r="B4348" s="167">
        <v>44784</v>
      </c>
      <c r="C4348" s="28">
        <v>304.38</v>
      </c>
      <c r="D4348" s="83">
        <f t="shared" si="138"/>
        <v>0.38834154351395722</v>
      </c>
      <c r="E4348" s="83">
        <v>-1.5906886517943794E-2</v>
      </c>
      <c r="F4348" s="83">
        <v>4340</v>
      </c>
      <c r="G4348" s="83">
        <f t="shared" ca="1" si="139"/>
        <v>-1.8137219520474517E-2</v>
      </c>
    </row>
    <row r="4349" spans="2:7" x14ac:dyDescent="0.2">
      <c r="B4349" s="167">
        <v>42464</v>
      </c>
      <c r="C4349" s="28">
        <v>219.24</v>
      </c>
      <c r="D4349" s="83">
        <f t="shared" si="138"/>
        <v>-0.20203821656050952</v>
      </c>
      <c r="E4349" s="83">
        <v>-1.5934287894429657E-2</v>
      </c>
      <c r="F4349" s="83">
        <v>4341</v>
      </c>
      <c r="G4349" s="83">
        <f t="shared" ca="1" si="139"/>
        <v>1.3253991682524368E-2</v>
      </c>
    </row>
    <row r="4350" spans="2:7" x14ac:dyDescent="0.2">
      <c r="B4350" s="167">
        <v>43493</v>
      </c>
      <c r="C4350" s="28">
        <v>274.75</v>
      </c>
      <c r="D4350" s="83">
        <f t="shared" si="138"/>
        <v>0.12764210958341882</v>
      </c>
      <c r="E4350" s="83">
        <v>-1.5938395415472741E-2</v>
      </c>
      <c r="F4350" s="83">
        <v>4342</v>
      </c>
      <c r="G4350" s="83">
        <f t="shared" ca="1" si="139"/>
        <v>-1.9951458512593415E-3</v>
      </c>
    </row>
    <row r="4351" spans="2:7" x14ac:dyDescent="0.2">
      <c r="B4351" s="167">
        <v>43754</v>
      </c>
      <c r="C4351" s="28">
        <v>243.65</v>
      </c>
      <c r="D4351" s="83">
        <f t="shared" si="138"/>
        <v>0.36383991043940667</v>
      </c>
      <c r="E4351" s="83">
        <v>-1.5953150242326287E-2</v>
      </c>
      <c r="F4351" s="83">
        <v>4343</v>
      </c>
      <c r="G4351" s="83">
        <f t="shared" ca="1" si="139"/>
        <v>3.7997179562846534E-4</v>
      </c>
    </row>
    <row r="4352" spans="2:7" x14ac:dyDescent="0.2">
      <c r="B4352" s="167">
        <v>43929</v>
      </c>
      <c r="C4352" s="28">
        <v>178.65</v>
      </c>
      <c r="D4352" s="83">
        <f t="shared" si="138"/>
        <v>0.17109144542772856</v>
      </c>
      <c r="E4352" s="83">
        <v>-1.5973561002478685E-2</v>
      </c>
      <c r="F4352" s="83">
        <v>4344</v>
      </c>
      <c r="G4352" s="83">
        <f t="shared" ca="1" si="139"/>
        <v>-6.6527672408305558E-4</v>
      </c>
    </row>
    <row r="4353" spans="2:7" x14ac:dyDescent="0.2">
      <c r="B4353" s="167">
        <v>41064</v>
      </c>
      <c r="C4353" s="28">
        <v>152.55000000000001</v>
      </c>
      <c r="D4353" s="83">
        <f t="shared" si="138"/>
        <v>1.3418790297820082</v>
      </c>
      <c r="E4353" s="83">
        <v>-1.599690382506605E-2</v>
      </c>
      <c r="F4353" s="83">
        <v>4345</v>
      </c>
      <c r="G4353" s="83">
        <f t="shared" ca="1" si="139"/>
        <v>-1.9947512117164633E-2</v>
      </c>
    </row>
    <row r="4354" spans="2:7" x14ac:dyDescent="0.2">
      <c r="B4354" s="167">
        <v>39436</v>
      </c>
      <c r="C4354" s="28">
        <v>65.14</v>
      </c>
      <c r="D4354" s="83">
        <f t="shared" si="138"/>
        <v>-0.70945584299732389</v>
      </c>
      <c r="E4354" s="83">
        <v>-1.6012084592145048E-2</v>
      </c>
      <c r="F4354" s="83">
        <v>4346</v>
      </c>
      <c r="G4354" s="83">
        <f t="shared" ca="1" si="139"/>
        <v>4.2977256304795328E-3</v>
      </c>
    </row>
    <row r="4355" spans="2:7" x14ac:dyDescent="0.2">
      <c r="B4355" s="167">
        <v>42695</v>
      </c>
      <c r="C4355" s="28">
        <v>224.2</v>
      </c>
      <c r="D4355" s="83">
        <f t="shared" si="138"/>
        <v>0.14154786150712823</v>
      </c>
      <c r="E4355" s="83">
        <v>-1.6019310950186553E-2</v>
      </c>
      <c r="F4355" s="83">
        <v>4347</v>
      </c>
      <c r="G4355" s="83">
        <f t="shared" ca="1" si="139"/>
        <v>5.1093127551429752E-4</v>
      </c>
    </row>
    <row r="4356" spans="2:7" x14ac:dyDescent="0.2">
      <c r="B4356" s="167">
        <v>44039</v>
      </c>
      <c r="C4356" s="28">
        <v>196.4</v>
      </c>
      <c r="D4356" s="83">
        <f t="shared" si="138"/>
        <v>-0.29593117046065598</v>
      </c>
      <c r="E4356" s="83">
        <v>-1.6032064128256456E-2</v>
      </c>
      <c r="F4356" s="83">
        <v>4348</v>
      </c>
      <c r="G4356" s="83">
        <f t="shared" ca="1" si="139"/>
        <v>1.7384143106609573E-2</v>
      </c>
    </row>
    <row r="4357" spans="2:7" x14ac:dyDescent="0.2">
      <c r="B4357" s="167">
        <v>43403</v>
      </c>
      <c r="C4357" s="28">
        <v>278.95</v>
      </c>
      <c r="D4357" s="83">
        <f t="shared" si="138"/>
        <v>1.4912923104402964</v>
      </c>
      <c r="E4357" s="83">
        <v>-1.6049382716049422E-2</v>
      </c>
      <c r="F4357" s="83">
        <v>4349</v>
      </c>
      <c r="G4357" s="83">
        <f t="shared" ca="1" si="139"/>
        <v>1.2302860639751575E-2</v>
      </c>
    </row>
    <row r="4358" spans="2:7" x14ac:dyDescent="0.2">
      <c r="B4358" s="167">
        <v>40564</v>
      </c>
      <c r="C4358" s="28">
        <v>111.97</v>
      </c>
      <c r="D4358" s="83">
        <f t="shared" si="138"/>
        <v>-0.54204498977505111</v>
      </c>
      <c r="E4358" s="83">
        <v>-1.6080843585237245E-2</v>
      </c>
      <c r="F4358" s="83">
        <v>4350</v>
      </c>
      <c r="G4358" s="83">
        <f t="shared" ca="1" si="139"/>
        <v>3.9983942985849959E-3</v>
      </c>
    </row>
    <row r="4359" spans="2:7" x14ac:dyDescent="0.2">
      <c r="B4359" s="167">
        <v>41992</v>
      </c>
      <c r="C4359" s="28">
        <v>244.5</v>
      </c>
      <c r="D4359" s="83">
        <f t="shared" si="138"/>
        <v>1.9486251808972501</v>
      </c>
      <c r="E4359" s="83">
        <v>-1.6136171582632454E-2</v>
      </c>
      <c r="F4359" s="83">
        <v>4351</v>
      </c>
      <c r="G4359" s="83">
        <f t="shared" ca="1" si="139"/>
        <v>7.8935424224108441E-3</v>
      </c>
    </row>
    <row r="4360" spans="2:7" x14ac:dyDescent="0.2">
      <c r="B4360" s="167">
        <v>40207</v>
      </c>
      <c r="C4360" s="28">
        <v>82.92</v>
      </c>
      <c r="D4360" s="83">
        <f t="shared" si="138"/>
        <v>-0.68493046584086936</v>
      </c>
      <c r="E4360" s="83">
        <v>-1.6136687233032743E-2</v>
      </c>
      <c r="F4360" s="83">
        <v>4352</v>
      </c>
      <c r="G4360" s="83">
        <f t="shared" ca="1" si="139"/>
        <v>-1.9948326752278575E-2</v>
      </c>
    </row>
    <row r="4361" spans="2:7" x14ac:dyDescent="0.2">
      <c r="B4361" s="167">
        <v>44663</v>
      </c>
      <c r="C4361" s="28">
        <v>263.18</v>
      </c>
      <c r="D4361" s="83">
        <f t="shared" ref="D4361:D4424" si="140">(C4361-C4362)/C4362</f>
        <v>0.29485854858548588</v>
      </c>
      <c r="E4361" s="83">
        <v>-1.614953271028035E-2</v>
      </c>
      <c r="F4361" s="83">
        <v>4353</v>
      </c>
      <c r="G4361" s="83">
        <f t="shared" ref="G4361:G4424" ca="1" si="141">_xlfn.NORM.INV(RAND(),$M$10,$M$11)</f>
        <v>-5.099450119527935E-5</v>
      </c>
    </row>
    <row r="4362" spans="2:7" x14ac:dyDescent="0.2">
      <c r="B4362" s="167">
        <v>44225</v>
      </c>
      <c r="C4362" s="28">
        <v>203.25</v>
      </c>
      <c r="D4362" s="83">
        <f t="shared" si="140"/>
        <v>-7.6652670637632715E-3</v>
      </c>
      <c r="E4362" s="83">
        <v>-1.6214908034849925E-2</v>
      </c>
      <c r="F4362" s="83">
        <v>4354</v>
      </c>
      <c r="G4362" s="83">
        <f t="shared" ca="1" si="141"/>
        <v>3.075232024466476E-2</v>
      </c>
    </row>
    <row r="4363" spans="2:7" x14ac:dyDescent="0.2">
      <c r="B4363" s="167">
        <v>42389</v>
      </c>
      <c r="C4363" s="28">
        <v>204.82</v>
      </c>
      <c r="D4363" s="83">
        <f t="shared" si="140"/>
        <v>2.5289455547898001</v>
      </c>
      <c r="E4363" s="83">
        <v>-1.6234390009606126E-2</v>
      </c>
      <c r="F4363" s="83">
        <v>4355</v>
      </c>
      <c r="G4363" s="83">
        <f t="shared" ca="1" si="141"/>
        <v>-8.7929362001660412E-3</v>
      </c>
    </row>
    <row r="4364" spans="2:7" x14ac:dyDescent="0.2">
      <c r="B4364" s="167">
        <v>38789</v>
      </c>
      <c r="C4364" s="28">
        <v>58.04</v>
      </c>
      <c r="D4364" s="83">
        <f t="shared" si="140"/>
        <v>7.8810408921933126E-2</v>
      </c>
      <c r="E4364" s="83">
        <v>-1.627118644067798E-2</v>
      </c>
      <c r="F4364" s="83">
        <v>4356</v>
      </c>
      <c r="G4364" s="83">
        <f t="shared" ca="1" si="141"/>
        <v>1.2189253104808648E-2</v>
      </c>
    </row>
    <row r="4365" spans="2:7" x14ac:dyDescent="0.2">
      <c r="B4365" s="167">
        <v>39232</v>
      </c>
      <c r="C4365" s="28">
        <v>53.8</v>
      </c>
      <c r="D4365" s="83">
        <f t="shared" si="140"/>
        <v>0.17262423714036604</v>
      </c>
      <c r="E4365" s="83">
        <v>-1.6273541780947167E-2</v>
      </c>
      <c r="F4365" s="83">
        <v>4357</v>
      </c>
      <c r="G4365" s="83">
        <f t="shared" ca="1" si="141"/>
        <v>-1.616356964208128E-2</v>
      </c>
    </row>
    <row r="4366" spans="2:7" x14ac:dyDescent="0.2">
      <c r="B4366" s="167">
        <v>38624</v>
      </c>
      <c r="C4366" s="28">
        <v>45.88</v>
      </c>
      <c r="D4366" s="83">
        <f t="shared" si="140"/>
        <v>-0.80249677141627207</v>
      </c>
      <c r="E4366" s="83">
        <v>-1.6295025728987951E-2</v>
      </c>
      <c r="F4366" s="83">
        <v>4358</v>
      </c>
      <c r="G4366" s="83">
        <f t="shared" ca="1" si="141"/>
        <v>-8.1997948379531841E-3</v>
      </c>
    </row>
    <row r="4367" spans="2:7" x14ac:dyDescent="0.2">
      <c r="B4367" s="167">
        <v>42716</v>
      </c>
      <c r="C4367" s="28">
        <v>232.3</v>
      </c>
      <c r="D4367" s="83">
        <f t="shared" si="140"/>
        <v>4.2799706022221655E-3</v>
      </c>
      <c r="E4367" s="83">
        <v>-1.6303197120474251E-2</v>
      </c>
      <c r="F4367" s="83">
        <v>4359</v>
      </c>
      <c r="G4367" s="83">
        <f t="shared" ca="1" si="141"/>
        <v>-3.756103808655183E-3</v>
      </c>
    </row>
    <row r="4368" spans="2:7" x14ac:dyDescent="0.2">
      <c r="B4368" s="167">
        <v>41885</v>
      </c>
      <c r="C4368" s="28">
        <v>231.31</v>
      </c>
      <c r="D4368" s="83">
        <f t="shared" si="140"/>
        <v>0.77835011916660268</v>
      </c>
      <c r="E4368" s="83">
        <v>-1.6330002126302375E-2</v>
      </c>
      <c r="F4368" s="83">
        <v>4360</v>
      </c>
      <c r="G4368" s="83">
        <f t="shared" ca="1" si="141"/>
        <v>-1.618107107591615E-2</v>
      </c>
    </row>
    <row r="4369" spans="2:7" x14ac:dyDescent="0.2">
      <c r="B4369" s="167">
        <v>40869</v>
      </c>
      <c r="C4369" s="28">
        <v>130.07</v>
      </c>
      <c r="D4369" s="83">
        <f t="shared" si="140"/>
        <v>2.3854763144195728</v>
      </c>
      <c r="E4369" s="83">
        <v>-1.6335173561219062E-2</v>
      </c>
      <c r="F4369" s="83">
        <v>4361</v>
      </c>
      <c r="G4369" s="83">
        <f t="shared" ca="1" si="141"/>
        <v>-2.8649025612866641E-2</v>
      </c>
    </row>
    <row r="4370" spans="2:7" x14ac:dyDescent="0.2">
      <c r="B4370" s="167">
        <v>38551</v>
      </c>
      <c r="C4370" s="28">
        <v>38.42</v>
      </c>
      <c r="D4370" s="83">
        <f t="shared" si="140"/>
        <v>-0.76722205392305365</v>
      </c>
      <c r="E4370" s="83">
        <v>-1.6385048643113173E-2</v>
      </c>
      <c r="F4370" s="83">
        <v>4362</v>
      </c>
      <c r="G4370" s="83">
        <f t="shared" ca="1" si="141"/>
        <v>-2.375562211174826E-2</v>
      </c>
    </row>
    <row r="4371" spans="2:7" x14ac:dyDescent="0.2">
      <c r="B4371" s="167">
        <v>44119</v>
      </c>
      <c r="C4371" s="28">
        <v>165.05</v>
      </c>
      <c r="D4371" s="83">
        <f t="shared" si="140"/>
        <v>-0.28472372697724807</v>
      </c>
      <c r="E4371" s="83">
        <v>-1.6388557806912989E-2</v>
      </c>
      <c r="F4371" s="83">
        <v>4363</v>
      </c>
      <c r="G4371" s="83">
        <f t="shared" ca="1" si="141"/>
        <v>-2.042793153257141E-2</v>
      </c>
    </row>
    <row r="4372" spans="2:7" x14ac:dyDescent="0.2">
      <c r="B4372" s="167">
        <v>43858</v>
      </c>
      <c r="C4372" s="28">
        <v>230.75</v>
      </c>
      <c r="D4372" s="83">
        <f t="shared" si="140"/>
        <v>-4.9237742068397157E-2</v>
      </c>
      <c r="E4372" s="83">
        <v>-1.6410912190963318E-2</v>
      </c>
      <c r="F4372" s="83">
        <v>4364</v>
      </c>
      <c r="G4372" s="83">
        <f t="shared" ca="1" si="141"/>
        <v>2.7145281572118308E-2</v>
      </c>
    </row>
    <row r="4373" spans="2:7" x14ac:dyDescent="0.2">
      <c r="B4373" s="167">
        <v>42741</v>
      </c>
      <c r="C4373" s="28">
        <v>242.7</v>
      </c>
      <c r="D4373" s="83">
        <f t="shared" si="140"/>
        <v>-0.3855696202531646</v>
      </c>
      <c r="E4373" s="83">
        <v>-1.6413373860182417E-2</v>
      </c>
      <c r="F4373" s="83">
        <v>4365</v>
      </c>
      <c r="G4373" s="83">
        <f t="shared" ca="1" si="141"/>
        <v>-8.2398657140129242E-3</v>
      </c>
    </row>
    <row r="4374" spans="2:7" x14ac:dyDescent="0.2">
      <c r="B4374" s="167">
        <v>45716</v>
      </c>
      <c r="C4374" s="28">
        <v>395</v>
      </c>
      <c r="D4374" s="83">
        <f t="shared" si="140"/>
        <v>2.1607585820596942</v>
      </c>
      <c r="E4374" s="83">
        <v>-1.6434262948207226E-2</v>
      </c>
      <c r="F4374" s="83">
        <v>4366</v>
      </c>
      <c r="G4374" s="83">
        <f t="shared" ca="1" si="141"/>
        <v>-2.0993408589243074E-3</v>
      </c>
    </row>
    <row r="4375" spans="2:7" x14ac:dyDescent="0.2">
      <c r="B4375" s="167">
        <v>40812</v>
      </c>
      <c r="C4375" s="28">
        <v>124.97</v>
      </c>
      <c r="D4375" s="83">
        <f t="shared" si="140"/>
        <v>-0.36643852978453739</v>
      </c>
      <c r="E4375" s="83">
        <v>-1.6448921769242904E-2</v>
      </c>
      <c r="F4375" s="83">
        <v>4367</v>
      </c>
      <c r="G4375" s="83">
        <f t="shared" ca="1" si="141"/>
        <v>-1.797162086260214E-2</v>
      </c>
    </row>
    <row r="4376" spans="2:7" x14ac:dyDescent="0.2">
      <c r="B4376" s="167">
        <v>43984</v>
      </c>
      <c r="C4376" s="28">
        <v>197.25</v>
      </c>
      <c r="D4376" s="83">
        <f t="shared" si="140"/>
        <v>-0.16454891994917406</v>
      </c>
      <c r="E4376" s="83">
        <v>-1.6454749439042689E-2</v>
      </c>
      <c r="F4376" s="83">
        <v>4368</v>
      </c>
      <c r="G4376" s="83">
        <f t="shared" ca="1" si="141"/>
        <v>4.7091195436493741E-3</v>
      </c>
    </row>
    <row r="4377" spans="2:7" x14ac:dyDescent="0.2">
      <c r="B4377" s="167">
        <v>43700</v>
      </c>
      <c r="C4377" s="28">
        <v>236.1</v>
      </c>
      <c r="D4377" s="83">
        <f t="shared" si="140"/>
        <v>-0.41117789360800067</v>
      </c>
      <c r="E4377" s="83">
        <v>-1.6454905228077556E-2</v>
      </c>
      <c r="F4377" s="83">
        <v>4369</v>
      </c>
      <c r="G4377" s="83">
        <f t="shared" ca="1" si="141"/>
        <v>-8.3501328170142476E-3</v>
      </c>
    </row>
    <row r="4378" spans="2:7" x14ac:dyDescent="0.2">
      <c r="B4378" s="167">
        <v>45442</v>
      </c>
      <c r="C4378" s="28">
        <v>400.97</v>
      </c>
      <c r="D4378" s="83">
        <f t="shared" si="140"/>
        <v>2.7519416113034527</v>
      </c>
      <c r="E4378" s="83">
        <v>-1.6458987441130248E-2</v>
      </c>
      <c r="F4378" s="83">
        <v>4370</v>
      </c>
      <c r="G4378" s="83">
        <f t="shared" ca="1" si="141"/>
        <v>1.3811392826421787E-2</v>
      </c>
    </row>
    <row r="4379" spans="2:7" x14ac:dyDescent="0.2">
      <c r="B4379" s="167">
        <v>40417</v>
      </c>
      <c r="C4379" s="28">
        <v>106.87</v>
      </c>
      <c r="D4379" s="83">
        <f t="shared" si="140"/>
        <v>0.6888432364096081</v>
      </c>
      <c r="E4379" s="83">
        <v>-1.6473403276274546E-2</v>
      </c>
      <c r="F4379" s="83">
        <v>4371</v>
      </c>
      <c r="G4379" s="83">
        <f t="shared" ca="1" si="141"/>
        <v>-2.2044819876945052E-2</v>
      </c>
    </row>
    <row r="4380" spans="2:7" x14ac:dyDescent="0.2">
      <c r="B4380" s="167">
        <v>39346</v>
      </c>
      <c r="C4380" s="28">
        <v>63.28</v>
      </c>
      <c r="D4380" s="83">
        <f t="shared" si="140"/>
        <v>-0.73784074902643138</v>
      </c>
      <c r="E4380" s="83">
        <v>-1.6474976686353782E-2</v>
      </c>
      <c r="F4380" s="83">
        <v>4372</v>
      </c>
      <c r="G4380" s="83">
        <f t="shared" ca="1" si="141"/>
        <v>1.6104096718087921E-2</v>
      </c>
    </row>
    <row r="4381" spans="2:7" x14ac:dyDescent="0.2">
      <c r="B4381" s="167">
        <v>41913</v>
      </c>
      <c r="C4381" s="28">
        <v>241.38</v>
      </c>
      <c r="D4381" s="83">
        <f t="shared" si="140"/>
        <v>0.10350187437139977</v>
      </c>
      <c r="E4381" s="83">
        <v>-1.6501650165016549E-2</v>
      </c>
      <c r="F4381" s="83">
        <v>4373</v>
      </c>
      <c r="G4381" s="83">
        <f t="shared" ca="1" si="141"/>
        <v>2.4459600977956488E-2</v>
      </c>
    </row>
    <row r="4382" spans="2:7" x14ac:dyDescent="0.2">
      <c r="B4382" s="167">
        <v>42481</v>
      </c>
      <c r="C4382" s="28">
        <v>218.74</v>
      </c>
      <c r="D4382" s="83">
        <f t="shared" si="140"/>
        <v>-0.44796083181909951</v>
      </c>
      <c r="E4382" s="83">
        <v>-1.6545274705511998E-2</v>
      </c>
      <c r="F4382" s="83">
        <v>4374</v>
      </c>
      <c r="G4382" s="83">
        <f t="shared" ca="1" si="141"/>
        <v>-5.907088509787729E-3</v>
      </c>
    </row>
    <row r="4383" spans="2:7" x14ac:dyDescent="0.2">
      <c r="B4383" s="167">
        <v>45400</v>
      </c>
      <c r="C4383" s="28">
        <v>396.24</v>
      </c>
      <c r="D4383" s="83">
        <f t="shared" si="140"/>
        <v>4.30228823765556</v>
      </c>
      <c r="E4383" s="83">
        <v>-1.6554565535727619E-2</v>
      </c>
      <c r="F4383" s="83">
        <v>4375</v>
      </c>
      <c r="G4383" s="83">
        <f t="shared" ca="1" si="141"/>
        <v>-2.4615262734528458E-3</v>
      </c>
    </row>
    <row r="4384" spans="2:7" x14ac:dyDescent="0.2">
      <c r="B4384" s="167">
        <v>40014</v>
      </c>
      <c r="C4384" s="28">
        <v>74.73</v>
      </c>
      <c r="D4384" s="83">
        <f t="shared" si="140"/>
        <v>0.21236210253082419</v>
      </c>
      <c r="E4384" s="83">
        <v>-1.6581129095933556E-2</v>
      </c>
      <c r="F4384" s="83">
        <v>4376</v>
      </c>
      <c r="G4384" s="83">
        <f t="shared" ca="1" si="141"/>
        <v>1.5467933101830075E-2</v>
      </c>
    </row>
    <row r="4385" spans="2:7" x14ac:dyDescent="0.2">
      <c r="B4385" s="167">
        <v>38967</v>
      </c>
      <c r="C4385" s="28">
        <v>61.64</v>
      </c>
      <c r="D4385" s="83">
        <f t="shared" si="140"/>
        <v>-0.79582643259357411</v>
      </c>
      <c r="E4385" s="83">
        <v>-1.6592214422463291E-2</v>
      </c>
      <c r="F4385" s="83">
        <v>4377</v>
      </c>
      <c r="G4385" s="83">
        <f t="shared" ca="1" si="141"/>
        <v>-4.0654445964036931E-2</v>
      </c>
    </row>
    <row r="4386" spans="2:7" x14ac:dyDescent="0.2">
      <c r="B4386" s="167">
        <v>43592</v>
      </c>
      <c r="C4386" s="28">
        <v>301.89999999999998</v>
      </c>
      <c r="D4386" s="83">
        <f t="shared" si="140"/>
        <v>4.0722446236559131</v>
      </c>
      <c r="E4386" s="83">
        <v>-1.6612377850162941E-2</v>
      </c>
      <c r="F4386" s="83">
        <v>4378</v>
      </c>
      <c r="G4386" s="83">
        <f t="shared" ca="1" si="141"/>
        <v>2.0509391002756193E-2</v>
      </c>
    </row>
    <row r="4387" spans="2:7" x14ac:dyDescent="0.2">
      <c r="B4387" s="167">
        <v>39385</v>
      </c>
      <c r="C4387" s="28">
        <v>59.52</v>
      </c>
      <c r="D4387" s="83">
        <f t="shared" si="140"/>
        <v>-0.75359138894638789</v>
      </c>
      <c r="E4387" s="83">
        <v>-1.6685940855773962E-2</v>
      </c>
      <c r="F4387" s="83">
        <v>4379</v>
      </c>
      <c r="G4387" s="83">
        <f t="shared" ca="1" si="141"/>
        <v>2.9931018548816166E-3</v>
      </c>
    </row>
    <row r="4388" spans="2:7" x14ac:dyDescent="0.2">
      <c r="B4388" s="167">
        <v>43711</v>
      </c>
      <c r="C4388" s="28">
        <v>241.55</v>
      </c>
      <c r="D4388" s="83">
        <f t="shared" si="140"/>
        <v>1.3000629062696677E-2</v>
      </c>
      <c r="E4388" s="83">
        <v>-1.6690413189497228E-2</v>
      </c>
      <c r="F4388" s="83">
        <v>4380</v>
      </c>
      <c r="G4388" s="83">
        <f t="shared" ca="1" si="141"/>
        <v>6.3608603137445211E-3</v>
      </c>
    </row>
    <row r="4389" spans="2:7" x14ac:dyDescent="0.2">
      <c r="B4389" s="167">
        <v>44463</v>
      </c>
      <c r="C4389" s="28">
        <v>238.45</v>
      </c>
      <c r="D4389" s="83">
        <f t="shared" si="140"/>
        <v>0.10245503721854916</v>
      </c>
      <c r="E4389" s="83">
        <v>-1.6701030927835099E-2</v>
      </c>
      <c r="F4389" s="83">
        <v>4381</v>
      </c>
      <c r="G4389" s="83">
        <f t="shared" ca="1" si="141"/>
        <v>7.5909548539142384E-3</v>
      </c>
    </row>
    <row r="4390" spans="2:7" x14ac:dyDescent="0.2">
      <c r="B4390" s="167">
        <v>42222</v>
      </c>
      <c r="C4390" s="28">
        <v>216.29</v>
      </c>
      <c r="D4390" s="83">
        <f t="shared" si="140"/>
        <v>-0.48431166849458779</v>
      </c>
      <c r="E4390" s="83">
        <v>-1.6729554030095045E-2</v>
      </c>
      <c r="F4390" s="83">
        <v>4382</v>
      </c>
      <c r="G4390" s="83">
        <f t="shared" ca="1" si="141"/>
        <v>-8.1076915778877465E-3</v>
      </c>
    </row>
    <row r="4391" spans="2:7" x14ac:dyDescent="0.2">
      <c r="B4391" s="167">
        <v>45163</v>
      </c>
      <c r="C4391" s="28">
        <v>419.42</v>
      </c>
      <c r="D4391" s="83">
        <f t="shared" si="140"/>
        <v>5.8723578567917416</v>
      </c>
      <c r="E4391" s="83">
        <v>-1.6738559639909945E-2</v>
      </c>
      <c r="F4391" s="83">
        <v>4383</v>
      </c>
      <c r="G4391" s="83">
        <f t="shared" ca="1" si="141"/>
        <v>3.3715432236913439E-3</v>
      </c>
    </row>
    <row r="4392" spans="2:7" x14ac:dyDescent="0.2">
      <c r="B4392" s="167">
        <v>38979</v>
      </c>
      <c r="C4392" s="28">
        <v>61.03</v>
      </c>
      <c r="D4392" s="83">
        <f t="shared" si="140"/>
        <v>-0.79791390728476819</v>
      </c>
      <c r="E4392" s="83">
        <v>-1.6755276300950524E-2</v>
      </c>
      <c r="F4392" s="83">
        <v>4384</v>
      </c>
      <c r="G4392" s="83">
        <f t="shared" ca="1" si="141"/>
        <v>8.9435587955372566E-3</v>
      </c>
    </row>
    <row r="4393" spans="2:7" x14ac:dyDescent="0.2">
      <c r="B4393" s="167">
        <v>43360</v>
      </c>
      <c r="C4393" s="28">
        <v>302</v>
      </c>
      <c r="D4393" s="83">
        <f t="shared" si="140"/>
        <v>0.35913591359135921</v>
      </c>
      <c r="E4393" s="83">
        <v>-1.6767051929024834E-2</v>
      </c>
      <c r="F4393" s="83">
        <v>4385</v>
      </c>
      <c r="G4393" s="83">
        <f t="shared" ca="1" si="141"/>
        <v>4.6039889607726028E-3</v>
      </c>
    </row>
    <row r="4394" spans="2:7" x14ac:dyDescent="0.2">
      <c r="B4394" s="167">
        <v>44278</v>
      </c>
      <c r="C4394" s="28">
        <v>222.2</v>
      </c>
      <c r="D4394" s="83">
        <f t="shared" si="140"/>
        <v>-0.13624878522837711</v>
      </c>
      <c r="E4394" s="83">
        <v>-1.681415929203545E-2</v>
      </c>
      <c r="F4394" s="83">
        <v>4386</v>
      </c>
      <c r="G4394" s="83">
        <f t="shared" ca="1" si="141"/>
        <v>2.2204816391273564E-2</v>
      </c>
    </row>
    <row r="4395" spans="2:7" x14ac:dyDescent="0.2">
      <c r="B4395" s="167">
        <v>43742</v>
      </c>
      <c r="C4395" s="28">
        <v>257.25</v>
      </c>
      <c r="D4395" s="83">
        <f t="shared" si="140"/>
        <v>3.2746759720837488</v>
      </c>
      <c r="E4395" s="83">
        <v>-1.681635772979162E-2</v>
      </c>
      <c r="F4395" s="83">
        <v>4387</v>
      </c>
      <c r="G4395" s="83">
        <f t="shared" ca="1" si="141"/>
        <v>1.7047429154467737E-2</v>
      </c>
    </row>
    <row r="4396" spans="2:7" x14ac:dyDescent="0.2">
      <c r="B4396" s="167">
        <v>38904</v>
      </c>
      <c r="C4396" s="28">
        <v>60.18</v>
      </c>
      <c r="D4396" s="83">
        <f t="shared" si="140"/>
        <v>-0.73570487483530955</v>
      </c>
      <c r="E4396" s="83">
        <v>-1.6827315798072229E-2</v>
      </c>
      <c r="F4396" s="83">
        <v>4388</v>
      </c>
      <c r="G4396" s="83">
        <f t="shared" ca="1" si="141"/>
        <v>-4.1394394728822542E-3</v>
      </c>
    </row>
    <row r="4397" spans="2:7" x14ac:dyDescent="0.2">
      <c r="B4397" s="167">
        <v>44524</v>
      </c>
      <c r="C4397" s="28">
        <v>227.7</v>
      </c>
      <c r="D4397" s="83">
        <f t="shared" si="140"/>
        <v>2.6449495757963821</v>
      </c>
      <c r="E4397" s="83">
        <v>-1.6839378238341994E-2</v>
      </c>
      <c r="F4397" s="83">
        <v>4389</v>
      </c>
      <c r="G4397" s="83">
        <f t="shared" ca="1" si="141"/>
        <v>-1.0036809087157861E-3</v>
      </c>
    </row>
    <row r="4398" spans="2:7" x14ac:dyDescent="0.2">
      <c r="B4398" s="167">
        <v>39920</v>
      </c>
      <c r="C4398" s="28">
        <v>62.47</v>
      </c>
      <c r="D4398" s="83">
        <f t="shared" si="140"/>
        <v>-0.71815926009474396</v>
      </c>
      <c r="E4398" s="83">
        <v>-1.6839785961598998E-2</v>
      </c>
      <c r="F4398" s="83">
        <v>4390</v>
      </c>
      <c r="G4398" s="83">
        <f t="shared" ca="1" si="141"/>
        <v>4.2882515824228043E-2</v>
      </c>
    </row>
    <row r="4399" spans="2:7" x14ac:dyDescent="0.2">
      <c r="B4399" s="167">
        <v>44533</v>
      </c>
      <c r="C4399" s="28">
        <v>221.65</v>
      </c>
      <c r="D4399" s="83">
        <f t="shared" si="140"/>
        <v>-0.49780224759833241</v>
      </c>
      <c r="E4399" s="83">
        <v>-1.6855178531825162E-2</v>
      </c>
      <c r="F4399" s="83">
        <v>4391</v>
      </c>
      <c r="G4399" s="83">
        <f t="shared" ca="1" si="141"/>
        <v>1.9179693195345675E-2</v>
      </c>
    </row>
    <row r="4400" spans="2:7" x14ac:dyDescent="0.2">
      <c r="B4400" s="167">
        <v>45495</v>
      </c>
      <c r="C4400" s="28">
        <v>441.36</v>
      </c>
      <c r="D4400" s="83">
        <f t="shared" si="140"/>
        <v>5.5933671945025401</v>
      </c>
      <c r="E4400" s="83">
        <v>-1.6862317065021257E-2</v>
      </c>
      <c r="F4400" s="83">
        <v>4392</v>
      </c>
      <c r="G4400" s="83">
        <f t="shared" ca="1" si="141"/>
        <v>1.5956924968393672E-2</v>
      </c>
    </row>
    <row r="4401" spans="2:7" x14ac:dyDescent="0.2">
      <c r="B4401" s="167">
        <v>39498</v>
      </c>
      <c r="C4401" s="28">
        <v>66.94</v>
      </c>
      <c r="D4401" s="83">
        <f t="shared" si="140"/>
        <v>0.47509916262670765</v>
      </c>
      <c r="E4401" s="83">
        <v>-1.6889411073579171E-2</v>
      </c>
      <c r="F4401" s="83">
        <v>4393</v>
      </c>
      <c r="G4401" s="83">
        <f t="shared" ca="1" si="141"/>
        <v>-8.6925713580801936E-3</v>
      </c>
    </row>
    <row r="4402" spans="2:7" x14ac:dyDescent="0.2">
      <c r="B4402" s="167">
        <v>38685</v>
      </c>
      <c r="C4402" s="28">
        <v>45.38</v>
      </c>
      <c r="D4402" s="83">
        <f t="shared" si="140"/>
        <v>-0.79173932996787522</v>
      </c>
      <c r="E4402" s="83">
        <v>-1.6897746967070928E-2</v>
      </c>
      <c r="F4402" s="83">
        <v>4394</v>
      </c>
      <c r="G4402" s="83">
        <f t="shared" ca="1" si="141"/>
        <v>5.3531909090557212E-3</v>
      </c>
    </row>
    <row r="4403" spans="2:7" x14ac:dyDescent="0.2">
      <c r="B4403" s="167">
        <v>44536</v>
      </c>
      <c r="C4403" s="28">
        <v>217.9</v>
      </c>
      <c r="D4403" s="83">
        <f t="shared" si="140"/>
        <v>3.0820532034469839</v>
      </c>
      <c r="E4403" s="83">
        <v>-1.6918565305662079E-2</v>
      </c>
      <c r="F4403" s="83">
        <v>4395</v>
      </c>
      <c r="G4403" s="83">
        <f t="shared" ca="1" si="141"/>
        <v>2.4125383247965749E-2</v>
      </c>
    </row>
    <row r="4404" spans="2:7" x14ac:dyDescent="0.2">
      <c r="B4404" s="167">
        <v>39234</v>
      </c>
      <c r="C4404" s="28">
        <v>53.38</v>
      </c>
      <c r="D4404" s="83">
        <f t="shared" si="140"/>
        <v>-0.61455700772618971</v>
      </c>
      <c r="E4404" s="83">
        <v>-1.6942909760589219E-2</v>
      </c>
      <c r="F4404" s="83">
        <v>4396</v>
      </c>
      <c r="G4404" s="83">
        <f t="shared" ca="1" si="141"/>
        <v>2.5644486568259683E-4</v>
      </c>
    </row>
    <row r="4405" spans="2:7" x14ac:dyDescent="0.2">
      <c r="B4405" s="167">
        <v>40983</v>
      </c>
      <c r="C4405" s="28">
        <v>138.49</v>
      </c>
      <c r="D4405" s="83">
        <f t="shared" si="140"/>
        <v>1.322488680194533</v>
      </c>
      <c r="E4405" s="83">
        <v>-1.6964792731402514E-2</v>
      </c>
      <c r="F4405" s="83">
        <v>4397</v>
      </c>
      <c r="G4405" s="83">
        <f t="shared" ca="1" si="141"/>
        <v>-4.0366175374319246E-3</v>
      </c>
    </row>
    <row r="4406" spans="2:7" x14ac:dyDescent="0.2">
      <c r="B4406" s="167">
        <v>39631</v>
      </c>
      <c r="C4406" s="28">
        <v>59.63</v>
      </c>
      <c r="D4406" s="83">
        <f t="shared" si="140"/>
        <v>-0.71715207285836258</v>
      </c>
      <c r="E4406" s="83">
        <v>-1.6979887899769109E-2</v>
      </c>
      <c r="F4406" s="83">
        <v>4398</v>
      </c>
      <c r="G4406" s="83">
        <f t="shared" ca="1" si="141"/>
        <v>1.0302002655698958E-2</v>
      </c>
    </row>
    <row r="4407" spans="2:7" x14ac:dyDescent="0.2">
      <c r="B4407" s="167">
        <v>42501</v>
      </c>
      <c r="C4407" s="28">
        <v>210.82</v>
      </c>
      <c r="D4407" s="83">
        <f t="shared" si="140"/>
        <v>9.0354279803465221E-2</v>
      </c>
      <c r="E4407" s="83">
        <v>-1.7018697253695182E-2</v>
      </c>
      <c r="F4407" s="83">
        <v>4399</v>
      </c>
      <c r="G4407" s="83">
        <f t="shared" ca="1" si="141"/>
        <v>6.2803181414061333E-3</v>
      </c>
    </row>
    <row r="4408" spans="2:7" x14ac:dyDescent="0.2">
      <c r="B4408" s="167">
        <v>44042</v>
      </c>
      <c r="C4408" s="28">
        <v>193.35</v>
      </c>
      <c r="D4408" s="83">
        <f t="shared" si="140"/>
        <v>-0.26672481796116509</v>
      </c>
      <c r="E4408" s="83">
        <v>-1.7031011692933373E-2</v>
      </c>
      <c r="F4408" s="83">
        <v>4400</v>
      </c>
      <c r="G4408" s="83">
        <f t="shared" ca="1" si="141"/>
        <v>7.6469715082764494E-3</v>
      </c>
    </row>
    <row r="4409" spans="2:7" x14ac:dyDescent="0.2">
      <c r="B4409" s="167">
        <v>44734</v>
      </c>
      <c r="C4409" s="28">
        <v>263.68</v>
      </c>
      <c r="D4409" s="83">
        <f t="shared" si="140"/>
        <v>1.5535541351927176</v>
      </c>
      <c r="E4409" s="83">
        <v>-1.7036346691519079E-2</v>
      </c>
      <c r="F4409" s="83">
        <v>4401</v>
      </c>
      <c r="G4409" s="83">
        <f t="shared" ca="1" si="141"/>
        <v>-3.1883854256541774E-3</v>
      </c>
    </row>
    <row r="4410" spans="2:7" x14ac:dyDescent="0.2">
      <c r="B4410" s="167">
        <v>40592</v>
      </c>
      <c r="C4410" s="28">
        <v>103.26</v>
      </c>
      <c r="D4410" s="83">
        <f t="shared" si="140"/>
        <v>-0.16685492980474417</v>
      </c>
      <c r="E4410" s="83">
        <v>-1.7039504997620105E-2</v>
      </c>
      <c r="F4410" s="83">
        <v>4402</v>
      </c>
      <c r="G4410" s="83">
        <f t="shared" ca="1" si="141"/>
        <v>-7.9273685700183647E-3</v>
      </c>
    </row>
    <row r="4411" spans="2:7" x14ac:dyDescent="0.2">
      <c r="B4411" s="167">
        <v>40687</v>
      </c>
      <c r="C4411" s="28">
        <v>123.94</v>
      </c>
      <c r="D4411" s="83">
        <f t="shared" si="140"/>
        <v>0.99260450160771696</v>
      </c>
      <c r="E4411" s="83">
        <v>-1.7051312554524592E-2</v>
      </c>
      <c r="F4411" s="83">
        <v>4403</v>
      </c>
      <c r="G4411" s="83">
        <f t="shared" ca="1" si="141"/>
        <v>-1.405334444034248E-2</v>
      </c>
    </row>
    <row r="4412" spans="2:7" x14ac:dyDescent="0.2">
      <c r="B4412" s="167">
        <v>39349</v>
      </c>
      <c r="C4412" s="28">
        <v>62.2</v>
      </c>
      <c r="D4412" s="83">
        <f t="shared" si="140"/>
        <v>-0.73651882916084221</v>
      </c>
      <c r="E4412" s="83">
        <v>-1.7067003792667481E-2</v>
      </c>
      <c r="F4412" s="83">
        <v>4404</v>
      </c>
      <c r="G4412" s="83">
        <f t="shared" ca="1" si="141"/>
        <v>6.396517076271987E-3</v>
      </c>
    </row>
    <row r="4413" spans="2:7" x14ac:dyDescent="0.2">
      <c r="B4413" s="167">
        <v>42545</v>
      </c>
      <c r="C4413" s="28">
        <v>236.07</v>
      </c>
      <c r="D4413" s="83">
        <f t="shared" si="140"/>
        <v>0.49175355450236963</v>
      </c>
      <c r="E4413" s="83">
        <v>-1.707124120414704E-2</v>
      </c>
      <c r="F4413" s="83">
        <v>4405</v>
      </c>
      <c r="G4413" s="83">
        <f t="shared" ca="1" si="141"/>
        <v>2.6989359963178205E-2</v>
      </c>
    </row>
    <row r="4414" spans="2:7" x14ac:dyDescent="0.2">
      <c r="B4414" s="167">
        <v>43959</v>
      </c>
      <c r="C4414" s="28">
        <v>158.25</v>
      </c>
      <c r="D4414" s="83">
        <f t="shared" si="140"/>
        <v>1.6699848152522352</v>
      </c>
      <c r="E4414" s="83">
        <v>-1.7080745341614908E-2</v>
      </c>
      <c r="F4414" s="83">
        <v>4406</v>
      </c>
      <c r="G4414" s="83">
        <f t="shared" ca="1" si="141"/>
        <v>-3.0135581402239462E-2</v>
      </c>
    </row>
    <row r="4415" spans="2:7" x14ac:dyDescent="0.2">
      <c r="B4415" s="167">
        <v>38952</v>
      </c>
      <c r="C4415" s="28">
        <v>59.27</v>
      </c>
      <c r="D4415" s="83">
        <f t="shared" si="140"/>
        <v>-0.7848638838475499</v>
      </c>
      <c r="E4415" s="83">
        <v>-1.7081260364842355E-2</v>
      </c>
      <c r="F4415" s="83">
        <v>4407</v>
      </c>
      <c r="G4415" s="83">
        <f t="shared" ca="1" si="141"/>
        <v>-8.1422179817546986E-3</v>
      </c>
    </row>
    <row r="4416" spans="2:7" x14ac:dyDescent="0.2">
      <c r="B4416" s="167">
        <v>43504</v>
      </c>
      <c r="C4416" s="28">
        <v>275.5</v>
      </c>
      <c r="D4416" s="83">
        <f t="shared" si="140"/>
        <v>-3.3807953987514856E-2</v>
      </c>
      <c r="E4416" s="83">
        <v>-1.7124509454156302E-2</v>
      </c>
      <c r="F4416" s="83">
        <v>4408</v>
      </c>
      <c r="G4416" s="83">
        <f t="shared" ca="1" si="141"/>
        <v>1.5819367031795013E-3</v>
      </c>
    </row>
    <row r="4417" spans="2:7" x14ac:dyDescent="0.2">
      <c r="B4417" s="167">
        <v>44747</v>
      </c>
      <c r="C4417" s="28">
        <v>285.14</v>
      </c>
      <c r="D4417" s="83">
        <f t="shared" si="140"/>
        <v>0.29168742921857299</v>
      </c>
      <c r="E4417" s="83">
        <v>-1.7131432904760355E-2</v>
      </c>
      <c r="F4417" s="83">
        <v>4409</v>
      </c>
      <c r="G4417" s="83">
        <f t="shared" ca="1" si="141"/>
        <v>-8.3809477768418128E-3</v>
      </c>
    </row>
    <row r="4418" spans="2:7" x14ac:dyDescent="0.2">
      <c r="B4418" s="167">
        <v>44579</v>
      </c>
      <c r="C4418" s="28">
        <v>220.75</v>
      </c>
      <c r="D4418" s="83">
        <f t="shared" si="140"/>
        <v>-0.48787843637629047</v>
      </c>
      <c r="E4418" s="83">
        <v>-1.7141585040071215E-2</v>
      </c>
      <c r="F4418" s="83">
        <v>4410</v>
      </c>
      <c r="G4418" s="83">
        <f t="shared" ca="1" si="141"/>
        <v>-6.1910464255019353E-3</v>
      </c>
    </row>
    <row r="4419" spans="2:7" x14ac:dyDescent="0.2">
      <c r="B4419" s="167">
        <v>45316</v>
      </c>
      <c r="C4419" s="28">
        <v>431.05</v>
      </c>
      <c r="D4419" s="83">
        <f t="shared" si="140"/>
        <v>2.3924917361876279</v>
      </c>
      <c r="E4419" s="83">
        <v>-1.714663565679363E-2</v>
      </c>
      <c r="F4419" s="83">
        <v>4411</v>
      </c>
      <c r="G4419" s="83">
        <f t="shared" ca="1" si="141"/>
        <v>-2.1681983174378375E-2</v>
      </c>
    </row>
    <row r="4420" spans="2:7" x14ac:dyDescent="0.2">
      <c r="B4420" s="167">
        <v>40704</v>
      </c>
      <c r="C4420" s="28">
        <v>127.06</v>
      </c>
      <c r="D4420" s="83">
        <f t="shared" si="140"/>
        <v>-0.52677839851024211</v>
      </c>
      <c r="E4420" s="83">
        <v>-1.7172029702970288E-2</v>
      </c>
      <c r="F4420" s="83">
        <v>4412</v>
      </c>
      <c r="G4420" s="83">
        <f t="shared" ca="1" si="141"/>
        <v>-6.7365816739632881E-3</v>
      </c>
    </row>
    <row r="4421" spans="2:7" x14ac:dyDescent="0.2">
      <c r="B4421" s="167">
        <v>43382</v>
      </c>
      <c r="C4421" s="28">
        <v>268.5</v>
      </c>
      <c r="D4421" s="83">
        <f t="shared" si="140"/>
        <v>7.4543421543044584E-4</v>
      </c>
      <c r="E4421" s="83">
        <v>-1.7203513909223971E-2</v>
      </c>
      <c r="F4421" s="83">
        <v>4413</v>
      </c>
      <c r="G4421" s="83">
        <f t="shared" ca="1" si="141"/>
        <v>9.5719448365915467E-3</v>
      </c>
    </row>
    <row r="4422" spans="2:7" x14ac:dyDescent="0.2">
      <c r="B4422" s="167">
        <v>43665</v>
      </c>
      <c r="C4422" s="28">
        <v>268.3</v>
      </c>
      <c r="D4422" s="83">
        <f t="shared" si="140"/>
        <v>4.6663146779303064</v>
      </c>
      <c r="E4422" s="83">
        <v>-1.7216117216117176E-2</v>
      </c>
      <c r="F4422" s="83">
        <v>4414</v>
      </c>
      <c r="G4422" s="83">
        <f t="shared" ca="1" si="141"/>
        <v>-2.9354681383903129E-2</v>
      </c>
    </row>
    <row r="4423" spans="2:7" x14ac:dyDescent="0.2">
      <c r="B4423" s="167">
        <v>38727</v>
      </c>
      <c r="C4423" s="28">
        <v>47.35</v>
      </c>
      <c r="D4423" s="83">
        <f t="shared" si="140"/>
        <v>-0.77015678850541236</v>
      </c>
      <c r="E4423" s="83">
        <v>-1.7227065172270618E-2</v>
      </c>
      <c r="F4423" s="83">
        <v>4415</v>
      </c>
      <c r="G4423" s="83">
        <f t="shared" ca="1" si="141"/>
        <v>-2.0082583124987095E-2</v>
      </c>
    </row>
    <row r="4424" spans="2:7" x14ac:dyDescent="0.2">
      <c r="B4424" s="167">
        <v>41604</v>
      </c>
      <c r="C4424" s="28">
        <v>206.01</v>
      </c>
      <c r="D4424" s="83">
        <f t="shared" si="140"/>
        <v>-0.16729991915925632</v>
      </c>
      <c r="E4424" s="83">
        <v>-1.7268520726995203E-2</v>
      </c>
      <c r="F4424" s="83">
        <v>4416</v>
      </c>
      <c r="G4424" s="83">
        <f t="shared" ca="1" si="141"/>
        <v>-1.1085950383339021E-2</v>
      </c>
    </row>
    <row r="4425" spans="2:7" x14ac:dyDescent="0.2">
      <c r="B4425" s="167">
        <v>42578</v>
      </c>
      <c r="C4425" s="28">
        <v>247.4</v>
      </c>
      <c r="D4425" s="83">
        <f t="shared" ref="D4425:D4488" si="142">(C4425-C4426)/C4426</f>
        <v>-0.1945828043103168</v>
      </c>
      <c r="E4425" s="83">
        <v>-1.7279046673286967E-2</v>
      </c>
      <c r="F4425" s="83">
        <v>4417</v>
      </c>
      <c r="G4425" s="83">
        <f t="shared" ref="G4425:G4488" ca="1" si="143">_xlfn.NORM.INV(RAND(),$M$10,$M$11)</f>
        <v>-2.3335868025341554E-2</v>
      </c>
    </row>
    <row r="4426" spans="2:7" x14ac:dyDescent="0.2">
      <c r="B4426" s="167">
        <v>44918</v>
      </c>
      <c r="C4426" s="28">
        <v>307.17</v>
      </c>
      <c r="D4426" s="83">
        <f t="shared" si="142"/>
        <v>0.34942670122567332</v>
      </c>
      <c r="E4426" s="83">
        <v>-1.7307569262268757E-2</v>
      </c>
      <c r="F4426" s="83">
        <v>4418</v>
      </c>
      <c r="G4426" s="83">
        <f t="shared" ca="1" si="143"/>
        <v>-8.303311842412682E-3</v>
      </c>
    </row>
    <row r="4427" spans="2:7" x14ac:dyDescent="0.2">
      <c r="B4427" s="167">
        <v>42341</v>
      </c>
      <c r="C4427" s="28">
        <v>227.63</v>
      </c>
      <c r="D4427" s="83">
        <f t="shared" si="142"/>
        <v>2.5830316385959389</v>
      </c>
      <c r="E4427" s="83">
        <v>-1.7311345190813291E-2</v>
      </c>
      <c r="F4427" s="83">
        <v>4419</v>
      </c>
      <c r="G4427" s="83">
        <f t="shared" ca="1" si="143"/>
        <v>-4.6292943968637475E-3</v>
      </c>
    </row>
    <row r="4428" spans="2:7" x14ac:dyDescent="0.2">
      <c r="B4428" s="167">
        <v>39702</v>
      </c>
      <c r="C4428" s="28">
        <v>63.53</v>
      </c>
      <c r="D4428" s="83">
        <f t="shared" si="142"/>
        <v>-0.24780961401847021</v>
      </c>
      <c r="E4428" s="83">
        <v>-1.7324052590874005E-2</v>
      </c>
      <c r="F4428" s="83">
        <v>4420</v>
      </c>
      <c r="G4428" s="83">
        <f t="shared" ca="1" si="143"/>
        <v>3.7077593455608529E-2</v>
      </c>
    </row>
    <row r="4429" spans="2:7" x14ac:dyDescent="0.2">
      <c r="B4429" s="167">
        <v>40116</v>
      </c>
      <c r="C4429" s="28">
        <v>84.46</v>
      </c>
      <c r="D4429" s="83">
        <f t="shared" si="142"/>
        <v>0.35504572437028714</v>
      </c>
      <c r="E4429" s="83">
        <v>-1.7335660267597544E-2</v>
      </c>
      <c r="F4429" s="83">
        <v>4421</v>
      </c>
      <c r="G4429" s="83">
        <f t="shared" ca="1" si="143"/>
        <v>1.211142771510247E-2</v>
      </c>
    </row>
    <row r="4430" spans="2:7" x14ac:dyDescent="0.2">
      <c r="B4430" s="167">
        <v>39946</v>
      </c>
      <c r="C4430" s="28">
        <v>62.33</v>
      </c>
      <c r="D4430" s="83">
        <f t="shared" si="142"/>
        <v>0</v>
      </c>
      <c r="E4430" s="83">
        <v>-1.7341951757843314E-2</v>
      </c>
      <c r="F4430" s="83">
        <v>4422</v>
      </c>
      <c r="G4430" s="83">
        <f t="shared" ca="1" si="143"/>
        <v>-1.061292716608834E-2</v>
      </c>
    </row>
    <row r="4431" spans="2:7" x14ac:dyDescent="0.2">
      <c r="B4431" s="167">
        <v>39721</v>
      </c>
      <c r="C4431" s="28">
        <v>62.33</v>
      </c>
      <c r="D4431" s="83">
        <f t="shared" si="142"/>
        <v>0.18340611353711783</v>
      </c>
      <c r="E4431" s="83">
        <v>-1.7341951757843314E-2</v>
      </c>
      <c r="F4431" s="83">
        <v>4423</v>
      </c>
      <c r="G4431" s="83">
        <f t="shared" ca="1" si="143"/>
        <v>-3.2975065361751231E-2</v>
      </c>
    </row>
    <row r="4432" spans="2:7" x14ac:dyDescent="0.2">
      <c r="B4432" s="167">
        <v>39738</v>
      </c>
      <c r="C4432" s="28">
        <v>52.67</v>
      </c>
      <c r="D4432" s="83">
        <f t="shared" si="142"/>
        <v>-0.81746664356264076</v>
      </c>
      <c r="E4432" s="83">
        <v>-1.7350746268656712E-2</v>
      </c>
      <c r="F4432" s="83">
        <v>4424</v>
      </c>
      <c r="G4432" s="83">
        <f t="shared" ca="1" si="143"/>
        <v>-2.5217170334936041E-2</v>
      </c>
    </row>
    <row r="4433" spans="2:7" x14ac:dyDescent="0.2">
      <c r="B4433" s="167">
        <v>42943</v>
      </c>
      <c r="C4433" s="28">
        <v>288.55</v>
      </c>
      <c r="D4433" s="83">
        <f t="shared" si="142"/>
        <v>0.24123542822729821</v>
      </c>
      <c r="E4433" s="83">
        <v>-1.7367614507066122E-2</v>
      </c>
      <c r="F4433" s="83">
        <v>4425</v>
      </c>
      <c r="G4433" s="83">
        <f t="shared" ca="1" si="143"/>
        <v>-1.1770948673867968E-2</v>
      </c>
    </row>
    <row r="4434" spans="2:7" x14ac:dyDescent="0.2">
      <c r="B4434" s="167">
        <v>41869</v>
      </c>
      <c r="C4434" s="28">
        <v>232.47</v>
      </c>
      <c r="D4434" s="83">
        <f t="shared" si="142"/>
        <v>-0.1518788763225101</v>
      </c>
      <c r="E4434" s="83">
        <v>-1.7372558965254938E-2</v>
      </c>
      <c r="F4434" s="83">
        <v>4426</v>
      </c>
      <c r="G4434" s="83">
        <f t="shared" ca="1" si="143"/>
        <v>-1.1508656618249553E-2</v>
      </c>
    </row>
    <row r="4435" spans="2:7" x14ac:dyDescent="0.2">
      <c r="B4435" s="167">
        <v>42831</v>
      </c>
      <c r="C4435" s="28">
        <v>274.10000000000002</v>
      </c>
      <c r="D4435" s="83">
        <f t="shared" si="142"/>
        <v>7.8709169618260647E-2</v>
      </c>
      <c r="E4435" s="83">
        <v>-1.7386628428033575E-2</v>
      </c>
      <c r="F4435" s="83">
        <v>4427</v>
      </c>
      <c r="G4435" s="83">
        <f t="shared" ca="1" si="143"/>
        <v>-2.0640172678473838E-2</v>
      </c>
    </row>
    <row r="4436" spans="2:7" x14ac:dyDescent="0.2">
      <c r="B4436" s="167">
        <v>44697</v>
      </c>
      <c r="C4436" s="28">
        <v>254.1</v>
      </c>
      <c r="D4436" s="83">
        <f t="shared" si="142"/>
        <v>3.059105431309904</v>
      </c>
      <c r="E4436" s="83">
        <v>-1.7401392111369016E-2</v>
      </c>
      <c r="F4436" s="83">
        <v>4428</v>
      </c>
      <c r="G4436" s="83">
        <f t="shared" ca="1" si="143"/>
        <v>-2.111417013296674E-2</v>
      </c>
    </row>
    <row r="4437" spans="2:7" x14ac:dyDescent="0.2">
      <c r="B4437" s="167">
        <v>38820</v>
      </c>
      <c r="C4437" s="28">
        <v>62.6</v>
      </c>
      <c r="D4437" s="83">
        <f t="shared" si="142"/>
        <v>-0.69500609013398296</v>
      </c>
      <c r="E4437" s="83">
        <v>-1.7422696593941286E-2</v>
      </c>
      <c r="F4437" s="83">
        <v>4429</v>
      </c>
      <c r="G4437" s="83">
        <f t="shared" ca="1" si="143"/>
        <v>8.5538215614734247E-3</v>
      </c>
    </row>
    <row r="4438" spans="2:7" x14ac:dyDescent="0.2">
      <c r="B4438" s="167">
        <v>42376</v>
      </c>
      <c r="C4438" s="28">
        <v>205.25</v>
      </c>
      <c r="D4438" s="83">
        <f t="shared" si="142"/>
        <v>-0.10838401390095564</v>
      </c>
      <c r="E4438" s="83">
        <v>-1.7472474868358092E-2</v>
      </c>
      <c r="F4438" s="83">
        <v>4430</v>
      </c>
      <c r="G4438" s="83">
        <f t="shared" ca="1" si="143"/>
        <v>3.6113743051979959E-4</v>
      </c>
    </row>
    <row r="4439" spans="2:7" x14ac:dyDescent="0.2">
      <c r="B4439" s="167">
        <v>44599</v>
      </c>
      <c r="C4439" s="28">
        <v>230.2</v>
      </c>
      <c r="D4439" s="83">
        <f t="shared" si="142"/>
        <v>-0.19454163750874745</v>
      </c>
      <c r="E4439" s="83">
        <v>-1.7498932991890835E-2</v>
      </c>
      <c r="F4439" s="83">
        <v>4431</v>
      </c>
      <c r="G4439" s="83">
        <f t="shared" ca="1" si="143"/>
        <v>-1.7910089180510937E-2</v>
      </c>
    </row>
    <row r="4440" spans="2:7" x14ac:dyDescent="0.2">
      <c r="B4440" s="167">
        <v>42852</v>
      </c>
      <c r="C4440" s="28">
        <v>285.8</v>
      </c>
      <c r="D4440" s="83">
        <f t="shared" si="142"/>
        <v>4.0512548603746916</v>
      </c>
      <c r="E4440" s="83">
        <v>-1.753179786868328E-2</v>
      </c>
      <c r="F4440" s="83">
        <v>4432</v>
      </c>
      <c r="G4440" s="83">
        <f t="shared" ca="1" si="143"/>
        <v>-1.0349730952448849E-2</v>
      </c>
    </row>
    <row r="4441" spans="2:7" x14ac:dyDescent="0.2">
      <c r="B4441" s="167">
        <v>39393</v>
      </c>
      <c r="C4441" s="28">
        <v>56.58</v>
      </c>
      <c r="D4441" s="83">
        <f t="shared" si="142"/>
        <v>-0.74045871559633036</v>
      </c>
      <c r="E4441" s="83">
        <v>-1.7537766973432976E-2</v>
      </c>
      <c r="F4441" s="83">
        <v>4433</v>
      </c>
      <c r="G4441" s="83">
        <f t="shared" ca="1" si="143"/>
        <v>-3.67078900761159E-3</v>
      </c>
    </row>
    <row r="4442" spans="2:7" x14ac:dyDescent="0.2">
      <c r="B4442" s="167">
        <v>44613</v>
      </c>
      <c r="C4442" s="28">
        <v>218</v>
      </c>
      <c r="D4442" s="83">
        <f t="shared" si="142"/>
        <v>-4.8034934497816595E-2</v>
      </c>
      <c r="E4442" s="83">
        <v>-1.7575484452456085E-2</v>
      </c>
      <c r="F4442" s="83">
        <v>4434</v>
      </c>
      <c r="G4442" s="83">
        <f t="shared" ca="1" si="143"/>
        <v>-1.0145301919208406E-2</v>
      </c>
    </row>
    <row r="4443" spans="2:7" x14ac:dyDescent="0.2">
      <c r="B4443" s="167">
        <v>44236</v>
      </c>
      <c r="C4443" s="28">
        <v>229</v>
      </c>
      <c r="D4443" s="83">
        <f t="shared" si="142"/>
        <v>3.2739828294139608</v>
      </c>
      <c r="E4443" s="83">
        <v>-1.7589017589017566E-2</v>
      </c>
      <c r="F4443" s="83">
        <v>4435</v>
      </c>
      <c r="G4443" s="83">
        <f t="shared" ca="1" si="143"/>
        <v>-2.1912604559507148E-2</v>
      </c>
    </row>
    <row r="4444" spans="2:7" x14ac:dyDescent="0.2">
      <c r="B4444" s="167">
        <v>38888</v>
      </c>
      <c r="C4444" s="28">
        <v>53.58</v>
      </c>
      <c r="D4444" s="83">
        <f t="shared" si="142"/>
        <v>-0.70888345558272214</v>
      </c>
      <c r="E4444" s="83">
        <v>-1.7601760176017618E-2</v>
      </c>
      <c r="F4444" s="83">
        <v>4436</v>
      </c>
      <c r="G4444" s="83">
        <f t="shared" ca="1" si="143"/>
        <v>3.4275701881927724E-2</v>
      </c>
    </row>
    <row r="4445" spans="2:7" x14ac:dyDescent="0.2">
      <c r="B4445" s="167">
        <v>44153</v>
      </c>
      <c r="C4445" s="28">
        <v>184.05</v>
      </c>
      <c r="D4445" s="83">
        <f t="shared" si="142"/>
        <v>3.1285329744279955</v>
      </c>
      <c r="E4445" s="83">
        <v>-1.7614091273018325E-2</v>
      </c>
      <c r="F4445" s="83">
        <v>4437</v>
      </c>
      <c r="G4445" s="83">
        <f t="shared" ca="1" si="143"/>
        <v>3.6313288644859387E-2</v>
      </c>
    </row>
    <row r="4446" spans="2:7" x14ac:dyDescent="0.2">
      <c r="B4446" s="167">
        <v>38686</v>
      </c>
      <c r="C4446" s="28">
        <v>44.58</v>
      </c>
      <c r="D4446" s="83">
        <f t="shared" si="142"/>
        <v>-0.70877972302064285</v>
      </c>
      <c r="E4446" s="83">
        <v>-1.7628911414720234E-2</v>
      </c>
      <c r="F4446" s="83">
        <v>4438</v>
      </c>
      <c r="G4446" s="83">
        <f t="shared" ca="1" si="143"/>
        <v>1.9435015643275468E-2</v>
      </c>
    </row>
    <row r="4447" spans="2:7" x14ac:dyDescent="0.2">
      <c r="B4447" s="167">
        <v>41058</v>
      </c>
      <c r="C4447" s="28">
        <v>153.08000000000001</v>
      </c>
      <c r="D4447" s="83">
        <f t="shared" si="142"/>
        <v>-0.41471993882622821</v>
      </c>
      <c r="E4447" s="83">
        <v>-1.7647436308798049E-2</v>
      </c>
      <c r="F4447" s="83">
        <v>4439</v>
      </c>
      <c r="G4447" s="83">
        <f t="shared" ca="1" si="143"/>
        <v>4.5514938792198265E-3</v>
      </c>
    </row>
    <row r="4448" spans="2:7" x14ac:dyDescent="0.2">
      <c r="B4448" s="167">
        <v>43081</v>
      </c>
      <c r="C4448" s="28">
        <v>261.55</v>
      </c>
      <c r="D4448" s="83">
        <f t="shared" si="142"/>
        <v>1.2942982456140353</v>
      </c>
      <c r="E4448" s="83">
        <v>-1.7652582159624369E-2</v>
      </c>
      <c r="F4448" s="83">
        <v>4440</v>
      </c>
      <c r="G4448" s="83">
        <f t="shared" ca="1" si="143"/>
        <v>-3.3945415666372214E-2</v>
      </c>
    </row>
    <row r="4449" spans="2:7" x14ac:dyDescent="0.2">
      <c r="B4449" s="167">
        <v>40466</v>
      </c>
      <c r="C4449" s="28">
        <v>114</v>
      </c>
      <c r="D4449" s="83">
        <f t="shared" si="142"/>
        <v>1.0925110132158591</v>
      </c>
      <c r="E4449" s="83">
        <v>-1.7664799655320959E-2</v>
      </c>
      <c r="F4449" s="83">
        <v>4441</v>
      </c>
      <c r="G4449" s="83">
        <f t="shared" ca="1" si="143"/>
        <v>1.3231951089601981E-2</v>
      </c>
    </row>
    <row r="4450" spans="2:7" x14ac:dyDescent="0.2">
      <c r="B4450" s="167">
        <v>38922</v>
      </c>
      <c r="C4450" s="28">
        <v>54.48</v>
      </c>
      <c r="D4450" s="83">
        <f t="shared" si="142"/>
        <v>-0.8183091545772887</v>
      </c>
      <c r="E4450" s="83">
        <v>-1.7670393076090949E-2</v>
      </c>
      <c r="F4450" s="83">
        <v>4442</v>
      </c>
      <c r="G4450" s="83">
        <f t="shared" ca="1" si="143"/>
        <v>-2.00091696963988E-2</v>
      </c>
    </row>
    <row r="4451" spans="2:7" x14ac:dyDescent="0.2">
      <c r="B4451" s="167">
        <v>42900</v>
      </c>
      <c r="C4451" s="28">
        <v>299.85000000000002</v>
      </c>
      <c r="D4451" s="83">
        <f t="shared" si="142"/>
        <v>0.38122437698650335</v>
      </c>
      <c r="E4451" s="83">
        <v>-1.7690417690417615E-2</v>
      </c>
      <c r="F4451" s="83">
        <v>4443</v>
      </c>
      <c r="G4451" s="83">
        <f t="shared" ca="1" si="143"/>
        <v>2.1832986419596273E-2</v>
      </c>
    </row>
    <row r="4452" spans="2:7" x14ac:dyDescent="0.2">
      <c r="B4452" s="167">
        <v>42083</v>
      </c>
      <c r="C4452" s="28">
        <v>217.09</v>
      </c>
      <c r="D4452" s="83">
        <f t="shared" si="142"/>
        <v>0.34838509316770189</v>
      </c>
      <c r="E4452" s="83">
        <v>-1.7692307692307677E-2</v>
      </c>
      <c r="F4452" s="83">
        <v>4444</v>
      </c>
      <c r="G4452" s="83">
        <f t="shared" ca="1" si="143"/>
        <v>-1.6430754330467629E-3</v>
      </c>
    </row>
    <row r="4453" spans="2:7" x14ac:dyDescent="0.2">
      <c r="B4453" s="167">
        <v>43958</v>
      </c>
      <c r="C4453" s="28">
        <v>161</v>
      </c>
      <c r="D4453" s="83">
        <f t="shared" si="142"/>
        <v>-0.24660739354234903</v>
      </c>
      <c r="E4453" s="83">
        <v>-1.7693715680292897E-2</v>
      </c>
      <c r="F4453" s="83">
        <v>4445</v>
      </c>
      <c r="G4453" s="83">
        <f t="shared" ca="1" si="143"/>
        <v>-2.1560460580122304E-2</v>
      </c>
    </row>
    <row r="4454" spans="2:7" x14ac:dyDescent="0.2">
      <c r="B4454" s="167">
        <v>42124</v>
      </c>
      <c r="C4454" s="28">
        <v>213.7</v>
      </c>
      <c r="D4454" s="83">
        <f t="shared" si="142"/>
        <v>-0.11456391133209035</v>
      </c>
      <c r="E4454" s="83">
        <v>-1.7697081130774638E-2</v>
      </c>
      <c r="F4454" s="83">
        <v>4446</v>
      </c>
      <c r="G4454" s="83">
        <f t="shared" ca="1" si="143"/>
        <v>2.8929628494753595E-2</v>
      </c>
    </row>
    <row r="4455" spans="2:7" x14ac:dyDescent="0.2">
      <c r="B4455" s="167">
        <v>42643</v>
      </c>
      <c r="C4455" s="28">
        <v>241.35</v>
      </c>
      <c r="D4455" s="83">
        <f t="shared" si="142"/>
        <v>-0.46880158468141303</v>
      </c>
      <c r="E4455" s="83">
        <v>-1.7704517704517683E-2</v>
      </c>
      <c r="F4455" s="83">
        <v>4447</v>
      </c>
      <c r="G4455" s="83">
        <f t="shared" ca="1" si="143"/>
        <v>-1.0488919191634303E-2</v>
      </c>
    </row>
    <row r="4456" spans="2:7" x14ac:dyDescent="0.2">
      <c r="B4456" s="167">
        <v>45691</v>
      </c>
      <c r="C4456" s="28">
        <v>454.35</v>
      </c>
      <c r="D4456" s="83">
        <f t="shared" si="142"/>
        <v>1.0771235256468867</v>
      </c>
      <c r="E4456" s="83">
        <v>-1.7727813209382746E-2</v>
      </c>
      <c r="F4456" s="83">
        <v>4448</v>
      </c>
      <c r="G4456" s="83">
        <f t="shared" ca="1" si="143"/>
        <v>-1.5992303485651518E-2</v>
      </c>
    </row>
    <row r="4457" spans="2:7" x14ac:dyDescent="0.2">
      <c r="B4457" s="167">
        <v>41528</v>
      </c>
      <c r="C4457" s="28">
        <v>218.74</v>
      </c>
      <c r="D4457" s="83">
        <f t="shared" si="142"/>
        <v>-0.45103649048838024</v>
      </c>
      <c r="E4457" s="83">
        <v>-1.7737662221024693E-2</v>
      </c>
      <c r="F4457" s="83">
        <v>4449</v>
      </c>
      <c r="G4457" s="83">
        <f t="shared" ca="1" si="143"/>
        <v>-2.2099287473374536E-2</v>
      </c>
    </row>
    <row r="4458" spans="2:7" x14ac:dyDescent="0.2">
      <c r="B4458" s="167">
        <v>45055</v>
      </c>
      <c r="C4458" s="28">
        <v>398.46</v>
      </c>
      <c r="D4458" s="83">
        <f t="shared" si="142"/>
        <v>6.8329074110477688</v>
      </c>
      <c r="E4458" s="83">
        <v>-1.7748853719864035E-2</v>
      </c>
      <c r="F4458" s="83">
        <v>4450</v>
      </c>
      <c r="G4458" s="83">
        <f t="shared" ca="1" si="143"/>
        <v>-3.2602922804207271E-3</v>
      </c>
    </row>
    <row r="4459" spans="2:7" x14ac:dyDescent="0.2">
      <c r="B4459" s="167">
        <v>39185</v>
      </c>
      <c r="C4459" s="28">
        <v>50.87</v>
      </c>
      <c r="D4459" s="83">
        <f t="shared" si="142"/>
        <v>-0.80419553502694374</v>
      </c>
      <c r="E4459" s="83">
        <v>-1.7764047113342379E-2</v>
      </c>
      <c r="F4459" s="83">
        <v>4451</v>
      </c>
      <c r="G4459" s="83">
        <f t="shared" ca="1" si="143"/>
        <v>1.8536480021020776E-2</v>
      </c>
    </row>
    <row r="4460" spans="2:7" x14ac:dyDescent="0.2">
      <c r="B4460" s="167">
        <v>43682</v>
      </c>
      <c r="C4460" s="28">
        <v>259.8</v>
      </c>
      <c r="D4460" s="83">
        <f t="shared" si="142"/>
        <v>0.99539170506912467</v>
      </c>
      <c r="E4460" s="83">
        <v>-1.7769376181474436E-2</v>
      </c>
      <c r="F4460" s="83">
        <v>4452</v>
      </c>
      <c r="G4460" s="83">
        <f t="shared" ca="1" si="143"/>
        <v>1.2563658567163316E-2</v>
      </c>
    </row>
    <row r="4461" spans="2:7" x14ac:dyDescent="0.2">
      <c r="B4461" s="167">
        <v>40760</v>
      </c>
      <c r="C4461" s="28">
        <v>130.19999999999999</v>
      </c>
      <c r="D4461" s="83">
        <f t="shared" si="142"/>
        <v>-0.38541420816615535</v>
      </c>
      <c r="E4461" s="83">
        <v>-1.7803258901629555E-2</v>
      </c>
      <c r="F4461" s="83">
        <v>4453</v>
      </c>
      <c r="G4461" s="83">
        <f t="shared" ca="1" si="143"/>
        <v>-5.213553230678466E-3</v>
      </c>
    </row>
    <row r="4462" spans="2:7" x14ac:dyDescent="0.2">
      <c r="B4462" s="167">
        <v>42431</v>
      </c>
      <c r="C4462" s="28">
        <v>211.85</v>
      </c>
      <c r="D4462" s="83">
        <f t="shared" si="142"/>
        <v>-0.51892726570838166</v>
      </c>
      <c r="E4462" s="83">
        <v>-1.7803328851592578E-2</v>
      </c>
      <c r="F4462" s="83">
        <v>4454</v>
      </c>
      <c r="G4462" s="83">
        <f t="shared" ca="1" si="143"/>
        <v>-1.8048852782919081E-2</v>
      </c>
    </row>
    <row r="4463" spans="2:7" x14ac:dyDescent="0.2">
      <c r="B4463" s="167">
        <v>45299</v>
      </c>
      <c r="C4463" s="28">
        <v>440.37</v>
      </c>
      <c r="D4463" s="83">
        <f t="shared" si="142"/>
        <v>-7.5552103451171401E-2</v>
      </c>
      <c r="E4463" s="83">
        <v>-1.7820501382817398E-2</v>
      </c>
      <c r="F4463" s="83">
        <v>4455</v>
      </c>
      <c r="G4463" s="83">
        <f t="shared" ca="1" si="143"/>
        <v>-2.0349037856110053E-3</v>
      </c>
    </row>
    <row r="4464" spans="2:7" x14ac:dyDescent="0.2">
      <c r="B4464" s="167">
        <v>45569</v>
      </c>
      <c r="C4464" s="28">
        <v>476.36</v>
      </c>
      <c r="D4464" s="83">
        <f t="shared" si="142"/>
        <v>1.28722331588803</v>
      </c>
      <c r="E4464" s="83">
        <v>-1.7956171274249037E-2</v>
      </c>
      <c r="F4464" s="83">
        <v>4456</v>
      </c>
      <c r="G4464" s="83">
        <f t="shared" ca="1" si="143"/>
        <v>1.4628773699574276E-3</v>
      </c>
    </row>
    <row r="4465" spans="2:7" x14ac:dyDescent="0.2">
      <c r="B4465" s="167">
        <v>41591</v>
      </c>
      <c r="C4465" s="28">
        <v>208.27</v>
      </c>
      <c r="D4465" s="83">
        <f t="shared" si="142"/>
        <v>-0.3193790849673202</v>
      </c>
      <c r="E4465" s="83">
        <v>-1.7964918898528866E-2</v>
      </c>
      <c r="F4465" s="83">
        <v>4457</v>
      </c>
      <c r="G4465" s="83">
        <f t="shared" ca="1" si="143"/>
        <v>-2.4473379446469764E-2</v>
      </c>
    </row>
    <row r="4466" spans="2:7" x14ac:dyDescent="0.2">
      <c r="B4466" s="167">
        <v>42895</v>
      </c>
      <c r="C4466" s="28">
        <v>306</v>
      </c>
      <c r="D4466" s="83">
        <f t="shared" si="142"/>
        <v>-0.31425498061537777</v>
      </c>
      <c r="E4466" s="83">
        <v>-1.7971758664955144E-2</v>
      </c>
      <c r="F4466" s="83">
        <v>4458</v>
      </c>
      <c r="G4466" s="83">
        <f t="shared" ca="1" si="143"/>
        <v>-9.3169648243698541E-3</v>
      </c>
    </row>
    <row r="4467" spans="2:7" x14ac:dyDescent="0.2">
      <c r="B4467" s="167">
        <v>45589</v>
      </c>
      <c r="C4467" s="28">
        <v>446.23</v>
      </c>
      <c r="D4467" s="83">
        <f t="shared" si="142"/>
        <v>1.7842390965246149</v>
      </c>
      <c r="E4467" s="83">
        <v>-1.8022974340918086E-2</v>
      </c>
      <c r="F4467" s="83">
        <v>4459</v>
      </c>
      <c r="G4467" s="83">
        <f t="shared" ca="1" si="143"/>
        <v>1.3128682807978799E-2</v>
      </c>
    </row>
    <row r="4468" spans="2:7" x14ac:dyDescent="0.2">
      <c r="B4468" s="167">
        <v>41017</v>
      </c>
      <c r="C4468" s="28">
        <v>160.27000000000001</v>
      </c>
      <c r="D4468" s="83">
        <f t="shared" si="142"/>
        <v>0.41207048458149786</v>
      </c>
      <c r="E4468" s="83">
        <v>-1.8073765469917832E-2</v>
      </c>
      <c r="F4468" s="83">
        <v>4460</v>
      </c>
      <c r="G4468" s="83">
        <f t="shared" ca="1" si="143"/>
        <v>7.1799029345946208E-4</v>
      </c>
    </row>
    <row r="4469" spans="2:7" x14ac:dyDescent="0.2">
      <c r="B4469" s="167">
        <v>40473</v>
      </c>
      <c r="C4469" s="28">
        <v>113.5</v>
      </c>
      <c r="D4469" s="83">
        <f t="shared" si="142"/>
        <v>-0.57202111613876316</v>
      </c>
      <c r="E4469" s="83">
        <v>-1.8081148888312165E-2</v>
      </c>
      <c r="F4469" s="83">
        <v>4461</v>
      </c>
      <c r="G4469" s="83">
        <f t="shared" ca="1" si="143"/>
        <v>2.1404298373177262E-2</v>
      </c>
    </row>
    <row r="4470" spans="2:7" x14ac:dyDescent="0.2">
      <c r="B4470" s="167">
        <v>43384</v>
      </c>
      <c r="C4470" s="28">
        <v>265.2</v>
      </c>
      <c r="D4470" s="83">
        <f t="shared" si="142"/>
        <v>0.24099204492278897</v>
      </c>
      <c r="E4470" s="83">
        <v>-1.8141429100333336E-2</v>
      </c>
      <c r="F4470" s="83">
        <v>4462</v>
      </c>
      <c r="G4470" s="83">
        <f t="shared" ca="1" si="143"/>
        <v>8.600578394180429E-3</v>
      </c>
    </row>
    <row r="4471" spans="2:7" x14ac:dyDescent="0.2">
      <c r="B4471" s="167">
        <v>44217</v>
      </c>
      <c r="C4471" s="28">
        <v>213.7</v>
      </c>
      <c r="D4471" s="83">
        <f t="shared" si="142"/>
        <v>-7.7845861741607056E-2</v>
      </c>
      <c r="E4471" s="83">
        <v>-1.8148403399954133E-2</v>
      </c>
      <c r="F4471" s="83">
        <v>4463</v>
      </c>
      <c r="G4471" s="83">
        <f t="shared" ca="1" si="143"/>
        <v>-3.1743210317436113E-2</v>
      </c>
    </row>
    <row r="4472" spans="2:7" x14ac:dyDescent="0.2">
      <c r="B4472" s="167">
        <v>41852</v>
      </c>
      <c r="C4472" s="28">
        <v>231.74</v>
      </c>
      <c r="D4472" s="83">
        <f t="shared" si="142"/>
        <v>0.54740918803418814</v>
      </c>
      <c r="E4472" s="83">
        <v>-1.8258843465367516E-2</v>
      </c>
      <c r="F4472" s="83">
        <v>4464</v>
      </c>
      <c r="G4472" s="83">
        <f t="shared" ca="1" si="143"/>
        <v>3.0543112568849097E-4</v>
      </c>
    </row>
    <row r="4473" spans="2:7" x14ac:dyDescent="0.2">
      <c r="B4473" s="167">
        <v>41065</v>
      </c>
      <c r="C4473" s="28">
        <v>149.76</v>
      </c>
      <c r="D4473" s="83">
        <f t="shared" si="142"/>
        <v>-0.29174745802790258</v>
      </c>
      <c r="E4473" s="83">
        <v>-1.8289085545722845E-2</v>
      </c>
      <c r="F4473" s="83">
        <v>4465</v>
      </c>
      <c r="G4473" s="83">
        <f t="shared" ca="1" si="143"/>
        <v>-1.6922946770578137E-2</v>
      </c>
    </row>
    <row r="4474" spans="2:7" x14ac:dyDescent="0.2">
      <c r="B4474" s="167">
        <v>41675</v>
      </c>
      <c r="C4474" s="28">
        <v>211.45</v>
      </c>
      <c r="D4474" s="83">
        <f t="shared" si="142"/>
        <v>2.4398893769318364</v>
      </c>
      <c r="E4474" s="83">
        <v>-1.8292399832861312E-2</v>
      </c>
      <c r="F4474" s="83">
        <v>4466</v>
      </c>
      <c r="G4474" s="83">
        <f t="shared" ca="1" si="143"/>
        <v>-4.886268445560623E-2</v>
      </c>
    </row>
    <row r="4475" spans="2:7" x14ac:dyDescent="0.2">
      <c r="B4475" s="167">
        <v>39029</v>
      </c>
      <c r="C4475" s="28">
        <v>61.47</v>
      </c>
      <c r="D4475" s="83">
        <f t="shared" si="142"/>
        <v>-0.72465845464725642</v>
      </c>
      <c r="E4475" s="83">
        <v>-1.8364739699776408E-2</v>
      </c>
      <c r="F4475" s="83">
        <v>4467</v>
      </c>
      <c r="G4475" s="83">
        <f t="shared" ca="1" si="143"/>
        <v>-1.9278501131056718E-2</v>
      </c>
    </row>
    <row r="4476" spans="2:7" x14ac:dyDescent="0.2">
      <c r="B4476" s="167">
        <v>42318</v>
      </c>
      <c r="C4476" s="28">
        <v>223.25</v>
      </c>
      <c r="D4476" s="83">
        <f t="shared" si="142"/>
        <v>-0.3256305694003927</v>
      </c>
      <c r="E4476" s="83">
        <v>-1.8379281537176304E-2</v>
      </c>
      <c r="F4476" s="83">
        <v>4468</v>
      </c>
      <c r="G4476" s="83">
        <f t="shared" ca="1" si="143"/>
        <v>3.886905448238618E-2</v>
      </c>
    </row>
    <row r="4477" spans="2:7" x14ac:dyDescent="0.2">
      <c r="B4477" s="167">
        <v>42921</v>
      </c>
      <c r="C4477" s="28">
        <v>331.05</v>
      </c>
      <c r="D4477" s="83">
        <f t="shared" si="142"/>
        <v>3.2507704160246536</v>
      </c>
      <c r="E4477" s="83">
        <v>-1.8383988139362456E-2</v>
      </c>
      <c r="F4477" s="83">
        <v>4469</v>
      </c>
      <c r="G4477" s="83">
        <f t="shared" ca="1" si="143"/>
        <v>3.273747660178488E-2</v>
      </c>
    </row>
    <row r="4478" spans="2:7" x14ac:dyDescent="0.2">
      <c r="B4478" s="167">
        <v>40039</v>
      </c>
      <c r="C4478" s="28">
        <v>77.88</v>
      </c>
      <c r="D4478" s="83">
        <f t="shared" si="142"/>
        <v>-0.3009604164796697</v>
      </c>
      <c r="E4478" s="83">
        <v>-1.8401814973531737E-2</v>
      </c>
      <c r="F4478" s="83">
        <v>4470</v>
      </c>
      <c r="G4478" s="83">
        <f t="shared" ca="1" si="143"/>
        <v>2.6964973722117085E-2</v>
      </c>
    </row>
    <row r="4479" spans="2:7" x14ac:dyDescent="0.2">
      <c r="B4479" s="167">
        <v>40619</v>
      </c>
      <c r="C4479" s="28">
        <v>111.41</v>
      </c>
      <c r="D4479" s="83">
        <f t="shared" si="142"/>
        <v>-0.59391288500091133</v>
      </c>
      <c r="E4479" s="83">
        <v>-1.841409691629959E-2</v>
      </c>
      <c r="F4479" s="83">
        <v>4471</v>
      </c>
      <c r="G4479" s="83">
        <f t="shared" ca="1" si="143"/>
        <v>-8.0977399273283127E-3</v>
      </c>
    </row>
    <row r="4480" spans="2:7" x14ac:dyDescent="0.2">
      <c r="B4480" s="167">
        <v>42846</v>
      </c>
      <c r="C4480" s="28">
        <v>274.35000000000002</v>
      </c>
      <c r="D4480" s="83">
        <f t="shared" si="142"/>
        <v>1.1292200232828873</v>
      </c>
      <c r="E4480" s="83">
        <v>-1.8425760286225321E-2</v>
      </c>
      <c r="F4480" s="83">
        <v>4472</v>
      </c>
      <c r="G4480" s="83">
        <f t="shared" ca="1" si="143"/>
        <v>1.6951342573537545E-2</v>
      </c>
    </row>
    <row r="4481" spans="2:7" x14ac:dyDescent="0.2">
      <c r="B4481" s="167">
        <v>40819</v>
      </c>
      <c r="C4481" s="28">
        <v>128.85</v>
      </c>
      <c r="D4481" s="83">
        <f t="shared" si="142"/>
        <v>0.21774879500992336</v>
      </c>
      <c r="E4481" s="83">
        <v>-1.8435286051649392E-2</v>
      </c>
      <c r="F4481" s="83">
        <v>4473</v>
      </c>
      <c r="G4481" s="83">
        <f t="shared" ca="1" si="143"/>
        <v>1.2957099253320144E-2</v>
      </c>
    </row>
    <row r="4482" spans="2:7" x14ac:dyDescent="0.2">
      <c r="B4482" s="167">
        <v>40575</v>
      </c>
      <c r="C4482" s="28">
        <v>105.81</v>
      </c>
      <c r="D4482" s="83">
        <f t="shared" si="142"/>
        <v>-0.49578270192994994</v>
      </c>
      <c r="E4482" s="83">
        <v>-1.8460111317254127E-2</v>
      </c>
      <c r="F4482" s="83">
        <v>4474</v>
      </c>
      <c r="G4482" s="83">
        <f t="shared" ca="1" si="143"/>
        <v>5.1768315863188656E-3</v>
      </c>
    </row>
    <row r="4483" spans="2:7" x14ac:dyDescent="0.2">
      <c r="B4483" s="167">
        <v>44418</v>
      </c>
      <c r="C4483" s="28">
        <v>209.85</v>
      </c>
      <c r="D4483" s="83">
        <f t="shared" si="142"/>
        <v>2.9114631873252561</v>
      </c>
      <c r="E4483" s="83">
        <v>-1.8475210477081463E-2</v>
      </c>
      <c r="F4483" s="83">
        <v>4475</v>
      </c>
      <c r="G4483" s="83">
        <f t="shared" ca="1" si="143"/>
        <v>9.2328765318605878E-3</v>
      </c>
    </row>
    <row r="4484" spans="2:7" x14ac:dyDescent="0.2">
      <c r="B4484" s="167">
        <v>39238</v>
      </c>
      <c r="C4484" s="28">
        <v>53.65</v>
      </c>
      <c r="D4484" s="83">
        <f t="shared" si="142"/>
        <v>-0.864042979143965</v>
      </c>
      <c r="E4484" s="83">
        <v>-1.847786315404314E-2</v>
      </c>
      <c r="F4484" s="83">
        <v>4476</v>
      </c>
      <c r="G4484" s="83">
        <f t="shared" ca="1" si="143"/>
        <v>5.1687152352908978E-3</v>
      </c>
    </row>
    <row r="4485" spans="2:7" x14ac:dyDescent="0.2">
      <c r="B4485" s="167">
        <v>45064</v>
      </c>
      <c r="C4485" s="28">
        <v>394.61</v>
      </c>
      <c r="D4485" s="83">
        <f t="shared" si="142"/>
        <v>2.561140691273351</v>
      </c>
      <c r="E4485" s="83">
        <v>-1.8480748184260289E-2</v>
      </c>
      <c r="F4485" s="83">
        <v>4477</v>
      </c>
      <c r="G4485" s="83">
        <f t="shared" ca="1" si="143"/>
        <v>3.0043118997991739E-3</v>
      </c>
    </row>
    <row r="4486" spans="2:7" x14ac:dyDescent="0.2">
      <c r="B4486" s="167">
        <v>40525</v>
      </c>
      <c r="C4486" s="28">
        <v>110.81</v>
      </c>
      <c r="D4486" s="83">
        <f t="shared" si="142"/>
        <v>-0.23920357020254035</v>
      </c>
      <c r="E4486" s="83">
        <v>-1.8511957484499585E-2</v>
      </c>
      <c r="F4486" s="83">
        <v>4478</v>
      </c>
      <c r="G4486" s="83">
        <f t="shared" ca="1" si="143"/>
        <v>1.5005745189315073E-2</v>
      </c>
    </row>
    <row r="4487" spans="2:7" x14ac:dyDescent="0.2">
      <c r="B4487" s="167">
        <v>40990</v>
      </c>
      <c r="C4487" s="28">
        <v>145.65</v>
      </c>
      <c r="D4487" s="83">
        <f t="shared" si="142"/>
        <v>1.8364167478091531</v>
      </c>
      <c r="E4487" s="83">
        <v>-1.8530997304582211E-2</v>
      </c>
      <c r="F4487" s="83">
        <v>4479</v>
      </c>
      <c r="G4487" s="83">
        <f t="shared" ca="1" si="143"/>
        <v>-1.8266931009274404E-2</v>
      </c>
    </row>
    <row r="4488" spans="2:7" x14ac:dyDescent="0.2">
      <c r="B4488" s="167">
        <v>39240</v>
      </c>
      <c r="C4488" s="28">
        <v>51.35</v>
      </c>
      <c r="D4488" s="83">
        <f t="shared" si="142"/>
        <v>-0.86561109657157809</v>
      </c>
      <c r="E4488" s="83">
        <v>-1.8539755351681935E-2</v>
      </c>
      <c r="F4488" s="83">
        <v>4480</v>
      </c>
      <c r="G4488" s="83">
        <f t="shared" ca="1" si="143"/>
        <v>-2.2405586187726822E-2</v>
      </c>
    </row>
    <row r="4489" spans="2:7" x14ac:dyDescent="0.2">
      <c r="B4489" s="167">
        <v>45337</v>
      </c>
      <c r="C4489" s="28">
        <v>382.1</v>
      </c>
      <c r="D4489" s="83">
        <f t="shared" ref="D4489:D4552" si="144">(C4489-C4490)/C4490</f>
        <v>-0.19491793261836032</v>
      </c>
      <c r="E4489" s="83">
        <v>-1.8570364472298467E-2</v>
      </c>
      <c r="F4489" s="83">
        <v>4481</v>
      </c>
      <c r="G4489" s="83">
        <f t="shared" ref="G4489:G4552" ca="1" si="145">_xlfn.NORM.INV(RAND(),$M$10,$M$11)</f>
        <v>-1.2464045048077061E-2</v>
      </c>
    </row>
    <row r="4490" spans="2:7" x14ac:dyDescent="0.2">
      <c r="B4490" s="167">
        <v>45541</v>
      </c>
      <c r="C4490" s="28">
        <v>474.61</v>
      </c>
      <c r="D4490" s="83">
        <f t="shared" si="144"/>
        <v>1.0248730747898802</v>
      </c>
      <c r="E4490" s="83">
        <v>-1.8589743589743607E-2</v>
      </c>
      <c r="F4490" s="83">
        <v>4482</v>
      </c>
      <c r="G4490" s="83">
        <f t="shared" ca="1" si="145"/>
        <v>-2.7654448568913276E-3</v>
      </c>
    </row>
    <row r="4491" spans="2:7" x14ac:dyDescent="0.2">
      <c r="B4491" s="167">
        <v>42011</v>
      </c>
      <c r="C4491" s="28">
        <v>234.39</v>
      </c>
      <c r="D4491" s="83">
        <f t="shared" si="144"/>
        <v>1.6805809698078682</v>
      </c>
      <c r="E4491" s="83">
        <v>-1.8590629317924993E-2</v>
      </c>
      <c r="F4491" s="83">
        <v>4483</v>
      </c>
      <c r="G4491" s="83">
        <f t="shared" ca="1" si="145"/>
        <v>-2.9540448251984701E-2</v>
      </c>
    </row>
    <row r="4492" spans="2:7" x14ac:dyDescent="0.2">
      <c r="B4492" s="167">
        <v>40141</v>
      </c>
      <c r="C4492" s="28">
        <v>87.44</v>
      </c>
      <c r="D4492" s="83">
        <f t="shared" si="144"/>
        <v>0.22242415769607152</v>
      </c>
      <c r="E4492" s="83">
        <v>-1.863075196408526E-2</v>
      </c>
      <c r="F4492" s="83">
        <v>4484</v>
      </c>
      <c r="G4492" s="83">
        <f t="shared" ca="1" si="145"/>
        <v>9.9953464665466039E-3</v>
      </c>
    </row>
    <row r="4493" spans="2:7" x14ac:dyDescent="0.2">
      <c r="B4493" s="167">
        <v>39603</v>
      </c>
      <c r="C4493" s="28">
        <v>71.53</v>
      </c>
      <c r="D4493" s="83">
        <f t="shared" si="144"/>
        <v>-0.78047507979376374</v>
      </c>
      <c r="E4493" s="83">
        <v>-1.8658252160790225E-2</v>
      </c>
      <c r="F4493" s="83">
        <v>4485</v>
      </c>
      <c r="G4493" s="83">
        <f t="shared" ca="1" si="145"/>
        <v>3.7128451550762468E-3</v>
      </c>
    </row>
    <row r="4494" spans="2:7" x14ac:dyDescent="0.2">
      <c r="B4494" s="167">
        <v>44844</v>
      </c>
      <c r="C4494" s="28">
        <v>325.83999999999997</v>
      </c>
      <c r="D4494" s="83">
        <f t="shared" si="144"/>
        <v>0.85399715504978646</v>
      </c>
      <c r="E4494" s="83">
        <v>-1.8702002710435286E-2</v>
      </c>
      <c r="F4494" s="83">
        <v>4486</v>
      </c>
      <c r="G4494" s="83">
        <f t="shared" ca="1" si="145"/>
        <v>2.5660421460075532E-2</v>
      </c>
    </row>
    <row r="4495" spans="2:7" x14ac:dyDescent="0.2">
      <c r="B4495" s="167">
        <v>44095</v>
      </c>
      <c r="C4495" s="28">
        <v>175.75</v>
      </c>
      <c r="D4495" s="83">
        <f t="shared" si="144"/>
        <v>-0.57848662909221726</v>
      </c>
      <c r="E4495" s="83">
        <v>-1.87046342825237E-2</v>
      </c>
      <c r="F4495" s="83">
        <v>4487</v>
      </c>
      <c r="G4495" s="83">
        <f t="shared" ca="1" si="145"/>
        <v>3.3159101779510453E-2</v>
      </c>
    </row>
    <row r="4496" spans="2:7" x14ac:dyDescent="0.2">
      <c r="B4496" s="167">
        <v>45197</v>
      </c>
      <c r="C4496" s="28">
        <v>416.95</v>
      </c>
      <c r="D4496" s="83">
        <f t="shared" si="144"/>
        <v>7.6166632252735886E-2</v>
      </c>
      <c r="E4496" s="83">
        <v>-1.8710284772887713E-2</v>
      </c>
      <c r="F4496" s="83">
        <v>4488</v>
      </c>
      <c r="G4496" s="83">
        <f t="shared" ca="1" si="145"/>
        <v>1.2783107342229734E-2</v>
      </c>
    </row>
    <row r="4497" spans="2:7" x14ac:dyDescent="0.2">
      <c r="B4497" s="167">
        <v>45370</v>
      </c>
      <c r="C4497" s="28">
        <v>387.44</v>
      </c>
      <c r="D4497" s="83">
        <f t="shared" si="144"/>
        <v>5.336931632319267</v>
      </c>
      <c r="E4497" s="83">
        <v>-1.891570231191924E-2</v>
      </c>
      <c r="F4497" s="83">
        <v>4489</v>
      </c>
      <c r="G4497" s="83">
        <f t="shared" ca="1" si="145"/>
        <v>2.6190276878458076E-2</v>
      </c>
    </row>
    <row r="4498" spans="2:7" x14ac:dyDescent="0.2">
      <c r="B4498" s="167">
        <v>38985</v>
      </c>
      <c r="C4498" s="28">
        <v>61.14</v>
      </c>
      <c r="D4498" s="83">
        <f t="shared" si="144"/>
        <v>-0.67871781397792963</v>
      </c>
      <c r="E4498" s="83">
        <v>-1.8934531450577659E-2</v>
      </c>
      <c r="F4498" s="83">
        <v>4490</v>
      </c>
      <c r="G4498" s="83">
        <f t="shared" ca="1" si="145"/>
        <v>-2.3402616873989174E-2</v>
      </c>
    </row>
    <row r="4499" spans="2:7" x14ac:dyDescent="0.2">
      <c r="B4499" s="167">
        <v>41339</v>
      </c>
      <c r="C4499" s="28">
        <v>190.3</v>
      </c>
      <c r="D4499" s="83">
        <f t="shared" si="144"/>
        <v>-0.43492591382842882</v>
      </c>
      <c r="E4499" s="83">
        <v>-1.8971027941024739E-2</v>
      </c>
      <c r="F4499" s="83">
        <v>4491</v>
      </c>
      <c r="G4499" s="83">
        <f t="shared" ca="1" si="145"/>
        <v>2.0336155631629837E-2</v>
      </c>
    </row>
    <row r="4500" spans="2:7" x14ac:dyDescent="0.2">
      <c r="B4500" s="167">
        <v>44910</v>
      </c>
      <c r="C4500" s="28">
        <v>336.77</v>
      </c>
      <c r="D4500" s="83">
        <f t="shared" si="144"/>
        <v>0.23155970012799412</v>
      </c>
      <c r="E4500" s="83">
        <v>-1.8992688397564853E-2</v>
      </c>
      <c r="F4500" s="83">
        <v>4492</v>
      </c>
      <c r="G4500" s="83">
        <f t="shared" ca="1" si="145"/>
        <v>-1.1351219849827053E-2</v>
      </c>
    </row>
    <row r="4501" spans="2:7" x14ac:dyDescent="0.2">
      <c r="B4501" s="167">
        <v>43243</v>
      </c>
      <c r="C4501" s="28">
        <v>273.45</v>
      </c>
      <c r="D4501" s="83">
        <f t="shared" si="144"/>
        <v>4.9712092130518193E-2</v>
      </c>
      <c r="E4501" s="83">
        <v>-1.9013452914798248E-2</v>
      </c>
      <c r="F4501" s="83">
        <v>4493</v>
      </c>
      <c r="G4501" s="83">
        <f t="shared" ca="1" si="145"/>
        <v>3.3264135049740698E-3</v>
      </c>
    </row>
    <row r="4502" spans="2:7" x14ac:dyDescent="0.2">
      <c r="B4502" s="167">
        <v>43175</v>
      </c>
      <c r="C4502" s="28">
        <v>260.5</v>
      </c>
      <c r="D4502" s="83">
        <f t="shared" si="144"/>
        <v>0.18017487428079559</v>
      </c>
      <c r="E4502" s="83">
        <v>-1.9017134249670536E-2</v>
      </c>
      <c r="F4502" s="83">
        <v>4494</v>
      </c>
      <c r="G4502" s="83">
        <f t="shared" ca="1" si="145"/>
        <v>-2.1143356747022529E-2</v>
      </c>
    </row>
    <row r="4503" spans="2:7" x14ac:dyDescent="0.2">
      <c r="B4503" s="167">
        <v>41488</v>
      </c>
      <c r="C4503" s="28">
        <v>220.73</v>
      </c>
      <c r="D4503" s="83">
        <f t="shared" si="144"/>
        <v>0.70040828903782437</v>
      </c>
      <c r="E4503" s="83">
        <v>-1.9021376827696553E-2</v>
      </c>
      <c r="F4503" s="83">
        <v>4495</v>
      </c>
      <c r="G4503" s="83">
        <f t="shared" ca="1" si="145"/>
        <v>1.7735916782079555E-2</v>
      </c>
    </row>
    <row r="4504" spans="2:7" x14ac:dyDescent="0.2">
      <c r="B4504" s="167">
        <v>40893</v>
      </c>
      <c r="C4504" s="28">
        <v>129.81</v>
      </c>
      <c r="D4504" s="83">
        <f t="shared" si="144"/>
        <v>-0.47466612707405909</v>
      </c>
      <c r="E4504" s="83">
        <v>-1.9043300838812137E-2</v>
      </c>
      <c r="F4504" s="83">
        <v>4496</v>
      </c>
      <c r="G4504" s="83">
        <f t="shared" ca="1" si="145"/>
        <v>-1.0079782043412594E-2</v>
      </c>
    </row>
    <row r="4505" spans="2:7" x14ac:dyDescent="0.2">
      <c r="B4505" s="167">
        <v>43747</v>
      </c>
      <c r="C4505" s="28">
        <v>247.1</v>
      </c>
      <c r="D4505" s="83">
        <f t="shared" si="144"/>
        <v>2.8120950323974085</v>
      </c>
      <c r="E4505" s="83">
        <v>-1.9055180627233072E-2</v>
      </c>
      <c r="F4505" s="83">
        <v>4497</v>
      </c>
      <c r="G4505" s="83">
        <f t="shared" ca="1" si="145"/>
        <v>5.4315431483172661E-3</v>
      </c>
    </row>
    <row r="4506" spans="2:7" x14ac:dyDescent="0.2">
      <c r="B4506" s="167">
        <v>39478</v>
      </c>
      <c r="C4506" s="28">
        <v>64.819999999999993</v>
      </c>
      <c r="D4506" s="83">
        <f t="shared" si="144"/>
        <v>-0.44207264589430206</v>
      </c>
      <c r="E4506" s="83">
        <v>-1.9067796610169569E-2</v>
      </c>
      <c r="F4506" s="83">
        <v>4498</v>
      </c>
      <c r="G4506" s="83">
        <f t="shared" ca="1" si="145"/>
        <v>-5.6844732993373509E-4</v>
      </c>
    </row>
    <row r="4507" spans="2:7" x14ac:dyDescent="0.2">
      <c r="B4507" s="167">
        <v>40455</v>
      </c>
      <c r="C4507" s="28">
        <v>116.18</v>
      </c>
      <c r="D4507" s="83">
        <f t="shared" si="144"/>
        <v>1.515263043948907</v>
      </c>
      <c r="E4507" s="83">
        <v>-1.9081391421816876E-2</v>
      </c>
      <c r="F4507" s="83">
        <v>4499</v>
      </c>
      <c r="G4507" s="83">
        <f t="shared" ca="1" si="145"/>
        <v>1.6450723998872929E-2</v>
      </c>
    </row>
    <row r="4508" spans="2:7" x14ac:dyDescent="0.2">
      <c r="B4508" s="167">
        <v>38709</v>
      </c>
      <c r="C4508" s="28">
        <v>46.19</v>
      </c>
      <c r="D4508" s="83">
        <f t="shared" si="144"/>
        <v>-0.45633239171374762</v>
      </c>
      <c r="E4508" s="83">
        <v>-1.9112338076024752E-2</v>
      </c>
      <c r="F4508" s="83">
        <v>4500</v>
      </c>
      <c r="G4508" s="83">
        <f t="shared" ca="1" si="145"/>
        <v>-2.38456718796612E-2</v>
      </c>
    </row>
    <row r="4509" spans="2:7" x14ac:dyDescent="0.2">
      <c r="B4509" s="167">
        <v>40144</v>
      </c>
      <c r="C4509" s="28">
        <v>84.96</v>
      </c>
      <c r="D4509" s="83">
        <f t="shared" si="144"/>
        <v>-0.80573466867883115</v>
      </c>
      <c r="E4509" s="83">
        <v>-1.91641653197877E-2</v>
      </c>
      <c r="F4509" s="83">
        <v>4501</v>
      </c>
      <c r="G4509" s="83">
        <f t="shared" ca="1" si="145"/>
        <v>-1.9943849378050733E-3</v>
      </c>
    </row>
    <row r="4510" spans="2:7" x14ac:dyDescent="0.2">
      <c r="B4510" s="167">
        <v>45132</v>
      </c>
      <c r="C4510" s="28">
        <v>437.34</v>
      </c>
      <c r="D4510" s="83">
        <f t="shared" si="144"/>
        <v>4.7461568782026013</v>
      </c>
      <c r="E4510" s="83">
        <v>-1.919712940121104E-2</v>
      </c>
      <c r="F4510" s="83">
        <v>4502</v>
      </c>
      <c r="G4510" s="83">
        <f t="shared" ca="1" si="145"/>
        <v>1.2949799316193283E-2</v>
      </c>
    </row>
    <row r="4511" spans="2:7" x14ac:dyDescent="0.2">
      <c r="B4511" s="167">
        <v>40032</v>
      </c>
      <c r="C4511" s="28">
        <v>76.11</v>
      </c>
      <c r="D4511" s="83">
        <f t="shared" si="144"/>
        <v>-0.71852810650887566</v>
      </c>
      <c r="E4511" s="83">
        <v>-1.9201030927834987E-2</v>
      </c>
      <c r="F4511" s="83">
        <v>4503</v>
      </c>
      <c r="G4511" s="83">
        <f t="shared" ca="1" si="145"/>
        <v>-4.9254419843311574E-3</v>
      </c>
    </row>
    <row r="4512" spans="2:7" x14ac:dyDescent="0.2">
      <c r="B4512" s="167">
        <v>42985</v>
      </c>
      <c r="C4512" s="28">
        <v>270.39999999999998</v>
      </c>
      <c r="D4512" s="83">
        <f t="shared" si="144"/>
        <v>0.30880929332042589</v>
      </c>
      <c r="E4512" s="83">
        <v>-1.9223793978962681E-2</v>
      </c>
      <c r="F4512" s="83">
        <v>4504</v>
      </c>
      <c r="G4512" s="83">
        <f t="shared" ca="1" si="145"/>
        <v>-3.9852162486118739E-2</v>
      </c>
    </row>
    <row r="4513" spans="2:7" x14ac:dyDescent="0.2">
      <c r="B4513" s="167">
        <v>44224</v>
      </c>
      <c r="C4513" s="28">
        <v>206.6</v>
      </c>
      <c r="D4513" s="83">
        <f t="shared" si="144"/>
        <v>2.4963614824843456</v>
      </c>
      <c r="E4513" s="83">
        <v>-1.9226204604794735E-2</v>
      </c>
      <c r="F4513" s="83">
        <v>4505</v>
      </c>
      <c r="G4513" s="83">
        <f t="shared" ca="1" si="145"/>
        <v>2.1815196264429966E-2</v>
      </c>
    </row>
    <row r="4514" spans="2:7" x14ac:dyDescent="0.2">
      <c r="B4514" s="167">
        <v>39041</v>
      </c>
      <c r="C4514" s="28">
        <v>59.09</v>
      </c>
      <c r="D4514" s="83">
        <f t="shared" si="144"/>
        <v>-4.9082716446733135E-2</v>
      </c>
      <c r="E4514" s="83">
        <v>-1.9253112033194963E-2</v>
      </c>
      <c r="F4514" s="83">
        <v>4506</v>
      </c>
      <c r="G4514" s="83">
        <f t="shared" ca="1" si="145"/>
        <v>-3.0428432273551041E-2</v>
      </c>
    </row>
    <row r="4515" spans="2:7" x14ac:dyDescent="0.2">
      <c r="B4515" s="167">
        <v>39678</v>
      </c>
      <c r="C4515" s="28">
        <v>62.14</v>
      </c>
      <c r="D4515" s="83">
        <f t="shared" si="144"/>
        <v>-0.77378958864215508</v>
      </c>
      <c r="E4515" s="83">
        <v>-1.9255050505050487E-2</v>
      </c>
      <c r="F4515" s="83">
        <v>4507</v>
      </c>
      <c r="G4515" s="83">
        <f t="shared" ca="1" si="145"/>
        <v>-1.1177798976167051E-2</v>
      </c>
    </row>
    <row r="4516" spans="2:7" x14ac:dyDescent="0.2">
      <c r="B4516" s="167">
        <v>43514</v>
      </c>
      <c r="C4516" s="28">
        <v>274.7</v>
      </c>
      <c r="D4516" s="83">
        <f t="shared" si="144"/>
        <v>1.4020636586218955</v>
      </c>
      <c r="E4516" s="83">
        <v>-1.9278828989646675E-2</v>
      </c>
      <c r="F4516" s="83">
        <v>4508</v>
      </c>
      <c r="G4516" s="83">
        <f t="shared" ca="1" si="145"/>
        <v>5.9882547134940236E-3</v>
      </c>
    </row>
    <row r="4517" spans="2:7" x14ac:dyDescent="0.2">
      <c r="B4517" s="167">
        <v>40505</v>
      </c>
      <c r="C4517" s="28">
        <v>114.36</v>
      </c>
      <c r="D4517" s="83">
        <f t="shared" si="144"/>
        <v>1.4099494546421952E-2</v>
      </c>
      <c r="E4517" s="83">
        <v>-1.9295086184718292E-2</v>
      </c>
      <c r="F4517" s="83">
        <v>4509</v>
      </c>
      <c r="G4517" s="83">
        <f t="shared" ca="1" si="145"/>
        <v>-2.394993792848147E-2</v>
      </c>
    </row>
    <row r="4518" spans="2:7" x14ac:dyDescent="0.2">
      <c r="B4518" s="167">
        <v>40617</v>
      </c>
      <c r="C4518" s="28">
        <v>112.77</v>
      </c>
      <c r="D4518" s="83">
        <f t="shared" si="144"/>
        <v>-0.46884272997032644</v>
      </c>
      <c r="E4518" s="83">
        <v>-1.9306026611009643E-2</v>
      </c>
      <c r="F4518" s="83">
        <v>4510</v>
      </c>
      <c r="G4518" s="83">
        <f t="shared" ca="1" si="145"/>
        <v>3.1108451611979671E-2</v>
      </c>
    </row>
    <row r="4519" spans="2:7" x14ac:dyDescent="0.2">
      <c r="B4519" s="167">
        <v>42360</v>
      </c>
      <c r="C4519" s="28">
        <v>212.31</v>
      </c>
      <c r="D4519" s="83">
        <f t="shared" si="144"/>
        <v>-0.11977611940298502</v>
      </c>
      <c r="E4519" s="83">
        <v>-1.930805118019311E-2</v>
      </c>
      <c r="F4519" s="83">
        <v>4511</v>
      </c>
      <c r="G4519" s="83">
        <f t="shared" ca="1" si="145"/>
        <v>-2.883409502933737E-2</v>
      </c>
    </row>
    <row r="4520" spans="2:7" x14ac:dyDescent="0.2">
      <c r="B4520" s="167">
        <v>43706</v>
      </c>
      <c r="C4520" s="28">
        <v>241.2</v>
      </c>
      <c r="D4520" s="83">
        <f t="shared" si="144"/>
        <v>0.26680672268907552</v>
      </c>
      <c r="E4520" s="83">
        <v>-1.9312868469201057E-2</v>
      </c>
      <c r="F4520" s="83">
        <v>4512</v>
      </c>
      <c r="G4520" s="83">
        <f t="shared" ca="1" si="145"/>
        <v>3.6747798208447896E-2</v>
      </c>
    </row>
    <row r="4521" spans="2:7" x14ac:dyDescent="0.2">
      <c r="B4521" s="167">
        <v>41373</v>
      </c>
      <c r="C4521" s="28">
        <v>190.4</v>
      </c>
      <c r="D4521" s="83">
        <f t="shared" si="144"/>
        <v>4.520440707451435</v>
      </c>
      <c r="E4521" s="83">
        <v>-1.9314962657738861E-2</v>
      </c>
      <c r="F4521" s="83">
        <v>4513</v>
      </c>
      <c r="G4521" s="83">
        <f t="shared" ca="1" si="145"/>
        <v>9.8693139078482855E-3</v>
      </c>
    </row>
    <row r="4522" spans="2:7" x14ac:dyDescent="0.2">
      <c r="B4522" s="167">
        <v>38505</v>
      </c>
      <c r="C4522" s="28">
        <v>34.49</v>
      </c>
      <c r="D4522" s="83">
        <f t="shared" si="144"/>
        <v>-0.78608199466600504</v>
      </c>
      <c r="E4522" s="83">
        <v>-1.9334660221779917E-2</v>
      </c>
      <c r="F4522" s="83">
        <v>4514</v>
      </c>
      <c r="G4522" s="83">
        <f t="shared" ca="1" si="145"/>
        <v>1.5023519033875119E-2</v>
      </c>
    </row>
    <row r="4523" spans="2:7" x14ac:dyDescent="0.2">
      <c r="B4523" s="167">
        <v>41078</v>
      </c>
      <c r="C4523" s="28">
        <v>161.22999999999999</v>
      </c>
      <c r="D4523" s="83">
        <f t="shared" si="144"/>
        <v>2.5134016125517538</v>
      </c>
      <c r="E4523" s="83">
        <v>-1.934188917949034E-2</v>
      </c>
      <c r="F4523" s="83">
        <v>4515</v>
      </c>
      <c r="G4523" s="83">
        <f t="shared" ca="1" si="145"/>
        <v>-3.1052838514600972E-2</v>
      </c>
    </row>
    <row r="4524" spans="2:7" x14ac:dyDescent="0.2">
      <c r="B4524" s="167">
        <v>38714</v>
      </c>
      <c r="C4524" s="28">
        <v>45.89</v>
      </c>
      <c r="D4524" s="83">
        <f t="shared" si="144"/>
        <v>-0.80628957365977205</v>
      </c>
      <c r="E4524" s="83">
        <v>-1.9444444444444372E-2</v>
      </c>
      <c r="F4524" s="83">
        <v>4516</v>
      </c>
      <c r="G4524" s="83">
        <f t="shared" ca="1" si="145"/>
        <v>7.0917945476099246E-3</v>
      </c>
    </row>
    <row r="4525" spans="2:7" x14ac:dyDescent="0.2">
      <c r="B4525" s="167">
        <v>43815</v>
      </c>
      <c r="C4525" s="28">
        <v>236.9</v>
      </c>
      <c r="D4525" s="83">
        <f t="shared" si="144"/>
        <v>2.7389520202020203</v>
      </c>
      <c r="E4525" s="83">
        <v>-1.9453642384105914E-2</v>
      </c>
      <c r="F4525" s="83">
        <v>4517</v>
      </c>
      <c r="G4525" s="83">
        <f t="shared" ca="1" si="145"/>
        <v>-1.5368366540218514E-2</v>
      </c>
    </row>
    <row r="4526" spans="2:7" x14ac:dyDescent="0.2">
      <c r="B4526" s="167">
        <v>39674</v>
      </c>
      <c r="C4526" s="28">
        <v>63.36</v>
      </c>
      <c r="D4526" s="83">
        <f t="shared" si="144"/>
        <v>3.3436633501875666E-2</v>
      </c>
      <c r="E4526" s="83">
        <v>-1.949860724233991E-2</v>
      </c>
      <c r="F4526" s="83">
        <v>4518</v>
      </c>
      <c r="G4526" s="83">
        <f t="shared" ca="1" si="145"/>
        <v>1.1248105921515089E-2</v>
      </c>
    </row>
    <row r="4527" spans="2:7" x14ac:dyDescent="0.2">
      <c r="B4527" s="167">
        <v>39013</v>
      </c>
      <c r="C4527" s="28">
        <v>61.31</v>
      </c>
      <c r="D4527" s="83">
        <f t="shared" si="144"/>
        <v>-3.0365332911592515E-2</v>
      </c>
      <c r="E4527" s="83">
        <v>-1.9510634895250262E-2</v>
      </c>
      <c r="F4527" s="83">
        <v>4519</v>
      </c>
      <c r="G4527" s="83">
        <f t="shared" ca="1" si="145"/>
        <v>-1.0981948382236673E-2</v>
      </c>
    </row>
    <row r="4528" spans="2:7" x14ac:dyDescent="0.2">
      <c r="B4528" s="167">
        <v>39514</v>
      </c>
      <c r="C4528" s="28">
        <v>63.23</v>
      </c>
      <c r="D4528" s="83">
        <f t="shared" si="144"/>
        <v>-0.85118851494469283</v>
      </c>
      <c r="E4528" s="83">
        <v>-1.9537912854706126E-2</v>
      </c>
      <c r="F4528" s="83">
        <v>4520</v>
      </c>
      <c r="G4528" s="83">
        <f t="shared" ca="1" si="145"/>
        <v>-1.084518712348158E-2</v>
      </c>
    </row>
    <row r="4529" spans="2:7" x14ac:dyDescent="0.2">
      <c r="B4529" s="167">
        <v>45268</v>
      </c>
      <c r="C4529" s="28">
        <v>424.9</v>
      </c>
      <c r="D4529" s="83">
        <f t="shared" si="144"/>
        <v>1.7289659601798331</v>
      </c>
      <c r="E4529" s="83">
        <v>-1.9544500080762459E-2</v>
      </c>
      <c r="F4529" s="83">
        <v>4521</v>
      </c>
      <c r="G4529" s="83">
        <f t="shared" ca="1" si="145"/>
        <v>2.2789634293748362E-3</v>
      </c>
    </row>
    <row r="4530" spans="2:7" x14ac:dyDescent="0.2">
      <c r="B4530" s="167">
        <v>41050</v>
      </c>
      <c r="C4530" s="28">
        <v>155.69999999999999</v>
      </c>
      <c r="D4530" s="83">
        <f t="shared" si="144"/>
        <v>0.47247966710800071</v>
      </c>
      <c r="E4530" s="83">
        <v>-1.9583149675713202E-2</v>
      </c>
      <c r="F4530" s="83">
        <v>4522</v>
      </c>
      <c r="G4530" s="83">
        <f t="shared" ca="1" si="145"/>
        <v>-1.8925440257667858E-2</v>
      </c>
    </row>
    <row r="4531" spans="2:7" x14ac:dyDescent="0.2">
      <c r="B4531" s="167">
        <v>40413</v>
      </c>
      <c r="C4531" s="28">
        <v>105.74</v>
      </c>
      <c r="D4531" s="83">
        <f t="shared" si="144"/>
        <v>-0.61241844439557214</v>
      </c>
      <c r="E4531" s="83">
        <v>-1.9655108473947754E-2</v>
      </c>
      <c r="F4531" s="83">
        <v>4523</v>
      </c>
      <c r="G4531" s="83">
        <f t="shared" ca="1" si="145"/>
        <v>-1.1123727696899368E-2</v>
      </c>
    </row>
    <row r="4532" spans="2:7" x14ac:dyDescent="0.2">
      <c r="B4532" s="167">
        <v>44704</v>
      </c>
      <c r="C4532" s="28">
        <v>272.82</v>
      </c>
      <c r="D4532" s="83">
        <f t="shared" si="144"/>
        <v>6.2946524064171125</v>
      </c>
      <c r="E4532" s="83">
        <v>-1.965575478817071E-2</v>
      </c>
      <c r="F4532" s="83">
        <v>4524</v>
      </c>
      <c r="G4532" s="83">
        <f t="shared" ca="1" si="145"/>
        <v>1.0044417659358386E-2</v>
      </c>
    </row>
    <row r="4533" spans="2:7" x14ac:dyDescent="0.2">
      <c r="B4533" s="167">
        <v>38576</v>
      </c>
      <c r="C4533" s="28">
        <v>37.4</v>
      </c>
      <c r="D4533" s="83">
        <f t="shared" si="144"/>
        <v>-0.79405286343612336</v>
      </c>
      <c r="E4533" s="83">
        <v>-1.9659239842726082E-2</v>
      </c>
      <c r="F4533" s="83">
        <v>4525</v>
      </c>
      <c r="G4533" s="83">
        <f t="shared" ca="1" si="145"/>
        <v>4.8701388700722352E-3</v>
      </c>
    </row>
    <row r="4534" spans="2:7" x14ac:dyDescent="0.2">
      <c r="B4534" s="167">
        <v>43934</v>
      </c>
      <c r="C4534" s="28">
        <v>181.6</v>
      </c>
      <c r="D4534" s="83">
        <f t="shared" si="144"/>
        <v>8.1402965521348097E-2</v>
      </c>
      <c r="E4534" s="83">
        <v>-1.9703103913630261E-2</v>
      </c>
      <c r="F4534" s="83">
        <v>4526</v>
      </c>
      <c r="G4534" s="83">
        <f t="shared" ca="1" si="145"/>
        <v>3.5195879139439264E-3</v>
      </c>
    </row>
    <row r="4535" spans="2:7" x14ac:dyDescent="0.2">
      <c r="B4535" s="167">
        <v>41101</v>
      </c>
      <c r="C4535" s="28">
        <v>167.93</v>
      </c>
      <c r="D4535" s="83">
        <f t="shared" si="144"/>
        <v>-0.43638194327907365</v>
      </c>
      <c r="E4535" s="83">
        <v>-1.973031346681452E-2</v>
      </c>
      <c r="F4535" s="83">
        <v>4527</v>
      </c>
      <c r="G4535" s="83">
        <f t="shared" ca="1" si="145"/>
        <v>-8.766474872817195E-3</v>
      </c>
    </row>
    <row r="4536" spans="2:7" x14ac:dyDescent="0.2">
      <c r="B4536" s="167">
        <v>43367</v>
      </c>
      <c r="C4536" s="28">
        <v>297.95</v>
      </c>
      <c r="D4536" s="83">
        <f t="shared" si="144"/>
        <v>7.6967308814944548</v>
      </c>
      <c r="E4536" s="83">
        <v>-1.9740088830399738E-2</v>
      </c>
      <c r="F4536" s="83">
        <v>4528</v>
      </c>
      <c r="G4536" s="83">
        <f t="shared" ca="1" si="145"/>
        <v>1.0982312933133079E-2</v>
      </c>
    </row>
    <row r="4537" spans="2:7" x14ac:dyDescent="0.2">
      <c r="B4537" s="167">
        <v>38510</v>
      </c>
      <c r="C4537" s="28">
        <v>34.26</v>
      </c>
      <c r="D4537" s="83">
        <f t="shared" si="144"/>
        <v>-0.58381924198250723</v>
      </c>
      <c r="E4537" s="83">
        <v>-1.9742489270386403E-2</v>
      </c>
      <c r="F4537" s="83">
        <v>4529</v>
      </c>
      <c r="G4537" s="83">
        <f t="shared" ca="1" si="145"/>
        <v>7.4549100144127405E-3</v>
      </c>
    </row>
    <row r="4538" spans="2:7" x14ac:dyDescent="0.2">
      <c r="B4538" s="167">
        <v>40214</v>
      </c>
      <c r="C4538" s="28">
        <v>82.32</v>
      </c>
      <c r="D4538" s="83">
        <f t="shared" si="144"/>
        <v>-0.61129473982434601</v>
      </c>
      <c r="E4538" s="83">
        <v>-1.9766611097880575E-2</v>
      </c>
      <c r="F4538" s="83">
        <v>4530</v>
      </c>
      <c r="G4538" s="83">
        <f t="shared" ca="1" si="145"/>
        <v>2.0407281761719284E-2</v>
      </c>
    </row>
    <row r="4539" spans="2:7" x14ac:dyDescent="0.2">
      <c r="B4539" s="167">
        <v>42467</v>
      </c>
      <c r="C4539" s="28">
        <v>211.78</v>
      </c>
      <c r="D4539" s="83">
        <f t="shared" si="144"/>
        <v>1.9643716899374157E-2</v>
      </c>
      <c r="E4539" s="83">
        <v>-1.9809312228084797E-2</v>
      </c>
      <c r="F4539" s="83">
        <v>4531</v>
      </c>
      <c r="G4539" s="83">
        <f t="shared" ca="1" si="145"/>
        <v>-1.3510894659907624E-2</v>
      </c>
    </row>
    <row r="4540" spans="2:7" x14ac:dyDescent="0.2">
      <c r="B4540" s="167">
        <v>43875</v>
      </c>
      <c r="C4540" s="28">
        <v>207.7</v>
      </c>
      <c r="D4540" s="83">
        <f t="shared" si="144"/>
        <v>5.6698779704560049</v>
      </c>
      <c r="E4540" s="83">
        <v>-1.9820670127418675E-2</v>
      </c>
      <c r="F4540" s="83">
        <v>4532</v>
      </c>
      <c r="G4540" s="83">
        <f t="shared" ca="1" si="145"/>
        <v>1.2461765329222196E-2</v>
      </c>
    </row>
    <row r="4541" spans="2:7" x14ac:dyDescent="0.2">
      <c r="B4541" s="167">
        <v>38474</v>
      </c>
      <c r="C4541" s="28">
        <v>31.14</v>
      </c>
      <c r="D4541" s="83">
        <f t="shared" si="144"/>
        <v>-0.48315352697095437</v>
      </c>
      <c r="E4541" s="83">
        <v>-1.9830028328611866E-2</v>
      </c>
      <c r="F4541" s="83">
        <v>4533</v>
      </c>
      <c r="G4541" s="83">
        <f t="shared" ca="1" si="145"/>
        <v>-6.7594713441896615E-3</v>
      </c>
    </row>
    <row r="4542" spans="2:7" x14ac:dyDescent="0.2">
      <c r="B4542" s="167">
        <v>39038</v>
      </c>
      <c r="C4542" s="28">
        <v>60.25</v>
      </c>
      <c r="D4542" s="83">
        <f t="shared" si="144"/>
        <v>-0.55613673198762348</v>
      </c>
      <c r="E4542" s="83">
        <v>-1.9847079876362434E-2</v>
      </c>
      <c r="F4542" s="83">
        <v>4534</v>
      </c>
      <c r="G4542" s="83">
        <f t="shared" ca="1" si="145"/>
        <v>-1.4203364383255306E-2</v>
      </c>
    </row>
    <row r="4543" spans="2:7" x14ac:dyDescent="0.2">
      <c r="B4543" s="167">
        <v>40757</v>
      </c>
      <c r="C4543" s="28">
        <v>135.74</v>
      </c>
      <c r="D4543" s="83">
        <f t="shared" si="144"/>
        <v>-0.34554746637095601</v>
      </c>
      <c r="E4543" s="83">
        <v>-1.9857029388403495E-2</v>
      </c>
      <c r="F4543" s="83">
        <v>4535</v>
      </c>
      <c r="G4543" s="83">
        <f t="shared" ca="1" si="145"/>
        <v>-4.6323561547927557E-3</v>
      </c>
    </row>
    <row r="4544" spans="2:7" x14ac:dyDescent="0.2">
      <c r="B4544" s="167">
        <v>41612</v>
      </c>
      <c r="C4544" s="28">
        <v>207.41</v>
      </c>
      <c r="D4544" s="83">
        <f t="shared" si="144"/>
        <v>-7.4269136353492582E-2</v>
      </c>
      <c r="E4544" s="83">
        <v>-1.9894149891314657E-2</v>
      </c>
      <c r="F4544" s="83">
        <v>4536</v>
      </c>
      <c r="G4544" s="83">
        <f t="shared" ca="1" si="145"/>
        <v>1.7926924176672323E-2</v>
      </c>
    </row>
    <row r="4545" spans="2:7" x14ac:dyDescent="0.2">
      <c r="B4545" s="167">
        <v>44545</v>
      </c>
      <c r="C4545" s="28">
        <v>224.05</v>
      </c>
      <c r="D4545" s="83">
        <f t="shared" si="144"/>
        <v>-0.18719390531471058</v>
      </c>
      <c r="E4545" s="83">
        <v>-1.9903762029746207E-2</v>
      </c>
      <c r="F4545" s="83">
        <v>4537</v>
      </c>
      <c r="G4545" s="83">
        <f t="shared" ca="1" si="145"/>
        <v>2.5232483801418328E-2</v>
      </c>
    </row>
    <row r="4546" spans="2:7" x14ac:dyDescent="0.2">
      <c r="B4546" s="167">
        <v>43129</v>
      </c>
      <c r="C4546" s="28">
        <v>275.64999999999998</v>
      </c>
      <c r="D4546" s="83">
        <f t="shared" si="144"/>
        <v>5.4756256217953637E-2</v>
      </c>
      <c r="E4546" s="83">
        <v>-1.9911111111111192E-2</v>
      </c>
      <c r="F4546" s="83">
        <v>4538</v>
      </c>
      <c r="G4546" s="83">
        <f t="shared" ca="1" si="145"/>
        <v>1.4747907918032079E-2</v>
      </c>
    </row>
    <row r="4547" spans="2:7" x14ac:dyDescent="0.2">
      <c r="B4547" s="167">
        <v>44690</v>
      </c>
      <c r="C4547" s="28">
        <v>261.33999999999997</v>
      </c>
      <c r="D4547" s="83">
        <f t="shared" si="144"/>
        <v>3.116887208569628</v>
      </c>
      <c r="E4547" s="83">
        <v>-1.9913744609038074E-2</v>
      </c>
      <c r="F4547" s="83">
        <v>4539</v>
      </c>
      <c r="G4547" s="83">
        <f t="shared" ca="1" si="145"/>
        <v>4.4674154869243738E-3</v>
      </c>
    </row>
    <row r="4548" spans="2:7" x14ac:dyDescent="0.2">
      <c r="B4548" s="167">
        <v>39623</v>
      </c>
      <c r="C4548" s="28">
        <v>63.48</v>
      </c>
      <c r="D4548" s="83">
        <f t="shared" si="144"/>
        <v>-0.74163614163614167</v>
      </c>
      <c r="E4548" s="83">
        <v>-1.9916628068550244E-2</v>
      </c>
      <c r="F4548" s="83">
        <v>4540</v>
      </c>
      <c r="G4548" s="83">
        <f t="shared" ca="1" si="145"/>
        <v>5.2759570941120259E-3</v>
      </c>
    </row>
    <row r="4549" spans="2:7" x14ac:dyDescent="0.2">
      <c r="B4549" s="167">
        <v>43790</v>
      </c>
      <c r="C4549" s="28">
        <v>245.7</v>
      </c>
      <c r="D4549" s="83">
        <f t="shared" si="144"/>
        <v>5.5729815666222662E-2</v>
      </c>
      <c r="E4549" s="83">
        <v>-1.994415636218588E-2</v>
      </c>
      <c r="F4549" s="83">
        <v>4541</v>
      </c>
      <c r="G4549" s="83">
        <f t="shared" ca="1" si="145"/>
        <v>-1.9847212181144862E-2</v>
      </c>
    </row>
    <row r="4550" spans="2:7" x14ac:dyDescent="0.2">
      <c r="B4550" s="167">
        <v>41892</v>
      </c>
      <c r="C4550" s="28">
        <v>232.73</v>
      </c>
      <c r="D4550" s="83">
        <f t="shared" si="144"/>
        <v>2.8015354459327018</v>
      </c>
      <c r="E4550" s="83">
        <v>-1.9960416052554046E-2</v>
      </c>
      <c r="F4550" s="83">
        <v>4542</v>
      </c>
      <c r="G4550" s="83">
        <f t="shared" ca="1" si="145"/>
        <v>8.6142256585107786E-3</v>
      </c>
    </row>
    <row r="4551" spans="2:7" x14ac:dyDescent="0.2">
      <c r="B4551" s="167">
        <v>39923</v>
      </c>
      <c r="C4551" s="28">
        <v>61.22</v>
      </c>
      <c r="D4551" s="83">
        <f t="shared" si="144"/>
        <v>-0.75164300202839762</v>
      </c>
      <c r="E4551" s="83">
        <v>-2.0009604610212901E-2</v>
      </c>
      <c r="F4551" s="83">
        <v>4543</v>
      </c>
      <c r="G4551" s="83">
        <f t="shared" ca="1" si="145"/>
        <v>2.5084225004355677E-2</v>
      </c>
    </row>
    <row r="4552" spans="2:7" x14ac:dyDescent="0.2">
      <c r="B4552" s="167">
        <v>43697</v>
      </c>
      <c r="C4552" s="28">
        <v>246.5</v>
      </c>
      <c r="D4552" s="83">
        <f t="shared" si="144"/>
        <v>-0.39863381312515245</v>
      </c>
      <c r="E4552" s="83">
        <v>-2.0075531703438725E-2</v>
      </c>
      <c r="F4552" s="83">
        <v>4544</v>
      </c>
      <c r="G4552" s="83">
        <f t="shared" ca="1" si="145"/>
        <v>-1.1037658700923828E-2</v>
      </c>
    </row>
    <row r="4553" spans="2:7" x14ac:dyDescent="0.2">
      <c r="B4553" s="167">
        <v>45700</v>
      </c>
      <c r="C4553" s="28">
        <v>409.9</v>
      </c>
      <c r="D4553" s="83">
        <f t="shared" ref="D4553:D4616" si="146">(C4553-C4554)/C4554</f>
        <v>0.36747289407839862</v>
      </c>
      <c r="E4553" s="83">
        <v>-2.0081281377002231E-2</v>
      </c>
      <c r="F4553" s="83">
        <v>4545</v>
      </c>
      <c r="G4553" s="83">
        <f t="shared" ref="G4553:G4616" ca="1" si="147">_xlfn.NORM.INV(RAND(),$M$10,$M$11)</f>
        <v>2.2442773511324191E-2</v>
      </c>
    </row>
    <row r="4554" spans="2:7" x14ac:dyDescent="0.2">
      <c r="B4554" s="167">
        <v>43607</v>
      </c>
      <c r="C4554" s="28">
        <v>299.75</v>
      </c>
      <c r="D4554" s="83">
        <f t="shared" si="146"/>
        <v>0.15067178502879078</v>
      </c>
      <c r="E4554" s="83">
        <v>-2.0104609349460536E-2</v>
      </c>
      <c r="F4554" s="83">
        <v>4546</v>
      </c>
      <c r="G4554" s="83">
        <f t="shared" ca="1" si="147"/>
        <v>-2.208201865292897E-2</v>
      </c>
    </row>
    <row r="4555" spans="2:7" x14ac:dyDescent="0.2">
      <c r="B4555" s="167">
        <v>43777</v>
      </c>
      <c r="C4555" s="28">
        <v>260.5</v>
      </c>
      <c r="D4555" s="83">
        <f t="shared" si="146"/>
        <v>0.23109640831758038</v>
      </c>
      <c r="E4555" s="83">
        <v>-2.0124130148580111E-2</v>
      </c>
      <c r="F4555" s="83">
        <v>4547</v>
      </c>
      <c r="G4555" s="83">
        <f t="shared" ca="1" si="147"/>
        <v>1.2529371330642178E-2</v>
      </c>
    </row>
    <row r="4556" spans="2:7" x14ac:dyDescent="0.2">
      <c r="B4556" s="167">
        <v>44280</v>
      </c>
      <c r="C4556" s="28">
        <v>211.6</v>
      </c>
      <c r="D4556" s="83">
        <f t="shared" si="146"/>
        <v>-0.18631032493751207</v>
      </c>
      <c r="E4556" s="83">
        <v>-2.0143551748089811E-2</v>
      </c>
      <c r="F4556" s="83">
        <v>4548</v>
      </c>
      <c r="G4556" s="83">
        <f t="shared" ca="1" si="147"/>
        <v>4.4092109462492202E-2</v>
      </c>
    </row>
    <row r="4557" spans="2:7" x14ac:dyDescent="0.2">
      <c r="B4557" s="167">
        <v>43048</v>
      </c>
      <c r="C4557" s="28">
        <v>260.05</v>
      </c>
      <c r="D4557" s="83">
        <f t="shared" si="146"/>
        <v>-0.16396077800996622</v>
      </c>
      <c r="E4557" s="83">
        <v>-2.0158251695553756E-2</v>
      </c>
      <c r="F4557" s="83">
        <v>4549</v>
      </c>
      <c r="G4557" s="83">
        <f t="shared" ca="1" si="147"/>
        <v>-2.169242028029823E-2</v>
      </c>
    </row>
    <row r="4558" spans="2:7" x14ac:dyDescent="0.2">
      <c r="B4558" s="167">
        <v>42892</v>
      </c>
      <c r="C4558" s="28">
        <v>311.05</v>
      </c>
      <c r="D4558" s="83">
        <f t="shared" si="146"/>
        <v>0.59692986959646788</v>
      </c>
      <c r="E4558" s="83">
        <v>-2.0160655221294621E-2</v>
      </c>
      <c r="F4558" s="83">
        <v>4550</v>
      </c>
      <c r="G4558" s="83">
        <f t="shared" ca="1" si="147"/>
        <v>9.0150837164424871E-3</v>
      </c>
    </row>
    <row r="4559" spans="2:7" x14ac:dyDescent="0.2">
      <c r="B4559" s="167">
        <v>42423</v>
      </c>
      <c r="C4559" s="28">
        <v>194.78</v>
      </c>
      <c r="D4559" s="83">
        <f t="shared" si="146"/>
        <v>-0.23209146461659769</v>
      </c>
      <c r="E4559" s="83">
        <v>-2.0172040847125063E-2</v>
      </c>
      <c r="F4559" s="83">
        <v>4551</v>
      </c>
      <c r="G4559" s="83">
        <f t="shared" ca="1" si="147"/>
        <v>-2.5789444008956705E-2</v>
      </c>
    </row>
    <row r="4560" spans="2:7" x14ac:dyDescent="0.2">
      <c r="B4560" s="167">
        <v>43684</v>
      </c>
      <c r="C4560" s="28">
        <v>253.65</v>
      </c>
      <c r="D4560" s="83">
        <f t="shared" si="146"/>
        <v>0.21888515136953393</v>
      </c>
      <c r="E4560" s="83">
        <v>-2.0278099652375328E-2</v>
      </c>
      <c r="F4560" s="83">
        <v>4552</v>
      </c>
      <c r="G4560" s="83">
        <f t="shared" ca="1" si="147"/>
        <v>-6.7680929686178056E-3</v>
      </c>
    </row>
    <row r="4561" spans="2:7" x14ac:dyDescent="0.2">
      <c r="B4561" s="167">
        <v>41505</v>
      </c>
      <c r="C4561" s="28">
        <v>208.1</v>
      </c>
      <c r="D4561" s="83">
        <f t="shared" si="146"/>
        <v>2.2927215189873413</v>
      </c>
      <c r="E4561" s="83">
        <v>-2.0290946753919317E-2</v>
      </c>
      <c r="F4561" s="83">
        <v>4553</v>
      </c>
      <c r="G4561" s="83">
        <f t="shared" ca="1" si="147"/>
        <v>1.4396948079609659E-2</v>
      </c>
    </row>
    <row r="4562" spans="2:7" x14ac:dyDescent="0.2">
      <c r="B4562" s="167">
        <v>39009</v>
      </c>
      <c r="C4562" s="28">
        <v>63.2</v>
      </c>
      <c r="D4562" s="83">
        <f t="shared" si="146"/>
        <v>0.13059033989266555</v>
      </c>
      <c r="E4562" s="83">
        <v>-2.0306929158270069E-2</v>
      </c>
      <c r="F4562" s="83">
        <v>4554</v>
      </c>
      <c r="G4562" s="83">
        <f t="shared" ca="1" si="147"/>
        <v>1.5164274705342082E-2</v>
      </c>
    </row>
    <row r="4563" spans="2:7" x14ac:dyDescent="0.2">
      <c r="B4563" s="167">
        <v>39777</v>
      </c>
      <c r="C4563" s="28">
        <v>55.9</v>
      </c>
      <c r="D4563" s="83">
        <f t="shared" si="146"/>
        <v>-0.79609702717490416</v>
      </c>
      <c r="E4563" s="83">
        <v>-2.0329477742727017E-2</v>
      </c>
      <c r="F4563" s="83">
        <v>4555</v>
      </c>
      <c r="G4563" s="83">
        <f t="shared" ca="1" si="147"/>
        <v>-1.1009080617376628E-2</v>
      </c>
    </row>
    <row r="4564" spans="2:7" x14ac:dyDescent="0.2">
      <c r="B4564" s="167">
        <v>42955</v>
      </c>
      <c r="C4564" s="28">
        <v>274.14999999999998</v>
      </c>
      <c r="D4564" s="83">
        <f t="shared" si="146"/>
        <v>4.2276546401551172E-2</v>
      </c>
      <c r="E4564" s="83">
        <v>-2.0368054314811666E-2</v>
      </c>
      <c r="F4564" s="83">
        <v>4556</v>
      </c>
      <c r="G4564" s="83">
        <f t="shared" ca="1" si="147"/>
        <v>2.7401494307428498E-2</v>
      </c>
    </row>
    <row r="4565" spans="2:7" x14ac:dyDescent="0.2">
      <c r="B4565" s="167">
        <v>44725</v>
      </c>
      <c r="C4565" s="28">
        <v>263.02999999999997</v>
      </c>
      <c r="D4565" s="83">
        <f t="shared" si="146"/>
        <v>8.969260087828311E-2</v>
      </c>
      <c r="E4565" s="83">
        <v>-2.0372439478584831E-2</v>
      </c>
      <c r="F4565" s="83">
        <v>4557</v>
      </c>
      <c r="G4565" s="83">
        <f t="shared" ca="1" si="147"/>
        <v>1.1328739392218082E-2</v>
      </c>
    </row>
    <row r="4566" spans="2:7" x14ac:dyDescent="0.2">
      <c r="B4566" s="167">
        <v>41954</v>
      </c>
      <c r="C4566" s="28">
        <v>241.38</v>
      </c>
      <c r="D4566" s="83">
        <f t="shared" si="146"/>
        <v>-2.8991509629320016E-4</v>
      </c>
      <c r="E4566" s="83">
        <v>-2.0452885317750153E-2</v>
      </c>
      <c r="F4566" s="83">
        <v>4558</v>
      </c>
      <c r="G4566" s="83">
        <f t="shared" ca="1" si="147"/>
        <v>-8.6424501106079892E-3</v>
      </c>
    </row>
    <row r="4567" spans="2:7" x14ac:dyDescent="0.2">
      <c r="B4567" s="167">
        <v>43698</v>
      </c>
      <c r="C4567" s="28">
        <v>241.45</v>
      </c>
      <c r="D4567" s="83">
        <f t="shared" si="146"/>
        <v>2.918370658876988</v>
      </c>
      <c r="E4567" s="83">
        <v>-2.0486815415821546E-2</v>
      </c>
      <c r="F4567" s="83">
        <v>4559</v>
      </c>
      <c r="G4567" s="83">
        <f t="shared" ca="1" si="147"/>
        <v>1.4992607302638511E-2</v>
      </c>
    </row>
    <row r="4568" spans="2:7" x14ac:dyDescent="0.2">
      <c r="B4568" s="167">
        <v>39356</v>
      </c>
      <c r="C4568" s="28">
        <v>61.62</v>
      </c>
      <c r="D4568" s="83">
        <f t="shared" si="146"/>
        <v>0.50182793078235433</v>
      </c>
      <c r="E4568" s="83">
        <v>-2.0505484024797318E-2</v>
      </c>
      <c r="F4568" s="83">
        <v>4560</v>
      </c>
      <c r="G4568" s="83">
        <f t="shared" ca="1" si="147"/>
        <v>-4.852407932995414E-3</v>
      </c>
    </row>
    <row r="4569" spans="2:7" x14ac:dyDescent="0.2">
      <c r="B4569" s="167">
        <v>38609</v>
      </c>
      <c r="C4569" s="28">
        <v>41.03</v>
      </c>
      <c r="D4569" s="83">
        <f t="shared" si="146"/>
        <v>-0.77356512141280354</v>
      </c>
      <c r="E4569" s="83">
        <v>-2.0529959417522069E-2</v>
      </c>
      <c r="F4569" s="83">
        <v>4561</v>
      </c>
      <c r="G4569" s="83">
        <f t="shared" ca="1" si="147"/>
        <v>3.1974521838599258E-2</v>
      </c>
    </row>
    <row r="4570" spans="2:7" x14ac:dyDescent="0.2">
      <c r="B4570" s="167">
        <v>43999</v>
      </c>
      <c r="C4570" s="28">
        <v>181.2</v>
      </c>
      <c r="D4570" s="83">
        <f t="shared" si="146"/>
        <v>-0.56566552410172821</v>
      </c>
      <c r="E4570" s="83">
        <v>-2.0540540540540601E-2</v>
      </c>
      <c r="F4570" s="83">
        <v>4562</v>
      </c>
      <c r="G4570" s="83">
        <f t="shared" ca="1" si="147"/>
        <v>-1.323374186671163E-2</v>
      </c>
    </row>
    <row r="4571" spans="2:7" x14ac:dyDescent="0.2">
      <c r="B4571" s="167">
        <v>45155</v>
      </c>
      <c r="C4571" s="28">
        <v>417.19</v>
      </c>
      <c r="D4571" s="83">
        <f t="shared" si="146"/>
        <v>6.6759889604415816</v>
      </c>
      <c r="E4571" s="83">
        <v>-2.0542799455322346E-2</v>
      </c>
      <c r="F4571" s="83">
        <v>4563</v>
      </c>
      <c r="G4571" s="83">
        <f t="shared" ca="1" si="147"/>
        <v>3.5013069301751944E-2</v>
      </c>
    </row>
    <row r="4572" spans="2:7" x14ac:dyDescent="0.2">
      <c r="B4572" s="167">
        <v>39303</v>
      </c>
      <c r="C4572" s="28">
        <v>54.35</v>
      </c>
      <c r="D4572" s="83">
        <f t="shared" si="146"/>
        <v>-0.76616615755281159</v>
      </c>
      <c r="E4572" s="83">
        <v>-2.0544242205802858E-2</v>
      </c>
      <c r="F4572" s="83">
        <v>4564</v>
      </c>
      <c r="G4572" s="83">
        <f t="shared" ca="1" si="147"/>
        <v>6.3841563955600617E-4</v>
      </c>
    </row>
    <row r="4573" spans="2:7" x14ac:dyDescent="0.2">
      <c r="B4573" s="167">
        <v>41485</v>
      </c>
      <c r="C4573" s="28">
        <v>232.43</v>
      </c>
      <c r="D4573" s="83">
        <f t="shared" si="146"/>
        <v>-0.15016453382084091</v>
      </c>
      <c r="E4573" s="83">
        <v>-2.056381947663392E-2</v>
      </c>
      <c r="F4573" s="83">
        <v>4565</v>
      </c>
      <c r="G4573" s="83">
        <f t="shared" ca="1" si="147"/>
        <v>-3.46276037607834E-3</v>
      </c>
    </row>
    <row r="4574" spans="2:7" x14ac:dyDescent="0.2">
      <c r="B4574" s="167">
        <v>43137</v>
      </c>
      <c r="C4574" s="28">
        <v>273.5</v>
      </c>
      <c r="D4574" s="83">
        <f t="shared" si="146"/>
        <v>1.0444012557930931</v>
      </c>
      <c r="E4574" s="83">
        <v>-2.0590868397493287E-2</v>
      </c>
      <c r="F4574" s="83">
        <v>4566</v>
      </c>
      <c r="G4574" s="83">
        <f t="shared" ca="1" si="147"/>
        <v>1.9308411621498236E-2</v>
      </c>
    </row>
    <row r="4575" spans="2:7" x14ac:dyDescent="0.2">
      <c r="B4575" s="167">
        <v>40935</v>
      </c>
      <c r="C4575" s="28">
        <v>133.78</v>
      </c>
      <c r="D4575" s="83">
        <f t="shared" si="146"/>
        <v>-0.38486297590583041</v>
      </c>
      <c r="E4575" s="83">
        <v>-2.0644216691068765E-2</v>
      </c>
      <c r="F4575" s="83">
        <v>4567</v>
      </c>
      <c r="G4575" s="83">
        <f t="shared" ca="1" si="147"/>
        <v>1.9961127970409207E-2</v>
      </c>
    </row>
    <row r="4576" spans="2:7" x14ac:dyDescent="0.2">
      <c r="B4576" s="167">
        <v>41579</v>
      </c>
      <c r="C4576" s="28">
        <v>217.48</v>
      </c>
      <c r="D4576" s="83">
        <f t="shared" si="146"/>
        <v>-0.30561941251596425</v>
      </c>
      <c r="E4576" s="83">
        <v>-2.0757350623621117E-2</v>
      </c>
      <c r="F4576" s="83">
        <v>4568</v>
      </c>
      <c r="G4576" s="83">
        <f t="shared" ca="1" si="147"/>
        <v>6.6022196339503264E-2</v>
      </c>
    </row>
    <row r="4577" spans="2:7" x14ac:dyDescent="0.2">
      <c r="B4577" s="167">
        <v>43346</v>
      </c>
      <c r="C4577" s="28">
        <v>313.2</v>
      </c>
      <c r="D4577" s="83">
        <f t="shared" si="146"/>
        <v>0.24335053592695507</v>
      </c>
      <c r="E4577" s="83">
        <v>-2.079099577927164E-2</v>
      </c>
      <c r="F4577" s="83">
        <v>4569</v>
      </c>
      <c r="G4577" s="83">
        <f t="shared" ca="1" si="147"/>
        <v>-7.6324505077649705E-3</v>
      </c>
    </row>
    <row r="4578" spans="2:7" x14ac:dyDescent="0.2">
      <c r="B4578" s="167">
        <v>43745</v>
      </c>
      <c r="C4578" s="28">
        <v>251.9</v>
      </c>
      <c r="D4578" s="83">
        <f t="shared" si="146"/>
        <v>-0.34552729351243211</v>
      </c>
      <c r="E4578" s="83">
        <v>-2.0796890184645266E-2</v>
      </c>
      <c r="F4578" s="83">
        <v>4570</v>
      </c>
      <c r="G4578" s="83">
        <f t="shared" ca="1" si="147"/>
        <v>-6.9192436048036952E-3</v>
      </c>
    </row>
    <row r="4579" spans="2:7" x14ac:dyDescent="0.2">
      <c r="B4579" s="167">
        <v>45334</v>
      </c>
      <c r="C4579" s="28">
        <v>384.89</v>
      </c>
      <c r="D4579" s="83">
        <f t="shared" si="146"/>
        <v>-7.9870906048290752E-2</v>
      </c>
      <c r="E4579" s="83">
        <v>-2.0810542651436149E-2</v>
      </c>
      <c r="F4579" s="83">
        <v>4571</v>
      </c>
      <c r="G4579" s="83">
        <f t="shared" ca="1" si="147"/>
        <v>2.6929689240385284E-2</v>
      </c>
    </row>
    <row r="4580" spans="2:7" x14ac:dyDescent="0.2">
      <c r="B4580" s="167">
        <v>45699</v>
      </c>
      <c r="C4580" s="28">
        <v>418.3</v>
      </c>
      <c r="D4580" s="83">
        <f t="shared" si="146"/>
        <v>1.5294793493378485</v>
      </c>
      <c r="E4580" s="83">
        <v>-2.083333333333328E-2</v>
      </c>
      <c r="F4580" s="83">
        <v>4572</v>
      </c>
      <c r="G4580" s="83">
        <f t="shared" ca="1" si="147"/>
        <v>2.0299131997782889E-2</v>
      </c>
    </row>
    <row r="4581" spans="2:7" x14ac:dyDescent="0.2">
      <c r="B4581" s="167">
        <v>41116</v>
      </c>
      <c r="C4581" s="28">
        <v>165.37</v>
      </c>
      <c r="D4581" s="83">
        <f t="shared" si="146"/>
        <v>1.4286973123806725</v>
      </c>
      <c r="E4581" s="83">
        <v>-2.0841968144946307E-2</v>
      </c>
      <c r="F4581" s="83">
        <v>4573</v>
      </c>
      <c r="G4581" s="83">
        <f t="shared" ca="1" si="147"/>
        <v>-5.6386771899831064E-3</v>
      </c>
    </row>
    <row r="4582" spans="2:7" x14ac:dyDescent="0.2">
      <c r="B4582" s="167">
        <v>39497</v>
      </c>
      <c r="C4582" s="28">
        <v>68.09</v>
      </c>
      <c r="D4582" s="83">
        <f t="shared" si="146"/>
        <v>-0.56155827430779137</v>
      </c>
      <c r="E4582" s="83">
        <v>-2.0851308599367308E-2</v>
      </c>
      <c r="F4582" s="83">
        <v>4574</v>
      </c>
      <c r="G4582" s="83">
        <f t="shared" ca="1" si="147"/>
        <v>8.635348093236607E-3</v>
      </c>
    </row>
    <row r="4583" spans="2:7" x14ac:dyDescent="0.2">
      <c r="B4583" s="167">
        <v>41040</v>
      </c>
      <c r="C4583" s="28">
        <v>155.30000000000001</v>
      </c>
      <c r="D4583" s="83">
        <f t="shared" si="146"/>
        <v>-0.43884372177055098</v>
      </c>
      <c r="E4583" s="83">
        <v>-2.0868797679843655E-2</v>
      </c>
      <c r="F4583" s="83">
        <v>4575</v>
      </c>
      <c r="G4583" s="83">
        <f t="shared" ca="1" si="147"/>
        <v>7.5154916113402944E-3</v>
      </c>
    </row>
    <row r="4584" spans="2:7" x14ac:dyDescent="0.2">
      <c r="B4584" s="167">
        <v>43455</v>
      </c>
      <c r="C4584" s="28">
        <v>276.75</v>
      </c>
      <c r="D4584" s="83">
        <f t="shared" si="146"/>
        <v>0.22994533576285503</v>
      </c>
      <c r="E4584" s="83">
        <v>-2.0873872280205121E-2</v>
      </c>
      <c r="F4584" s="83">
        <v>4576</v>
      </c>
      <c r="G4584" s="83">
        <f t="shared" ca="1" si="147"/>
        <v>3.5818573383795141E-2</v>
      </c>
    </row>
    <row r="4585" spans="2:7" x14ac:dyDescent="0.2">
      <c r="B4585" s="167">
        <v>42076</v>
      </c>
      <c r="C4585" s="28">
        <v>225.01</v>
      </c>
      <c r="D4585" s="83">
        <f t="shared" si="146"/>
        <v>3.4529982188798729</v>
      </c>
      <c r="E4585" s="83">
        <v>-2.088681954658201E-2</v>
      </c>
      <c r="F4585" s="83">
        <v>4577</v>
      </c>
      <c r="G4585" s="83">
        <f t="shared" ca="1" si="147"/>
        <v>-1.5231862661422256E-4</v>
      </c>
    </row>
    <row r="4586" spans="2:7" x14ac:dyDescent="0.2">
      <c r="B4586" s="167">
        <v>38751</v>
      </c>
      <c r="C4586" s="28">
        <v>50.53</v>
      </c>
      <c r="D4586" s="83">
        <f t="shared" si="146"/>
        <v>-0.77399588514178375</v>
      </c>
      <c r="E4586" s="83">
        <v>-2.0926177097461699E-2</v>
      </c>
      <c r="F4586" s="83">
        <v>4578</v>
      </c>
      <c r="G4586" s="83">
        <f t="shared" ca="1" si="147"/>
        <v>-1.4024902232955905E-2</v>
      </c>
    </row>
    <row r="4587" spans="2:7" x14ac:dyDescent="0.2">
      <c r="B4587" s="167">
        <v>42331</v>
      </c>
      <c r="C4587" s="28">
        <v>223.58</v>
      </c>
      <c r="D4587" s="83">
        <f t="shared" si="146"/>
        <v>0.70320713034204307</v>
      </c>
      <c r="E4587" s="83">
        <v>-2.0931861972324405E-2</v>
      </c>
      <c r="F4587" s="83">
        <v>4579</v>
      </c>
      <c r="G4587" s="83">
        <f t="shared" ca="1" si="147"/>
        <v>-1.0647689183079664E-2</v>
      </c>
    </row>
    <row r="4588" spans="2:7" x14ac:dyDescent="0.2">
      <c r="B4588" s="167">
        <v>40816</v>
      </c>
      <c r="C4588" s="28">
        <v>131.27000000000001</v>
      </c>
      <c r="D4588" s="83">
        <f t="shared" si="146"/>
        <v>1.7888251540259192</v>
      </c>
      <c r="E4588" s="83">
        <v>-2.0957637231503595E-2</v>
      </c>
      <c r="F4588" s="83">
        <v>4580</v>
      </c>
      <c r="G4588" s="83">
        <f t="shared" ca="1" si="147"/>
        <v>-1.7994499816799451E-3</v>
      </c>
    </row>
    <row r="4589" spans="2:7" x14ac:dyDescent="0.2">
      <c r="B4589" s="167">
        <v>39160</v>
      </c>
      <c r="C4589" s="28">
        <v>47.07</v>
      </c>
      <c r="D4589" s="83">
        <f t="shared" si="146"/>
        <v>-0.36434841323430112</v>
      </c>
      <c r="E4589" s="83">
        <v>-2.1006655574043222E-2</v>
      </c>
      <c r="F4589" s="83">
        <v>4581</v>
      </c>
      <c r="G4589" s="83">
        <f t="shared" ca="1" si="147"/>
        <v>-8.4016309680825917E-3</v>
      </c>
    </row>
    <row r="4590" spans="2:7" x14ac:dyDescent="0.2">
      <c r="B4590" s="167">
        <v>39590</v>
      </c>
      <c r="C4590" s="28">
        <v>74.05</v>
      </c>
      <c r="D4590" s="83">
        <f t="shared" si="146"/>
        <v>0.1982200647249191</v>
      </c>
      <c r="E4590" s="83">
        <v>-2.1020624008461178E-2</v>
      </c>
      <c r="F4590" s="83">
        <v>4582</v>
      </c>
      <c r="G4590" s="83">
        <f t="shared" ca="1" si="147"/>
        <v>1.7446385212827889E-2</v>
      </c>
    </row>
    <row r="4591" spans="2:7" x14ac:dyDescent="0.2">
      <c r="B4591" s="167">
        <v>39953</v>
      </c>
      <c r="C4591" s="28">
        <v>61.8</v>
      </c>
      <c r="D4591" s="83">
        <f t="shared" si="146"/>
        <v>1.5946079237218459E-2</v>
      </c>
      <c r="E4591" s="83">
        <v>-2.1067638206874788E-2</v>
      </c>
      <c r="F4591" s="83">
        <v>4583</v>
      </c>
      <c r="G4591" s="83">
        <f t="shared" ca="1" si="147"/>
        <v>-4.4740059730959758E-3</v>
      </c>
    </row>
    <row r="4592" spans="2:7" x14ac:dyDescent="0.2">
      <c r="B4592" s="167">
        <v>39679</v>
      </c>
      <c r="C4592" s="28">
        <v>60.83</v>
      </c>
      <c r="D4592" s="83">
        <f t="shared" si="146"/>
        <v>-0.68096711595951109</v>
      </c>
      <c r="E4592" s="83">
        <v>-2.1081429031219862E-2</v>
      </c>
      <c r="F4592" s="83">
        <v>4584</v>
      </c>
      <c r="G4592" s="83">
        <f t="shared" ca="1" si="147"/>
        <v>2.4354762926001802E-2</v>
      </c>
    </row>
    <row r="4593" spans="2:7" x14ac:dyDescent="0.2">
      <c r="B4593" s="167">
        <v>42424</v>
      </c>
      <c r="C4593" s="28">
        <v>190.67</v>
      </c>
      <c r="D4593" s="83">
        <f t="shared" si="146"/>
        <v>-0.14795781571185992</v>
      </c>
      <c r="E4593" s="83">
        <v>-2.1100729027620977E-2</v>
      </c>
      <c r="F4593" s="83">
        <v>4585</v>
      </c>
      <c r="G4593" s="83">
        <f t="shared" ca="1" si="147"/>
        <v>-1.0093348861003403E-2</v>
      </c>
    </row>
    <row r="4594" spans="2:7" x14ac:dyDescent="0.2">
      <c r="B4594" s="167">
        <v>42122</v>
      </c>
      <c r="C4594" s="28">
        <v>223.78</v>
      </c>
      <c r="D4594" s="83">
        <f t="shared" si="146"/>
        <v>-0.10200642054574634</v>
      </c>
      <c r="E4594" s="83">
        <v>-2.1170501268480461E-2</v>
      </c>
      <c r="F4594" s="83">
        <v>4586</v>
      </c>
      <c r="G4594" s="83">
        <f t="shared" ca="1" si="147"/>
        <v>5.7431255684968876E-3</v>
      </c>
    </row>
    <row r="4595" spans="2:7" x14ac:dyDescent="0.2">
      <c r="B4595" s="167">
        <v>44650</v>
      </c>
      <c r="C4595" s="28">
        <v>249.2</v>
      </c>
      <c r="D4595" s="83">
        <f t="shared" si="146"/>
        <v>0.31497018626985385</v>
      </c>
      <c r="E4595" s="83">
        <v>-2.1209740769835058E-2</v>
      </c>
      <c r="F4595" s="83">
        <v>4587</v>
      </c>
      <c r="G4595" s="83">
        <f t="shared" ca="1" si="147"/>
        <v>-9.1848379490760239E-3</v>
      </c>
    </row>
    <row r="4596" spans="2:7" x14ac:dyDescent="0.2">
      <c r="B4596" s="167">
        <v>41208</v>
      </c>
      <c r="C4596" s="28">
        <v>189.51</v>
      </c>
      <c r="D4596" s="83">
        <f t="shared" si="146"/>
        <v>-0.2360008062890547</v>
      </c>
      <c r="E4596" s="83">
        <v>-2.1227145955996351E-2</v>
      </c>
      <c r="F4596" s="83">
        <v>4588</v>
      </c>
      <c r="G4596" s="83">
        <f t="shared" ca="1" si="147"/>
        <v>-2.650267731211509E-2</v>
      </c>
    </row>
    <row r="4597" spans="2:7" x14ac:dyDescent="0.2">
      <c r="B4597" s="167">
        <v>42639</v>
      </c>
      <c r="C4597" s="28">
        <v>248.05</v>
      </c>
      <c r="D4597" s="83">
        <f t="shared" si="146"/>
        <v>3.7432036804684307E-2</v>
      </c>
      <c r="E4597" s="83">
        <v>-2.1305977510356983E-2</v>
      </c>
      <c r="F4597" s="83">
        <v>4589</v>
      </c>
      <c r="G4597" s="83">
        <f t="shared" ca="1" si="147"/>
        <v>-1.2272601090788643E-2</v>
      </c>
    </row>
    <row r="4598" spans="2:7" x14ac:dyDescent="0.2">
      <c r="B4598" s="167">
        <v>42037</v>
      </c>
      <c r="C4598" s="28">
        <v>239.1</v>
      </c>
      <c r="D4598" s="83">
        <f t="shared" si="146"/>
        <v>4.6389496717724264E-2</v>
      </c>
      <c r="E4598" s="83">
        <v>-2.1405476200221086E-2</v>
      </c>
      <c r="F4598" s="83">
        <v>4590</v>
      </c>
      <c r="G4598" s="83">
        <f t="shared" ca="1" si="147"/>
        <v>1.8796832481321985E-2</v>
      </c>
    </row>
    <row r="4599" spans="2:7" x14ac:dyDescent="0.2">
      <c r="B4599" s="167">
        <v>42706</v>
      </c>
      <c r="C4599" s="28">
        <v>228.5</v>
      </c>
      <c r="D4599" s="83">
        <f t="shared" si="146"/>
        <v>1.7496991576413961</v>
      </c>
      <c r="E4599" s="83">
        <v>-2.1413276231263382E-2</v>
      </c>
      <c r="F4599" s="83">
        <v>4591</v>
      </c>
      <c r="G4599" s="83">
        <f t="shared" ca="1" si="147"/>
        <v>-2.1453647210206615E-2</v>
      </c>
    </row>
    <row r="4600" spans="2:7" x14ac:dyDescent="0.2">
      <c r="B4600" s="167">
        <v>40177</v>
      </c>
      <c r="C4600" s="28">
        <v>83.1</v>
      </c>
      <c r="D4600" s="83">
        <f t="shared" si="146"/>
        <v>-0.59064039408866997</v>
      </c>
      <c r="E4600" s="83">
        <v>-2.1431935939708047E-2</v>
      </c>
      <c r="F4600" s="83">
        <v>4592</v>
      </c>
      <c r="G4600" s="83">
        <f t="shared" ca="1" si="147"/>
        <v>-7.5515312097616449E-3</v>
      </c>
    </row>
    <row r="4601" spans="2:7" x14ac:dyDescent="0.2">
      <c r="B4601" s="167">
        <v>43885</v>
      </c>
      <c r="C4601" s="28">
        <v>203</v>
      </c>
      <c r="D4601" s="83">
        <f t="shared" si="146"/>
        <v>2.4043266812007378</v>
      </c>
      <c r="E4601" s="83">
        <v>-2.145095203663528E-2</v>
      </c>
      <c r="F4601" s="83">
        <v>4593</v>
      </c>
      <c r="G4601" s="83">
        <f t="shared" ca="1" si="147"/>
        <v>-1.2872624405632586E-2</v>
      </c>
    </row>
    <row r="4602" spans="2:7" x14ac:dyDescent="0.2">
      <c r="B4602" s="167">
        <v>39337</v>
      </c>
      <c r="C4602" s="28">
        <v>59.63</v>
      </c>
      <c r="D4602" s="83">
        <f t="shared" si="146"/>
        <v>-0.3161697247706422</v>
      </c>
      <c r="E4602" s="83">
        <v>-2.1496553987528637E-2</v>
      </c>
      <c r="F4602" s="83">
        <v>4594</v>
      </c>
      <c r="G4602" s="83">
        <f t="shared" ca="1" si="147"/>
        <v>2.5808038138133882E-3</v>
      </c>
    </row>
    <row r="4603" spans="2:7" x14ac:dyDescent="0.2">
      <c r="B4603" s="167">
        <v>40268</v>
      </c>
      <c r="C4603" s="28">
        <v>87.2</v>
      </c>
      <c r="D4603" s="83">
        <f t="shared" si="146"/>
        <v>-0.61359507245092382</v>
      </c>
      <c r="E4603" s="83">
        <v>-2.1543985637342927E-2</v>
      </c>
      <c r="F4603" s="83">
        <v>4595</v>
      </c>
      <c r="G4603" s="83">
        <f t="shared" ca="1" si="147"/>
        <v>1.2852266553174485E-2</v>
      </c>
    </row>
    <row r="4604" spans="2:7" x14ac:dyDescent="0.2">
      <c r="B4604" s="167">
        <v>41547</v>
      </c>
      <c r="C4604" s="28">
        <v>225.67</v>
      </c>
      <c r="D4604" s="83">
        <f t="shared" si="146"/>
        <v>-1.177964617270987E-2</v>
      </c>
      <c r="E4604" s="83">
        <v>-2.1548733957682965E-2</v>
      </c>
      <c r="F4604" s="83">
        <v>4596</v>
      </c>
      <c r="G4604" s="83">
        <f t="shared" ca="1" si="147"/>
        <v>-9.8659131544915355E-4</v>
      </c>
    </row>
    <row r="4605" spans="2:7" x14ac:dyDescent="0.2">
      <c r="B4605" s="167">
        <v>42328</v>
      </c>
      <c r="C4605" s="28">
        <v>228.36</v>
      </c>
      <c r="D4605" s="83">
        <f t="shared" si="146"/>
        <v>2.5323275862069033E-2</v>
      </c>
      <c r="E4605" s="83">
        <v>-2.1551908822143077E-2</v>
      </c>
      <c r="F4605" s="83">
        <v>4597</v>
      </c>
      <c r="G4605" s="83">
        <f t="shared" ca="1" si="147"/>
        <v>-1.2457396425707345E-2</v>
      </c>
    </row>
    <row r="4606" spans="2:7" x14ac:dyDescent="0.2">
      <c r="B4606" s="167">
        <v>42342</v>
      </c>
      <c r="C4606" s="28">
        <v>222.72</v>
      </c>
      <c r="D4606" s="83">
        <f t="shared" si="146"/>
        <v>-0.12263147528067755</v>
      </c>
      <c r="E4606" s="83">
        <v>-2.157009181566576E-2</v>
      </c>
      <c r="F4606" s="83">
        <v>4598</v>
      </c>
      <c r="G4606" s="83">
        <f t="shared" ca="1" si="147"/>
        <v>1.8961591728210062E-2</v>
      </c>
    </row>
    <row r="4607" spans="2:7" x14ac:dyDescent="0.2">
      <c r="B4607" s="167">
        <v>43782</v>
      </c>
      <c r="C4607" s="28">
        <v>253.85</v>
      </c>
      <c r="D4607" s="83">
        <f t="shared" si="146"/>
        <v>0.11196285426431295</v>
      </c>
      <c r="E4607" s="83">
        <v>-2.1584120254384255E-2</v>
      </c>
      <c r="F4607" s="83">
        <v>4599</v>
      </c>
      <c r="G4607" s="83">
        <f t="shared" ca="1" si="147"/>
        <v>-9.0885298742419112E-3</v>
      </c>
    </row>
    <row r="4608" spans="2:7" x14ac:dyDescent="0.2">
      <c r="B4608" s="167">
        <v>41731</v>
      </c>
      <c r="C4608" s="28">
        <v>228.29</v>
      </c>
      <c r="D4608" s="83">
        <f t="shared" si="146"/>
        <v>3.1666362474904179</v>
      </c>
      <c r="E4608" s="83">
        <v>-2.1600308575836884E-2</v>
      </c>
      <c r="F4608" s="83">
        <v>4600</v>
      </c>
      <c r="G4608" s="83">
        <f t="shared" ca="1" si="147"/>
        <v>2.8143732410340343E-2</v>
      </c>
    </row>
    <row r="4609" spans="2:7" x14ac:dyDescent="0.2">
      <c r="B4609" s="167">
        <v>39087</v>
      </c>
      <c r="C4609" s="28">
        <v>54.79</v>
      </c>
      <c r="D4609" s="83">
        <f t="shared" si="146"/>
        <v>-0.80792287467134094</v>
      </c>
      <c r="E4609" s="83">
        <v>-2.1607142857142873E-2</v>
      </c>
      <c r="F4609" s="83">
        <v>4601</v>
      </c>
      <c r="G4609" s="83">
        <f t="shared" ca="1" si="147"/>
        <v>9.2886556428604678E-3</v>
      </c>
    </row>
    <row r="4610" spans="2:7" x14ac:dyDescent="0.2">
      <c r="B4610" s="167">
        <v>42947</v>
      </c>
      <c r="C4610" s="28">
        <v>285.25</v>
      </c>
      <c r="D4610" s="83">
        <f t="shared" si="146"/>
        <v>1.5065905096660808</v>
      </c>
      <c r="E4610" s="83">
        <v>-2.1608643457382993E-2</v>
      </c>
      <c r="F4610" s="83">
        <v>4602</v>
      </c>
      <c r="G4610" s="83">
        <f t="shared" ca="1" si="147"/>
        <v>-2.5520437831923756E-2</v>
      </c>
    </row>
    <row r="4611" spans="2:7" x14ac:dyDescent="0.2">
      <c r="B4611" s="167">
        <v>40563</v>
      </c>
      <c r="C4611" s="28">
        <v>113.8</v>
      </c>
      <c r="D4611" s="83">
        <f t="shared" si="146"/>
        <v>-0.38586076632487865</v>
      </c>
      <c r="E4611" s="83">
        <v>-2.1664374140302582E-2</v>
      </c>
      <c r="F4611" s="83">
        <v>4603</v>
      </c>
      <c r="G4611" s="83">
        <f t="shared" ca="1" si="147"/>
        <v>-5.6433495929949853E-3</v>
      </c>
    </row>
    <row r="4612" spans="2:7" x14ac:dyDescent="0.2">
      <c r="B4612" s="167">
        <v>41283</v>
      </c>
      <c r="C4612" s="28">
        <v>185.3</v>
      </c>
      <c r="D4612" s="83">
        <f t="shared" si="146"/>
        <v>1.1274397244546501</v>
      </c>
      <c r="E4612" s="83">
        <v>-2.1698959928198012E-2</v>
      </c>
      <c r="F4612" s="83">
        <v>4604</v>
      </c>
      <c r="G4612" s="83">
        <f t="shared" ca="1" si="147"/>
        <v>4.1799544219098287E-3</v>
      </c>
    </row>
    <row r="4613" spans="2:7" x14ac:dyDescent="0.2">
      <c r="B4613" s="167">
        <v>40283</v>
      </c>
      <c r="C4613" s="28">
        <v>87.1</v>
      </c>
      <c r="D4613" s="83">
        <f t="shared" si="146"/>
        <v>-0.65720807587862573</v>
      </c>
      <c r="E4613" s="83">
        <v>-2.1787960467205884E-2</v>
      </c>
      <c r="F4613" s="83">
        <v>4605</v>
      </c>
      <c r="G4613" s="83">
        <f t="shared" ca="1" si="147"/>
        <v>9.8592710506287765E-3</v>
      </c>
    </row>
    <row r="4614" spans="2:7" x14ac:dyDescent="0.2">
      <c r="B4614" s="167">
        <v>44692</v>
      </c>
      <c r="C4614" s="28">
        <v>254.09</v>
      </c>
      <c r="D4614" s="83">
        <f t="shared" si="146"/>
        <v>3.1342336479010737</v>
      </c>
      <c r="E4614" s="83">
        <v>-2.1790182868142431E-2</v>
      </c>
      <c r="F4614" s="83">
        <v>4606</v>
      </c>
      <c r="G4614" s="83">
        <f t="shared" ca="1" si="147"/>
        <v>-1.7867872676026995E-2</v>
      </c>
    </row>
    <row r="4615" spans="2:7" x14ac:dyDescent="0.2">
      <c r="B4615" s="167">
        <v>39367</v>
      </c>
      <c r="C4615" s="28">
        <v>61.46</v>
      </c>
      <c r="D4615" s="83">
        <f t="shared" si="146"/>
        <v>-0.71272319341871548</v>
      </c>
      <c r="E4615" s="83">
        <v>-2.1804870284895712E-2</v>
      </c>
      <c r="F4615" s="83">
        <v>4607</v>
      </c>
      <c r="G4615" s="83">
        <f t="shared" ca="1" si="147"/>
        <v>-1.6168956201257278E-5</v>
      </c>
    </row>
    <row r="4616" spans="2:7" x14ac:dyDescent="0.2">
      <c r="B4616" s="167">
        <v>41445</v>
      </c>
      <c r="C4616" s="28">
        <v>213.94</v>
      </c>
      <c r="D4616" s="83">
        <f t="shared" si="146"/>
        <v>-0.50530672647813724</v>
      </c>
      <c r="E4616" s="83">
        <v>-2.1809702345571808E-2</v>
      </c>
      <c r="F4616" s="83">
        <v>4608</v>
      </c>
      <c r="G4616" s="83">
        <f t="shared" ca="1" si="147"/>
        <v>4.2679172256221816E-2</v>
      </c>
    </row>
    <row r="4617" spans="2:7" x14ac:dyDescent="0.2">
      <c r="B4617" s="167">
        <v>45617</v>
      </c>
      <c r="C4617" s="28">
        <v>432.47</v>
      </c>
      <c r="D4617" s="83">
        <f t="shared" ref="D4617:D4680" si="148">(C4617-C4618)/C4618</f>
        <v>6.4938485531103805</v>
      </c>
      <c r="E4617" s="83">
        <v>-2.1826653397267658E-2</v>
      </c>
      <c r="F4617" s="83">
        <v>4609</v>
      </c>
      <c r="G4617" s="83">
        <f t="shared" ref="G4617:G4680" ca="1" si="149">_xlfn.NORM.INV(RAND(),$M$10,$M$11)</f>
        <v>1.4922375566955725E-2</v>
      </c>
    </row>
    <row r="4618" spans="2:7" x14ac:dyDescent="0.2">
      <c r="B4618" s="167">
        <v>38861</v>
      </c>
      <c r="C4618" s="28">
        <v>57.71</v>
      </c>
      <c r="D4618" s="83">
        <f t="shared" si="148"/>
        <v>-0.5667092124033335</v>
      </c>
      <c r="E4618" s="83">
        <v>-2.1864406779661002E-2</v>
      </c>
      <c r="F4618" s="83">
        <v>4610</v>
      </c>
      <c r="G4618" s="83">
        <f t="shared" ca="1" si="149"/>
        <v>-1.1644121342713174E-2</v>
      </c>
    </row>
    <row r="4619" spans="2:7" x14ac:dyDescent="0.2">
      <c r="B4619" s="167">
        <v>40750</v>
      </c>
      <c r="C4619" s="28">
        <v>133.19</v>
      </c>
      <c r="D4619" s="83">
        <f t="shared" si="148"/>
        <v>-0.49977465635093515</v>
      </c>
      <c r="E4619" s="83">
        <v>-2.1884409194389293E-2</v>
      </c>
      <c r="F4619" s="83">
        <v>4611</v>
      </c>
      <c r="G4619" s="83">
        <f t="shared" ca="1" si="149"/>
        <v>7.8375156244344258E-4</v>
      </c>
    </row>
    <row r="4620" spans="2:7" x14ac:dyDescent="0.2">
      <c r="B4620" s="167">
        <v>44720</v>
      </c>
      <c r="C4620" s="28">
        <v>266.26</v>
      </c>
      <c r="D4620" s="83">
        <f t="shared" si="148"/>
        <v>3.7360369975097831</v>
      </c>
      <c r="E4620" s="83">
        <v>-2.1894056278010565E-2</v>
      </c>
      <c r="F4620" s="83">
        <v>4612</v>
      </c>
      <c r="G4620" s="83">
        <f t="shared" ca="1" si="149"/>
        <v>-8.6836921468555692E-3</v>
      </c>
    </row>
    <row r="4621" spans="2:7" x14ac:dyDescent="0.2">
      <c r="B4621" s="167">
        <v>39890</v>
      </c>
      <c r="C4621" s="28">
        <v>56.22</v>
      </c>
      <c r="D4621" s="83">
        <f t="shared" si="148"/>
        <v>8.4304932735425799E-3</v>
      </c>
      <c r="E4621" s="83">
        <v>-2.1920668058455082E-2</v>
      </c>
      <c r="F4621" s="83">
        <v>4613</v>
      </c>
      <c r="G4621" s="83">
        <f t="shared" ca="1" si="149"/>
        <v>5.9806970690927191E-5</v>
      </c>
    </row>
    <row r="4622" spans="2:7" x14ac:dyDescent="0.2">
      <c r="B4622" s="167">
        <v>38933</v>
      </c>
      <c r="C4622" s="28">
        <v>55.75</v>
      </c>
      <c r="D4622" s="83">
        <f t="shared" si="148"/>
        <v>-0.67132413630468102</v>
      </c>
      <c r="E4622" s="83">
        <v>-2.1929824561403508E-2</v>
      </c>
      <c r="F4622" s="83">
        <v>4614</v>
      </c>
      <c r="G4622" s="83">
        <f t="shared" ca="1" si="149"/>
        <v>1.0648138331652244E-2</v>
      </c>
    </row>
    <row r="4623" spans="2:7" x14ac:dyDescent="0.2">
      <c r="B4623" s="167">
        <v>41176</v>
      </c>
      <c r="C4623" s="28">
        <v>169.62</v>
      </c>
      <c r="D4623" s="83">
        <f t="shared" si="148"/>
        <v>-0.36009356019164745</v>
      </c>
      <c r="E4623" s="83">
        <v>-2.1968517557516012E-2</v>
      </c>
      <c r="F4623" s="83">
        <v>4615</v>
      </c>
      <c r="G4623" s="83">
        <f t="shared" ca="1" si="149"/>
        <v>1.0447748051136262E-2</v>
      </c>
    </row>
    <row r="4624" spans="2:7" x14ac:dyDescent="0.2">
      <c r="B4624" s="167">
        <v>44707</v>
      </c>
      <c r="C4624" s="28">
        <v>265.07</v>
      </c>
      <c r="D4624" s="83">
        <f t="shared" si="148"/>
        <v>1.287734046618267E-2</v>
      </c>
      <c r="E4624" s="83">
        <v>-2.1990185588311183E-2</v>
      </c>
      <c r="F4624" s="83">
        <v>4616</v>
      </c>
      <c r="G4624" s="83">
        <f t="shared" ca="1" si="149"/>
        <v>-5.7288103848266107E-3</v>
      </c>
    </row>
    <row r="4625" spans="2:7" x14ac:dyDescent="0.2">
      <c r="B4625" s="167">
        <v>43116</v>
      </c>
      <c r="C4625" s="28">
        <v>261.7</v>
      </c>
      <c r="D4625" s="83">
        <f t="shared" si="148"/>
        <v>-3.6095764272559894E-2</v>
      </c>
      <c r="E4625" s="83">
        <v>-2.2047832585949303E-2</v>
      </c>
      <c r="F4625" s="83">
        <v>4617</v>
      </c>
      <c r="G4625" s="83">
        <f t="shared" ca="1" si="149"/>
        <v>5.9840394024159114E-3</v>
      </c>
    </row>
    <row r="4626" spans="2:7" x14ac:dyDescent="0.2">
      <c r="B4626" s="167">
        <v>42991</v>
      </c>
      <c r="C4626" s="28">
        <v>271.5</v>
      </c>
      <c r="D4626" s="83">
        <f t="shared" si="148"/>
        <v>0.30673340713288727</v>
      </c>
      <c r="E4626" s="83">
        <v>-2.2150189086979931E-2</v>
      </c>
      <c r="F4626" s="83">
        <v>4618</v>
      </c>
      <c r="G4626" s="83">
        <f t="shared" ca="1" si="149"/>
        <v>1.1847938077559281E-3</v>
      </c>
    </row>
    <row r="4627" spans="2:7" x14ac:dyDescent="0.2">
      <c r="B4627" s="167">
        <v>42206</v>
      </c>
      <c r="C4627" s="28">
        <v>207.77</v>
      </c>
      <c r="D4627" s="83">
        <f t="shared" si="148"/>
        <v>-4.670796054140848E-2</v>
      </c>
      <c r="E4627" s="83">
        <v>-2.2166792168674603E-2</v>
      </c>
      <c r="F4627" s="83">
        <v>4619</v>
      </c>
      <c r="G4627" s="83">
        <f t="shared" ca="1" si="149"/>
        <v>-2.2882972293940866E-2</v>
      </c>
    </row>
    <row r="4628" spans="2:7" x14ac:dyDescent="0.2">
      <c r="B4628" s="167">
        <v>44547</v>
      </c>
      <c r="C4628" s="28">
        <v>217.95</v>
      </c>
      <c r="D4628" s="83">
        <f t="shared" si="148"/>
        <v>2.8405286343612333</v>
      </c>
      <c r="E4628" s="83">
        <v>-2.2207267833109095E-2</v>
      </c>
      <c r="F4628" s="83">
        <v>4620</v>
      </c>
      <c r="G4628" s="83">
        <f t="shared" ca="1" si="149"/>
        <v>-8.5114130477226858E-3</v>
      </c>
    </row>
    <row r="4629" spans="2:7" x14ac:dyDescent="0.2">
      <c r="B4629" s="167">
        <v>39391</v>
      </c>
      <c r="C4629" s="28">
        <v>56.75</v>
      </c>
      <c r="D4629" s="83">
        <f t="shared" si="148"/>
        <v>-1.5269824744056958E-2</v>
      </c>
      <c r="E4629" s="83">
        <v>-2.2226050999310805E-2</v>
      </c>
      <c r="F4629" s="83">
        <v>4621</v>
      </c>
      <c r="G4629" s="83">
        <f t="shared" ca="1" si="149"/>
        <v>-1.4734608119293538E-2</v>
      </c>
    </row>
    <row r="4630" spans="2:7" x14ac:dyDescent="0.2">
      <c r="B4630" s="167">
        <v>38784</v>
      </c>
      <c r="C4630" s="28">
        <v>57.63</v>
      </c>
      <c r="D4630" s="83">
        <f t="shared" si="148"/>
        <v>-0.77422135161606265</v>
      </c>
      <c r="E4630" s="83">
        <v>-2.2391857506361326E-2</v>
      </c>
      <c r="F4630" s="83">
        <v>4622</v>
      </c>
      <c r="G4630" s="83">
        <f t="shared" ca="1" si="149"/>
        <v>-1.1195534321819816E-2</v>
      </c>
    </row>
    <row r="4631" spans="2:7" x14ac:dyDescent="0.2">
      <c r="B4631" s="167">
        <v>44676</v>
      </c>
      <c r="C4631" s="28">
        <v>255.25</v>
      </c>
      <c r="D4631" s="83">
        <f t="shared" si="148"/>
        <v>3.302933243425489</v>
      </c>
      <c r="E4631" s="83">
        <v>-2.2405208732286564E-2</v>
      </c>
      <c r="F4631" s="83">
        <v>4623</v>
      </c>
      <c r="G4631" s="83">
        <f t="shared" ca="1" si="149"/>
        <v>-1.2228362199251856E-2</v>
      </c>
    </row>
    <row r="4632" spans="2:7" x14ac:dyDescent="0.2">
      <c r="B4632" s="167">
        <v>39874</v>
      </c>
      <c r="C4632" s="28">
        <v>59.32</v>
      </c>
      <c r="D4632" s="83">
        <f t="shared" si="148"/>
        <v>-0.75023157894736847</v>
      </c>
      <c r="E4632" s="83">
        <v>-2.2412656558998014E-2</v>
      </c>
      <c r="F4632" s="83">
        <v>4624</v>
      </c>
      <c r="G4632" s="83">
        <f t="shared" ca="1" si="149"/>
        <v>7.4219752177628329E-3</v>
      </c>
    </row>
    <row r="4633" spans="2:7" x14ac:dyDescent="0.2">
      <c r="B4633" s="167">
        <v>42689</v>
      </c>
      <c r="C4633" s="28">
        <v>237.5</v>
      </c>
      <c r="D4633" s="83">
        <f t="shared" si="148"/>
        <v>0.91733268749495434</v>
      </c>
      <c r="E4633" s="83">
        <v>-2.2432599300267499E-2</v>
      </c>
      <c r="F4633" s="83">
        <v>4625</v>
      </c>
      <c r="G4633" s="83">
        <f t="shared" ca="1" si="149"/>
        <v>-2.876234262650055E-3</v>
      </c>
    </row>
    <row r="4634" spans="2:7" x14ac:dyDescent="0.2">
      <c r="B4634" s="167">
        <v>40666</v>
      </c>
      <c r="C4634" s="28">
        <v>123.87</v>
      </c>
      <c r="D4634" s="83">
        <f t="shared" si="148"/>
        <v>-0.26877213695395513</v>
      </c>
      <c r="E4634" s="83">
        <v>-2.2490530303030259E-2</v>
      </c>
      <c r="F4634" s="83">
        <v>4626</v>
      </c>
      <c r="G4634" s="83">
        <f t="shared" ca="1" si="149"/>
        <v>4.3398382877210236E-3</v>
      </c>
    </row>
    <row r="4635" spans="2:7" x14ac:dyDescent="0.2">
      <c r="B4635" s="167">
        <v>44103</v>
      </c>
      <c r="C4635" s="28">
        <v>169.4</v>
      </c>
      <c r="D4635" s="83">
        <f t="shared" si="148"/>
        <v>1.7424316011008578</v>
      </c>
      <c r="E4635" s="83">
        <v>-2.2504327755337596E-2</v>
      </c>
      <c r="F4635" s="83">
        <v>4627</v>
      </c>
      <c r="G4635" s="83">
        <f t="shared" ca="1" si="149"/>
        <v>-3.0140468409443994E-3</v>
      </c>
    </row>
    <row r="4636" spans="2:7" x14ac:dyDescent="0.2">
      <c r="B4636" s="167">
        <v>39010</v>
      </c>
      <c r="C4636" s="28">
        <v>61.77</v>
      </c>
      <c r="D4636" s="83">
        <f t="shared" si="148"/>
        <v>-0.46033548838022009</v>
      </c>
      <c r="E4636" s="83">
        <v>-2.2626582278481008E-2</v>
      </c>
      <c r="F4636" s="83">
        <v>4628</v>
      </c>
      <c r="G4636" s="83">
        <f t="shared" ca="1" si="149"/>
        <v>5.3843545943276514E-3</v>
      </c>
    </row>
    <row r="4637" spans="2:7" x14ac:dyDescent="0.2">
      <c r="B4637" s="167">
        <v>40442</v>
      </c>
      <c r="C4637" s="28">
        <v>114.46</v>
      </c>
      <c r="D4637" s="83">
        <f t="shared" si="148"/>
        <v>2.8576563623292528E-2</v>
      </c>
      <c r="E4637" s="83">
        <v>-2.2628298181197215E-2</v>
      </c>
      <c r="F4637" s="83">
        <v>4629</v>
      </c>
      <c r="G4637" s="83">
        <f t="shared" ca="1" si="149"/>
        <v>9.0634300458793532E-3</v>
      </c>
    </row>
    <row r="4638" spans="2:7" x14ac:dyDescent="0.2">
      <c r="B4638" s="167">
        <v>40478</v>
      </c>
      <c r="C4638" s="28">
        <v>111.28</v>
      </c>
      <c r="D4638" s="83">
        <f t="shared" si="148"/>
        <v>2.079136690647482</v>
      </c>
      <c r="E4638" s="83">
        <v>-2.2659406288424364E-2</v>
      </c>
      <c r="F4638" s="83">
        <v>4630</v>
      </c>
      <c r="G4638" s="83">
        <f t="shared" ca="1" si="149"/>
        <v>1.0016692834682492E-2</v>
      </c>
    </row>
    <row r="4639" spans="2:7" x14ac:dyDescent="0.2">
      <c r="B4639" s="167">
        <v>38554</v>
      </c>
      <c r="C4639" s="28">
        <v>36.14</v>
      </c>
      <c r="D4639" s="83">
        <f t="shared" si="148"/>
        <v>-0.81088435374149648</v>
      </c>
      <c r="E4639" s="83">
        <v>-2.2714981070849009E-2</v>
      </c>
      <c r="F4639" s="83">
        <v>4631</v>
      </c>
      <c r="G4639" s="83">
        <f t="shared" ca="1" si="149"/>
        <v>3.7971280108859231E-3</v>
      </c>
    </row>
    <row r="4640" spans="2:7" x14ac:dyDescent="0.2">
      <c r="B4640" s="167">
        <v>44074</v>
      </c>
      <c r="C4640" s="28">
        <v>191.1</v>
      </c>
      <c r="D4640" s="83">
        <f t="shared" si="148"/>
        <v>0.38749727728163808</v>
      </c>
      <c r="E4640" s="83">
        <v>-2.275632830478147E-2</v>
      </c>
      <c r="F4640" s="83">
        <v>4632</v>
      </c>
      <c r="G4640" s="83">
        <f t="shared" ca="1" si="149"/>
        <v>6.7625459453383129E-3</v>
      </c>
    </row>
    <row r="4641" spans="2:7" x14ac:dyDescent="0.2">
      <c r="B4641" s="167">
        <v>40864</v>
      </c>
      <c r="C4641" s="28">
        <v>137.72999999999999</v>
      </c>
      <c r="D4641" s="83">
        <f t="shared" si="148"/>
        <v>-2.6069954377580828E-3</v>
      </c>
      <c r="E4641" s="83">
        <v>-2.2775649212430877E-2</v>
      </c>
      <c r="F4641" s="83">
        <v>4633</v>
      </c>
      <c r="G4641" s="83">
        <f t="shared" ca="1" si="149"/>
        <v>-7.0823729688420517E-3</v>
      </c>
    </row>
    <row r="4642" spans="2:7" x14ac:dyDescent="0.2">
      <c r="B4642" s="167">
        <v>40848</v>
      </c>
      <c r="C4642" s="28">
        <v>138.09</v>
      </c>
      <c r="D4642" s="83">
        <f t="shared" si="148"/>
        <v>4.5661063153112233E-2</v>
      </c>
      <c r="E4642" s="83">
        <v>-2.2786780836458839E-2</v>
      </c>
      <c r="F4642" s="83">
        <v>4634</v>
      </c>
      <c r="G4642" s="83">
        <f t="shared" ca="1" si="149"/>
        <v>-3.8570283987030484E-4</v>
      </c>
    </row>
    <row r="4643" spans="2:7" x14ac:dyDescent="0.2">
      <c r="B4643" s="167">
        <v>40774</v>
      </c>
      <c r="C4643" s="28">
        <v>132.06</v>
      </c>
      <c r="D4643" s="83">
        <f t="shared" si="148"/>
        <v>-0.41126120101645042</v>
      </c>
      <c r="E4643" s="83">
        <v>-2.2791179517537254E-2</v>
      </c>
      <c r="F4643" s="83">
        <v>4635</v>
      </c>
      <c r="G4643" s="83">
        <f t="shared" ca="1" si="149"/>
        <v>-1.8747157845962183E-2</v>
      </c>
    </row>
    <row r="4644" spans="2:7" x14ac:dyDescent="0.2">
      <c r="B4644" s="167">
        <v>42072</v>
      </c>
      <c r="C4644" s="28">
        <v>224.31</v>
      </c>
      <c r="D4644" s="83">
        <f t="shared" si="148"/>
        <v>2.0161355385235979</v>
      </c>
      <c r="E4644" s="83">
        <v>-2.2827270747113958E-2</v>
      </c>
      <c r="F4644" s="83">
        <v>4636</v>
      </c>
      <c r="G4644" s="83">
        <f t="shared" ca="1" si="149"/>
        <v>4.7200890007408451E-3</v>
      </c>
    </row>
    <row r="4645" spans="2:7" x14ac:dyDescent="0.2">
      <c r="B4645" s="167">
        <v>40035</v>
      </c>
      <c r="C4645" s="28">
        <v>74.37</v>
      </c>
      <c r="D4645" s="83">
        <f t="shared" si="148"/>
        <v>0.98108684070325003</v>
      </c>
      <c r="E4645" s="83">
        <v>-2.2861647615293586E-2</v>
      </c>
      <c r="F4645" s="83">
        <v>4637</v>
      </c>
      <c r="G4645" s="83">
        <f t="shared" ca="1" si="149"/>
        <v>-1.0966306931043059E-2</v>
      </c>
    </row>
    <row r="4646" spans="2:7" x14ac:dyDescent="0.2">
      <c r="B4646" s="167">
        <v>38552</v>
      </c>
      <c r="C4646" s="28">
        <v>37.54</v>
      </c>
      <c r="D4646" s="83">
        <f t="shared" si="148"/>
        <v>-0.37827095064590927</v>
      </c>
      <c r="E4646" s="83">
        <v>-2.2904737116085438E-2</v>
      </c>
      <c r="F4646" s="83">
        <v>4638</v>
      </c>
      <c r="G4646" s="83">
        <f t="shared" ca="1" si="149"/>
        <v>1.5174517264025711E-3</v>
      </c>
    </row>
    <row r="4647" spans="2:7" x14ac:dyDescent="0.2">
      <c r="B4647" s="167">
        <v>39954</v>
      </c>
      <c r="C4647" s="28">
        <v>60.38</v>
      </c>
      <c r="D4647" s="83">
        <f t="shared" si="148"/>
        <v>-0.50095049177617978</v>
      </c>
      <c r="E4647" s="83">
        <v>-2.2977346278317066E-2</v>
      </c>
      <c r="F4647" s="83">
        <v>4639</v>
      </c>
      <c r="G4647" s="83">
        <f t="shared" ca="1" si="149"/>
        <v>-5.1213452144465632E-3</v>
      </c>
    </row>
    <row r="4648" spans="2:7" x14ac:dyDescent="0.2">
      <c r="B4648" s="167">
        <v>40668</v>
      </c>
      <c r="C4648" s="28">
        <v>120.99</v>
      </c>
      <c r="D4648" s="83">
        <f t="shared" si="148"/>
        <v>-0.5605956055928818</v>
      </c>
      <c r="E4648" s="83">
        <v>-2.3013565891472937E-2</v>
      </c>
      <c r="F4648" s="83">
        <v>4640</v>
      </c>
      <c r="G4648" s="83">
        <f t="shared" ca="1" si="149"/>
        <v>-2.9752489369337027E-3</v>
      </c>
    </row>
    <row r="4649" spans="2:7" x14ac:dyDescent="0.2">
      <c r="B4649" s="167">
        <v>43439</v>
      </c>
      <c r="C4649" s="28">
        <v>275.35000000000002</v>
      </c>
      <c r="D4649" s="83">
        <f t="shared" si="148"/>
        <v>4.995233555767406E-2</v>
      </c>
      <c r="E4649" s="83">
        <v>-2.3061912364733012E-2</v>
      </c>
      <c r="F4649" s="83">
        <v>4641</v>
      </c>
      <c r="G4649" s="83">
        <f t="shared" ca="1" si="149"/>
        <v>2.6693625570325726E-2</v>
      </c>
    </row>
    <row r="4650" spans="2:7" x14ac:dyDescent="0.2">
      <c r="B4650" s="167">
        <v>43003</v>
      </c>
      <c r="C4650" s="28">
        <v>262.25</v>
      </c>
      <c r="D4650" s="83">
        <f t="shared" si="148"/>
        <v>1.3311111111111111</v>
      </c>
      <c r="E4650" s="83">
        <v>-2.3095548519277292E-2</v>
      </c>
      <c r="F4650" s="83">
        <v>4642</v>
      </c>
      <c r="G4650" s="83">
        <f t="shared" ca="1" si="149"/>
        <v>2.9259622597132422E-2</v>
      </c>
    </row>
    <row r="4651" spans="2:7" x14ac:dyDescent="0.2">
      <c r="B4651" s="167">
        <v>40507</v>
      </c>
      <c r="C4651" s="28">
        <v>112.5</v>
      </c>
      <c r="D4651" s="83">
        <f t="shared" si="148"/>
        <v>-0.54359203213112095</v>
      </c>
      <c r="E4651" s="83">
        <v>-2.3098298020145853E-2</v>
      </c>
      <c r="F4651" s="83">
        <v>4643</v>
      </c>
      <c r="G4651" s="83">
        <f t="shared" ca="1" si="149"/>
        <v>3.3720395480784038E-2</v>
      </c>
    </row>
    <row r="4652" spans="2:7" x14ac:dyDescent="0.2">
      <c r="B4652" s="167">
        <v>41990</v>
      </c>
      <c r="C4652" s="28">
        <v>246.49</v>
      </c>
      <c r="D4652" s="83">
        <f t="shared" si="148"/>
        <v>0.18050766283524902</v>
      </c>
      <c r="E4652" s="83">
        <v>-2.3105580215599178E-2</v>
      </c>
      <c r="F4652" s="83">
        <v>4644</v>
      </c>
      <c r="G4652" s="83">
        <f t="shared" ca="1" si="149"/>
        <v>-1.4341549842611235E-3</v>
      </c>
    </row>
    <row r="4653" spans="2:7" x14ac:dyDescent="0.2">
      <c r="B4653" s="167">
        <v>41641</v>
      </c>
      <c r="C4653" s="28">
        <v>208.8</v>
      </c>
      <c r="D4653" s="83">
        <f t="shared" si="148"/>
        <v>2.7709951237132024</v>
      </c>
      <c r="E4653" s="83">
        <v>-2.3112192383269382E-2</v>
      </c>
      <c r="F4653" s="83">
        <v>4645</v>
      </c>
      <c r="G4653" s="83">
        <f t="shared" ca="1" si="149"/>
        <v>8.7153338318467517E-3</v>
      </c>
    </row>
    <row r="4654" spans="2:7" x14ac:dyDescent="0.2">
      <c r="B4654" s="167">
        <v>39295</v>
      </c>
      <c r="C4654" s="28">
        <v>55.37</v>
      </c>
      <c r="D4654" s="83">
        <f t="shared" si="148"/>
        <v>-0.69874863982589774</v>
      </c>
      <c r="E4654" s="83">
        <v>-2.3112208892025445E-2</v>
      </c>
      <c r="F4654" s="83">
        <v>4646</v>
      </c>
      <c r="G4654" s="83">
        <f t="shared" ca="1" si="149"/>
        <v>-5.9805476560492225E-2</v>
      </c>
    </row>
    <row r="4655" spans="2:7" x14ac:dyDescent="0.2">
      <c r="B4655" s="167">
        <v>44083</v>
      </c>
      <c r="C4655" s="28">
        <v>183.8</v>
      </c>
      <c r="D4655" s="83">
        <f t="shared" si="148"/>
        <v>-8.8022228837947705E-2</v>
      </c>
      <c r="E4655" s="83">
        <v>-2.3119851182567069E-2</v>
      </c>
      <c r="F4655" s="83">
        <v>4647</v>
      </c>
      <c r="G4655" s="83">
        <f t="shared" ca="1" si="149"/>
        <v>-4.8227425906141614E-3</v>
      </c>
    </row>
    <row r="4656" spans="2:7" x14ac:dyDescent="0.2">
      <c r="B4656" s="167">
        <v>42214</v>
      </c>
      <c r="C4656" s="28">
        <v>201.54</v>
      </c>
      <c r="D4656" s="83">
        <f t="shared" si="148"/>
        <v>-0.2825204699181203</v>
      </c>
      <c r="E4656" s="83">
        <v>-2.3120546750036403E-2</v>
      </c>
      <c r="F4656" s="83">
        <v>4648</v>
      </c>
      <c r="G4656" s="83">
        <f t="shared" ca="1" si="149"/>
        <v>-2.2987909225883685E-4</v>
      </c>
    </row>
    <row r="4657" spans="2:7" x14ac:dyDescent="0.2">
      <c r="B4657" s="167">
        <v>43399</v>
      </c>
      <c r="C4657" s="28">
        <v>280.89999999999998</v>
      </c>
      <c r="D4657" s="83">
        <f t="shared" si="148"/>
        <v>-0.34803295810606949</v>
      </c>
      <c r="E4657" s="83">
        <v>-2.3126412797774418E-2</v>
      </c>
      <c r="F4657" s="83">
        <v>4649</v>
      </c>
      <c r="G4657" s="83">
        <f t="shared" ca="1" si="149"/>
        <v>1.5167405614383678E-2</v>
      </c>
    </row>
    <row r="4658" spans="2:7" x14ac:dyDescent="0.2">
      <c r="B4658" s="167">
        <v>45695</v>
      </c>
      <c r="C4658" s="28">
        <v>430.85</v>
      </c>
      <c r="D4658" s="83">
        <f t="shared" si="148"/>
        <v>5.1122144985104274</v>
      </c>
      <c r="E4658" s="83">
        <v>-2.3237361142598049E-2</v>
      </c>
      <c r="F4658" s="83">
        <v>4650</v>
      </c>
      <c r="G4658" s="83">
        <f t="shared" ca="1" si="149"/>
        <v>1.5114026967998701E-2</v>
      </c>
    </row>
    <row r="4659" spans="2:7" x14ac:dyDescent="0.2">
      <c r="B4659" s="167">
        <v>39465</v>
      </c>
      <c r="C4659" s="28">
        <v>70.489999999999995</v>
      </c>
      <c r="D4659" s="83">
        <f t="shared" si="148"/>
        <v>-0.72055500495540137</v>
      </c>
      <c r="E4659" s="83">
        <v>-2.3413688002216843E-2</v>
      </c>
      <c r="F4659" s="83">
        <v>4651</v>
      </c>
      <c r="G4659" s="83">
        <f t="shared" ca="1" si="149"/>
        <v>-7.8389129693072241E-4</v>
      </c>
    </row>
    <row r="4660" spans="2:7" x14ac:dyDescent="0.2">
      <c r="B4660" s="167">
        <v>42625</v>
      </c>
      <c r="C4660" s="28">
        <v>252.25</v>
      </c>
      <c r="D4660" s="83">
        <f t="shared" si="148"/>
        <v>0.12205862728526309</v>
      </c>
      <c r="E4660" s="83">
        <v>-2.3422377080913711E-2</v>
      </c>
      <c r="F4660" s="83">
        <v>4652</v>
      </c>
      <c r="G4660" s="83">
        <f t="shared" ca="1" si="149"/>
        <v>-5.5181100221452671E-3</v>
      </c>
    </row>
    <row r="4661" spans="2:7" x14ac:dyDescent="0.2">
      <c r="B4661" s="167">
        <v>42285</v>
      </c>
      <c r="C4661" s="28">
        <v>224.81</v>
      </c>
      <c r="D4661" s="83">
        <f t="shared" si="148"/>
        <v>1.3277075999171672</v>
      </c>
      <c r="E4661" s="83">
        <v>-2.3456843751357481E-2</v>
      </c>
      <c r="F4661" s="83">
        <v>4653</v>
      </c>
      <c r="G4661" s="83">
        <f t="shared" ca="1" si="149"/>
        <v>1.9323497684380984E-2</v>
      </c>
    </row>
    <row r="4662" spans="2:7" x14ac:dyDescent="0.2">
      <c r="B4662" s="167">
        <v>40378</v>
      </c>
      <c r="C4662" s="28">
        <v>96.58</v>
      </c>
      <c r="D4662" s="83">
        <f t="shared" si="148"/>
        <v>-0.70044353462981923</v>
      </c>
      <c r="E4662" s="83">
        <v>-2.3458038422649215E-2</v>
      </c>
      <c r="F4662" s="83">
        <v>4654</v>
      </c>
      <c r="G4662" s="83">
        <f t="shared" ca="1" si="149"/>
        <v>2.1970018272877902E-2</v>
      </c>
    </row>
    <row r="4663" spans="2:7" x14ac:dyDescent="0.2">
      <c r="B4663" s="167">
        <v>44837</v>
      </c>
      <c r="C4663" s="28">
        <v>322.41000000000003</v>
      </c>
      <c r="D4663" s="83">
        <f t="shared" si="148"/>
        <v>0.49707466567607728</v>
      </c>
      <c r="E4663" s="83">
        <v>-2.3503043886482694E-2</v>
      </c>
      <c r="F4663" s="83">
        <v>4655</v>
      </c>
      <c r="G4663" s="83">
        <f t="shared" ca="1" si="149"/>
        <v>-2.0635672614911231E-3</v>
      </c>
    </row>
    <row r="4664" spans="2:7" x14ac:dyDescent="0.2">
      <c r="B4664" s="167">
        <v>42509</v>
      </c>
      <c r="C4664" s="28">
        <v>215.36</v>
      </c>
      <c r="D4664" s="83">
        <f t="shared" si="148"/>
        <v>2.7696481708384391</v>
      </c>
      <c r="E4664" s="83">
        <v>-2.3620619304529081E-2</v>
      </c>
      <c r="F4664" s="83">
        <v>4656</v>
      </c>
      <c r="G4664" s="83">
        <f t="shared" ca="1" si="149"/>
        <v>8.0148515759563815E-3</v>
      </c>
    </row>
    <row r="4665" spans="2:7" x14ac:dyDescent="0.2">
      <c r="B4665" s="167">
        <v>39799</v>
      </c>
      <c r="C4665" s="28">
        <v>57.13</v>
      </c>
      <c r="D4665" s="83">
        <f t="shared" si="148"/>
        <v>8.9435545385202236E-2</v>
      </c>
      <c r="E4665" s="83">
        <v>-2.3752563226247445E-2</v>
      </c>
      <c r="F4665" s="83">
        <v>4657</v>
      </c>
      <c r="G4665" s="83">
        <f t="shared" ca="1" si="149"/>
        <v>2.5829486112784732E-2</v>
      </c>
    </row>
    <row r="4666" spans="2:7" x14ac:dyDescent="0.2">
      <c r="B4666" s="167">
        <v>39148</v>
      </c>
      <c r="C4666" s="28">
        <v>52.44</v>
      </c>
      <c r="D4666" s="83">
        <f t="shared" si="148"/>
        <v>-0.31495754408883081</v>
      </c>
      <c r="E4666" s="83">
        <v>-2.3827252419955345E-2</v>
      </c>
      <c r="F4666" s="83">
        <v>4658</v>
      </c>
      <c r="G4666" s="83">
        <f t="shared" ca="1" si="149"/>
        <v>-1.9178955699951164E-3</v>
      </c>
    </row>
    <row r="4667" spans="2:7" x14ac:dyDescent="0.2">
      <c r="B4667" s="167">
        <v>40056</v>
      </c>
      <c r="C4667" s="28">
        <v>76.55</v>
      </c>
      <c r="D4667" s="83">
        <f t="shared" si="148"/>
        <v>-0.67573177447367305</v>
      </c>
      <c r="E4667" s="83">
        <v>-2.3970419482341063E-2</v>
      </c>
      <c r="F4667" s="83">
        <v>4659</v>
      </c>
      <c r="G4667" s="83">
        <f t="shared" ca="1" si="149"/>
        <v>-1.8201527304799467E-3</v>
      </c>
    </row>
    <row r="4668" spans="2:7" x14ac:dyDescent="0.2">
      <c r="B4668" s="167">
        <v>42530</v>
      </c>
      <c r="C4668" s="28">
        <v>236.07</v>
      </c>
      <c r="D4668" s="83">
        <f t="shared" si="148"/>
        <v>0.21528957528957526</v>
      </c>
      <c r="E4668" s="83">
        <v>-2.3979823872328158E-2</v>
      </c>
      <c r="F4668" s="83">
        <v>4660</v>
      </c>
      <c r="G4668" s="83">
        <f t="shared" ca="1" si="149"/>
        <v>-2.6476640697849274E-2</v>
      </c>
    </row>
    <row r="4669" spans="2:7" x14ac:dyDescent="0.2">
      <c r="B4669" s="167">
        <v>43993</v>
      </c>
      <c r="C4669" s="28">
        <v>194.25</v>
      </c>
      <c r="D4669" s="83">
        <f t="shared" si="148"/>
        <v>3.3671312949640293</v>
      </c>
      <c r="E4669" s="83">
        <v>-2.411454408440096E-2</v>
      </c>
      <c r="F4669" s="83">
        <v>4661</v>
      </c>
      <c r="G4669" s="83">
        <f t="shared" ca="1" si="149"/>
        <v>2.6349083787878397E-3</v>
      </c>
    </row>
    <row r="4670" spans="2:7" x14ac:dyDescent="0.2">
      <c r="B4670" s="167">
        <v>38691</v>
      </c>
      <c r="C4670" s="28">
        <v>44.48</v>
      </c>
      <c r="D4670" s="83">
        <f t="shared" si="148"/>
        <v>-0.84054490051980646</v>
      </c>
      <c r="E4670" s="83">
        <v>-2.4133391838525701E-2</v>
      </c>
      <c r="F4670" s="83">
        <v>4662</v>
      </c>
      <c r="G4670" s="83">
        <f t="shared" ca="1" si="149"/>
        <v>-2.6985864201959545E-2</v>
      </c>
    </row>
    <row r="4671" spans="2:7" x14ac:dyDescent="0.2">
      <c r="B4671" s="167">
        <v>43237</v>
      </c>
      <c r="C4671" s="28">
        <v>278.95</v>
      </c>
      <c r="D4671" s="83">
        <f t="shared" si="148"/>
        <v>0.31704438149197345</v>
      </c>
      <c r="E4671" s="83">
        <v>-2.4138534196256896E-2</v>
      </c>
      <c r="F4671" s="83">
        <v>4663</v>
      </c>
      <c r="G4671" s="83">
        <f t="shared" ca="1" si="149"/>
        <v>2.9426380974458939E-2</v>
      </c>
    </row>
    <row r="4672" spans="2:7" x14ac:dyDescent="0.2">
      <c r="B4672" s="167">
        <v>44585</v>
      </c>
      <c r="C4672" s="28">
        <v>211.8</v>
      </c>
      <c r="D4672" s="83">
        <f t="shared" si="148"/>
        <v>3.5536602700781805E-3</v>
      </c>
      <c r="E4672" s="83">
        <v>-2.4187975120939873E-2</v>
      </c>
      <c r="F4672" s="83">
        <v>4664</v>
      </c>
      <c r="G4672" s="83">
        <f t="shared" ca="1" si="149"/>
        <v>2.1336354078702003E-3</v>
      </c>
    </row>
    <row r="4673" spans="2:7" x14ac:dyDescent="0.2">
      <c r="B4673" s="167">
        <v>42130</v>
      </c>
      <c r="C4673" s="28">
        <v>211.05</v>
      </c>
      <c r="D4673" s="83">
        <f t="shared" si="148"/>
        <v>-0.10420203735144305</v>
      </c>
      <c r="E4673" s="83">
        <v>-2.4226732627490779E-2</v>
      </c>
      <c r="F4673" s="83">
        <v>4665</v>
      </c>
      <c r="G4673" s="83">
        <f t="shared" ca="1" si="149"/>
        <v>-1.4374433265924191E-2</v>
      </c>
    </row>
    <row r="4674" spans="2:7" x14ac:dyDescent="0.2">
      <c r="B4674" s="167">
        <v>43809</v>
      </c>
      <c r="C4674" s="28">
        <v>235.6</v>
      </c>
      <c r="D4674" s="83">
        <f t="shared" si="148"/>
        <v>0.13558586783631366</v>
      </c>
      <c r="E4674" s="83">
        <v>-2.4228618761648352E-2</v>
      </c>
      <c r="F4674" s="83">
        <v>4666</v>
      </c>
      <c r="G4674" s="83">
        <f t="shared" ca="1" si="149"/>
        <v>-1.8919570429964888E-3</v>
      </c>
    </row>
    <row r="4675" spans="2:7" x14ac:dyDescent="0.2">
      <c r="B4675" s="167">
        <v>41599</v>
      </c>
      <c r="C4675" s="28">
        <v>207.47</v>
      </c>
      <c r="D4675" s="83">
        <f t="shared" si="148"/>
        <v>7.026051070415272E-2</v>
      </c>
      <c r="E4675" s="83">
        <v>-2.4313393528969093E-2</v>
      </c>
      <c r="F4675" s="83">
        <v>4667</v>
      </c>
      <c r="G4675" s="83">
        <f t="shared" ca="1" si="149"/>
        <v>6.9080617471137164E-3</v>
      </c>
    </row>
    <row r="4676" spans="2:7" x14ac:dyDescent="0.2">
      <c r="B4676" s="167">
        <v>44028</v>
      </c>
      <c r="C4676" s="28">
        <v>193.85</v>
      </c>
      <c r="D4676" s="83">
        <f t="shared" si="148"/>
        <v>1.3528340818060443</v>
      </c>
      <c r="E4676" s="83">
        <v>-2.4408656265727201E-2</v>
      </c>
      <c r="F4676" s="83">
        <v>4668</v>
      </c>
      <c r="G4676" s="83">
        <f t="shared" ca="1" si="149"/>
        <v>-1.0863427601642882E-4</v>
      </c>
    </row>
    <row r="4677" spans="2:7" x14ac:dyDescent="0.2">
      <c r="B4677" s="167">
        <v>40120</v>
      </c>
      <c r="C4677" s="28">
        <v>82.39</v>
      </c>
      <c r="D4677" s="83">
        <f t="shared" si="148"/>
        <v>-0.48247487437185926</v>
      </c>
      <c r="E4677" s="83">
        <v>-2.4508643144683796E-2</v>
      </c>
      <c r="F4677" s="83">
        <v>4669</v>
      </c>
      <c r="G4677" s="83">
        <f t="shared" ca="1" si="149"/>
        <v>-8.841921323010829E-3</v>
      </c>
    </row>
    <row r="4678" spans="2:7" x14ac:dyDescent="0.2">
      <c r="B4678" s="167">
        <v>43920</v>
      </c>
      <c r="C4678" s="28">
        <v>159.19999999999999</v>
      </c>
      <c r="D4678" s="83">
        <f t="shared" si="148"/>
        <v>-0.41124260355029585</v>
      </c>
      <c r="E4678" s="83">
        <v>-2.4509803921568631E-2</v>
      </c>
      <c r="F4678" s="83">
        <v>4670</v>
      </c>
      <c r="G4678" s="83">
        <f t="shared" ca="1" si="149"/>
        <v>7.6588543771441645E-3</v>
      </c>
    </row>
    <row r="4679" spans="2:7" x14ac:dyDescent="0.2">
      <c r="B4679" s="167">
        <v>43294</v>
      </c>
      <c r="C4679" s="28">
        <v>270.39999999999998</v>
      </c>
      <c r="D4679" s="83">
        <f t="shared" si="148"/>
        <v>3.2092154420921544</v>
      </c>
      <c r="E4679" s="83">
        <v>-2.4531024531024574E-2</v>
      </c>
      <c r="F4679" s="83">
        <v>4671</v>
      </c>
      <c r="G4679" s="83">
        <f t="shared" ca="1" si="149"/>
        <v>8.474628076621334E-3</v>
      </c>
    </row>
    <row r="4680" spans="2:7" x14ac:dyDescent="0.2">
      <c r="B4680" s="167">
        <v>39981</v>
      </c>
      <c r="C4680" s="28">
        <v>64.239999999999995</v>
      </c>
      <c r="D4680" s="83">
        <f t="shared" si="148"/>
        <v>-0.69179100897183698</v>
      </c>
      <c r="E4680" s="83">
        <v>-2.4597631339204441E-2</v>
      </c>
      <c r="F4680" s="83">
        <v>4672</v>
      </c>
      <c r="G4680" s="83">
        <f t="shared" ca="1" si="149"/>
        <v>-1.1557988952866881E-2</v>
      </c>
    </row>
    <row r="4681" spans="2:7" x14ac:dyDescent="0.2">
      <c r="B4681" s="167">
        <v>41449</v>
      </c>
      <c r="C4681" s="28">
        <v>208.43</v>
      </c>
      <c r="D4681" s="83">
        <f t="shared" ref="D4681:D4744" si="150">(C4681-C4682)/C4682</f>
        <v>-2.3929942867846703E-2</v>
      </c>
      <c r="E4681" s="83">
        <v>-2.4660739354234826E-2</v>
      </c>
      <c r="F4681" s="83">
        <v>4673</v>
      </c>
      <c r="G4681" s="83">
        <f t="shared" ref="G4681:G4744" ca="1" si="151">_xlfn.NORM.INV(RAND(),$M$10,$M$11)</f>
        <v>1.5047478251349458E-2</v>
      </c>
    </row>
    <row r="4682" spans="2:7" x14ac:dyDescent="0.2">
      <c r="B4682" s="167">
        <v>41493</v>
      </c>
      <c r="C4682" s="28">
        <v>213.54</v>
      </c>
      <c r="D4682" s="83">
        <f t="shared" si="150"/>
        <v>4.1455421686746989</v>
      </c>
      <c r="E4682" s="83">
        <v>-2.4664291586736119E-2</v>
      </c>
      <c r="F4682" s="83">
        <v>4674</v>
      </c>
      <c r="G4682" s="83">
        <f t="shared" ca="1" si="151"/>
        <v>-2.1831430002217173E-2</v>
      </c>
    </row>
    <row r="4683" spans="2:7" x14ac:dyDescent="0.2">
      <c r="B4683" s="167">
        <v>38639</v>
      </c>
      <c r="C4683" s="28">
        <v>41.5</v>
      </c>
      <c r="D4683" s="83">
        <f t="shared" si="150"/>
        <v>-0.84436527282955187</v>
      </c>
      <c r="E4683" s="83">
        <v>-2.4676850763807219E-2</v>
      </c>
      <c r="F4683" s="83">
        <v>4675</v>
      </c>
      <c r="G4683" s="83">
        <f t="shared" ca="1" si="151"/>
        <v>1.0733165199282708E-2</v>
      </c>
    </row>
    <row r="4684" spans="2:7" x14ac:dyDescent="0.2">
      <c r="B4684" s="167">
        <v>42782</v>
      </c>
      <c r="C4684" s="28">
        <v>266.64999999999998</v>
      </c>
      <c r="D4684" s="83">
        <f t="shared" si="150"/>
        <v>4.0965214067278284</v>
      </c>
      <c r="E4684" s="83">
        <v>-2.4689100219458672E-2</v>
      </c>
      <c r="F4684" s="83">
        <v>4676</v>
      </c>
      <c r="G4684" s="83">
        <f t="shared" ca="1" si="151"/>
        <v>-2.2611237478887842E-2</v>
      </c>
    </row>
    <row r="4685" spans="2:7" x14ac:dyDescent="0.2">
      <c r="B4685" s="167">
        <v>39239</v>
      </c>
      <c r="C4685" s="28">
        <v>52.32</v>
      </c>
      <c r="D4685" s="83">
        <f t="shared" si="150"/>
        <v>-0.79744483159117308</v>
      </c>
      <c r="E4685" s="83">
        <v>-2.4790307548928206E-2</v>
      </c>
      <c r="F4685" s="83">
        <v>4677</v>
      </c>
      <c r="G4685" s="83">
        <f t="shared" ca="1" si="151"/>
        <v>2.44185909823267E-3</v>
      </c>
    </row>
    <row r="4686" spans="2:7" x14ac:dyDescent="0.2">
      <c r="B4686" s="167">
        <v>42622</v>
      </c>
      <c r="C4686" s="28">
        <v>258.3</v>
      </c>
      <c r="D4686" s="83">
        <f t="shared" si="150"/>
        <v>0.45767494356659155</v>
      </c>
      <c r="E4686" s="83">
        <v>-2.4915062287655592E-2</v>
      </c>
      <c r="F4686" s="83">
        <v>4678</v>
      </c>
      <c r="G4686" s="83">
        <f t="shared" ca="1" si="151"/>
        <v>-2.0420809220489743E-2</v>
      </c>
    </row>
    <row r="4687" spans="2:7" x14ac:dyDescent="0.2">
      <c r="B4687" s="167">
        <v>43899</v>
      </c>
      <c r="C4687" s="28">
        <v>177.2</v>
      </c>
      <c r="D4687" s="83">
        <f t="shared" si="150"/>
        <v>-9.7759674134419633E-2</v>
      </c>
      <c r="E4687" s="83">
        <v>-2.503438789546086E-2</v>
      </c>
      <c r="F4687" s="83">
        <v>4679</v>
      </c>
      <c r="G4687" s="83">
        <f t="shared" ca="1" si="151"/>
        <v>2.6675883401462144E-3</v>
      </c>
    </row>
    <row r="4688" spans="2:7" x14ac:dyDescent="0.2">
      <c r="B4688" s="167">
        <v>44057</v>
      </c>
      <c r="C4688" s="28">
        <v>196.4</v>
      </c>
      <c r="D4688" s="83">
        <f t="shared" si="150"/>
        <v>-8.322830602623342E-2</v>
      </c>
      <c r="E4688" s="83">
        <v>-2.5068255150161246E-2</v>
      </c>
      <c r="F4688" s="83">
        <v>4680</v>
      </c>
      <c r="G4688" s="83">
        <f t="shared" ca="1" si="151"/>
        <v>3.2263694758482781E-3</v>
      </c>
    </row>
    <row r="4689" spans="2:7" x14ac:dyDescent="0.2">
      <c r="B4689" s="167">
        <v>42451</v>
      </c>
      <c r="C4689" s="28">
        <v>214.23</v>
      </c>
      <c r="D4689" s="83">
        <f t="shared" si="150"/>
        <v>2.75512708150745</v>
      </c>
      <c r="E4689" s="83">
        <v>-2.5075088741239735E-2</v>
      </c>
      <c r="F4689" s="83">
        <v>4681</v>
      </c>
      <c r="G4689" s="83">
        <f t="shared" ca="1" si="151"/>
        <v>2.2732092693984393E-2</v>
      </c>
    </row>
    <row r="4690" spans="2:7" x14ac:dyDescent="0.2">
      <c r="B4690" s="167">
        <v>38915</v>
      </c>
      <c r="C4690" s="28">
        <v>57.05</v>
      </c>
      <c r="D4690" s="83">
        <f t="shared" si="150"/>
        <v>0.25938189845474613</v>
      </c>
      <c r="E4690" s="83">
        <v>-2.5119617224880483E-2</v>
      </c>
      <c r="F4690" s="83">
        <v>4682</v>
      </c>
      <c r="G4690" s="83">
        <f t="shared" ca="1" si="151"/>
        <v>-7.3319465519853914E-4</v>
      </c>
    </row>
    <row r="4691" spans="2:7" x14ac:dyDescent="0.2">
      <c r="B4691" s="167">
        <v>38617</v>
      </c>
      <c r="C4691" s="28">
        <v>45.3</v>
      </c>
      <c r="D4691" s="83">
        <f t="shared" si="150"/>
        <v>-0.83569096844396074</v>
      </c>
      <c r="E4691" s="83">
        <v>-2.5177533892834125E-2</v>
      </c>
      <c r="F4691" s="83">
        <v>4683</v>
      </c>
      <c r="G4691" s="83">
        <f t="shared" ca="1" si="151"/>
        <v>1.7262126019522421E-2</v>
      </c>
    </row>
    <row r="4692" spans="2:7" x14ac:dyDescent="0.2">
      <c r="B4692" s="167">
        <v>42984</v>
      </c>
      <c r="C4692" s="28">
        <v>275.7</v>
      </c>
      <c r="D4692" s="83">
        <f t="shared" si="150"/>
        <v>0.35246504782928623</v>
      </c>
      <c r="E4692" s="83">
        <v>-2.5278416121619351E-2</v>
      </c>
      <c r="F4692" s="83">
        <v>4684</v>
      </c>
      <c r="G4692" s="83">
        <f t="shared" ca="1" si="151"/>
        <v>-2.2324789619937713E-2</v>
      </c>
    </row>
    <row r="4693" spans="2:7" x14ac:dyDescent="0.2">
      <c r="B4693" s="167">
        <v>44253</v>
      </c>
      <c r="C4693" s="28">
        <v>203.85</v>
      </c>
      <c r="D4693" s="83">
        <f t="shared" si="150"/>
        <v>-0.10011918951132304</v>
      </c>
      <c r="E4693" s="83">
        <v>-2.5340664594788485E-2</v>
      </c>
      <c r="F4693" s="83">
        <v>4685</v>
      </c>
      <c r="G4693" s="83">
        <f t="shared" ca="1" si="151"/>
        <v>-3.3186593312145324E-2</v>
      </c>
    </row>
    <row r="4694" spans="2:7" x14ac:dyDescent="0.2">
      <c r="B4694" s="167">
        <v>41486</v>
      </c>
      <c r="C4694" s="28">
        <v>226.53</v>
      </c>
      <c r="D4694" s="83">
        <f t="shared" si="150"/>
        <v>6.6525423728813537E-2</v>
      </c>
      <c r="E4694" s="83">
        <v>-2.5383986576603731E-2</v>
      </c>
      <c r="F4694" s="83">
        <v>4686</v>
      </c>
      <c r="G4694" s="83">
        <f t="shared" ca="1" si="151"/>
        <v>-3.8173872046280907E-3</v>
      </c>
    </row>
    <row r="4695" spans="2:7" x14ac:dyDescent="0.2">
      <c r="B4695" s="167">
        <v>44550</v>
      </c>
      <c r="C4695" s="28">
        <v>212.4</v>
      </c>
      <c r="D4695" s="83">
        <f t="shared" si="150"/>
        <v>2.6295283663704714</v>
      </c>
      <c r="E4695" s="83">
        <v>-2.5464556090846448E-2</v>
      </c>
      <c r="F4695" s="83">
        <v>4687</v>
      </c>
      <c r="G4695" s="83">
        <f t="shared" ca="1" si="151"/>
        <v>-5.6052570057825418E-3</v>
      </c>
    </row>
    <row r="4696" spans="2:7" x14ac:dyDescent="0.2">
      <c r="B4696" s="167">
        <v>38912</v>
      </c>
      <c r="C4696" s="28">
        <v>58.52</v>
      </c>
      <c r="D4696" s="83">
        <f t="shared" si="150"/>
        <v>-0.29400410182169134</v>
      </c>
      <c r="E4696" s="83">
        <v>-2.5478767693588578E-2</v>
      </c>
      <c r="F4696" s="83">
        <v>4688</v>
      </c>
      <c r="G4696" s="83">
        <f t="shared" ca="1" si="151"/>
        <v>5.4737919755099189E-3</v>
      </c>
    </row>
    <row r="4697" spans="2:7" x14ac:dyDescent="0.2">
      <c r="B4697" s="167">
        <v>40190</v>
      </c>
      <c r="C4697" s="28">
        <v>82.89</v>
      </c>
      <c r="D4697" s="83">
        <f t="shared" si="150"/>
        <v>0.36646884272997043</v>
      </c>
      <c r="E4697" s="83">
        <v>-2.5511403715024708E-2</v>
      </c>
      <c r="F4697" s="83">
        <v>4689</v>
      </c>
      <c r="G4697" s="83">
        <f t="shared" ca="1" si="151"/>
        <v>-6.0511508776082508E-3</v>
      </c>
    </row>
    <row r="4698" spans="2:7" x14ac:dyDescent="0.2">
      <c r="B4698" s="167">
        <v>39630</v>
      </c>
      <c r="C4698" s="28">
        <v>60.66</v>
      </c>
      <c r="D4698" s="83">
        <f t="shared" si="150"/>
        <v>-0.67509373326191746</v>
      </c>
      <c r="E4698" s="83">
        <v>-2.5542168674698849E-2</v>
      </c>
      <c r="F4698" s="83">
        <v>4690</v>
      </c>
      <c r="G4698" s="83">
        <f t="shared" ca="1" si="151"/>
        <v>8.8811012900686121E-3</v>
      </c>
    </row>
    <row r="4699" spans="2:7" x14ac:dyDescent="0.2">
      <c r="B4699" s="167">
        <v>44078</v>
      </c>
      <c r="C4699" s="28">
        <v>186.7</v>
      </c>
      <c r="D4699" s="83">
        <f t="shared" si="150"/>
        <v>-0.18328958880139987</v>
      </c>
      <c r="E4699" s="83">
        <v>-2.5574112734864332E-2</v>
      </c>
      <c r="F4699" s="83">
        <v>4691</v>
      </c>
      <c r="G4699" s="83">
        <f t="shared" ca="1" si="151"/>
        <v>6.6994409464310924E-3</v>
      </c>
    </row>
    <row r="4700" spans="2:7" x14ac:dyDescent="0.2">
      <c r="B4700" s="167">
        <v>44544</v>
      </c>
      <c r="C4700" s="28">
        <v>228.6</v>
      </c>
      <c r="D4700" s="83">
        <f t="shared" si="150"/>
        <v>3.412275622466705</v>
      </c>
      <c r="E4700" s="83">
        <v>-2.557544757033248E-2</v>
      </c>
      <c r="F4700" s="83">
        <v>4692</v>
      </c>
      <c r="G4700" s="83">
        <f t="shared" ca="1" si="151"/>
        <v>3.1422500060085977E-2</v>
      </c>
    </row>
    <row r="4701" spans="2:7" x14ac:dyDescent="0.2">
      <c r="B4701" s="167">
        <v>39195</v>
      </c>
      <c r="C4701" s="28">
        <v>51.81</v>
      </c>
      <c r="D4701" s="83">
        <f t="shared" si="150"/>
        <v>-0.1045627376425855</v>
      </c>
      <c r="E4701" s="83">
        <v>-2.5578333646793294E-2</v>
      </c>
      <c r="F4701" s="83">
        <v>4693</v>
      </c>
      <c r="G4701" s="83">
        <f t="shared" ca="1" si="151"/>
        <v>-2.4969489610614119E-2</v>
      </c>
    </row>
    <row r="4702" spans="2:7" x14ac:dyDescent="0.2">
      <c r="B4702" s="167">
        <v>39640</v>
      </c>
      <c r="C4702" s="28">
        <v>57.86</v>
      </c>
      <c r="D4702" s="83">
        <f t="shared" si="150"/>
        <v>-2.5597844392051247E-2</v>
      </c>
      <c r="E4702" s="83">
        <v>-2.5597844392051247E-2</v>
      </c>
      <c r="F4702" s="83">
        <v>4694</v>
      </c>
      <c r="G4702" s="83">
        <f t="shared" ca="1" si="151"/>
        <v>7.7138411076823118E-3</v>
      </c>
    </row>
    <row r="4703" spans="2:7" x14ac:dyDescent="0.2">
      <c r="B4703" s="167">
        <v>39639</v>
      </c>
      <c r="C4703" s="28">
        <v>59.38</v>
      </c>
      <c r="D4703" s="83">
        <f t="shared" si="150"/>
        <v>-4.793971460638119E-2</v>
      </c>
      <c r="E4703" s="83">
        <v>-2.5598949786675339E-2</v>
      </c>
      <c r="F4703" s="83">
        <v>4695</v>
      </c>
      <c r="G4703" s="83">
        <f t="shared" ca="1" si="151"/>
        <v>-4.502133322301583E-4</v>
      </c>
    </row>
    <row r="4704" spans="2:7" x14ac:dyDescent="0.2">
      <c r="B4704" s="167">
        <v>39423</v>
      </c>
      <c r="C4704" s="28">
        <v>62.37</v>
      </c>
      <c r="D4704" s="83">
        <f t="shared" si="150"/>
        <v>0.13897005113221328</v>
      </c>
      <c r="E4704" s="83">
        <v>-2.5620996719262733E-2</v>
      </c>
      <c r="F4704" s="83">
        <v>4696</v>
      </c>
      <c r="G4704" s="83">
        <f t="shared" ca="1" si="151"/>
        <v>-1.577432062628183E-2</v>
      </c>
    </row>
    <row r="4705" spans="2:7" x14ac:dyDescent="0.2">
      <c r="B4705" s="167">
        <v>39769</v>
      </c>
      <c r="C4705" s="28">
        <v>54.76</v>
      </c>
      <c r="D4705" s="83">
        <f t="shared" si="150"/>
        <v>7.5834970530451851E-2</v>
      </c>
      <c r="E4705" s="83">
        <v>-2.5622775800711827E-2</v>
      </c>
      <c r="F4705" s="83">
        <v>4697</v>
      </c>
      <c r="G4705" s="83">
        <f t="shared" ca="1" si="151"/>
        <v>4.8851402613325438E-3</v>
      </c>
    </row>
    <row r="4706" spans="2:7" x14ac:dyDescent="0.2">
      <c r="B4706" s="167">
        <v>39311</v>
      </c>
      <c r="C4706" s="28">
        <v>50.9</v>
      </c>
      <c r="D4706" s="83">
        <f t="shared" si="150"/>
        <v>-0.30092020326878183</v>
      </c>
      <c r="E4706" s="83">
        <v>-2.5650842266462547E-2</v>
      </c>
      <c r="F4706" s="83">
        <v>4698</v>
      </c>
      <c r="G4706" s="83">
        <f t="shared" ca="1" si="151"/>
        <v>-1.0720082329760688E-2</v>
      </c>
    </row>
    <row r="4707" spans="2:7" x14ac:dyDescent="0.2">
      <c r="B4707" s="167">
        <v>40015</v>
      </c>
      <c r="C4707" s="28">
        <v>72.81</v>
      </c>
      <c r="D4707" s="83">
        <f t="shared" si="150"/>
        <v>-0.78899933346857154</v>
      </c>
      <c r="E4707" s="83">
        <v>-2.5692492974708974E-2</v>
      </c>
      <c r="F4707" s="83">
        <v>4699</v>
      </c>
      <c r="G4707" s="83">
        <f t="shared" ca="1" si="151"/>
        <v>3.2335820209131186E-2</v>
      </c>
    </row>
    <row r="4708" spans="2:7" x14ac:dyDescent="0.2">
      <c r="B4708" s="167">
        <v>44879</v>
      </c>
      <c r="C4708" s="28">
        <v>345.07</v>
      </c>
      <c r="D4708" s="83">
        <f t="shared" si="150"/>
        <v>0.44483523845413042</v>
      </c>
      <c r="E4708" s="83">
        <v>-2.5693875822345266E-2</v>
      </c>
      <c r="F4708" s="83">
        <v>4700</v>
      </c>
      <c r="G4708" s="83">
        <f t="shared" ca="1" si="151"/>
        <v>1.1534680884586927E-2</v>
      </c>
    </row>
    <row r="4709" spans="2:7" x14ac:dyDescent="0.2">
      <c r="B4709" s="167">
        <v>42010</v>
      </c>
      <c r="C4709" s="28">
        <v>238.83</v>
      </c>
      <c r="D4709" s="83">
        <f t="shared" si="150"/>
        <v>-8.6866755878417121E-2</v>
      </c>
      <c r="E4709" s="83">
        <v>-2.5700648635417874E-2</v>
      </c>
      <c r="F4709" s="83">
        <v>4701</v>
      </c>
      <c r="G4709" s="83">
        <f t="shared" ca="1" si="151"/>
        <v>-3.2402187320484475E-3</v>
      </c>
    </row>
    <row r="4710" spans="2:7" x14ac:dyDescent="0.2">
      <c r="B4710" s="167">
        <v>44670</v>
      </c>
      <c r="C4710" s="28">
        <v>261.55</v>
      </c>
      <c r="D4710" s="83">
        <f t="shared" si="150"/>
        <v>3.1962137012674479</v>
      </c>
      <c r="E4710" s="83">
        <v>-2.5703110448873079E-2</v>
      </c>
      <c r="F4710" s="83">
        <v>4702</v>
      </c>
      <c r="G4710" s="83">
        <f t="shared" ca="1" si="151"/>
        <v>1.1611627558313114E-2</v>
      </c>
    </row>
    <row r="4711" spans="2:7" x14ac:dyDescent="0.2">
      <c r="B4711" s="167">
        <v>39716</v>
      </c>
      <c r="C4711" s="28">
        <v>62.33</v>
      </c>
      <c r="D4711" s="83">
        <f t="shared" si="150"/>
        <v>1.3166449934980414E-2</v>
      </c>
      <c r="E4711" s="83">
        <v>-2.5789309159112202E-2</v>
      </c>
      <c r="F4711" s="83">
        <v>4703</v>
      </c>
      <c r="G4711" s="83">
        <f t="shared" ca="1" si="151"/>
        <v>1.3578885253881305E-2</v>
      </c>
    </row>
    <row r="4712" spans="2:7" x14ac:dyDescent="0.2">
      <c r="B4712" s="167">
        <v>39520</v>
      </c>
      <c r="C4712" s="28">
        <v>61.52</v>
      </c>
      <c r="D4712" s="83">
        <f t="shared" si="150"/>
        <v>0.11631282888767926</v>
      </c>
      <c r="E4712" s="83">
        <v>-2.581155977830555E-2</v>
      </c>
      <c r="F4712" s="83">
        <v>4704</v>
      </c>
      <c r="G4712" s="83">
        <f t="shared" ca="1" si="151"/>
        <v>1.5181548119106271E-4</v>
      </c>
    </row>
    <row r="4713" spans="2:7" x14ac:dyDescent="0.2">
      <c r="B4713" s="167">
        <v>39225</v>
      </c>
      <c r="C4713" s="28">
        <v>55.11</v>
      </c>
      <c r="D4713" s="83">
        <f t="shared" si="150"/>
        <v>-0.86701254826254825</v>
      </c>
      <c r="E4713" s="83">
        <v>-2.5980911983032855E-2</v>
      </c>
      <c r="F4713" s="83">
        <v>4705</v>
      </c>
      <c r="G4713" s="83">
        <f t="shared" ca="1" si="151"/>
        <v>6.9552086314715947E-3</v>
      </c>
    </row>
    <row r="4714" spans="2:7" x14ac:dyDescent="0.2">
      <c r="B4714" s="167">
        <v>45321</v>
      </c>
      <c r="C4714" s="28">
        <v>414.4</v>
      </c>
      <c r="D4714" s="83">
        <f t="shared" si="150"/>
        <v>7.9079965606190878</v>
      </c>
      <c r="E4714" s="83">
        <v>-2.6132731716488073E-2</v>
      </c>
      <c r="F4714" s="83">
        <v>4706</v>
      </c>
      <c r="G4714" s="83">
        <f t="shared" ca="1" si="151"/>
        <v>2.0997770508775028E-2</v>
      </c>
    </row>
    <row r="4715" spans="2:7" x14ac:dyDescent="0.2">
      <c r="B4715" s="167">
        <v>38701</v>
      </c>
      <c r="C4715" s="28">
        <v>46.52</v>
      </c>
      <c r="D4715" s="83">
        <f t="shared" si="150"/>
        <v>-0.76574852711616892</v>
      </c>
      <c r="E4715" s="83">
        <v>-2.6167050450073268E-2</v>
      </c>
      <c r="F4715" s="83">
        <v>4707</v>
      </c>
      <c r="G4715" s="83">
        <f t="shared" ca="1" si="151"/>
        <v>-1.2926122793545483E-2</v>
      </c>
    </row>
    <row r="4716" spans="2:7" x14ac:dyDescent="0.2">
      <c r="B4716" s="167">
        <v>41368</v>
      </c>
      <c r="C4716" s="28">
        <v>198.59</v>
      </c>
      <c r="D4716" s="83">
        <f t="shared" si="150"/>
        <v>8.3592513777486721E-2</v>
      </c>
      <c r="E4716" s="83">
        <v>-2.6185455793654701E-2</v>
      </c>
      <c r="F4716" s="83">
        <v>4708</v>
      </c>
      <c r="G4716" s="83">
        <f t="shared" ca="1" si="151"/>
        <v>-1.7693882721136468E-2</v>
      </c>
    </row>
    <row r="4717" spans="2:7" x14ac:dyDescent="0.2">
      <c r="B4717" s="167">
        <v>41228</v>
      </c>
      <c r="C4717" s="28">
        <v>183.27</v>
      </c>
      <c r="D4717" s="83">
        <f t="shared" si="150"/>
        <v>2.6327056491575815</v>
      </c>
      <c r="E4717" s="83">
        <v>-2.6247276977843886E-2</v>
      </c>
      <c r="F4717" s="83">
        <v>4709</v>
      </c>
      <c r="G4717" s="83">
        <f t="shared" ca="1" si="151"/>
        <v>-2.308644597616526E-2</v>
      </c>
    </row>
    <row r="4718" spans="2:7" x14ac:dyDescent="0.2">
      <c r="B4718" s="167">
        <v>39315</v>
      </c>
      <c r="C4718" s="28">
        <v>50.45</v>
      </c>
      <c r="D4718" s="83">
        <f t="shared" si="150"/>
        <v>-0.75956726874136193</v>
      </c>
      <c r="E4718" s="83">
        <v>-2.6249758733835154E-2</v>
      </c>
      <c r="F4718" s="83">
        <v>4710</v>
      </c>
      <c r="G4718" s="83">
        <f t="shared" ca="1" si="151"/>
        <v>-1.6339009073807444E-2</v>
      </c>
    </row>
    <row r="4719" spans="2:7" x14ac:dyDescent="0.2">
      <c r="B4719" s="167">
        <v>42444</v>
      </c>
      <c r="C4719" s="28">
        <v>209.83</v>
      </c>
      <c r="D4719" s="83">
        <f t="shared" si="150"/>
        <v>-0.12370014616830227</v>
      </c>
      <c r="E4719" s="83">
        <v>-2.6265719987006341E-2</v>
      </c>
      <c r="F4719" s="83">
        <v>4711</v>
      </c>
      <c r="G4719" s="83">
        <f t="shared" ca="1" si="151"/>
        <v>1.3370036710314573E-2</v>
      </c>
    </row>
    <row r="4720" spans="2:7" x14ac:dyDescent="0.2">
      <c r="B4720" s="167">
        <v>42662</v>
      </c>
      <c r="C4720" s="28">
        <v>239.45</v>
      </c>
      <c r="D4720" s="83">
        <f t="shared" si="150"/>
        <v>-0.3176896335555936</v>
      </c>
      <c r="E4720" s="83">
        <v>-2.6428135799959344E-2</v>
      </c>
      <c r="F4720" s="83">
        <v>4712</v>
      </c>
      <c r="G4720" s="83">
        <f t="shared" ca="1" si="151"/>
        <v>1.0808661878748807E-2</v>
      </c>
    </row>
    <row r="4721" spans="2:7" x14ac:dyDescent="0.2">
      <c r="B4721" s="167">
        <v>44964</v>
      </c>
      <c r="C4721" s="28">
        <v>350.94</v>
      </c>
      <c r="D4721" s="83">
        <f t="shared" si="150"/>
        <v>4.6786407766990292</v>
      </c>
      <c r="E4721" s="83">
        <v>-2.6464713715046662E-2</v>
      </c>
      <c r="F4721" s="83">
        <v>4713</v>
      </c>
      <c r="G4721" s="83">
        <f t="shared" ca="1" si="151"/>
        <v>-7.0108587193215754E-3</v>
      </c>
    </row>
    <row r="4722" spans="2:7" x14ac:dyDescent="0.2">
      <c r="B4722" s="167">
        <v>39624</v>
      </c>
      <c r="C4722" s="28">
        <v>61.8</v>
      </c>
      <c r="D4722" s="83">
        <f t="shared" si="150"/>
        <v>0.19328055609190961</v>
      </c>
      <c r="E4722" s="83">
        <v>-2.646502835538752E-2</v>
      </c>
      <c r="F4722" s="83">
        <v>4714</v>
      </c>
      <c r="G4722" s="83">
        <f t="shared" ca="1" si="151"/>
        <v>-1.5580096126084266E-2</v>
      </c>
    </row>
    <row r="4723" spans="2:7" x14ac:dyDescent="0.2">
      <c r="B4723" s="167">
        <v>39184</v>
      </c>
      <c r="C4723" s="28">
        <v>51.79</v>
      </c>
      <c r="D4723" s="83">
        <f t="shared" si="150"/>
        <v>-0.18862603791320695</v>
      </c>
      <c r="E4723" s="83">
        <v>-2.6503759398496307E-2</v>
      </c>
      <c r="F4723" s="83">
        <v>4715</v>
      </c>
      <c r="G4723" s="83">
        <f t="shared" ca="1" si="151"/>
        <v>2.0885601219543401E-2</v>
      </c>
    </row>
    <row r="4724" spans="2:7" x14ac:dyDescent="0.2">
      <c r="B4724" s="167">
        <v>39939</v>
      </c>
      <c r="C4724" s="28">
        <v>63.83</v>
      </c>
      <c r="D4724" s="83">
        <f t="shared" si="150"/>
        <v>-0.78226164079822624</v>
      </c>
      <c r="E4724" s="83">
        <v>-2.6536525850236314E-2</v>
      </c>
      <c r="F4724" s="83">
        <v>4716</v>
      </c>
      <c r="G4724" s="83">
        <f t="shared" ca="1" si="151"/>
        <v>2.3414169310078628E-2</v>
      </c>
    </row>
    <row r="4725" spans="2:7" x14ac:dyDescent="0.2">
      <c r="B4725" s="167">
        <v>43369</v>
      </c>
      <c r="C4725" s="28">
        <v>293.14999999999998</v>
      </c>
      <c r="D4725" s="83">
        <f t="shared" si="150"/>
        <v>4.5259189443920826</v>
      </c>
      <c r="E4725" s="83">
        <v>-2.6564834799933591E-2</v>
      </c>
      <c r="F4725" s="83">
        <v>4717</v>
      </c>
      <c r="G4725" s="83">
        <f t="shared" ca="1" si="151"/>
        <v>-2.1763270531373145E-3</v>
      </c>
    </row>
    <row r="4726" spans="2:7" x14ac:dyDescent="0.2">
      <c r="B4726" s="167">
        <v>38873</v>
      </c>
      <c r="C4726" s="28">
        <v>53.05</v>
      </c>
      <c r="D4726" s="83">
        <f t="shared" si="150"/>
        <v>-3.7554426705370111E-2</v>
      </c>
      <c r="E4726" s="83">
        <v>-2.6605504587156017E-2</v>
      </c>
      <c r="F4726" s="83">
        <v>4718</v>
      </c>
      <c r="G4726" s="83">
        <f t="shared" ca="1" si="151"/>
        <v>-7.6183069641738389E-3</v>
      </c>
    </row>
    <row r="4727" spans="2:7" x14ac:dyDescent="0.2">
      <c r="B4727" s="167">
        <v>38764</v>
      </c>
      <c r="C4727" s="28">
        <v>55.12</v>
      </c>
      <c r="D4727" s="83">
        <f t="shared" si="150"/>
        <v>-0.73626794258373207</v>
      </c>
      <c r="E4727" s="83">
        <v>-2.6664312202013155E-2</v>
      </c>
      <c r="F4727" s="83">
        <v>4719</v>
      </c>
      <c r="G4727" s="83">
        <f t="shared" ca="1" si="151"/>
        <v>-1.3583871435550668E-2</v>
      </c>
    </row>
    <row r="4728" spans="2:7" x14ac:dyDescent="0.2">
      <c r="B4728" s="167">
        <v>42408</v>
      </c>
      <c r="C4728" s="28">
        <v>209</v>
      </c>
      <c r="D4728" s="83">
        <f t="shared" si="150"/>
        <v>2.8187465740909925</v>
      </c>
      <c r="E4728" s="83">
        <v>-2.6820636990128474E-2</v>
      </c>
      <c r="F4728" s="83">
        <v>4720</v>
      </c>
      <c r="G4728" s="83">
        <f t="shared" ca="1" si="151"/>
        <v>1.5248418363622314E-2</v>
      </c>
    </row>
    <row r="4729" spans="2:7" x14ac:dyDescent="0.2">
      <c r="B4729" s="167">
        <v>39825</v>
      </c>
      <c r="C4729" s="28">
        <v>54.73</v>
      </c>
      <c r="D4729" s="83">
        <f t="shared" si="150"/>
        <v>-0.86800598109203164</v>
      </c>
      <c r="E4729" s="83">
        <v>-2.6849217638691414E-2</v>
      </c>
      <c r="F4729" s="83">
        <v>4721</v>
      </c>
      <c r="G4729" s="83">
        <f t="shared" ca="1" si="151"/>
        <v>-2.6713499568869436E-2</v>
      </c>
    </row>
    <row r="4730" spans="2:7" x14ac:dyDescent="0.2">
      <c r="B4730" s="167">
        <v>45219</v>
      </c>
      <c r="C4730" s="28">
        <v>414.64</v>
      </c>
      <c r="D4730" s="83">
        <f t="shared" si="150"/>
        <v>6.3858211613822586</v>
      </c>
      <c r="E4730" s="83">
        <v>-2.6849417949680807E-2</v>
      </c>
      <c r="F4730" s="83">
        <v>4722</v>
      </c>
      <c r="G4730" s="83">
        <f t="shared" ca="1" si="151"/>
        <v>-6.5272123781035529E-3</v>
      </c>
    </row>
    <row r="4731" spans="2:7" x14ac:dyDescent="0.2">
      <c r="B4731" s="167">
        <v>39787</v>
      </c>
      <c r="C4731" s="28">
        <v>56.14</v>
      </c>
      <c r="D4731" s="83">
        <f t="shared" si="150"/>
        <v>-0.51220783734468678</v>
      </c>
      <c r="E4731" s="83">
        <v>-2.6867741376321672E-2</v>
      </c>
      <c r="F4731" s="83">
        <v>4723</v>
      </c>
      <c r="G4731" s="83">
        <f t="shared" ca="1" si="151"/>
        <v>-1.6481252106880905E-2</v>
      </c>
    </row>
    <row r="4732" spans="2:7" x14ac:dyDescent="0.2">
      <c r="B4732" s="167">
        <v>40450</v>
      </c>
      <c r="C4732" s="28">
        <v>115.09</v>
      </c>
      <c r="D4732" s="83">
        <f t="shared" si="150"/>
        <v>0.42473384501114142</v>
      </c>
      <c r="E4732" s="83">
        <v>-2.6887629999154415E-2</v>
      </c>
      <c r="F4732" s="83">
        <v>4724</v>
      </c>
      <c r="G4732" s="83">
        <f t="shared" ca="1" si="151"/>
        <v>1.2832555825443463E-2</v>
      </c>
    </row>
    <row r="4733" spans="2:7" x14ac:dyDescent="0.2">
      <c r="B4733" s="167">
        <v>40107</v>
      </c>
      <c r="C4733" s="28">
        <v>80.78</v>
      </c>
      <c r="D4733" s="83">
        <f t="shared" si="150"/>
        <v>0.28835725677830937</v>
      </c>
      <c r="E4733" s="83">
        <v>-2.6981450252951036E-2</v>
      </c>
      <c r="F4733" s="83">
        <v>4725</v>
      </c>
      <c r="G4733" s="83">
        <f t="shared" ca="1" si="151"/>
        <v>6.9206604452643847E-3</v>
      </c>
    </row>
    <row r="4734" spans="2:7" x14ac:dyDescent="0.2">
      <c r="B4734" s="167">
        <v>39695</v>
      </c>
      <c r="C4734" s="28">
        <v>62.7</v>
      </c>
      <c r="D4734" s="83">
        <f t="shared" si="150"/>
        <v>-0.67993874425727407</v>
      </c>
      <c r="E4734" s="83">
        <v>-2.7001862197392847E-2</v>
      </c>
      <c r="F4734" s="83">
        <v>4726</v>
      </c>
      <c r="G4734" s="83">
        <f t="shared" ca="1" si="151"/>
        <v>8.8999305316262538E-3</v>
      </c>
    </row>
    <row r="4735" spans="2:7" x14ac:dyDescent="0.2">
      <c r="B4735" s="167">
        <v>42416</v>
      </c>
      <c r="C4735" s="28">
        <v>195.9</v>
      </c>
      <c r="D4735" s="83">
        <f t="shared" si="150"/>
        <v>2.6528062651501028</v>
      </c>
      <c r="E4735" s="83">
        <v>-2.7018972881692648E-2</v>
      </c>
      <c r="F4735" s="83">
        <v>4727</v>
      </c>
      <c r="G4735" s="83">
        <f t="shared" ca="1" si="151"/>
        <v>3.7301456795429178E-3</v>
      </c>
    </row>
    <row r="4736" spans="2:7" x14ac:dyDescent="0.2">
      <c r="B4736" s="167">
        <v>38765</v>
      </c>
      <c r="C4736" s="28">
        <v>53.63</v>
      </c>
      <c r="D4736" s="83">
        <f t="shared" si="150"/>
        <v>-0.2507683710533668</v>
      </c>
      <c r="E4736" s="83">
        <v>-2.7031930333817036E-2</v>
      </c>
      <c r="F4736" s="83">
        <v>4728</v>
      </c>
      <c r="G4736" s="83">
        <f t="shared" ca="1" si="151"/>
        <v>-9.0150405889794505E-3</v>
      </c>
    </row>
    <row r="4737" spans="2:7" x14ac:dyDescent="0.2">
      <c r="B4737" s="167">
        <v>39597</v>
      </c>
      <c r="C4737" s="28">
        <v>71.58</v>
      </c>
      <c r="D4737" s="83">
        <f t="shared" si="150"/>
        <v>-0.60507586206896558</v>
      </c>
      <c r="E4737" s="83">
        <v>-2.7049068913959428E-2</v>
      </c>
      <c r="F4737" s="83">
        <v>4729</v>
      </c>
      <c r="G4737" s="83">
        <f t="shared" ca="1" si="151"/>
        <v>-2.5285560859480295E-2</v>
      </c>
    </row>
    <row r="4738" spans="2:7" x14ac:dyDescent="0.2">
      <c r="B4738" s="167">
        <v>41285</v>
      </c>
      <c r="C4738" s="28">
        <v>181.25</v>
      </c>
      <c r="D4738" s="83">
        <f t="shared" si="150"/>
        <v>1.8018240840933684</v>
      </c>
      <c r="E4738" s="83">
        <v>-2.7054592302324293E-2</v>
      </c>
      <c r="F4738" s="83">
        <v>4730</v>
      </c>
      <c r="G4738" s="83">
        <f t="shared" ca="1" si="151"/>
        <v>8.9087010248506959E-3</v>
      </c>
    </row>
    <row r="4739" spans="2:7" x14ac:dyDescent="0.2">
      <c r="B4739" s="167">
        <v>38807</v>
      </c>
      <c r="C4739" s="28">
        <v>64.69</v>
      </c>
      <c r="D4739" s="83">
        <f t="shared" si="150"/>
        <v>0.83830633702756474</v>
      </c>
      <c r="E4739" s="83">
        <v>-2.707174011129489E-2</v>
      </c>
      <c r="F4739" s="83">
        <v>4731</v>
      </c>
      <c r="G4739" s="83">
        <f t="shared" ca="1" si="151"/>
        <v>2.7050450034026688E-2</v>
      </c>
    </row>
    <row r="4740" spans="2:7" x14ac:dyDescent="0.2">
      <c r="B4740" s="167">
        <v>38531</v>
      </c>
      <c r="C4740" s="28">
        <v>35.19</v>
      </c>
      <c r="D4740" s="83">
        <f t="shared" si="150"/>
        <v>-0.73034482758620689</v>
      </c>
      <c r="E4740" s="83">
        <v>-2.709427702515908E-2</v>
      </c>
      <c r="F4740" s="83">
        <v>4732</v>
      </c>
      <c r="G4740" s="83">
        <f t="shared" ca="1" si="151"/>
        <v>1.4204863811023658E-2</v>
      </c>
    </row>
    <row r="4741" spans="2:7" x14ac:dyDescent="0.2">
      <c r="B4741" s="167">
        <v>40781</v>
      </c>
      <c r="C4741" s="28">
        <v>130.5</v>
      </c>
      <c r="D4741" s="83">
        <f t="shared" si="150"/>
        <v>1.4497841186408857</v>
      </c>
      <c r="E4741" s="83">
        <v>-2.7208348863212863E-2</v>
      </c>
      <c r="F4741" s="83">
        <v>4733</v>
      </c>
      <c r="G4741" s="83">
        <f t="shared" ca="1" si="151"/>
        <v>3.7435293181718077E-3</v>
      </c>
    </row>
    <row r="4742" spans="2:7" x14ac:dyDescent="0.2">
      <c r="B4742" s="167">
        <v>39770</v>
      </c>
      <c r="C4742" s="28">
        <v>53.27</v>
      </c>
      <c r="D4742" s="83">
        <f t="shared" si="150"/>
        <v>-0.69149244223084483</v>
      </c>
      <c r="E4742" s="83">
        <v>-2.7209642074506848E-2</v>
      </c>
      <c r="F4742" s="83">
        <v>4734</v>
      </c>
      <c r="G4742" s="83">
        <f t="shared" ca="1" si="151"/>
        <v>1.6236898944021763E-2</v>
      </c>
    </row>
    <row r="4743" spans="2:7" x14ac:dyDescent="0.2">
      <c r="B4743" s="167">
        <v>41158</v>
      </c>
      <c r="C4743" s="28">
        <v>172.67</v>
      </c>
      <c r="D4743" s="83">
        <f t="shared" si="150"/>
        <v>-0.37888489208633097</v>
      </c>
      <c r="E4743" s="83">
        <v>-2.726606951721032E-2</v>
      </c>
      <c r="F4743" s="83">
        <v>4735</v>
      </c>
      <c r="G4743" s="83">
        <f t="shared" ca="1" si="151"/>
        <v>-1.4785146586974694E-2</v>
      </c>
    </row>
    <row r="4744" spans="2:7" x14ac:dyDescent="0.2">
      <c r="B4744" s="167">
        <v>42853</v>
      </c>
      <c r="C4744" s="28">
        <v>278</v>
      </c>
      <c r="D4744" s="83">
        <f t="shared" si="150"/>
        <v>4.1720930232558135</v>
      </c>
      <c r="E4744" s="83">
        <v>-2.7291812456263161E-2</v>
      </c>
      <c r="F4744" s="83">
        <v>4736</v>
      </c>
      <c r="G4744" s="83">
        <f t="shared" ca="1" si="151"/>
        <v>2.5488893581182767E-2</v>
      </c>
    </row>
    <row r="4745" spans="2:7" x14ac:dyDescent="0.2">
      <c r="B4745" s="167">
        <v>39146</v>
      </c>
      <c r="C4745" s="28">
        <v>53.75</v>
      </c>
      <c r="D4745" s="83">
        <f t="shared" ref="D4745:D4808" si="152">(C4745-C4746)/C4746</f>
        <v>9.8283612586841082E-2</v>
      </c>
      <c r="E4745" s="83">
        <v>-2.7325370973579406E-2</v>
      </c>
      <c r="F4745" s="83">
        <v>4737</v>
      </c>
      <c r="G4745" s="83">
        <f t="shared" ref="G4745:G4808" ca="1" si="153">_xlfn.NORM.INV(RAND(),$M$10,$M$11)</f>
        <v>1.0659860359444433E-3</v>
      </c>
    </row>
    <row r="4746" spans="2:7" x14ac:dyDescent="0.2">
      <c r="B4746" s="167">
        <v>38876</v>
      </c>
      <c r="C4746" s="28">
        <v>48.94</v>
      </c>
      <c r="D4746" s="83">
        <f t="shared" si="152"/>
        <v>-0.82953674677812606</v>
      </c>
      <c r="E4746" s="83">
        <v>-2.7424483306836299E-2</v>
      </c>
      <c r="F4746" s="83">
        <v>4738</v>
      </c>
      <c r="G4746" s="83">
        <f t="shared" ca="1" si="153"/>
        <v>-2.5381787111960933E-2</v>
      </c>
    </row>
    <row r="4747" spans="2:7" x14ac:dyDescent="0.2">
      <c r="B4747" s="167">
        <v>43377</v>
      </c>
      <c r="C4747" s="28">
        <v>287.10000000000002</v>
      </c>
      <c r="D4747" s="83">
        <f t="shared" si="152"/>
        <v>3.5901136568645305E-2</v>
      </c>
      <c r="E4747" s="83">
        <v>-2.7439024390243788E-2</v>
      </c>
      <c r="F4747" s="83">
        <v>4739</v>
      </c>
      <c r="G4747" s="83">
        <f t="shared" ca="1" si="153"/>
        <v>-1.5356694862502383E-2</v>
      </c>
    </row>
    <row r="4748" spans="2:7" x14ac:dyDescent="0.2">
      <c r="B4748" s="167">
        <v>43224</v>
      </c>
      <c r="C4748" s="28">
        <v>277.14999999999998</v>
      </c>
      <c r="D4748" s="83">
        <f t="shared" si="152"/>
        <v>0.43511806130903052</v>
      </c>
      <c r="E4748" s="83">
        <v>-2.7543859649122888E-2</v>
      </c>
      <c r="F4748" s="83">
        <v>4740</v>
      </c>
      <c r="G4748" s="83">
        <f t="shared" ca="1" si="153"/>
        <v>-2.7972805609270658E-2</v>
      </c>
    </row>
    <row r="4749" spans="2:7" x14ac:dyDescent="0.2">
      <c r="B4749" s="167">
        <v>41369</v>
      </c>
      <c r="C4749" s="28">
        <v>193.12</v>
      </c>
      <c r="D4749" s="83">
        <f t="shared" si="152"/>
        <v>0.56233314456759165</v>
      </c>
      <c r="E4749" s="83">
        <v>-2.7544186514930253E-2</v>
      </c>
      <c r="F4749" s="83">
        <v>4741</v>
      </c>
      <c r="G4749" s="83">
        <f t="shared" ca="1" si="153"/>
        <v>2.4816424212722146E-2</v>
      </c>
    </row>
    <row r="4750" spans="2:7" x14ac:dyDescent="0.2">
      <c r="B4750" s="167">
        <v>40714</v>
      </c>
      <c r="C4750" s="28">
        <v>123.61</v>
      </c>
      <c r="D4750" s="83">
        <f t="shared" si="152"/>
        <v>-0.4571127410075102</v>
      </c>
      <c r="E4750" s="83">
        <v>-2.7611705475141638E-2</v>
      </c>
      <c r="F4750" s="83">
        <v>4742</v>
      </c>
      <c r="G4750" s="83">
        <f t="shared" ca="1" si="153"/>
        <v>-2.7656447321673824E-2</v>
      </c>
    </row>
    <row r="4751" spans="2:7" x14ac:dyDescent="0.2">
      <c r="B4751" s="167">
        <v>41754</v>
      </c>
      <c r="C4751" s="28">
        <v>227.69</v>
      </c>
      <c r="D4751" s="83">
        <f t="shared" si="152"/>
        <v>-4.0537693312544788E-2</v>
      </c>
      <c r="E4751" s="83">
        <v>-2.763067987700717E-2</v>
      </c>
      <c r="F4751" s="83">
        <v>4743</v>
      </c>
      <c r="G4751" s="83">
        <f t="shared" ca="1" si="153"/>
        <v>5.704467846438274E-3</v>
      </c>
    </row>
    <row r="4752" spans="2:7" x14ac:dyDescent="0.2">
      <c r="B4752" s="167">
        <v>41484</v>
      </c>
      <c r="C4752" s="28">
        <v>237.31</v>
      </c>
      <c r="D4752" s="83">
        <f t="shared" si="152"/>
        <v>0.2216731016731017</v>
      </c>
      <c r="E4752" s="83">
        <v>-2.7696972180112227E-2</v>
      </c>
      <c r="F4752" s="83">
        <v>4744</v>
      </c>
      <c r="G4752" s="83">
        <f t="shared" ca="1" si="153"/>
        <v>-9.3988127033579564E-3</v>
      </c>
    </row>
    <row r="4753" spans="2:7" x14ac:dyDescent="0.2">
      <c r="B4753" s="167">
        <v>44019</v>
      </c>
      <c r="C4753" s="28">
        <v>194.25</v>
      </c>
      <c r="D4753" s="83">
        <f t="shared" si="152"/>
        <v>-0.14996499212322775</v>
      </c>
      <c r="E4753" s="83">
        <v>-2.7777777777777832E-2</v>
      </c>
      <c r="F4753" s="83">
        <v>4745</v>
      </c>
      <c r="G4753" s="83">
        <f t="shared" ca="1" si="153"/>
        <v>1.5522863931278483E-2</v>
      </c>
    </row>
    <row r="4754" spans="2:7" x14ac:dyDescent="0.2">
      <c r="B4754" s="167">
        <v>41568</v>
      </c>
      <c r="C4754" s="28">
        <v>228.52</v>
      </c>
      <c r="D4754" s="83">
        <f t="shared" si="152"/>
        <v>-1.0307492420961436E-2</v>
      </c>
      <c r="E4754" s="83">
        <v>-2.7781323122739846E-2</v>
      </c>
      <c r="F4754" s="83">
        <v>4746</v>
      </c>
      <c r="G4754" s="83">
        <f t="shared" ca="1" si="153"/>
        <v>-2.7147524505670546E-2</v>
      </c>
    </row>
    <row r="4755" spans="2:7" x14ac:dyDescent="0.2">
      <c r="B4755" s="167">
        <v>44522</v>
      </c>
      <c r="C4755" s="28">
        <v>230.9</v>
      </c>
      <c r="D4755" s="83">
        <f t="shared" si="152"/>
        <v>0</v>
      </c>
      <c r="E4755" s="83">
        <v>-2.7789473684210503E-2</v>
      </c>
      <c r="F4755" s="83">
        <v>4747</v>
      </c>
      <c r="G4755" s="83">
        <f t="shared" ca="1" si="153"/>
        <v>1.8173081622549426E-2</v>
      </c>
    </row>
    <row r="4756" spans="2:7" x14ac:dyDescent="0.2">
      <c r="B4756" s="167">
        <v>42690</v>
      </c>
      <c r="C4756" s="28">
        <v>230.9</v>
      </c>
      <c r="D4756" s="83">
        <f t="shared" si="152"/>
        <v>6.1365203401516862E-2</v>
      </c>
      <c r="E4756" s="83">
        <v>-2.7789473684210503E-2</v>
      </c>
      <c r="F4756" s="83">
        <v>4748</v>
      </c>
      <c r="G4756" s="83">
        <f t="shared" ca="1" si="153"/>
        <v>-3.3225043078409608E-2</v>
      </c>
    </row>
    <row r="4757" spans="2:7" x14ac:dyDescent="0.2">
      <c r="B4757" s="167">
        <v>42123</v>
      </c>
      <c r="C4757" s="28">
        <v>217.55</v>
      </c>
      <c r="D4757" s="83">
        <f t="shared" si="152"/>
        <v>3.3579727564102564</v>
      </c>
      <c r="E4757" s="83">
        <v>-2.7839842702654348E-2</v>
      </c>
      <c r="F4757" s="83">
        <v>4749</v>
      </c>
      <c r="G4757" s="83">
        <f t="shared" ca="1" si="153"/>
        <v>-9.7578695539204102E-3</v>
      </c>
    </row>
    <row r="4758" spans="2:7" x14ac:dyDescent="0.2">
      <c r="B4758" s="167">
        <v>39241</v>
      </c>
      <c r="C4758" s="28">
        <v>49.92</v>
      </c>
      <c r="D4758" s="83">
        <f t="shared" si="152"/>
        <v>-0.16311818943839057</v>
      </c>
      <c r="E4758" s="83">
        <v>-2.7848101265822777E-2</v>
      </c>
      <c r="F4758" s="83">
        <v>4750</v>
      </c>
      <c r="G4758" s="83">
        <f t="shared" ca="1" si="153"/>
        <v>-3.7639559872937045E-3</v>
      </c>
    </row>
    <row r="4759" spans="2:7" x14ac:dyDescent="0.2">
      <c r="B4759" s="167">
        <v>39062</v>
      </c>
      <c r="C4759" s="28">
        <v>59.65</v>
      </c>
      <c r="D4759" s="83">
        <f t="shared" si="152"/>
        <v>-0.73999651294568913</v>
      </c>
      <c r="E4759" s="83">
        <v>-2.7868318122555424E-2</v>
      </c>
      <c r="F4759" s="83">
        <v>4751</v>
      </c>
      <c r="G4759" s="83">
        <f t="shared" ca="1" si="153"/>
        <v>4.9391532651731863E-3</v>
      </c>
    </row>
    <row r="4760" spans="2:7" x14ac:dyDescent="0.2">
      <c r="B4760" s="167">
        <v>41857</v>
      </c>
      <c r="C4760" s="28">
        <v>229.42</v>
      </c>
      <c r="D4760" s="83">
        <f t="shared" si="152"/>
        <v>2.4339170782816941</v>
      </c>
      <c r="E4760" s="83">
        <v>-2.792254565484515E-2</v>
      </c>
      <c r="F4760" s="83">
        <v>4752</v>
      </c>
      <c r="G4760" s="83">
        <f t="shared" ca="1" si="153"/>
        <v>-2.089063683303612E-2</v>
      </c>
    </row>
    <row r="4761" spans="2:7" x14ac:dyDescent="0.2">
      <c r="B4761" s="167">
        <v>39609</v>
      </c>
      <c r="C4761" s="28">
        <v>66.81</v>
      </c>
      <c r="D4761" s="83">
        <f t="shared" si="152"/>
        <v>-0.76126496337323568</v>
      </c>
      <c r="E4761" s="83">
        <v>-2.7935399388913162E-2</v>
      </c>
      <c r="F4761" s="83">
        <v>4753</v>
      </c>
      <c r="G4761" s="83">
        <f t="shared" ca="1" si="153"/>
        <v>2.6881495260225002E-3</v>
      </c>
    </row>
    <row r="4762" spans="2:7" x14ac:dyDescent="0.2">
      <c r="B4762" s="167">
        <v>42816</v>
      </c>
      <c r="C4762" s="28">
        <v>279.85000000000002</v>
      </c>
      <c r="D4762" s="83">
        <f t="shared" si="152"/>
        <v>3.3706075277213809</v>
      </c>
      <c r="E4762" s="83">
        <v>-2.7961097603334335E-2</v>
      </c>
      <c r="F4762" s="83">
        <v>4754</v>
      </c>
      <c r="G4762" s="83">
        <f t="shared" ca="1" si="153"/>
        <v>1.3831641164254185E-2</v>
      </c>
    </row>
    <row r="4763" spans="2:7" x14ac:dyDescent="0.2">
      <c r="B4763" s="167">
        <v>39989</v>
      </c>
      <c r="C4763" s="28">
        <v>64.03</v>
      </c>
      <c r="D4763" s="83">
        <f t="shared" si="152"/>
        <v>-0.70349617967122013</v>
      </c>
      <c r="E4763" s="83">
        <v>-2.8081360048573079E-2</v>
      </c>
      <c r="F4763" s="83">
        <v>4755</v>
      </c>
      <c r="G4763" s="83">
        <f t="shared" ca="1" si="153"/>
        <v>1.4990180223606354E-3</v>
      </c>
    </row>
    <row r="4764" spans="2:7" x14ac:dyDescent="0.2">
      <c r="B4764" s="167">
        <v>44279</v>
      </c>
      <c r="C4764" s="28">
        <v>215.95</v>
      </c>
      <c r="D4764" s="83">
        <f t="shared" si="152"/>
        <v>1.5008685581933989</v>
      </c>
      <c r="E4764" s="83">
        <v>-2.8127812781278128E-2</v>
      </c>
      <c r="F4764" s="83">
        <v>4756</v>
      </c>
      <c r="G4764" s="83">
        <f t="shared" ca="1" si="153"/>
        <v>5.771518919769284E-3</v>
      </c>
    </row>
    <row r="4765" spans="2:7" x14ac:dyDescent="0.2">
      <c r="B4765" s="167">
        <v>40323</v>
      </c>
      <c r="C4765" s="28">
        <v>86.35</v>
      </c>
      <c r="D4765" s="83">
        <f t="shared" si="152"/>
        <v>-3.1170630339414709E-3</v>
      </c>
      <c r="E4765" s="83">
        <v>-2.8137310073157007E-2</v>
      </c>
      <c r="F4765" s="83">
        <v>4757</v>
      </c>
      <c r="G4765" s="83">
        <f t="shared" ca="1" si="153"/>
        <v>-1.3836737827980112E-2</v>
      </c>
    </row>
    <row r="4766" spans="2:7" x14ac:dyDescent="0.2">
      <c r="B4766" s="167">
        <v>40143</v>
      </c>
      <c r="C4766" s="28">
        <v>86.62</v>
      </c>
      <c r="D4766" s="83">
        <f t="shared" si="152"/>
        <v>-0.61784170122650661</v>
      </c>
      <c r="E4766" s="83">
        <v>-2.8161112981038832E-2</v>
      </c>
      <c r="F4766" s="83">
        <v>4758</v>
      </c>
      <c r="G4766" s="83">
        <f t="shared" ca="1" si="153"/>
        <v>-1.4631783628470564E-2</v>
      </c>
    </row>
    <row r="4767" spans="2:7" x14ac:dyDescent="0.2">
      <c r="B4767" s="167">
        <v>42114</v>
      </c>
      <c r="C4767" s="28">
        <v>226.66</v>
      </c>
      <c r="D4767" s="83">
        <f t="shared" si="152"/>
        <v>-0.21652264085724165</v>
      </c>
      <c r="E4767" s="83">
        <v>-2.8294606876446859E-2</v>
      </c>
      <c r="F4767" s="83">
        <v>4759</v>
      </c>
      <c r="G4767" s="83">
        <f t="shared" ca="1" si="153"/>
        <v>-1.565724874909967E-2</v>
      </c>
    </row>
    <row r="4768" spans="2:7" x14ac:dyDescent="0.2">
      <c r="B4768" s="167">
        <v>43598</v>
      </c>
      <c r="C4768" s="28">
        <v>289.3</v>
      </c>
      <c r="D4768" s="83">
        <f t="shared" si="152"/>
        <v>8.5070653959907983</v>
      </c>
      <c r="E4768" s="83">
        <v>-2.8379513014273682E-2</v>
      </c>
      <c r="F4768" s="83">
        <v>4760</v>
      </c>
      <c r="G4768" s="83">
        <f t="shared" ca="1" si="153"/>
        <v>3.1374544950162138E-3</v>
      </c>
    </row>
    <row r="4769" spans="2:7" x14ac:dyDescent="0.2">
      <c r="B4769" s="167">
        <v>38457</v>
      </c>
      <c r="C4769" s="28">
        <v>30.43</v>
      </c>
      <c r="D4769" s="83">
        <f t="shared" si="152"/>
        <v>-0.93125494182762902</v>
      </c>
      <c r="E4769" s="83">
        <v>-2.8416347381864642E-2</v>
      </c>
      <c r="F4769" s="83">
        <v>4761</v>
      </c>
      <c r="G4769" s="83">
        <f t="shared" ca="1" si="153"/>
        <v>1.9762434544944755E-2</v>
      </c>
    </row>
    <row r="4770" spans="2:7" x14ac:dyDescent="0.2">
      <c r="B4770" s="167">
        <v>45663</v>
      </c>
      <c r="C4770" s="28">
        <v>442.65</v>
      </c>
      <c r="D4770" s="83">
        <f t="shared" si="152"/>
        <v>5.4404190309908325</v>
      </c>
      <c r="E4770" s="83">
        <v>-2.8424056189640133E-2</v>
      </c>
      <c r="F4770" s="83">
        <v>4762</v>
      </c>
      <c r="G4770" s="83">
        <f t="shared" ca="1" si="153"/>
        <v>-2.9215632868664673E-2</v>
      </c>
    </row>
    <row r="4771" spans="2:7" x14ac:dyDescent="0.2">
      <c r="B4771" s="167">
        <v>39608</v>
      </c>
      <c r="C4771" s="28">
        <v>68.73</v>
      </c>
      <c r="D4771" s="83">
        <f t="shared" si="152"/>
        <v>-0.66538461538461546</v>
      </c>
      <c r="E4771" s="83">
        <v>-2.8551236749116551E-2</v>
      </c>
      <c r="F4771" s="83">
        <v>4763</v>
      </c>
      <c r="G4771" s="83">
        <f t="shared" ca="1" si="153"/>
        <v>3.2703806513542564E-3</v>
      </c>
    </row>
    <row r="4772" spans="2:7" x14ac:dyDescent="0.2">
      <c r="B4772" s="167">
        <v>44202</v>
      </c>
      <c r="C4772" s="28">
        <v>205.4</v>
      </c>
      <c r="D4772" s="83">
        <f t="shared" si="152"/>
        <v>2.4819460925580605</v>
      </c>
      <c r="E4772" s="83">
        <v>-2.861196500354686E-2</v>
      </c>
      <c r="F4772" s="83">
        <v>4764</v>
      </c>
      <c r="G4772" s="83">
        <f t="shared" ca="1" si="153"/>
        <v>-9.8911547850839259E-3</v>
      </c>
    </row>
    <row r="4773" spans="2:7" x14ac:dyDescent="0.2">
      <c r="B4773" s="167">
        <v>38866</v>
      </c>
      <c r="C4773" s="28">
        <v>58.99</v>
      </c>
      <c r="D4773" s="83">
        <f t="shared" si="152"/>
        <v>-9.8425798563350209E-2</v>
      </c>
      <c r="E4773" s="83">
        <v>-2.8651407870903919E-2</v>
      </c>
      <c r="F4773" s="83">
        <v>4765</v>
      </c>
      <c r="G4773" s="83">
        <f t="shared" ca="1" si="153"/>
        <v>3.002620441892331E-2</v>
      </c>
    </row>
    <row r="4774" spans="2:7" x14ac:dyDescent="0.2">
      <c r="B4774" s="167">
        <v>39987</v>
      </c>
      <c r="C4774" s="28">
        <v>65.430000000000007</v>
      </c>
      <c r="D4774" s="83">
        <f t="shared" si="152"/>
        <v>-0.51091343997608007</v>
      </c>
      <c r="E4774" s="83">
        <v>-2.8652019002375188E-2</v>
      </c>
      <c r="F4774" s="83">
        <v>4766</v>
      </c>
      <c r="G4774" s="83">
        <f t="shared" ca="1" si="153"/>
        <v>-1.2300145279342256E-2</v>
      </c>
    </row>
    <row r="4775" spans="2:7" x14ac:dyDescent="0.2">
      <c r="B4775" s="167">
        <v>40865</v>
      </c>
      <c r="C4775" s="28">
        <v>133.78</v>
      </c>
      <c r="D4775" s="83">
        <f t="shared" si="152"/>
        <v>1.4100162132949021</v>
      </c>
      <c r="E4775" s="83">
        <v>-2.8679300079866323E-2</v>
      </c>
      <c r="F4775" s="83">
        <v>4767</v>
      </c>
      <c r="G4775" s="83">
        <f t="shared" ca="1" si="153"/>
        <v>5.9866377418190718E-3</v>
      </c>
    </row>
    <row r="4776" spans="2:7" x14ac:dyDescent="0.2">
      <c r="B4776" s="167">
        <v>39293</v>
      </c>
      <c r="C4776" s="28">
        <v>55.51</v>
      </c>
      <c r="D4776" s="83">
        <f t="shared" si="152"/>
        <v>0.14077270859021787</v>
      </c>
      <c r="E4776" s="83">
        <v>-2.8696412948381465E-2</v>
      </c>
      <c r="F4776" s="83">
        <v>4768</v>
      </c>
      <c r="G4776" s="83">
        <f t="shared" ca="1" si="153"/>
        <v>1.4934077591035464E-2</v>
      </c>
    </row>
    <row r="4777" spans="2:7" x14ac:dyDescent="0.2">
      <c r="B4777" s="167">
        <v>39174</v>
      </c>
      <c r="C4777" s="28">
        <v>48.66</v>
      </c>
      <c r="D4777" s="83">
        <f t="shared" si="152"/>
        <v>-0.26606334841628959</v>
      </c>
      <c r="E4777" s="83">
        <v>-2.8742514970059977E-2</v>
      </c>
      <c r="F4777" s="83">
        <v>4769</v>
      </c>
      <c r="G4777" s="83">
        <f t="shared" ca="1" si="153"/>
        <v>-2.7407240323204941E-2</v>
      </c>
    </row>
    <row r="4778" spans="2:7" x14ac:dyDescent="0.2">
      <c r="B4778" s="167">
        <v>39484</v>
      </c>
      <c r="C4778" s="28">
        <v>66.3</v>
      </c>
      <c r="D4778" s="83">
        <f t="shared" si="152"/>
        <v>0.5662650602409639</v>
      </c>
      <c r="E4778" s="83">
        <v>-2.8856012889995591E-2</v>
      </c>
      <c r="F4778" s="83">
        <v>4770</v>
      </c>
      <c r="G4778" s="83">
        <f t="shared" ca="1" si="153"/>
        <v>-2.6788265557724334E-2</v>
      </c>
    </row>
    <row r="4779" spans="2:7" x14ac:dyDescent="0.2">
      <c r="B4779" s="167">
        <v>38631</v>
      </c>
      <c r="C4779" s="28">
        <v>42.33</v>
      </c>
      <c r="D4779" s="83">
        <f t="shared" si="152"/>
        <v>-0.67914803304782845</v>
      </c>
      <c r="E4779" s="83">
        <v>-2.8905712319339413E-2</v>
      </c>
      <c r="F4779" s="83">
        <v>4771</v>
      </c>
      <c r="G4779" s="83">
        <f t="shared" ca="1" si="153"/>
        <v>7.9800763043089955E-3</v>
      </c>
    </row>
    <row r="4780" spans="2:7" x14ac:dyDescent="0.2">
      <c r="B4780" s="167">
        <v>40885</v>
      </c>
      <c r="C4780" s="28">
        <v>131.93</v>
      </c>
      <c r="D4780" s="83">
        <f t="shared" si="152"/>
        <v>-0.368755980861244</v>
      </c>
      <c r="E4780" s="83">
        <v>-2.8998307205416924E-2</v>
      </c>
      <c r="F4780" s="83">
        <v>4772</v>
      </c>
      <c r="G4780" s="83">
        <f t="shared" ca="1" si="153"/>
        <v>-4.0911240130853798E-3</v>
      </c>
    </row>
    <row r="4781" spans="2:7" x14ac:dyDescent="0.2">
      <c r="B4781" s="167">
        <v>44349</v>
      </c>
      <c r="C4781" s="28">
        <v>209</v>
      </c>
      <c r="D4781" s="83">
        <f t="shared" si="152"/>
        <v>-0.15776747934716906</v>
      </c>
      <c r="E4781" s="83">
        <v>-2.9036004645760744E-2</v>
      </c>
      <c r="F4781" s="83">
        <v>4773</v>
      </c>
      <c r="G4781" s="83">
        <f t="shared" ca="1" si="153"/>
        <v>6.6834583494689535E-3</v>
      </c>
    </row>
    <row r="4782" spans="2:7" x14ac:dyDescent="0.2">
      <c r="B4782" s="167">
        <v>42683</v>
      </c>
      <c r="C4782" s="28">
        <v>248.15</v>
      </c>
      <c r="D4782" s="83">
        <f t="shared" si="152"/>
        <v>1.3270722743977134E-2</v>
      </c>
      <c r="E4782" s="83">
        <v>-2.9147104851330159E-2</v>
      </c>
      <c r="F4782" s="83">
        <v>4774</v>
      </c>
      <c r="G4782" s="83">
        <f t="shared" ca="1" si="153"/>
        <v>5.0174138820414998E-3</v>
      </c>
    </row>
    <row r="4783" spans="2:7" x14ac:dyDescent="0.2">
      <c r="B4783" s="167">
        <v>42555</v>
      </c>
      <c r="C4783" s="28">
        <v>244.9</v>
      </c>
      <c r="D4783" s="83">
        <f t="shared" si="152"/>
        <v>-0.24170175873173141</v>
      </c>
      <c r="E4783" s="83">
        <v>-2.9522488607093278E-2</v>
      </c>
      <c r="F4783" s="83">
        <v>4775</v>
      </c>
      <c r="G4783" s="83">
        <f t="shared" ca="1" si="153"/>
        <v>-1.636205072765343E-2</v>
      </c>
    </row>
    <row r="4784" spans="2:7" x14ac:dyDescent="0.2">
      <c r="B4784" s="167">
        <v>44832</v>
      </c>
      <c r="C4784" s="28">
        <v>322.95999999999998</v>
      </c>
      <c r="D4784" s="83">
        <f t="shared" si="152"/>
        <v>4.4187919463087244</v>
      </c>
      <c r="E4784" s="83">
        <v>-2.9567307692307788E-2</v>
      </c>
      <c r="F4784" s="83">
        <v>4776</v>
      </c>
      <c r="G4784" s="83">
        <f t="shared" ca="1" si="153"/>
        <v>-2.8876200305105595E-2</v>
      </c>
    </row>
    <row r="4785" spans="2:7" x14ac:dyDescent="0.2">
      <c r="B4785" s="167">
        <v>39909</v>
      </c>
      <c r="C4785" s="28">
        <v>59.6</v>
      </c>
      <c r="D4785" s="83">
        <f t="shared" si="152"/>
        <v>-0.47102156740924822</v>
      </c>
      <c r="E4785" s="83">
        <v>-2.9632041680234453E-2</v>
      </c>
      <c r="F4785" s="83">
        <v>4777</v>
      </c>
      <c r="G4785" s="83">
        <f t="shared" ca="1" si="153"/>
        <v>6.1188992122072723E-3</v>
      </c>
    </row>
    <row r="4786" spans="2:7" x14ac:dyDescent="0.2">
      <c r="B4786" s="167">
        <v>40498</v>
      </c>
      <c r="C4786" s="28">
        <v>112.67</v>
      </c>
      <c r="D4786" s="83">
        <f t="shared" si="152"/>
        <v>-0.24736138944555772</v>
      </c>
      <c r="E4786" s="83">
        <v>-2.9710644161212562E-2</v>
      </c>
      <c r="F4786" s="83">
        <v>4778</v>
      </c>
      <c r="G4786" s="83">
        <f t="shared" ca="1" si="153"/>
        <v>-1.6773680331207855E-2</v>
      </c>
    </row>
    <row r="4787" spans="2:7" x14ac:dyDescent="0.2">
      <c r="B4787" s="167">
        <v>43914</v>
      </c>
      <c r="C4787" s="28">
        <v>149.69999999999999</v>
      </c>
      <c r="D4787" s="83">
        <f t="shared" si="152"/>
        <v>-0.28417730598192514</v>
      </c>
      <c r="E4787" s="83">
        <v>-2.9812054439403903E-2</v>
      </c>
      <c r="F4787" s="83">
        <v>4779</v>
      </c>
      <c r="G4787" s="83">
        <f t="shared" ca="1" si="153"/>
        <v>1.7571711145461699E-2</v>
      </c>
    </row>
    <row r="4788" spans="2:7" x14ac:dyDescent="0.2">
      <c r="B4788" s="167">
        <v>42248</v>
      </c>
      <c r="C4788" s="28">
        <v>209.13</v>
      </c>
      <c r="D4788" s="83">
        <f t="shared" si="152"/>
        <v>2.8190284879474072</v>
      </c>
      <c r="E4788" s="83">
        <v>-2.9829281870476929E-2</v>
      </c>
      <c r="F4788" s="83">
        <v>4780</v>
      </c>
      <c r="G4788" s="83">
        <f t="shared" ca="1" si="153"/>
        <v>-5.6192815718653071E-3</v>
      </c>
    </row>
    <row r="4789" spans="2:7" x14ac:dyDescent="0.2">
      <c r="B4789" s="167">
        <v>39140</v>
      </c>
      <c r="C4789" s="28">
        <v>54.76</v>
      </c>
      <c r="D4789" s="83">
        <f t="shared" si="152"/>
        <v>-0.73786500718046921</v>
      </c>
      <c r="E4789" s="83">
        <v>-2.9937998228520901E-2</v>
      </c>
      <c r="F4789" s="83">
        <v>4781</v>
      </c>
      <c r="G4789" s="83">
        <f t="shared" ca="1" si="153"/>
        <v>5.3121001230868568E-3</v>
      </c>
    </row>
    <row r="4790" spans="2:7" x14ac:dyDescent="0.2">
      <c r="B4790" s="167">
        <v>42375</v>
      </c>
      <c r="C4790" s="28">
        <v>208.9</v>
      </c>
      <c r="D4790" s="83">
        <f t="shared" si="152"/>
        <v>1.9385286256857504</v>
      </c>
      <c r="E4790" s="83">
        <v>-2.9996285289747435E-2</v>
      </c>
      <c r="F4790" s="83">
        <v>4782</v>
      </c>
      <c r="G4790" s="83">
        <f t="shared" ca="1" si="153"/>
        <v>1.9380693237812118E-2</v>
      </c>
    </row>
    <row r="4791" spans="2:7" x14ac:dyDescent="0.2">
      <c r="B4791" s="167">
        <v>39450</v>
      </c>
      <c r="C4791" s="28">
        <v>71.09</v>
      </c>
      <c r="D4791" s="83">
        <f t="shared" si="152"/>
        <v>0.16521881658744478</v>
      </c>
      <c r="E4791" s="83">
        <v>-3.0017737754127475E-2</v>
      </c>
      <c r="F4791" s="83">
        <v>4783</v>
      </c>
      <c r="G4791" s="83">
        <f t="shared" ca="1" si="153"/>
        <v>1.9712587084866371E-2</v>
      </c>
    </row>
    <row r="4792" spans="2:7" x14ac:dyDescent="0.2">
      <c r="B4792" s="167">
        <v>39959</v>
      </c>
      <c r="C4792" s="28">
        <v>61.01</v>
      </c>
      <c r="D4792" s="83">
        <f t="shared" si="152"/>
        <v>-0.75820386810399498</v>
      </c>
      <c r="E4792" s="83">
        <v>-3.0201875695437905E-2</v>
      </c>
      <c r="F4792" s="83">
        <v>4784</v>
      </c>
      <c r="G4792" s="83">
        <f t="shared" ca="1" si="153"/>
        <v>2.5525582254683227E-2</v>
      </c>
    </row>
    <row r="4793" spans="2:7" x14ac:dyDescent="0.2">
      <c r="B4793" s="167">
        <v>41989</v>
      </c>
      <c r="C4793" s="28">
        <v>252.32</v>
      </c>
      <c r="D4793" s="83">
        <f t="shared" si="152"/>
        <v>6.6260987153482109E-2</v>
      </c>
      <c r="E4793" s="83">
        <v>-3.0433446049800243E-2</v>
      </c>
      <c r="F4793" s="83">
        <v>4785</v>
      </c>
      <c r="G4793" s="83">
        <f t="shared" ca="1" si="153"/>
        <v>3.7822386080107781E-2</v>
      </c>
    </row>
    <row r="4794" spans="2:7" x14ac:dyDescent="0.2">
      <c r="B4794" s="167">
        <v>41775</v>
      </c>
      <c r="C4794" s="28">
        <v>236.64</v>
      </c>
      <c r="D4794" s="83">
        <f t="shared" si="152"/>
        <v>-0.2037685060565276</v>
      </c>
      <c r="E4794" s="83">
        <v>-3.044208628672105E-2</v>
      </c>
      <c r="F4794" s="83">
        <v>4786</v>
      </c>
      <c r="G4794" s="83">
        <f t="shared" ca="1" si="153"/>
        <v>4.0154239895243233E-3</v>
      </c>
    </row>
    <row r="4795" spans="2:7" x14ac:dyDescent="0.2">
      <c r="B4795" s="167">
        <v>43354</v>
      </c>
      <c r="C4795" s="28">
        <v>297.2</v>
      </c>
      <c r="D4795" s="83">
        <f t="shared" si="152"/>
        <v>0.15462315462315468</v>
      </c>
      <c r="E4795" s="83">
        <v>-3.0500733974881823E-2</v>
      </c>
      <c r="F4795" s="83">
        <v>4787</v>
      </c>
      <c r="G4795" s="83">
        <f t="shared" ca="1" si="153"/>
        <v>-1.283092084335111E-2</v>
      </c>
    </row>
    <row r="4796" spans="2:7" x14ac:dyDescent="0.2">
      <c r="B4796" s="167">
        <v>42762</v>
      </c>
      <c r="C4796" s="28">
        <v>257.39999999999998</v>
      </c>
      <c r="D4796" s="83">
        <f t="shared" si="152"/>
        <v>2.9357798165137607</v>
      </c>
      <c r="E4796" s="83">
        <v>-3.0508474576271271E-2</v>
      </c>
      <c r="F4796" s="83">
        <v>4788</v>
      </c>
      <c r="G4796" s="83">
        <f t="shared" ca="1" si="153"/>
        <v>1.8012956715787933E-2</v>
      </c>
    </row>
    <row r="4797" spans="2:7" x14ac:dyDescent="0.2">
      <c r="B4797" s="167">
        <v>38832</v>
      </c>
      <c r="C4797" s="28">
        <v>65.400000000000006</v>
      </c>
      <c r="D4797" s="83">
        <f t="shared" si="152"/>
        <v>0.1307053941908714</v>
      </c>
      <c r="E4797" s="83">
        <v>-3.0536614289949426E-2</v>
      </c>
      <c r="F4797" s="83">
        <v>4789</v>
      </c>
      <c r="G4797" s="83">
        <f t="shared" ca="1" si="153"/>
        <v>-2.2797829603380171E-2</v>
      </c>
    </row>
    <row r="4798" spans="2:7" x14ac:dyDescent="0.2">
      <c r="B4798" s="167">
        <v>39728</v>
      </c>
      <c r="C4798" s="28">
        <v>57.84</v>
      </c>
      <c r="D4798" s="83">
        <f t="shared" si="152"/>
        <v>1.24277962541572E-2</v>
      </c>
      <c r="E4798" s="83">
        <v>-3.0668677727501228E-2</v>
      </c>
      <c r="F4798" s="83">
        <v>4790</v>
      </c>
      <c r="G4798" s="83">
        <f t="shared" ca="1" si="153"/>
        <v>5.0833784626708942E-3</v>
      </c>
    </row>
    <row r="4799" spans="2:7" x14ac:dyDescent="0.2">
      <c r="B4799" s="167">
        <v>39806</v>
      </c>
      <c r="C4799" s="28">
        <v>57.13</v>
      </c>
      <c r="D4799" s="83">
        <f t="shared" si="152"/>
        <v>-8.1068039247225332E-2</v>
      </c>
      <c r="E4799" s="83">
        <v>-3.0709195792331105E-2</v>
      </c>
      <c r="F4799" s="83">
        <v>4791</v>
      </c>
      <c r="G4799" s="83">
        <f t="shared" ca="1" si="153"/>
        <v>2.2454351687105745E-2</v>
      </c>
    </row>
    <row r="4800" spans="2:7" x14ac:dyDescent="0.2">
      <c r="B4800" s="167">
        <v>39931</v>
      </c>
      <c r="C4800" s="28">
        <v>62.17</v>
      </c>
      <c r="D4800" s="83">
        <f t="shared" si="152"/>
        <v>-5.6600910470409764E-2</v>
      </c>
      <c r="E4800" s="83">
        <v>-3.0714062987215449E-2</v>
      </c>
      <c r="F4800" s="83">
        <v>4792</v>
      </c>
      <c r="G4800" s="83">
        <f t="shared" ca="1" si="153"/>
        <v>-3.4528914023525354E-3</v>
      </c>
    </row>
    <row r="4801" spans="2:7" x14ac:dyDescent="0.2">
      <c r="B4801" s="167">
        <v>39405</v>
      </c>
      <c r="C4801" s="28">
        <v>65.900000000000006</v>
      </c>
      <c r="D4801" s="83">
        <f t="shared" si="152"/>
        <v>-4.230885463886387E-3</v>
      </c>
      <c r="E4801" s="83">
        <v>-3.0739814678629053E-2</v>
      </c>
      <c r="F4801" s="83">
        <v>4793</v>
      </c>
      <c r="G4801" s="83">
        <f t="shared" ca="1" si="153"/>
        <v>-2.3308057059382697E-2</v>
      </c>
    </row>
    <row r="4802" spans="2:7" x14ac:dyDescent="0.2">
      <c r="B4802" s="167">
        <v>38814</v>
      </c>
      <c r="C4802" s="28">
        <v>66.180000000000007</v>
      </c>
      <c r="D4802" s="83">
        <f t="shared" si="152"/>
        <v>-0.60228365384615379</v>
      </c>
      <c r="E4802" s="83">
        <v>-3.0755711775043854E-2</v>
      </c>
      <c r="F4802" s="83">
        <v>4794</v>
      </c>
      <c r="G4802" s="83">
        <f t="shared" ca="1" si="153"/>
        <v>-2.3641782261142462E-2</v>
      </c>
    </row>
    <row r="4803" spans="2:7" x14ac:dyDescent="0.2">
      <c r="B4803" s="167">
        <v>43922</v>
      </c>
      <c r="C4803" s="28">
        <v>166.4</v>
      </c>
      <c r="D4803" s="83">
        <f t="shared" si="152"/>
        <v>1.7026149098586976</v>
      </c>
      <c r="E4803" s="83">
        <v>-3.0867792661619004E-2</v>
      </c>
      <c r="F4803" s="83">
        <v>4795</v>
      </c>
      <c r="G4803" s="83">
        <f t="shared" ca="1" si="153"/>
        <v>-2.5178462058132255E-2</v>
      </c>
    </row>
    <row r="4804" spans="2:7" x14ac:dyDescent="0.2">
      <c r="B4804" s="167">
        <v>39524</v>
      </c>
      <c r="C4804" s="28">
        <v>61.57</v>
      </c>
      <c r="D4804" s="83">
        <f t="shared" si="152"/>
        <v>-0.75635140482785912</v>
      </c>
      <c r="E4804" s="83">
        <v>-3.1004091910607472E-2</v>
      </c>
      <c r="F4804" s="83">
        <v>4796</v>
      </c>
      <c r="G4804" s="83">
        <f t="shared" ca="1" si="153"/>
        <v>-7.4919561801604006E-3</v>
      </c>
    </row>
    <row r="4805" spans="2:7" x14ac:dyDescent="0.2">
      <c r="B4805" s="167">
        <v>42585</v>
      </c>
      <c r="C4805" s="28">
        <v>252.7</v>
      </c>
      <c r="D4805" s="83">
        <f t="shared" si="152"/>
        <v>2.5984571660576439E-2</v>
      </c>
      <c r="E4805" s="83">
        <v>-3.1058282208589041E-2</v>
      </c>
      <c r="F4805" s="83">
        <v>4797</v>
      </c>
      <c r="G4805" s="83">
        <f t="shared" ca="1" si="153"/>
        <v>5.8610621730251725E-3</v>
      </c>
    </row>
    <row r="4806" spans="2:7" x14ac:dyDescent="0.2">
      <c r="B4806" s="167">
        <v>43690</v>
      </c>
      <c r="C4806" s="28">
        <v>246.3</v>
      </c>
      <c r="D4806" s="83">
        <f t="shared" si="152"/>
        <v>5.3775245986535483</v>
      </c>
      <c r="E4806" s="83">
        <v>-3.1077891424075445E-2</v>
      </c>
      <c r="F4806" s="83">
        <v>4798</v>
      </c>
      <c r="G4806" s="83">
        <f t="shared" ca="1" si="153"/>
        <v>-3.7931134849249412E-3</v>
      </c>
    </row>
    <row r="4807" spans="2:7" x14ac:dyDescent="0.2">
      <c r="B4807" s="167">
        <v>38645</v>
      </c>
      <c r="C4807" s="28">
        <v>38.619999999999997</v>
      </c>
      <c r="D4807" s="83">
        <f t="shared" si="152"/>
        <v>-8.0695072601761508E-2</v>
      </c>
      <c r="E4807" s="83">
        <v>-3.1108881083793328E-2</v>
      </c>
      <c r="F4807" s="83">
        <v>4799</v>
      </c>
      <c r="G4807" s="83">
        <f t="shared" ca="1" si="153"/>
        <v>2.4572590105777194E-2</v>
      </c>
    </row>
    <row r="4808" spans="2:7" x14ac:dyDescent="0.2">
      <c r="B4808" s="167">
        <v>38677</v>
      </c>
      <c r="C4808" s="28">
        <v>42.01</v>
      </c>
      <c r="D4808" s="83">
        <f t="shared" si="152"/>
        <v>-0.30400927766732938</v>
      </c>
      <c r="E4808" s="83">
        <v>-3.1134686346863501E-2</v>
      </c>
      <c r="F4808" s="83">
        <v>4800</v>
      </c>
      <c r="G4808" s="83">
        <f t="shared" ca="1" si="153"/>
        <v>-1.0802178796357602E-2</v>
      </c>
    </row>
    <row r="4809" spans="2:7" x14ac:dyDescent="0.2">
      <c r="B4809" s="167">
        <v>38971</v>
      </c>
      <c r="C4809" s="28">
        <v>60.36</v>
      </c>
      <c r="D4809" s="83">
        <f t="shared" ref="D4809:D4872" si="154">(C4809-C4810)/C4810</f>
        <v>-0.69436427160868897</v>
      </c>
      <c r="E4809" s="83">
        <v>-3.1139646869983915E-2</v>
      </c>
      <c r="F4809" s="83">
        <v>4801</v>
      </c>
      <c r="G4809" s="83">
        <f t="shared" ref="G4809:G4872" ca="1" si="155">_xlfn.NORM.INV(RAND(),$M$10,$M$11)</f>
        <v>1.5577021314567783E-2</v>
      </c>
    </row>
    <row r="4810" spans="2:7" x14ac:dyDescent="0.2">
      <c r="B4810" s="167">
        <v>41513</v>
      </c>
      <c r="C4810" s="28">
        <v>197.49</v>
      </c>
      <c r="D4810" s="83">
        <f t="shared" si="154"/>
        <v>-0.11834821428571425</v>
      </c>
      <c r="E4810" s="83">
        <v>-3.1246934170509194E-2</v>
      </c>
      <c r="F4810" s="83">
        <v>4802</v>
      </c>
      <c r="G4810" s="83">
        <f t="shared" ca="1" si="155"/>
        <v>-7.5197821003954179E-4</v>
      </c>
    </row>
    <row r="4811" spans="2:7" x14ac:dyDescent="0.2">
      <c r="B4811" s="167">
        <v>44526</v>
      </c>
      <c r="C4811" s="28">
        <v>224</v>
      </c>
      <c r="D4811" s="83">
        <f t="shared" si="154"/>
        <v>3.2192503296289319</v>
      </c>
      <c r="E4811" s="83">
        <v>-3.156074362300048E-2</v>
      </c>
      <c r="F4811" s="83">
        <v>4803</v>
      </c>
      <c r="G4811" s="83">
        <f t="shared" ca="1" si="155"/>
        <v>-7.0474103785634606E-3</v>
      </c>
    </row>
    <row r="4812" spans="2:7" x14ac:dyDescent="0.2">
      <c r="B4812" s="167">
        <v>38869</v>
      </c>
      <c r="C4812" s="28">
        <v>53.09</v>
      </c>
      <c r="D4812" s="83">
        <f t="shared" si="154"/>
        <v>-3.6828737300435309E-2</v>
      </c>
      <c r="E4812" s="83">
        <v>-3.1734451942367223E-2</v>
      </c>
      <c r="F4812" s="83">
        <v>4804</v>
      </c>
      <c r="G4812" s="83">
        <f t="shared" ca="1" si="155"/>
        <v>-1.5951601072786377E-2</v>
      </c>
    </row>
    <row r="4813" spans="2:7" x14ac:dyDescent="0.2">
      <c r="B4813" s="167">
        <v>38894</v>
      </c>
      <c r="C4813" s="28">
        <v>55.12</v>
      </c>
      <c r="D4813" s="83">
        <f t="shared" si="154"/>
        <v>-0.74034294328245709</v>
      </c>
      <c r="E4813" s="83">
        <v>-3.1793430528719517E-2</v>
      </c>
      <c r="F4813" s="83">
        <v>4805</v>
      </c>
      <c r="G4813" s="83">
        <f t="shared" ca="1" si="155"/>
        <v>-2.323845431181738E-2</v>
      </c>
    </row>
    <row r="4814" spans="2:7" x14ac:dyDescent="0.2">
      <c r="B4814" s="167">
        <v>42240</v>
      </c>
      <c r="C4814" s="28">
        <v>212.28</v>
      </c>
      <c r="D4814" s="83">
        <f t="shared" si="154"/>
        <v>1.1255632322018623</v>
      </c>
      <c r="E4814" s="83">
        <v>-3.1878505951566605E-2</v>
      </c>
      <c r="F4814" s="83">
        <v>4806</v>
      </c>
      <c r="G4814" s="83">
        <f t="shared" ca="1" si="155"/>
        <v>4.9779556854269384E-3</v>
      </c>
    </row>
    <row r="4815" spans="2:7" x14ac:dyDescent="0.2">
      <c r="B4815" s="167">
        <v>40598</v>
      </c>
      <c r="C4815" s="28">
        <v>99.87</v>
      </c>
      <c r="D4815" s="83">
        <f t="shared" si="154"/>
        <v>-0.53347036016256366</v>
      </c>
      <c r="E4815" s="83">
        <v>-3.1892206281504382E-2</v>
      </c>
      <c r="F4815" s="83">
        <v>4807</v>
      </c>
      <c r="G4815" s="83">
        <f t="shared" ca="1" si="155"/>
        <v>-1.3923796427544797E-2</v>
      </c>
    </row>
    <row r="4816" spans="2:7" x14ac:dyDescent="0.2">
      <c r="B4816" s="167">
        <v>42488</v>
      </c>
      <c r="C4816" s="28">
        <v>214.07</v>
      </c>
      <c r="D4816" s="83">
        <f t="shared" si="154"/>
        <v>-0.53978286574223366</v>
      </c>
      <c r="E4816" s="83">
        <v>-3.1926920815809716E-2</v>
      </c>
      <c r="F4816" s="83">
        <v>4808</v>
      </c>
      <c r="G4816" s="83">
        <f t="shared" ca="1" si="155"/>
        <v>-1.4254948504368061E-2</v>
      </c>
    </row>
    <row r="4817" spans="2:7" x14ac:dyDescent="0.2">
      <c r="B4817" s="167">
        <v>45574</v>
      </c>
      <c r="C4817" s="28">
        <v>465.15</v>
      </c>
      <c r="D4817" s="83">
        <f t="shared" si="154"/>
        <v>0.91459147972833921</v>
      </c>
      <c r="E4817" s="83">
        <v>-3.2006326347990756E-2</v>
      </c>
      <c r="F4817" s="83">
        <v>4809</v>
      </c>
      <c r="G4817" s="83">
        <f t="shared" ca="1" si="155"/>
        <v>-3.396468631526468E-3</v>
      </c>
    </row>
    <row r="4818" spans="2:7" x14ac:dyDescent="0.2">
      <c r="B4818" s="167">
        <v>42685</v>
      </c>
      <c r="C4818" s="28">
        <v>242.95</v>
      </c>
      <c r="D4818" s="83">
        <f t="shared" si="154"/>
        <v>3.352382658545324</v>
      </c>
      <c r="E4818" s="83">
        <v>-3.2264489145588618E-2</v>
      </c>
      <c r="F4818" s="83">
        <v>4810</v>
      </c>
      <c r="G4818" s="83">
        <f t="shared" ca="1" si="155"/>
        <v>-1.9357644755792488E-2</v>
      </c>
    </row>
    <row r="4819" spans="2:7" x14ac:dyDescent="0.2">
      <c r="B4819" s="167">
        <v>39070</v>
      </c>
      <c r="C4819" s="28">
        <v>55.82</v>
      </c>
      <c r="D4819" s="83">
        <f t="shared" si="154"/>
        <v>8.6736537766533579E-3</v>
      </c>
      <c r="E4819" s="83">
        <v>-3.241462991853003E-2</v>
      </c>
      <c r="F4819" s="83">
        <v>4811</v>
      </c>
      <c r="G4819" s="83">
        <f t="shared" ca="1" si="155"/>
        <v>3.1055207324288685E-3</v>
      </c>
    </row>
    <row r="4820" spans="2:7" x14ac:dyDescent="0.2">
      <c r="B4820" s="167">
        <v>39301</v>
      </c>
      <c r="C4820" s="28">
        <v>55.34</v>
      </c>
      <c r="D4820" s="83">
        <f t="shared" si="154"/>
        <v>-0.70485333333333333</v>
      </c>
      <c r="E4820" s="83">
        <v>-3.2517482517482509E-2</v>
      </c>
      <c r="F4820" s="83">
        <v>4812</v>
      </c>
      <c r="G4820" s="83">
        <f t="shared" ca="1" si="155"/>
        <v>6.9182559385677633E-3</v>
      </c>
    </row>
    <row r="4821" spans="2:7" x14ac:dyDescent="0.2">
      <c r="B4821" s="167">
        <v>43894</v>
      </c>
      <c r="C4821" s="28">
        <v>187.5</v>
      </c>
      <c r="D4821" s="83">
        <f t="shared" si="154"/>
        <v>2.1618887015177064</v>
      </c>
      <c r="E4821" s="83">
        <v>-3.275728656177454E-2</v>
      </c>
      <c r="F4821" s="83">
        <v>4813</v>
      </c>
      <c r="G4821" s="83">
        <f t="shared" ca="1" si="155"/>
        <v>1.5843458659434189E-2</v>
      </c>
    </row>
    <row r="4822" spans="2:7" x14ac:dyDescent="0.2">
      <c r="B4822" s="167">
        <v>38902</v>
      </c>
      <c r="C4822" s="28">
        <v>59.3</v>
      </c>
      <c r="D4822" s="83">
        <f t="shared" si="154"/>
        <v>-0.7604524338517471</v>
      </c>
      <c r="E4822" s="83">
        <v>-3.2941943900848064E-2</v>
      </c>
      <c r="F4822" s="83">
        <v>4814</v>
      </c>
      <c r="G4822" s="83">
        <f t="shared" ca="1" si="155"/>
        <v>-2.5516120357253053E-2</v>
      </c>
    </row>
    <row r="4823" spans="2:7" x14ac:dyDescent="0.2">
      <c r="B4823" s="167">
        <v>43733</v>
      </c>
      <c r="C4823" s="28">
        <v>247.55</v>
      </c>
      <c r="D4823" s="83">
        <f t="shared" si="154"/>
        <v>1.2963821892393321</v>
      </c>
      <c r="E4823" s="83">
        <v>-3.3007812499999956E-2</v>
      </c>
      <c r="F4823" s="83">
        <v>4815</v>
      </c>
      <c r="G4823" s="83">
        <f t="shared" ca="1" si="155"/>
        <v>2.1298083585596726E-2</v>
      </c>
    </row>
    <row r="4824" spans="2:7" x14ac:dyDescent="0.2">
      <c r="B4824" s="167">
        <v>40574</v>
      </c>
      <c r="C4824" s="28">
        <v>107.8</v>
      </c>
      <c r="D4824" s="83">
        <f t="shared" si="154"/>
        <v>-0.54437869822485219</v>
      </c>
      <c r="E4824" s="83">
        <v>-3.3010405453893138E-2</v>
      </c>
      <c r="F4824" s="83">
        <v>4816</v>
      </c>
      <c r="G4824" s="83">
        <f t="shared" ca="1" si="155"/>
        <v>-8.0686264768987381E-3</v>
      </c>
    </row>
    <row r="4825" spans="2:7" x14ac:dyDescent="0.2">
      <c r="B4825" s="167">
        <v>44491</v>
      </c>
      <c r="C4825" s="28">
        <v>236.6</v>
      </c>
      <c r="D4825" s="83">
        <f t="shared" si="154"/>
        <v>0.78485214242607115</v>
      </c>
      <c r="E4825" s="83">
        <v>-3.3101757253780117E-2</v>
      </c>
      <c r="F4825" s="83">
        <v>4817</v>
      </c>
      <c r="G4825" s="83">
        <f t="shared" ca="1" si="155"/>
        <v>2.5610780475982031E-2</v>
      </c>
    </row>
    <row r="4826" spans="2:7" x14ac:dyDescent="0.2">
      <c r="B4826" s="167">
        <v>40759</v>
      </c>
      <c r="C4826" s="28">
        <v>132.56</v>
      </c>
      <c r="D4826" s="83">
        <f t="shared" si="154"/>
        <v>-0.27064649243466299</v>
      </c>
      <c r="E4826" s="83">
        <v>-3.3326040983008773E-2</v>
      </c>
      <c r="F4826" s="83">
        <v>4818</v>
      </c>
      <c r="G4826" s="83">
        <f t="shared" ca="1" si="155"/>
        <v>2.7539524179958398E-2</v>
      </c>
    </row>
    <row r="4827" spans="2:7" x14ac:dyDescent="0.2">
      <c r="B4827" s="167">
        <v>43896</v>
      </c>
      <c r="C4827" s="28">
        <v>181.75</v>
      </c>
      <c r="D4827" s="83">
        <f t="shared" si="154"/>
        <v>2.2889974665218968</v>
      </c>
      <c r="E4827" s="83">
        <v>-3.3501728263759696E-2</v>
      </c>
      <c r="F4827" s="83">
        <v>4819</v>
      </c>
      <c r="G4827" s="83">
        <f t="shared" ca="1" si="155"/>
        <v>-7.850914877647221E-3</v>
      </c>
    </row>
    <row r="4828" spans="2:7" x14ac:dyDescent="0.2">
      <c r="B4828" s="167">
        <v>39143</v>
      </c>
      <c r="C4828" s="28">
        <v>55.26</v>
      </c>
      <c r="D4828" s="83">
        <f t="shared" si="154"/>
        <v>-0.56347262816968169</v>
      </c>
      <c r="E4828" s="83">
        <v>-3.3578174186778623E-2</v>
      </c>
      <c r="F4828" s="83">
        <v>4820</v>
      </c>
      <c r="G4828" s="83">
        <f t="shared" ca="1" si="155"/>
        <v>-2.5605909373102531E-2</v>
      </c>
    </row>
    <row r="4829" spans="2:7" x14ac:dyDescent="0.2">
      <c r="B4829" s="167">
        <v>40808</v>
      </c>
      <c r="C4829" s="28">
        <v>126.59</v>
      </c>
      <c r="D4829" s="83">
        <f t="shared" si="154"/>
        <v>-0.36043045521143841</v>
      </c>
      <c r="E4829" s="83">
        <v>-3.3664122137404551E-2</v>
      </c>
      <c r="F4829" s="83">
        <v>4821</v>
      </c>
      <c r="G4829" s="83">
        <f t="shared" ca="1" si="155"/>
        <v>1.0101117973340602E-2</v>
      </c>
    </row>
    <row r="4830" spans="2:7" x14ac:dyDescent="0.2">
      <c r="B4830" s="167">
        <v>42411</v>
      </c>
      <c r="C4830" s="28">
        <v>197.93</v>
      </c>
      <c r="D4830" s="83">
        <f t="shared" si="154"/>
        <v>-0.15447050279806909</v>
      </c>
      <c r="E4830" s="83">
        <v>-3.378081523065652E-2</v>
      </c>
      <c r="F4830" s="83">
        <v>4822</v>
      </c>
      <c r="G4830" s="83">
        <f t="shared" ca="1" si="155"/>
        <v>-7.1890972661084124E-3</v>
      </c>
    </row>
    <row r="4831" spans="2:7" x14ac:dyDescent="0.2">
      <c r="B4831" s="167">
        <v>41922</v>
      </c>
      <c r="C4831" s="28">
        <v>234.09</v>
      </c>
      <c r="D4831" s="83">
        <f t="shared" si="154"/>
        <v>3.1104477611940293</v>
      </c>
      <c r="E4831" s="83">
        <v>-3.3923486442986255E-2</v>
      </c>
      <c r="F4831" s="83">
        <v>4823</v>
      </c>
      <c r="G4831" s="83">
        <f t="shared" ca="1" si="155"/>
        <v>-2.2940043327990284E-2</v>
      </c>
    </row>
    <row r="4832" spans="2:7" x14ac:dyDescent="0.2">
      <c r="B4832" s="167">
        <v>39637</v>
      </c>
      <c r="C4832" s="28">
        <v>56.95</v>
      </c>
      <c r="D4832" s="83">
        <f t="shared" si="154"/>
        <v>1.8965825729110795E-2</v>
      </c>
      <c r="E4832" s="83">
        <v>-3.3927056827820185E-2</v>
      </c>
      <c r="F4832" s="83">
        <v>4824</v>
      </c>
      <c r="G4832" s="83">
        <f t="shared" ca="1" si="155"/>
        <v>-2.9577828660436074E-2</v>
      </c>
    </row>
    <row r="4833" spans="2:7" x14ac:dyDescent="0.2">
      <c r="B4833" s="167">
        <v>39643</v>
      </c>
      <c r="C4833" s="28">
        <v>55.89</v>
      </c>
      <c r="D4833" s="83">
        <f t="shared" si="154"/>
        <v>-0.73705010585744535</v>
      </c>
      <c r="E4833" s="83">
        <v>-3.4047701348081556E-2</v>
      </c>
      <c r="F4833" s="83">
        <v>4825</v>
      </c>
      <c r="G4833" s="83">
        <f t="shared" ca="1" si="155"/>
        <v>3.7289718048640562E-4</v>
      </c>
    </row>
    <row r="4834" spans="2:7" x14ac:dyDescent="0.2">
      <c r="B4834" s="167">
        <v>44291</v>
      </c>
      <c r="C4834" s="28">
        <v>212.55</v>
      </c>
      <c r="D4834" s="83">
        <f t="shared" si="154"/>
        <v>-7.8194119177725729E-2</v>
      </c>
      <c r="E4834" s="83">
        <v>-3.4083162917518742E-2</v>
      </c>
      <c r="F4834" s="83">
        <v>4826</v>
      </c>
      <c r="G4834" s="83">
        <f t="shared" ca="1" si="155"/>
        <v>2.6613508657109257E-2</v>
      </c>
    </row>
    <row r="4835" spans="2:7" x14ac:dyDescent="0.2">
      <c r="B4835" s="167">
        <v>42018</v>
      </c>
      <c r="C4835" s="28">
        <v>230.58</v>
      </c>
      <c r="D4835" s="83">
        <f t="shared" si="154"/>
        <v>0.18125000000000013</v>
      </c>
      <c r="E4835" s="83">
        <v>-3.413898546475088E-2</v>
      </c>
      <c r="F4835" s="83">
        <v>4827</v>
      </c>
      <c r="G4835" s="83">
        <f t="shared" ca="1" si="155"/>
        <v>5.077753095072689E-4</v>
      </c>
    </row>
    <row r="4836" spans="2:7" x14ac:dyDescent="0.2">
      <c r="B4836" s="167">
        <v>44008</v>
      </c>
      <c r="C4836" s="28">
        <v>195.2</v>
      </c>
      <c r="D4836" s="83">
        <f t="shared" si="154"/>
        <v>0.17753513904807852</v>
      </c>
      <c r="E4836" s="83">
        <v>-3.4141514101929768E-2</v>
      </c>
      <c r="F4836" s="83">
        <v>4828</v>
      </c>
      <c r="G4836" s="83">
        <f t="shared" ca="1" si="155"/>
        <v>-2.1822337497133186E-2</v>
      </c>
    </row>
    <row r="4837" spans="2:7" x14ac:dyDescent="0.2">
      <c r="B4837" s="167">
        <v>41092</v>
      </c>
      <c r="C4837" s="28">
        <v>165.77</v>
      </c>
      <c r="D4837" s="83">
        <f t="shared" si="154"/>
        <v>1.3934449898931562</v>
      </c>
      <c r="E4837" s="83">
        <v>-3.4199487298997765E-2</v>
      </c>
      <c r="F4837" s="83">
        <v>4829</v>
      </c>
      <c r="G4837" s="83">
        <f t="shared" ca="1" si="155"/>
        <v>2.4339335607810094E-2</v>
      </c>
    </row>
    <row r="4838" spans="2:7" x14ac:dyDescent="0.2">
      <c r="B4838" s="167">
        <v>39463</v>
      </c>
      <c r="C4838" s="28">
        <v>69.260000000000005</v>
      </c>
      <c r="D4838" s="83">
        <f t="shared" si="154"/>
        <v>0.78367241823332501</v>
      </c>
      <c r="E4838" s="83">
        <v>-3.4300055772448323E-2</v>
      </c>
      <c r="F4838" s="83">
        <v>4830</v>
      </c>
      <c r="G4838" s="83">
        <f t="shared" ca="1" si="155"/>
        <v>-1.7905822251016796E-2</v>
      </c>
    </row>
    <row r="4839" spans="2:7" x14ac:dyDescent="0.2">
      <c r="B4839" s="167">
        <v>38649</v>
      </c>
      <c r="C4839" s="28">
        <v>38.83</v>
      </c>
      <c r="D4839" s="83">
        <f t="shared" si="154"/>
        <v>-0.7668567997598319</v>
      </c>
      <c r="E4839" s="83">
        <v>-3.4319820940064721E-2</v>
      </c>
      <c r="F4839" s="83">
        <v>4831</v>
      </c>
      <c r="G4839" s="83">
        <f t="shared" ca="1" si="155"/>
        <v>1.9931501082176315E-2</v>
      </c>
    </row>
    <row r="4840" spans="2:7" x14ac:dyDescent="0.2">
      <c r="B4840" s="167">
        <v>44098</v>
      </c>
      <c r="C4840" s="28">
        <v>166.55</v>
      </c>
      <c r="D4840" s="83">
        <f t="shared" si="154"/>
        <v>-0.20119904076738604</v>
      </c>
      <c r="E4840" s="83">
        <v>-3.4492753623188342E-2</v>
      </c>
      <c r="F4840" s="83">
        <v>4832</v>
      </c>
      <c r="G4840" s="83">
        <f t="shared" ca="1" si="155"/>
        <v>1.8748741531286698E-2</v>
      </c>
    </row>
    <row r="4841" spans="2:7" x14ac:dyDescent="0.2">
      <c r="B4841" s="167">
        <v>44616</v>
      </c>
      <c r="C4841" s="28">
        <v>208.5</v>
      </c>
      <c r="D4841" s="83">
        <f t="shared" si="154"/>
        <v>0.11378205128205135</v>
      </c>
      <c r="E4841" s="83">
        <v>-3.4498726557073346E-2</v>
      </c>
      <c r="F4841" s="83">
        <v>4833</v>
      </c>
      <c r="G4841" s="83">
        <f t="shared" ca="1" si="155"/>
        <v>-3.9505289991166887E-3</v>
      </c>
    </row>
    <row r="4842" spans="2:7" x14ac:dyDescent="0.2">
      <c r="B4842" s="167">
        <v>43997</v>
      </c>
      <c r="C4842" s="28">
        <v>187.2</v>
      </c>
      <c r="D4842" s="83">
        <f t="shared" si="154"/>
        <v>2.2894043226146548</v>
      </c>
      <c r="E4842" s="83">
        <v>-3.4553893759670017E-2</v>
      </c>
      <c r="F4842" s="83">
        <v>4834</v>
      </c>
      <c r="G4842" s="83">
        <f t="shared" ca="1" si="155"/>
        <v>1.3697980831557386E-2</v>
      </c>
    </row>
    <row r="4843" spans="2:7" x14ac:dyDescent="0.2">
      <c r="B4843" s="167">
        <v>39111</v>
      </c>
      <c r="C4843" s="28">
        <v>56.91</v>
      </c>
      <c r="D4843" s="83">
        <f t="shared" si="154"/>
        <v>0.4277471149021575</v>
      </c>
      <c r="E4843" s="83">
        <v>-3.4605597964376691E-2</v>
      </c>
      <c r="F4843" s="83">
        <v>4835</v>
      </c>
      <c r="G4843" s="83">
        <f t="shared" ca="1" si="155"/>
        <v>2.5721715068668816E-3</v>
      </c>
    </row>
    <row r="4844" spans="2:7" x14ac:dyDescent="0.2">
      <c r="B4844" s="167">
        <v>38644</v>
      </c>
      <c r="C4844" s="28">
        <v>39.86</v>
      </c>
      <c r="D4844" s="83">
        <f t="shared" si="154"/>
        <v>-0.37435253492387383</v>
      </c>
      <c r="E4844" s="83">
        <v>-3.4633083070961489E-2</v>
      </c>
      <c r="F4844" s="83">
        <v>4836</v>
      </c>
      <c r="G4844" s="83">
        <f t="shared" ca="1" si="155"/>
        <v>-2.7203398466996804E-3</v>
      </c>
    </row>
    <row r="4845" spans="2:7" x14ac:dyDescent="0.2">
      <c r="B4845" s="167">
        <v>38819</v>
      </c>
      <c r="C4845" s="28">
        <v>63.71</v>
      </c>
      <c r="D4845" s="83">
        <f t="shared" si="154"/>
        <v>0.33340309753034741</v>
      </c>
      <c r="E4845" s="83">
        <v>-3.4696969696969684E-2</v>
      </c>
      <c r="F4845" s="83">
        <v>4837</v>
      </c>
      <c r="G4845" s="83">
        <f t="shared" ca="1" si="155"/>
        <v>-5.2287813148669173E-3</v>
      </c>
    </row>
    <row r="4846" spans="2:7" x14ac:dyDescent="0.2">
      <c r="B4846" s="167">
        <v>39164</v>
      </c>
      <c r="C4846" s="28">
        <v>47.78</v>
      </c>
      <c r="D4846" s="83">
        <f t="shared" si="154"/>
        <v>-0.75590068458158788</v>
      </c>
      <c r="E4846" s="83">
        <v>-3.4942435871541042E-2</v>
      </c>
      <c r="F4846" s="83">
        <v>4838</v>
      </c>
      <c r="G4846" s="83">
        <f t="shared" ca="1" si="155"/>
        <v>1.8977751303398443E-2</v>
      </c>
    </row>
    <row r="4847" spans="2:7" x14ac:dyDescent="0.2">
      <c r="B4847" s="167">
        <v>41256</v>
      </c>
      <c r="C4847" s="28">
        <v>195.74</v>
      </c>
      <c r="D4847" s="83">
        <f t="shared" si="154"/>
        <v>-0.29728953509244299</v>
      </c>
      <c r="E4847" s="83">
        <v>-3.4955381353843136E-2</v>
      </c>
      <c r="F4847" s="83">
        <v>4839</v>
      </c>
      <c r="G4847" s="83">
        <f t="shared" ca="1" si="155"/>
        <v>-2.4964042661746587E-2</v>
      </c>
    </row>
    <row r="4848" spans="2:7" x14ac:dyDescent="0.2">
      <c r="B4848" s="167">
        <v>43616</v>
      </c>
      <c r="C4848" s="28">
        <v>278.55</v>
      </c>
      <c r="D4848" s="83">
        <f t="shared" si="154"/>
        <v>0.31714582939285052</v>
      </c>
      <c r="E4848" s="83">
        <v>-3.49904728910444E-2</v>
      </c>
      <c r="F4848" s="83">
        <v>4840</v>
      </c>
      <c r="G4848" s="83">
        <f t="shared" ca="1" si="155"/>
        <v>-2.1010322261983752E-2</v>
      </c>
    </row>
    <row r="4849" spans="2:7" x14ac:dyDescent="0.2">
      <c r="B4849" s="167">
        <v>41583</v>
      </c>
      <c r="C4849" s="28">
        <v>211.48</v>
      </c>
      <c r="D4849" s="83">
        <f t="shared" si="154"/>
        <v>1.4613594040968341</v>
      </c>
      <c r="E4849" s="83">
        <v>-3.5086918830131854E-2</v>
      </c>
      <c r="F4849" s="83">
        <v>4841</v>
      </c>
      <c r="G4849" s="83">
        <f t="shared" ca="1" si="155"/>
        <v>6.2242453998005336E-3</v>
      </c>
    </row>
    <row r="4850" spans="2:7" x14ac:dyDescent="0.2">
      <c r="B4850" s="167">
        <v>40317</v>
      </c>
      <c r="C4850" s="28">
        <v>85.92</v>
      </c>
      <c r="D4850" s="83">
        <f t="shared" si="154"/>
        <v>-0.78125716031467196</v>
      </c>
      <c r="E4850" s="83">
        <v>-3.5148792813026339E-2</v>
      </c>
      <c r="F4850" s="83">
        <v>4842</v>
      </c>
      <c r="G4850" s="83">
        <f t="shared" ca="1" si="155"/>
        <v>-2.1923994131283989E-2</v>
      </c>
    </row>
    <row r="4851" spans="2:7" x14ac:dyDescent="0.2">
      <c r="B4851" s="167">
        <v>45447</v>
      </c>
      <c r="C4851" s="28">
        <v>392.79</v>
      </c>
      <c r="D4851" s="83">
        <f t="shared" si="154"/>
        <v>1.2933963916622877</v>
      </c>
      <c r="E4851" s="83">
        <v>-3.5198467282373705E-2</v>
      </c>
      <c r="F4851" s="83">
        <v>4843</v>
      </c>
      <c r="G4851" s="83">
        <f t="shared" ca="1" si="155"/>
        <v>4.1851470423674844E-4</v>
      </c>
    </row>
    <row r="4852" spans="2:7" x14ac:dyDescent="0.2">
      <c r="B4852" s="167">
        <v>41137</v>
      </c>
      <c r="C4852" s="28">
        <v>171.27</v>
      </c>
      <c r="D4852" s="83">
        <f t="shared" si="154"/>
        <v>1.9508959338387322</v>
      </c>
      <c r="E4852" s="83">
        <v>-3.5315985130111423E-2</v>
      </c>
      <c r="F4852" s="83">
        <v>4844</v>
      </c>
      <c r="G4852" s="83">
        <f t="shared" ca="1" si="155"/>
        <v>-7.5899399004844105E-3</v>
      </c>
    </row>
    <row r="4853" spans="2:7" x14ac:dyDescent="0.2">
      <c r="B4853" s="167">
        <v>38905</v>
      </c>
      <c r="C4853" s="28">
        <v>58.04</v>
      </c>
      <c r="D4853" s="83">
        <f t="shared" si="154"/>
        <v>-0.73305123723668475</v>
      </c>
      <c r="E4853" s="83">
        <v>-3.5559986706547038E-2</v>
      </c>
      <c r="F4853" s="83">
        <v>4845</v>
      </c>
      <c r="G4853" s="83">
        <f t="shared" ca="1" si="155"/>
        <v>-2.2739938845321547E-2</v>
      </c>
    </row>
    <row r="4854" spans="2:7" x14ac:dyDescent="0.2">
      <c r="B4854" s="167">
        <v>41575</v>
      </c>
      <c r="C4854" s="28">
        <v>217.42</v>
      </c>
      <c r="D4854" s="83">
        <f t="shared" si="154"/>
        <v>-0.33132400430570508</v>
      </c>
      <c r="E4854" s="83">
        <v>-3.5574875798438654E-2</v>
      </c>
      <c r="F4854" s="83">
        <v>4846</v>
      </c>
      <c r="G4854" s="83">
        <f t="shared" ca="1" si="155"/>
        <v>2.9830477266032673E-2</v>
      </c>
    </row>
    <row r="4855" spans="2:7" x14ac:dyDescent="0.2">
      <c r="B4855" s="167">
        <v>42933</v>
      </c>
      <c r="C4855" s="28">
        <v>325.14999999999998</v>
      </c>
      <c r="D4855" s="83">
        <f t="shared" si="154"/>
        <v>1.8432144106330881</v>
      </c>
      <c r="E4855" s="83">
        <v>-3.5592466261308027E-2</v>
      </c>
      <c r="F4855" s="83">
        <v>4847</v>
      </c>
      <c r="G4855" s="83">
        <f t="shared" ca="1" si="155"/>
        <v>2.5022892690715226E-2</v>
      </c>
    </row>
    <row r="4856" spans="2:7" x14ac:dyDescent="0.2">
      <c r="B4856" s="167">
        <v>40550</v>
      </c>
      <c r="C4856" s="28">
        <v>114.36</v>
      </c>
      <c r="D4856" s="83">
        <f t="shared" si="154"/>
        <v>0.71995788840427144</v>
      </c>
      <c r="E4856" s="83">
        <v>-3.5750421585160161E-2</v>
      </c>
      <c r="F4856" s="83">
        <v>4848</v>
      </c>
      <c r="G4856" s="83">
        <f t="shared" ca="1" si="155"/>
        <v>1.0612709780276073E-3</v>
      </c>
    </row>
    <row r="4857" spans="2:7" x14ac:dyDescent="0.2">
      <c r="B4857" s="167">
        <v>39542</v>
      </c>
      <c r="C4857" s="28">
        <v>66.489999999999995</v>
      </c>
      <c r="D4857" s="83">
        <f t="shared" si="154"/>
        <v>1.0947240383153397E-2</v>
      </c>
      <c r="E4857" s="83">
        <v>-3.5817865429234326E-2</v>
      </c>
      <c r="F4857" s="83">
        <v>4849</v>
      </c>
      <c r="G4857" s="83">
        <f t="shared" ca="1" si="155"/>
        <v>1.167320187110379E-3</v>
      </c>
    </row>
    <row r="4858" spans="2:7" x14ac:dyDescent="0.2">
      <c r="B4858" s="167">
        <v>39619</v>
      </c>
      <c r="C4858" s="28">
        <v>65.77</v>
      </c>
      <c r="D4858" s="83">
        <f t="shared" si="154"/>
        <v>2.5413158715310188E-2</v>
      </c>
      <c r="E4858" s="83">
        <v>-3.5913221929053107E-2</v>
      </c>
      <c r="F4858" s="83">
        <v>4850</v>
      </c>
      <c r="G4858" s="83">
        <f t="shared" ca="1" si="155"/>
        <v>1.221603911509569E-2</v>
      </c>
    </row>
    <row r="4859" spans="2:7" x14ac:dyDescent="0.2">
      <c r="B4859" s="167">
        <v>39433</v>
      </c>
      <c r="C4859" s="28">
        <v>64.14</v>
      </c>
      <c r="D4859" s="83">
        <f t="shared" si="154"/>
        <v>0.30207064555420227</v>
      </c>
      <c r="E4859" s="83">
        <v>-3.5923643469111685E-2</v>
      </c>
      <c r="F4859" s="83">
        <v>4851</v>
      </c>
      <c r="G4859" s="83">
        <f t="shared" ca="1" si="155"/>
        <v>8.7071751334682687E-3</v>
      </c>
    </row>
    <row r="4860" spans="2:7" x14ac:dyDescent="0.2">
      <c r="B4860" s="167">
        <v>39153</v>
      </c>
      <c r="C4860" s="28">
        <v>49.26</v>
      </c>
      <c r="D4860" s="83">
        <f t="shared" si="154"/>
        <v>-0.87750839239089895</v>
      </c>
      <c r="E4860" s="83">
        <v>-3.600782778864977E-2</v>
      </c>
      <c r="F4860" s="83">
        <v>4852</v>
      </c>
      <c r="G4860" s="83">
        <f t="shared" ca="1" si="155"/>
        <v>2.2391709149813938E-2</v>
      </c>
    </row>
    <row r="4861" spans="2:7" x14ac:dyDescent="0.2">
      <c r="B4861" s="167">
        <v>45421</v>
      </c>
      <c r="C4861" s="28">
        <v>402.15</v>
      </c>
      <c r="D4861" s="83">
        <f t="shared" si="154"/>
        <v>5.7873417721518985</v>
      </c>
      <c r="E4861" s="83">
        <v>-3.605072029530914E-2</v>
      </c>
      <c r="F4861" s="83">
        <v>4853</v>
      </c>
      <c r="G4861" s="83">
        <f t="shared" ca="1" si="155"/>
        <v>-3.6039564974650724E-2</v>
      </c>
    </row>
    <row r="4862" spans="2:7" x14ac:dyDescent="0.2">
      <c r="B4862" s="167">
        <v>39360</v>
      </c>
      <c r="C4862" s="28">
        <v>59.25</v>
      </c>
      <c r="D4862" s="83">
        <f t="shared" si="154"/>
        <v>-0.18679659621191325</v>
      </c>
      <c r="E4862" s="83">
        <v>-3.611517813567592E-2</v>
      </c>
      <c r="F4862" s="83">
        <v>4854</v>
      </c>
      <c r="G4862" s="83">
        <f t="shared" ca="1" si="155"/>
        <v>-2.836357486628251E-3</v>
      </c>
    </row>
    <row r="4863" spans="2:7" x14ac:dyDescent="0.2">
      <c r="B4863" s="167">
        <v>39457</v>
      </c>
      <c r="C4863" s="28">
        <v>72.86</v>
      </c>
      <c r="D4863" s="83">
        <f t="shared" si="154"/>
        <v>0.30760947595118449</v>
      </c>
      <c r="E4863" s="83">
        <v>-3.6115888345019234E-2</v>
      </c>
      <c r="F4863" s="83">
        <v>4855</v>
      </c>
      <c r="G4863" s="83">
        <f t="shared" ca="1" si="155"/>
        <v>1.5281309982459865E-2</v>
      </c>
    </row>
    <row r="4864" spans="2:7" x14ac:dyDescent="0.2">
      <c r="B4864" s="167">
        <v>39820</v>
      </c>
      <c r="C4864" s="28">
        <v>55.72</v>
      </c>
      <c r="D4864" s="83">
        <f t="shared" si="154"/>
        <v>9.0410958904109537E-2</v>
      </c>
      <c r="E4864" s="83">
        <v>-3.6152914720636628E-2</v>
      </c>
      <c r="F4864" s="83">
        <v>4856</v>
      </c>
      <c r="G4864" s="83">
        <f t="shared" ca="1" si="155"/>
        <v>-8.3745415243920169E-3</v>
      </c>
    </row>
    <row r="4865" spans="2:7" x14ac:dyDescent="0.2">
      <c r="B4865" s="167">
        <v>39150</v>
      </c>
      <c r="C4865" s="28">
        <v>51.1</v>
      </c>
      <c r="D4865" s="83">
        <f t="shared" si="154"/>
        <v>-0.28750697155605126</v>
      </c>
      <c r="E4865" s="83">
        <v>-3.6212749905695993E-2</v>
      </c>
      <c r="F4865" s="83">
        <v>4857</v>
      </c>
      <c r="G4865" s="83">
        <f t="shared" ca="1" si="155"/>
        <v>-2.1087225234756486E-2</v>
      </c>
    </row>
    <row r="4866" spans="2:7" x14ac:dyDescent="0.2">
      <c r="B4866" s="167">
        <v>39462</v>
      </c>
      <c r="C4866" s="28">
        <v>71.72</v>
      </c>
      <c r="D4866" s="83">
        <f t="shared" si="154"/>
        <v>0.24773834377174675</v>
      </c>
      <c r="E4866" s="83">
        <v>-3.6280569739317425E-2</v>
      </c>
      <c r="F4866" s="83">
        <v>4858</v>
      </c>
      <c r="G4866" s="83">
        <f t="shared" ca="1" si="155"/>
        <v>-5.2061690699408535E-3</v>
      </c>
    </row>
    <row r="4867" spans="2:7" x14ac:dyDescent="0.2">
      <c r="B4867" s="167">
        <v>39063</v>
      </c>
      <c r="C4867" s="28">
        <v>57.48</v>
      </c>
      <c r="D4867" s="83">
        <f t="shared" si="154"/>
        <v>-0.72001948368241608</v>
      </c>
      <c r="E4867" s="83">
        <v>-3.6378876781223833E-2</v>
      </c>
      <c r="F4867" s="83">
        <v>4859</v>
      </c>
      <c r="G4867" s="83">
        <f t="shared" ca="1" si="155"/>
        <v>2.3908587959852762E-2</v>
      </c>
    </row>
    <row r="4868" spans="2:7" x14ac:dyDescent="0.2">
      <c r="B4868" s="167">
        <v>44298</v>
      </c>
      <c r="C4868" s="28">
        <v>205.3</v>
      </c>
      <c r="D4868" s="83">
        <f t="shared" si="154"/>
        <v>-0.25750452079566</v>
      </c>
      <c r="E4868" s="83">
        <v>-3.6602534021586031E-2</v>
      </c>
      <c r="F4868" s="83">
        <v>4860</v>
      </c>
      <c r="G4868" s="83">
        <f t="shared" ca="1" si="155"/>
        <v>3.0184355972047504E-3</v>
      </c>
    </row>
    <row r="4869" spans="2:7" x14ac:dyDescent="0.2">
      <c r="B4869" s="167">
        <v>43378</v>
      </c>
      <c r="C4869" s="28">
        <v>276.5</v>
      </c>
      <c r="D4869" s="83">
        <f t="shared" si="154"/>
        <v>3.9375</v>
      </c>
      <c r="E4869" s="83">
        <v>-3.6920933472657687E-2</v>
      </c>
      <c r="F4869" s="83">
        <v>4861</v>
      </c>
      <c r="G4869" s="83">
        <f t="shared" ca="1" si="155"/>
        <v>3.9244640976706753E-3</v>
      </c>
    </row>
    <row r="4870" spans="2:7" x14ac:dyDescent="0.2">
      <c r="B4870" s="167">
        <v>39086</v>
      </c>
      <c r="C4870" s="28">
        <v>56</v>
      </c>
      <c r="D4870" s="83">
        <f t="shared" si="154"/>
        <v>-0.71971971971971971</v>
      </c>
      <c r="E4870" s="83">
        <v>-3.7138927097661568E-2</v>
      </c>
      <c r="F4870" s="83">
        <v>4862</v>
      </c>
      <c r="G4870" s="83">
        <f t="shared" ca="1" si="155"/>
        <v>2.3941106400955248E-2</v>
      </c>
    </row>
    <row r="4871" spans="2:7" x14ac:dyDescent="0.2">
      <c r="B4871" s="167">
        <v>44018</v>
      </c>
      <c r="C4871" s="28">
        <v>199.8</v>
      </c>
      <c r="D4871" s="83">
        <f t="shared" si="154"/>
        <v>-4.8662032187410713E-2</v>
      </c>
      <c r="E4871" s="83">
        <v>-3.7340399903637675E-2</v>
      </c>
      <c r="F4871" s="83">
        <v>4863</v>
      </c>
      <c r="G4871" s="83">
        <f t="shared" ca="1" si="155"/>
        <v>-1.9353450283949431E-2</v>
      </c>
    </row>
    <row r="4872" spans="2:7" x14ac:dyDescent="0.2">
      <c r="B4872" s="167">
        <v>42149</v>
      </c>
      <c r="C4872" s="28">
        <v>210.02</v>
      </c>
      <c r="D4872" s="83">
        <f t="shared" si="154"/>
        <v>3.0011430748714041</v>
      </c>
      <c r="E4872" s="83">
        <v>-3.7532652032445796E-2</v>
      </c>
      <c r="F4872" s="83">
        <v>4864</v>
      </c>
      <c r="G4872" s="83">
        <f t="shared" ca="1" si="155"/>
        <v>-4.7336949706879988E-3</v>
      </c>
    </row>
    <row r="4873" spans="2:7" x14ac:dyDescent="0.2">
      <c r="B4873" s="167">
        <v>39881</v>
      </c>
      <c r="C4873" s="28">
        <v>52.49</v>
      </c>
      <c r="D4873" s="83">
        <f t="shared" ref="D4873:D4936" si="156">(C4873-C4874)/C4874</f>
        <v>-0.15543041029766688</v>
      </c>
      <c r="E4873" s="83">
        <v>-3.7587092042537538E-2</v>
      </c>
      <c r="F4873" s="83">
        <v>4865</v>
      </c>
      <c r="G4873" s="83">
        <f t="shared" ref="G4873:G4936" ca="1" si="157">_xlfn.NORM.INV(RAND(),$M$10,$M$11)</f>
        <v>1.248821138739321E-3</v>
      </c>
    </row>
    <row r="4874" spans="2:7" x14ac:dyDescent="0.2">
      <c r="B4874" s="167">
        <v>39471</v>
      </c>
      <c r="C4874" s="28">
        <v>62.15</v>
      </c>
      <c r="D4874" s="83">
        <f t="shared" si="156"/>
        <v>-0.53428250281004108</v>
      </c>
      <c r="E4874" s="83">
        <v>-3.7776745626258004E-2</v>
      </c>
      <c r="F4874" s="83">
        <v>4866</v>
      </c>
      <c r="G4874" s="83">
        <f t="shared" ca="1" si="157"/>
        <v>1.7158707797297532E-2</v>
      </c>
    </row>
    <row r="4875" spans="2:7" x14ac:dyDescent="0.2">
      <c r="B4875" s="167">
        <v>40928</v>
      </c>
      <c r="C4875" s="28">
        <v>133.44999999999999</v>
      </c>
      <c r="D4875" s="83">
        <f t="shared" si="156"/>
        <v>0.95904286553141482</v>
      </c>
      <c r="E4875" s="83">
        <v>-3.7782103972889246E-2</v>
      </c>
      <c r="F4875" s="83">
        <v>4867</v>
      </c>
      <c r="G4875" s="83">
        <f t="shared" ca="1" si="157"/>
        <v>2.3757655128362254E-2</v>
      </c>
    </row>
    <row r="4876" spans="2:7" x14ac:dyDescent="0.2">
      <c r="B4876" s="167">
        <v>39594</v>
      </c>
      <c r="C4876" s="28">
        <v>68.12</v>
      </c>
      <c r="D4876" s="83">
        <f t="shared" si="156"/>
        <v>0.33098866744822208</v>
      </c>
      <c r="E4876" s="83">
        <v>-3.7853107344632667E-2</v>
      </c>
      <c r="F4876" s="83">
        <v>4868</v>
      </c>
      <c r="G4876" s="83">
        <f t="shared" ca="1" si="157"/>
        <v>-3.0394323229670867E-2</v>
      </c>
    </row>
    <row r="4877" spans="2:7" x14ac:dyDescent="0.2">
      <c r="B4877" s="167">
        <v>38880</v>
      </c>
      <c r="C4877" s="28">
        <v>51.18</v>
      </c>
      <c r="D4877" s="83">
        <f t="shared" si="156"/>
        <v>-0.21946011895683995</v>
      </c>
      <c r="E4877" s="83">
        <v>-3.7969924812030133E-2</v>
      </c>
      <c r="F4877" s="83">
        <v>4869</v>
      </c>
      <c r="G4877" s="83">
        <f t="shared" ca="1" si="157"/>
        <v>1.8206328662928477E-2</v>
      </c>
    </row>
    <row r="4878" spans="2:7" x14ac:dyDescent="0.2">
      <c r="B4878" s="167">
        <v>39938</v>
      </c>
      <c r="C4878" s="28">
        <v>65.569999999999993</v>
      </c>
      <c r="D4878" s="83">
        <f t="shared" si="156"/>
        <v>0.18421527903196669</v>
      </c>
      <c r="E4878" s="83">
        <v>-3.813994425700467E-2</v>
      </c>
      <c r="F4878" s="83">
        <v>4870</v>
      </c>
      <c r="G4878" s="83">
        <f t="shared" ca="1" si="157"/>
        <v>4.1322433668339563E-3</v>
      </c>
    </row>
    <row r="4879" spans="2:7" x14ac:dyDescent="0.2">
      <c r="B4879" s="167">
        <v>39877</v>
      </c>
      <c r="C4879" s="28">
        <v>55.37</v>
      </c>
      <c r="D4879" s="83">
        <f t="shared" si="156"/>
        <v>-0.80787647467036783</v>
      </c>
      <c r="E4879" s="83">
        <v>-3.8381382424452951E-2</v>
      </c>
      <c r="F4879" s="83">
        <v>4871</v>
      </c>
      <c r="G4879" s="83">
        <f t="shared" ca="1" si="157"/>
        <v>1.1272093538050209E-2</v>
      </c>
    </row>
    <row r="4880" spans="2:7" x14ac:dyDescent="0.2">
      <c r="B4880" s="167">
        <v>43608</v>
      </c>
      <c r="C4880" s="28">
        <v>288.2</v>
      </c>
      <c r="D4880" s="83">
        <f t="shared" si="156"/>
        <v>4.0534806242328596</v>
      </c>
      <c r="E4880" s="83">
        <v>-3.8532110091743156E-2</v>
      </c>
      <c r="F4880" s="83">
        <v>4872</v>
      </c>
      <c r="G4880" s="83">
        <f t="shared" ca="1" si="157"/>
        <v>2.9035663229321551E-2</v>
      </c>
    </row>
    <row r="4881" spans="2:7" x14ac:dyDescent="0.2">
      <c r="B4881" s="167">
        <v>39875</v>
      </c>
      <c r="C4881" s="28">
        <v>57.03</v>
      </c>
      <c r="D4881" s="83">
        <f t="shared" si="156"/>
        <v>-2.3291659530741554E-2</v>
      </c>
      <c r="E4881" s="83">
        <v>-3.8604180714767351E-2</v>
      </c>
      <c r="F4881" s="83">
        <v>4873</v>
      </c>
      <c r="G4881" s="83">
        <f t="shared" ca="1" si="157"/>
        <v>2.4478549219153056E-2</v>
      </c>
    </row>
    <row r="4882" spans="2:7" x14ac:dyDescent="0.2">
      <c r="B4882" s="167">
        <v>39374</v>
      </c>
      <c r="C4882" s="28">
        <v>58.39</v>
      </c>
      <c r="D4882" s="83">
        <f t="shared" si="156"/>
        <v>-0.81761104516773919</v>
      </c>
      <c r="E4882" s="83">
        <v>-3.8689496213368479E-2</v>
      </c>
      <c r="F4882" s="83">
        <v>4874</v>
      </c>
      <c r="G4882" s="83">
        <f t="shared" ca="1" si="157"/>
        <v>2.4549252853796933E-2</v>
      </c>
    </row>
    <row r="4883" spans="2:7" x14ac:dyDescent="0.2">
      <c r="B4883" s="167">
        <v>44914</v>
      </c>
      <c r="C4883" s="28">
        <v>320.14</v>
      </c>
      <c r="D4883" s="83">
        <f t="shared" si="156"/>
        <v>-0.28203633101592285</v>
      </c>
      <c r="E4883" s="83">
        <v>-3.8762948506230369E-2</v>
      </c>
      <c r="F4883" s="83">
        <v>4875</v>
      </c>
      <c r="G4883" s="83">
        <f t="shared" ca="1" si="157"/>
        <v>-4.5405193787583934E-3</v>
      </c>
    </row>
    <row r="4884" spans="2:7" x14ac:dyDescent="0.2">
      <c r="B4884" s="167">
        <v>45131</v>
      </c>
      <c r="C4884" s="28">
        <v>445.9</v>
      </c>
      <c r="D4884" s="83">
        <f t="shared" si="156"/>
        <v>1.4676258992805755</v>
      </c>
      <c r="E4884" s="83">
        <v>-3.8946483608854124E-2</v>
      </c>
      <c r="F4884" s="83">
        <v>4876</v>
      </c>
      <c r="G4884" s="83">
        <f t="shared" ca="1" si="157"/>
        <v>1.8484788172893731E-3</v>
      </c>
    </row>
    <row r="4885" spans="2:7" x14ac:dyDescent="0.2">
      <c r="B4885" s="167">
        <v>43941</v>
      </c>
      <c r="C4885" s="28">
        <v>180.7</v>
      </c>
      <c r="D4885" s="83">
        <f t="shared" si="156"/>
        <v>1.8376256281407033</v>
      </c>
      <c r="E4885" s="83">
        <v>-3.9340776182881475E-2</v>
      </c>
      <c r="F4885" s="83">
        <v>4877</v>
      </c>
      <c r="G4885" s="83">
        <f t="shared" ca="1" si="157"/>
        <v>1.9574719972059618E-2</v>
      </c>
    </row>
    <row r="4886" spans="2:7" x14ac:dyDescent="0.2">
      <c r="B4886" s="167">
        <v>39485</v>
      </c>
      <c r="C4886" s="28">
        <v>63.68</v>
      </c>
      <c r="D4886" s="83">
        <f t="shared" si="156"/>
        <v>-0.17938144329896902</v>
      </c>
      <c r="E4886" s="83">
        <v>-3.9517345399698305E-2</v>
      </c>
      <c r="F4886" s="83">
        <v>4878</v>
      </c>
      <c r="G4886" s="83">
        <f t="shared" ca="1" si="157"/>
        <v>-2.8799754978151498E-2</v>
      </c>
    </row>
    <row r="4887" spans="2:7" x14ac:dyDescent="0.2">
      <c r="B4887" s="167">
        <v>40031</v>
      </c>
      <c r="C4887" s="28">
        <v>77.599999999999994</v>
      </c>
      <c r="D4887" s="83">
        <f t="shared" si="156"/>
        <v>-0.64313635318464013</v>
      </c>
      <c r="E4887" s="83">
        <v>-3.9603960396039639E-2</v>
      </c>
      <c r="F4887" s="83">
        <v>4879</v>
      </c>
      <c r="G4887" s="83">
        <f t="shared" ca="1" si="157"/>
        <v>2.0862057176927271E-2</v>
      </c>
    </row>
    <row r="4888" spans="2:7" x14ac:dyDescent="0.2">
      <c r="B4888" s="167">
        <v>44239</v>
      </c>
      <c r="C4888" s="28">
        <v>217.45</v>
      </c>
      <c r="D4888" s="83">
        <f t="shared" si="156"/>
        <v>2.5478870941426006</v>
      </c>
      <c r="E4888" s="83">
        <v>-3.9743872819606979E-2</v>
      </c>
      <c r="F4888" s="83">
        <v>4880</v>
      </c>
      <c r="G4888" s="83">
        <f t="shared" ca="1" si="157"/>
        <v>1.9075208476001713E-2</v>
      </c>
    </row>
    <row r="4889" spans="2:7" x14ac:dyDescent="0.2">
      <c r="B4889" s="167">
        <v>39511</v>
      </c>
      <c r="C4889" s="28">
        <v>61.29</v>
      </c>
      <c r="D4889" s="83">
        <f t="shared" si="156"/>
        <v>-0.81458736689254596</v>
      </c>
      <c r="E4889" s="83">
        <v>-3.9793200689331024E-2</v>
      </c>
      <c r="F4889" s="83">
        <v>4881</v>
      </c>
      <c r="G4889" s="83">
        <f t="shared" ca="1" si="157"/>
        <v>1.2250173946450329E-2</v>
      </c>
    </row>
    <row r="4890" spans="2:7" x14ac:dyDescent="0.2">
      <c r="B4890" s="167">
        <v>44830</v>
      </c>
      <c r="C4890" s="28">
        <v>330.56</v>
      </c>
      <c r="D4890" s="83">
        <f t="shared" si="156"/>
        <v>6.5833906859371414</v>
      </c>
      <c r="E4890" s="83">
        <v>-3.9851283838735832E-2</v>
      </c>
      <c r="F4890" s="83">
        <v>4882</v>
      </c>
      <c r="G4890" s="83">
        <f t="shared" ca="1" si="157"/>
        <v>-6.6387852067132241E-3</v>
      </c>
    </row>
    <row r="4891" spans="2:7" x14ac:dyDescent="0.2">
      <c r="B4891" s="167">
        <v>38630</v>
      </c>
      <c r="C4891" s="28">
        <v>43.59</v>
      </c>
      <c r="D4891" s="83">
        <f t="shared" si="156"/>
        <v>-0.88884922355101115</v>
      </c>
      <c r="E4891" s="83">
        <v>-3.9867841409691525E-2</v>
      </c>
      <c r="F4891" s="83">
        <v>4883</v>
      </c>
      <c r="G4891" s="83">
        <f t="shared" ca="1" si="157"/>
        <v>-1.9132114424182809E-2</v>
      </c>
    </row>
    <row r="4892" spans="2:7" x14ac:dyDescent="0.2">
      <c r="B4892" s="167">
        <v>45330</v>
      </c>
      <c r="C4892" s="28">
        <v>392.17</v>
      </c>
      <c r="D4892" s="83">
        <f t="shared" si="156"/>
        <v>5.6155533063427798</v>
      </c>
      <c r="E4892" s="83">
        <v>-3.9952018409263365E-2</v>
      </c>
      <c r="F4892" s="83">
        <v>4884</v>
      </c>
      <c r="G4892" s="83">
        <f t="shared" ca="1" si="157"/>
        <v>-2.4406710415490137E-2</v>
      </c>
    </row>
    <row r="4893" spans="2:7" x14ac:dyDescent="0.2">
      <c r="B4893" s="167">
        <v>39902</v>
      </c>
      <c r="C4893" s="28">
        <v>59.28</v>
      </c>
      <c r="D4893" s="83">
        <f t="shared" si="156"/>
        <v>-0.60590347028320701</v>
      </c>
      <c r="E4893" s="83">
        <v>-3.999999999999998E-2</v>
      </c>
      <c r="F4893" s="83">
        <v>4885</v>
      </c>
      <c r="G4893" s="83">
        <f t="shared" ca="1" si="157"/>
        <v>2.5816745903464822E-2</v>
      </c>
    </row>
    <row r="4894" spans="2:7" x14ac:dyDescent="0.2">
      <c r="B4894" s="167">
        <v>41037</v>
      </c>
      <c r="C4894" s="28">
        <v>150.41999999999999</v>
      </c>
      <c r="D4894" s="83">
        <f t="shared" si="156"/>
        <v>1.6431207169214548</v>
      </c>
      <c r="E4894" s="83">
        <v>-4.0015316867700622E-2</v>
      </c>
      <c r="F4894" s="83">
        <v>4886</v>
      </c>
      <c r="G4894" s="83">
        <f t="shared" ca="1" si="157"/>
        <v>2.5927110082706529E-2</v>
      </c>
    </row>
    <row r="4895" spans="2:7" x14ac:dyDescent="0.2">
      <c r="B4895" s="167">
        <v>39387</v>
      </c>
      <c r="C4895" s="28">
        <v>56.91</v>
      </c>
      <c r="D4895" s="83">
        <f t="shared" si="156"/>
        <v>-0.730603550295858</v>
      </c>
      <c r="E4895" s="83">
        <v>-4.0303541315345713E-2</v>
      </c>
      <c r="F4895" s="83">
        <v>4887</v>
      </c>
      <c r="G4895" s="83">
        <f t="shared" ca="1" si="157"/>
        <v>1.5999858033281279E-3</v>
      </c>
    </row>
    <row r="4896" spans="2:7" x14ac:dyDescent="0.2">
      <c r="B4896" s="167">
        <v>42157</v>
      </c>
      <c r="C4896" s="28">
        <v>211.25</v>
      </c>
      <c r="D4896" s="83">
        <f t="shared" si="156"/>
        <v>1.0827171448289459</v>
      </c>
      <c r="E4896" s="83">
        <v>-4.0339799209557971E-2</v>
      </c>
      <c r="F4896" s="83">
        <v>4888</v>
      </c>
      <c r="G4896" s="83">
        <f t="shared" ca="1" si="157"/>
        <v>-3.7274916873315564E-2</v>
      </c>
    </row>
    <row r="4897" spans="2:7" x14ac:dyDescent="0.2">
      <c r="B4897" s="167">
        <v>40578</v>
      </c>
      <c r="C4897" s="28">
        <v>101.43</v>
      </c>
      <c r="D4897" s="83">
        <f t="shared" si="156"/>
        <v>1.1412286257124764</v>
      </c>
      <c r="E4897" s="83">
        <v>-4.0488127897076787E-2</v>
      </c>
      <c r="F4897" s="83">
        <v>4889</v>
      </c>
      <c r="G4897" s="83">
        <f t="shared" ca="1" si="157"/>
        <v>2.2634733193126703E-2</v>
      </c>
    </row>
    <row r="4898" spans="2:7" x14ac:dyDescent="0.2">
      <c r="B4898" s="167">
        <v>39155</v>
      </c>
      <c r="C4898" s="28">
        <v>47.37</v>
      </c>
      <c r="D4898" s="83">
        <f t="shared" si="156"/>
        <v>-0.22165626026947094</v>
      </c>
      <c r="E4898" s="83">
        <v>-4.0510431436094799E-2</v>
      </c>
      <c r="F4898" s="83">
        <v>4890</v>
      </c>
      <c r="G4898" s="83">
        <f t="shared" ca="1" si="157"/>
        <v>1.8387327907616123E-2</v>
      </c>
    </row>
    <row r="4899" spans="2:7" x14ac:dyDescent="0.2">
      <c r="B4899" s="167">
        <v>39972</v>
      </c>
      <c r="C4899" s="28">
        <v>60.86</v>
      </c>
      <c r="D4899" s="83">
        <f t="shared" si="156"/>
        <v>-0.72991923315878238</v>
      </c>
      <c r="E4899" s="83">
        <v>-4.0517105470597517E-2</v>
      </c>
      <c r="F4899" s="83">
        <v>4891</v>
      </c>
      <c r="G4899" s="83">
        <f t="shared" ca="1" si="157"/>
        <v>-2.2208548029211846E-2</v>
      </c>
    </row>
    <row r="4900" spans="2:7" x14ac:dyDescent="0.2">
      <c r="B4900" s="167">
        <v>41425</v>
      </c>
      <c r="C4900" s="28">
        <v>225.34</v>
      </c>
      <c r="D4900" s="83">
        <f t="shared" si="156"/>
        <v>2.185017667844523</v>
      </c>
      <c r="E4900" s="83">
        <v>-4.0657328962493008E-2</v>
      </c>
      <c r="F4900" s="83">
        <v>4892</v>
      </c>
      <c r="G4900" s="83">
        <f t="shared" ca="1" si="157"/>
        <v>3.0231840302436992E-2</v>
      </c>
    </row>
    <row r="4901" spans="2:7" x14ac:dyDescent="0.2">
      <c r="B4901" s="167">
        <v>39605</v>
      </c>
      <c r="C4901" s="28">
        <v>70.75</v>
      </c>
      <c r="D4901" s="83">
        <f t="shared" si="156"/>
        <v>-0.6582950978024632</v>
      </c>
      <c r="E4901" s="83">
        <v>-4.0677966101694912E-2</v>
      </c>
      <c r="F4901" s="83">
        <v>4893</v>
      </c>
      <c r="G4901" s="83">
        <f t="shared" ca="1" si="157"/>
        <v>5.788272197038812E-3</v>
      </c>
    </row>
    <row r="4902" spans="2:7" x14ac:dyDescent="0.2">
      <c r="B4902" s="167">
        <v>44249</v>
      </c>
      <c r="C4902" s="28">
        <v>207.05</v>
      </c>
      <c r="D4902" s="83">
        <f t="shared" si="156"/>
        <v>1.2500543360139103</v>
      </c>
      <c r="E4902" s="83">
        <v>-4.1213243806436574E-2</v>
      </c>
      <c r="F4902" s="83">
        <v>4894</v>
      </c>
      <c r="G4902" s="83">
        <f t="shared" ca="1" si="157"/>
        <v>-1.729777036643073E-2</v>
      </c>
    </row>
    <row r="4903" spans="2:7" x14ac:dyDescent="0.2">
      <c r="B4903" s="167">
        <v>40338</v>
      </c>
      <c r="C4903" s="28">
        <v>92.02</v>
      </c>
      <c r="D4903" s="83">
        <f t="shared" si="156"/>
        <v>0.51124979471177523</v>
      </c>
      <c r="E4903" s="83">
        <v>-4.1757784025825313E-2</v>
      </c>
      <c r="F4903" s="83">
        <v>4895</v>
      </c>
      <c r="G4903" s="83">
        <f t="shared" ca="1" si="157"/>
        <v>-4.652053220779215E-3</v>
      </c>
    </row>
    <row r="4904" spans="2:7" x14ac:dyDescent="0.2">
      <c r="B4904" s="167">
        <v>39626</v>
      </c>
      <c r="C4904" s="28">
        <v>60.89</v>
      </c>
      <c r="D4904" s="83">
        <f t="shared" si="156"/>
        <v>9.9692974534946785E-2</v>
      </c>
      <c r="E4904" s="83">
        <v>-4.2007551919446218E-2</v>
      </c>
      <c r="F4904" s="83">
        <v>4896</v>
      </c>
      <c r="G4904" s="83">
        <f t="shared" ca="1" si="157"/>
        <v>-1.7025836467158849E-2</v>
      </c>
    </row>
    <row r="4905" spans="2:7" x14ac:dyDescent="0.2">
      <c r="B4905" s="167">
        <v>39136</v>
      </c>
      <c r="C4905" s="28">
        <v>55.37</v>
      </c>
      <c r="D4905" s="83">
        <f t="shared" si="156"/>
        <v>-0.80032455824017312</v>
      </c>
      <c r="E4905" s="83">
        <v>-4.2538474840048433E-2</v>
      </c>
      <c r="F4905" s="83">
        <v>4897</v>
      </c>
      <c r="G4905" s="83">
        <f t="shared" ca="1" si="157"/>
        <v>-2.5900007151403177E-2</v>
      </c>
    </row>
    <row r="4906" spans="2:7" x14ac:dyDescent="0.2">
      <c r="B4906" s="167">
        <v>43488</v>
      </c>
      <c r="C4906" s="28">
        <v>277.3</v>
      </c>
      <c r="D4906" s="83">
        <f t="shared" si="156"/>
        <v>0.30549409161527241</v>
      </c>
      <c r="E4906" s="83">
        <v>-4.2968075927523691E-2</v>
      </c>
      <c r="F4906" s="83">
        <v>4898</v>
      </c>
      <c r="G4906" s="83">
        <f t="shared" ca="1" si="157"/>
        <v>-1.0613196003075831E-2</v>
      </c>
    </row>
    <row r="4907" spans="2:7" x14ac:dyDescent="0.2">
      <c r="B4907" s="167">
        <v>41502</v>
      </c>
      <c r="C4907" s="28">
        <v>212.41</v>
      </c>
      <c r="D4907" s="83">
        <f t="shared" si="156"/>
        <v>-4.2594428919138269E-2</v>
      </c>
      <c r="E4907" s="83">
        <v>-4.3155097076444937E-2</v>
      </c>
      <c r="F4907" s="83">
        <v>4899</v>
      </c>
      <c r="G4907" s="83">
        <f t="shared" ca="1" si="157"/>
        <v>4.061730569258528E-2</v>
      </c>
    </row>
    <row r="4908" spans="2:7" x14ac:dyDescent="0.2">
      <c r="B4908" s="167">
        <v>42307</v>
      </c>
      <c r="C4908" s="28">
        <v>221.86</v>
      </c>
      <c r="D4908" s="83">
        <f t="shared" si="156"/>
        <v>2.1336158192090395</v>
      </c>
      <c r="E4908" s="83">
        <v>-4.3830539154419632E-2</v>
      </c>
      <c r="F4908" s="83">
        <v>4900</v>
      </c>
      <c r="G4908" s="83">
        <f t="shared" ca="1" si="157"/>
        <v>9.3421220634615151E-3</v>
      </c>
    </row>
    <row r="4909" spans="2:7" x14ac:dyDescent="0.2">
      <c r="B4909" s="167">
        <v>39591</v>
      </c>
      <c r="C4909" s="28">
        <v>70.8</v>
      </c>
      <c r="D4909" s="83">
        <f t="shared" si="156"/>
        <v>-0.59322033898305093</v>
      </c>
      <c r="E4909" s="83">
        <v>-4.3889264010803515E-2</v>
      </c>
      <c r="F4909" s="83">
        <v>4901</v>
      </c>
      <c r="G4909" s="83">
        <f t="shared" ca="1" si="157"/>
        <v>-4.7669862095038443E-2</v>
      </c>
    </row>
    <row r="4910" spans="2:7" x14ac:dyDescent="0.2">
      <c r="B4910" s="167">
        <v>43955</v>
      </c>
      <c r="C4910" s="28">
        <v>174.05</v>
      </c>
      <c r="D4910" s="83">
        <f t="shared" si="156"/>
        <v>2.1382978723404253</v>
      </c>
      <c r="E4910" s="83">
        <v>-4.3943971436418566E-2</v>
      </c>
      <c r="F4910" s="83">
        <v>4902</v>
      </c>
      <c r="G4910" s="83">
        <f t="shared" ca="1" si="157"/>
        <v>-1.7544805219384205E-5</v>
      </c>
    </row>
    <row r="4911" spans="2:7" x14ac:dyDescent="0.2">
      <c r="B4911" s="167">
        <v>38919</v>
      </c>
      <c r="C4911" s="28">
        <v>55.46</v>
      </c>
      <c r="D4911" s="83">
        <f t="shared" si="156"/>
        <v>-0.72517343904856291</v>
      </c>
      <c r="E4911" s="83">
        <v>-4.4287437532310875E-2</v>
      </c>
      <c r="F4911" s="83">
        <v>4903</v>
      </c>
      <c r="G4911" s="83">
        <f t="shared" ca="1" si="157"/>
        <v>-1.4950393546237565E-2</v>
      </c>
    </row>
    <row r="4912" spans="2:7" x14ac:dyDescent="0.2">
      <c r="B4912" s="167">
        <v>42158</v>
      </c>
      <c r="C4912" s="28">
        <v>201.8</v>
      </c>
      <c r="D4912" s="83">
        <f t="shared" si="156"/>
        <v>2.8629402756508422</v>
      </c>
      <c r="E4912" s="83">
        <v>-4.4733727810650832E-2</v>
      </c>
      <c r="F4912" s="83">
        <v>4904</v>
      </c>
      <c r="G4912" s="83">
        <f t="shared" ca="1" si="157"/>
        <v>-2.0191471253011425E-3</v>
      </c>
    </row>
    <row r="4913" spans="2:7" x14ac:dyDescent="0.2">
      <c r="B4913" s="167">
        <v>39310</v>
      </c>
      <c r="C4913" s="28">
        <v>52.24</v>
      </c>
      <c r="D4913" s="83">
        <f t="shared" si="156"/>
        <v>-0.78044885265192898</v>
      </c>
      <c r="E4913" s="83">
        <v>-4.4797952093618504E-2</v>
      </c>
      <c r="F4913" s="83">
        <v>4905</v>
      </c>
      <c r="G4913" s="83">
        <f t="shared" ca="1" si="157"/>
        <v>-7.199266384164381E-3</v>
      </c>
    </row>
    <row r="4914" spans="2:7" x14ac:dyDescent="0.2">
      <c r="B4914" s="167">
        <v>41480</v>
      </c>
      <c r="C4914" s="28">
        <v>237.94</v>
      </c>
      <c r="D4914" s="83">
        <f t="shared" si="156"/>
        <v>0.19298069691652048</v>
      </c>
      <c r="E4914" s="83">
        <v>-4.4954643975274905E-2</v>
      </c>
      <c r="F4914" s="83">
        <v>4906</v>
      </c>
      <c r="G4914" s="83">
        <f t="shared" ca="1" si="157"/>
        <v>2.1007644915916526E-2</v>
      </c>
    </row>
    <row r="4915" spans="2:7" x14ac:dyDescent="0.2">
      <c r="B4915" s="167">
        <v>41507</v>
      </c>
      <c r="C4915" s="28">
        <v>199.45</v>
      </c>
      <c r="D4915" s="83">
        <f t="shared" si="156"/>
        <v>2.5071215051872691</v>
      </c>
      <c r="E4915" s="83">
        <v>-4.5830741998756218E-2</v>
      </c>
      <c r="F4915" s="83">
        <v>4907</v>
      </c>
      <c r="G4915" s="83">
        <f t="shared" ca="1" si="157"/>
        <v>-1.5104538128471089E-2</v>
      </c>
    </row>
    <row r="4916" spans="2:7" x14ac:dyDescent="0.2">
      <c r="B4916" s="167">
        <v>38859</v>
      </c>
      <c r="C4916" s="28">
        <v>56.87</v>
      </c>
      <c r="D4916" s="83">
        <f t="shared" si="156"/>
        <v>0.12457979038955896</v>
      </c>
      <c r="E4916" s="83">
        <v>-4.6285426798591399E-2</v>
      </c>
      <c r="F4916" s="83">
        <v>4908</v>
      </c>
      <c r="G4916" s="83">
        <f t="shared" ca="1" si="157"/>
        <v>3.3758840728592716E-3</v>
      </c>
    </row>
    <row r="4917" spans="2:7" x14ac:dyDescent="0.2">
      <c r="B4917" s="167">
        <v>38874</v>
      </c>
      <c r="C4917" s="28">
        <v>50.57</v>
      </c>
      <c r="D4917" s="83">
        <f t="shared" si="156"/>
        <v>-7.6852866009492524E-2</v>
      </c>
      <c r="E4917" s="83">
        <v>-4.6748350612629538E-2</v>
      </c>
      <c r="F4917" s="83">
        <v>4909</v>
      </c>
      <c r="G4917" s="83">
        <f t="shared" ca="1" si="157"/>
        <v>1.973259058600382E-2</v>
      </c>
    </row>
    <row r="4918" spans="2:7" x14ac:dyDescent="0.2">
      <c r="B4918" s="167">
        <v>39783</v>
      </c>
      <c r="C4918" s="28">
        <v>54.78</v>
      </c>
      <c r="D4918" s="83">
        <f t="shared" si="156"/>
        <v>2.989283699943605E-2</v>
      </c>
      <c r="E4918" s="83">
        <v>-4.7966631908237717E-2</v>
      </c>
      <c r="F4918" s="83">
        <v>4910</v>
      </c>
      <c r="G4918" s="83">
        <f t="shared" ca="1" si="157"/>
        <v>-1.9479071209409886E-2</v>
      </c>
    </row>
    <row r="4919" spans="2:7" x14ac:dyDescent="0.2">
      <c r="B4919" s="167">
        <v>39644</v>
      </c>
      <c r="C4919" s="28">
        <v>53.19</v>
      </c>
      <c r="D4919" s="83">
        <f t="shared" si="156"/>
        <v>-1.1267605633803245E-3</v>
      </c>
      <c r="E4919" s="83">
        <v>-4.8309178743961401E-2</v>
      </c>
      <c r="F4919" s="83">
        <v>4911</v>
      </c>
      <c r="G4919" s="83">
        <f t="shared" ca="1" si="157"/>
        <v>-5.9130197268030581E-3</v>
      </c>
    </row>
    <row r="4920" spans="2:7" x14ac:dyDescent="0.2">
      <c r="B4920" s="167">
        <v>39736</v>
      </c>
      <c r="C4920" s="28">
        <v>53.25</v>
      </c>
      <c r="D4920" s="83">
        <f t="shared" si="156"/>
        <v>-0.77226071336925839</v>
      </c>
      <c r="E4920" s="83">
        <v>-4.9107142857142856E-2</v>
      </c>
      <c r="F4920" s="83">
        <v>4912</v>
      </c>
      <c r="G4920" s="83">
        <f t="shared" ca="1" si="157"/>
        <v>-4.1075246768390253E-3</v>
      </c>
    </row>
    <row r="4921" spans="2:7" x14ac:dyDescent="0.2">
      <c r="B4921" s="167">
        <v>42025</v>
      </c>
      <c r="C4921" s="28">
        <v>233.82</v>
      </c>
      <c r="D4921" s="83">
        <f t="shared" si="156"/>
        <v>2.8180927498367079</v>
      </c>
      <c r="E4921" s="83">
        <v>-4.9589464271197529E-2</v>
      </c>
      <c r="F4921" s="83">
        <v>4913</v>
      </c>
      <c r="G4921" s="83">
        <f t="shared" ca="1" si="157"/>
        <v>5.984059757266201E-3</v>
      </c>
    </row>
    <row r="4922" spans="2:7" x14ac:dyDescent="0.2">
      <c r="B4922" s="167">
        <v>39708</v>
      </c>
      <c r="C4922" s="28">
        <v>61.24</v>
      </c>
      <c r="D4922" s="83">
        <f t="shared" si="156"/>
        <v>0.11426491994177586</v>
      </c>
      <c r="E4922" s="83">
        <v>-4.9658597144630598E-2</v>
      </c>
      <c r="F4922" s="83">
        <v>4914</v>
      </c>
      <c r="G4922" s="83">
        <f t="shared" ca="1" si="157"/>
        <v>-1.7801712817048329E-2</v>
      </c>
    </row>
    <row r="4923" spans="2:7" x14ac:dyDescent="0.2">
      <c r="B4923" s="167">
        <v>39729</v>
      </c>
      <c r="C4923" s="28">
        <v>54.96</v>
      </c>
      <c r="D4923" s="83">
        <f t="shared" si="156"/>
        <v>-0.75848127966250656</v>
      </c>
      <c r="E4923" s="83">
        <v>-4.9792531120331988E-2</v>
      </c>
      <c r="F4923" s="83">
        <v>4915</v>
      </c>
      <c r="G4923" s="83">
        <f t="shared" ca="1" si="157"/>
        <v>7.9441498558086489E-3</v>
      </c>
    </row>
    <row r="4924" spans="2:7" x14ac:dyDescent="0.2">
      <c r="B4924" s="167">
        <v>42065</v>
      </c>
      <c r="C4924" s="28">
        <v>227.56</v>
      </c>
      <c r="D4924" s="83">
        <f t="shared" si="156"/>
        <v>2.5650947830173902</v>
      </c>
      <c r="E4924" s="83">
        <v>-5.0091835030889965E-2</v>
      </c>
      <c r="F4924" s="83">
        <v>4916</v>
      </c>
      <c r="G4924" s="83">
        <f t="shared" ca="1" si="157"/>
        <v>-3.115117957429489E-2</v>
      </c>
    </row>
    <row r="4925" spans="2:7" x14ac:dyDescent="0.2">
      <c r="B4925" s="167">
        <v>39510</v>
      </c>
      <c r="C4925" s="28">
        <v>63.83</v>
      </c>
      <c r="D4925" s="83">
        <f t="shared" si="156"/>
        <v>-4.6031983261096976E-2</v>
      </c>
      <c r="E4925" s="83">
        <v>-5.0290135396518311E-2</v>
      </c>
      <c r="F4925" s="83">
        <v>4917</v>
      </c>
      <c r="G4925" s="83">
        <f t="shared" ca="1" si="157"/>
        <v>-8.0458151686895721E-4</v>
      </c>
    </row>
    <row r="4926" spans="2:7" x14ac:dyDescent="0.2">
      <c r="B4926" s="167">
        <v>39468</v>
      </c>
      <c r="C4926" s="28">
        <v>66.91</v>
      </c>
      <c r="D4926" s="83">
        <f t="shared" si="156"/>
        <v>-6.1175810298863473E-2</v>
      </c>
      <c r="E4926" s="83">
        <v>-5.0787345722797542E-2</v>
      </c>
      <c r="F4926" s="83">
        <v>4918</v>
      </c>
      <c r="G4926" s="83">
        <f t="shared" ca="1" si="157"/>
        <v>1.0094527569648112E-2</v>
      </c>
    </row>
    <row r="4927" spans="2:7" x14ac:dyDescent="0.2">
      <c r="B4927" s="167">
        <v>39576</v>
      </c>
      <c r="C4927" s="28">
        <v>71.27</v>
      </c>
      <c r="D4927" s="83">
        <f t="shared" si="156"/>
        <v>-0.67985805408319122</v>
      </c>
      <c r="E4927" s="83">
        <v>-5.1377612138959132E-2</v>
      </c>
      <c r="F4927" s="83">
        <v>4919</v>
      </c>
      <c r="G4927" s="83">
        <f t="shared" ca="1" si="157"/>
        <v>-1.5076618035138527E-2</v>
      </c>
    </row>
    <row r="4928" spans="2:7" x14ac:dyDescent="0.2">
      <c r="B4928" s="167">
        <v>41407</v>
      </c>
      <c r="C4928" s="28">
        <v>222.62</v>
      </c>
      <c r="D4928" s="83">
        <f t="shared" si="156"/>
        <v>7.2350674373795817E-2</v>
      </c>
      <c r="E4928" s="83">
        <v>-5.1833553388134022E-2</v>
      </c>
      <c r="F4928" s="83">
        <v>4920</v>
      </c>
      <c r="G4928" s="83">
        <f t="shared" ca="1" si="157"/>
        <v>-9.918066917264279E-5</v>
      </c>
    </row>
    <row r="4929" spans="2:7" x14ac:dyDescent="0.2">
      <c r="B4929" s="167">
        <v>43864</v>
      </c>
      <c r="C4929" s="28">
        <v>207.6</v>
      </c>
      <c r="D4929" s="83">
        <f t="shared" si="156"/>
        <v>2.2791028273574474</v>
      </c>
      <c r="E4929" s="83">
        <v>-5.2054794520547974E-2</v>
      </c>
      <c r="F4929" s="83">
        <v>4921</v>
      </c>
      <c r="G4929" s="83">
        <f t="shared" ca="1" si="157"/>
        <v>-8.2715063068185821E-4</v>
      </c>
    </row>
    <row r="4930" spans="2:7" x14ac:dyDescent="0.2">
      <c r="B4930" s="167">
        <v>38852</v>
      </c>
      <c r="C4930" s="28">
        <v>63.31</v>
      </c>
      <c r="D4930" s="83">
        <f t="shared" si="156"/>
        <v>-0.73129323882687491</v>
      </c>
      <c r="E4930" s="83">
        <v>-5.2103608324599544E-2</v>
      </c>
      <c r="F4930" s="83">
        <v>4922</v>
      </c>
      <c r="G4930" s="83">
        <f t="shared" ca="1" si="157"/>
        <v>2.6014532061590073E-2</v>
      </c>
    </row>
    <row r="4931" spans="2:7" x14ac:dyDescent="0.2">
      <c r="B4931" s="167">
        <v>41968</v>
      </c>
      <c r="C4931" s="28">
        <v>235.61</v>
      </c>
      <c r="D4931" s="83">
        <f t="shared" si="156"/>
        <v>3.8599422442244231</v>
      </c>
      <c r="E4931" s="83">
        <v>-5.2176361734652822E-2</v>
      </c>
      <c r="F4931" s="83">
        <v>4923</v>
      </c>
      <c r="G4931" s="83">
        <f t="shared" ca="1" si="157"/>
        <v>-6.0174167068938146E-3</v>
      </c>
    </row>
    <row r="4932" spans="2:7" x14ac:dyDescent="0.2">
      <c r="B4932" s="167">
        <v>38881</v>
      </c>
      <c r="C4932" s="28">
        <v>48.48</v>
      </c>
      <c r="D4932" s="83">
        <f t="shared" si="156"/>
        <v>-0.34282228548190324</v>
      </c>
      <c r="E4932" s="83">
        <v>-5.2754982415005917E-2</v>
      </c>
      <c r="F4932" s="83">
        <v>4924</v>
      </c>
      <c r="G4932" s="83">
        <f t="shared" ca="1" si="157"/>
        <v>1.4424095724596048E-2</v>
      </c>
    </row>
    <row r="4933" spans="2:7" x14ac:dyDescent="0.2">
      <c r="B4933" s="167">
        <v>40042</v>
      </c>
      <c r="C4933" s="28">
        <v>73.77</v>
      </c>
      <c r="D4933" s="83">
        <f t="shared" si="156"/>
        <v>-0.67089002899843853</v>
      </c>
      <c r="E4933" s="83">
        <v>-5.2773497688751919E-2</v>
      </c>
      <c r="F4933" s="83">
        <v>4925</v>
      </c>
      <c r="G4933" s="83">
        <f t="shared" ca="1" si="157"/>
        <v>1.7616618446834827E-2</v>
      </c>
    </row>
    <row r="4934" spans="2:7" x14ac:dyDescent="0.2">
      <c r="B4934" s="167">
        <v>41778</v>
      </c>
      <c r="C4934" s="28">
        <v>224.15</v>
      </c>
      <c r="D4934" s="83">
        <f t="shared" si="156"/>
        <v>0.10445922641044601</v>
      </c>
      <c r="E4934" s="83">
        <v>-5.2780594996619259E-2</v>
      </c>
      <c r="F4934" s="83">
        <v>4926</v>
      </c>
      <c r="G4934" s="83">
        <f t="shared" ca="1" si="157"/>
        <v>-8.8470088472032762E-3</v>
      </c>
    </row>
    <row r="4935" spans="2:7" x14ac:dyDescent="0.2">
      <c r="B4935" s="167">
        <v>44186</v>
      </c>
      <c r="C4935" s="28">
        <v>202.95</v>
      </c>
      <c r="D4935" s="83">
        <f t="shared" si="156"/>
        <v>2.4012066365007536</v>
      </c>
      <c r="E4935" s="83">
        <v>-5.3846153846153898E-2</v>
      </c>
      <c r="F4935" s="83">
        <v>4927</v>
      </c>
      <c r="G4935" s="83">
        <f t="shared" ca="1" si="157"/>
        <v>-3.1286310161410052E-4</v>
      </c>
    </row>
    <row r="4936" spans="2:7" x14ac:dyDescent="0.2">
      <c r="B4936" s="167">
        <v>39727</v>
      </c>
      <c r="C4936" s="28">
        <v>59.67</v>
      </c>
      <c r="D4936" s="83">
        <f t="shared" si="156"/>
        <v>-0.64494823277400926</v>
      </c>
      <c r="E4936" s="83">
        <v>-5.4807539996831946E-2</v>
      </c>
      <c r="F4936" s="83">
        <v>4928</v>
      </c>
      <c r="G4936" s="83">
        <f t="shared" ca="1" si="157"/>
        <v>-1.3311461413151164E-2</v>
      </c>
    </row>
    <row r="4937" spans="2:7" x14ac:dyDescent="0.2">
      <c r="B4937" s="167">
        <v>41169</v>
      </c>
      <c r="C4937" s="28">
        <v>168.06</v>
      </c>
      <c r="D4937" s="83">
        <f t="shared" ref="D4937:D4966" si="158">(C4937-C4938)/C4938</f>
        <v>1.6495349203846759</v>
      </c>
      <c r="E4937" s="83">
        <v>-5.499325236167342E-2</v>
      </c>
      <c r="F4937" s="83">
        <v>4929</v>
      </c>
      <c r="G4937" s="83">
        <f t="shared" ref="G4937:G4966" ca="1" si="159">_xlfn.NORM.INV(RAND(),$M$10,$M$11)</f>
        <v>1.2124045176606349E-2</v>
      </c>
    </row>
    <row r="4938" spans="2:7" x14ac:dyDescent="0.2">
      <c r="B4938" s="167">
        <v>39969</v>
      </c>
      <c r="C4938" s="28">
        <v>63.43</v>
      </c>
      <c r="D4938" s="83">
        <f t="shared" si="158"/>
        <v>-0.71095921622237412</v>
      </c>
      <c r="E4938" s="83">
        <v>-5.5539011316259636E-2</v>
      </c>
      <c r="F4938" s="83">
        <v>4930</v>
      </c>
      <c r="G4938" s="83">
        <f t="shared" ca="1" si="159"/>
        <v>-5.4030818284538634E-3</v>
      </c>
    </row>
    <row r="4939" spans="2:7" x14ac:dyDescent="0.2">
      <c r="B4939" s="167">
        <v>44606</v>
      </c>
      <c r="C4939" s="28">
        <v>219.45</v>
      </c>
      <c r="D4939" s="83">
        <f t="shared" si="158"/>
        <v>-2.5099955575299891E-2</v>
      </c>
      <c r="E4939" s="83">
        <v>-5.592600559260056E-2</v>
      </c>
      <c r="F4939" s="83">
        <v>4931</v>
      </c>
      <c r="G4939" s="83">
        <f t="shared" ca="1" si="159"/>
        <v>-1.727752856207572E-2</v>
      </c>
    </row>
    <row r="4940" spans="2:7" x14ac:dyDescent="0.2">
      <c r="B4940" s="167">
        <v>44497</v>
      </c>
      <c r="C4940" s="28">
        <v>225.1</v>
      </c>
      <c r="D4940" s="83">
        <f t="shared" si="158"/>
        <v>2.6625447445493</v>
      </c>
      <c r="E4940" s="83">
        <v>-5.5986579995806231E-2</v>
      </c>
      <c r="F4940" s="83">
        <v>4932</v>
      </c>
      <c r="G4940" s="83">
        <f t="shared" ca="1" si="159"/>
        <v>-2.4966526186255052E-2</v>
      </c>
    </row>
    <row r="4941" spans="2:7" x14ac:dyDescent="0.2">
      <c r="B4941" s="167">
        <v>39407</v>
      </c>
      <c r="C4941" s="28">
        <v>61.46</v>
      </c>
      <c r="D4941" s="83">
        <f t="shared" si="158"/>
        <v>-0.62501525320317264</v>
      </c>
      <c r="E4941" s="83">
        <v>-5.7217364626476405E-2</v>
      </c>
      <c r="F4941" s="83">
        <v>4933</v>
      </c>
      <c r="G4941" s="83">
        <f t="shared" ca="1" si="159"/>
        <v>-2.9195286737407119E-2</v>
      </c>
    </row>
    <row r="4942" spans="2:7" x14ac:dyDescent="0.2">
      <c r="B4942" s="167">
        <v>43957</v>
      </c>
      <c r="C4942" s="28">
        <v>163.9</v>
      </c>
      <c r="D4942" s="83">
        <f t="shared" si="158"/>
        <v>2.1118283652933361</v>
      </c>
      <c r="E4942" s="83">
        <v>-5.7504312823461759E-2</v>
      </c>
      <c r="F4942" s="83">
        <v>4934</v>
      </c>
      <c r="G4942" s="83">
        <f t="shared" ca="1" si="159"/>
        <v>3.0000306643595903E-2</v>
      </c>
    </row>
    <row r="4943" spans="2:7" x14ac:dyDescent="0.2">
      <c r="B4943" s="167">
        <v>39745</v>
      </c>
      <c r="C4943" s="28">
        <v>52.67</v>
      </c>
      <c r="D4943" s="83">
        <f t="shared" si="158"/>
        <v>-0.87195196071280967</v>
      </c>
      <c r="E4943" s="83">
        <v>-5.7781753130590287E-2</v>
      </c>
      <c r="F4943" s="83">
        <v>4935</v>
      </c>
      <c r="G4943" s="83">
        <f t="shared" ca="1" si="159"/>
        <v>2.3755330154408581E-2</v>
      </c>
    </row>
    <row r="4944" spans="2:7" x14ac:dyDescent="0.2">
      <c r="B4944" s="167">
        <v>45433</v>
      </c>
      <c r="C4944" s="28">
        <v>411.33</v>
      </c>
      <c r="D4944" s="83">
        <f t="shared" si="158"/>
        <v>6.329472558802566</v>
      </c>
      <c r="E4944" s="83">
        <v>-5.7986946066643751E-2</v>
      </c>
      <c r="F4944" s="83">
        <v>4936</v>
      </c>
      <c r="G4944" s="83">
        <f t="shared" ca="1" si="159"/>
        <v>5.2655391053143862E-3</v>
      </c>
    </row>
    <row r="4945" spans="2:7" x14ac:dyDescent="0.2">
      <c r="B4945" s="167">
        <v>39632</v>
      </c>
      <c r="C4945" s="28">
        <v>56.12</v>
      </c>
      <c r="D4945" s="83">
        <f t="shared" si="158"/>
        <v>-5.8862988428643383E-2</v>
      </c>
      <c r="E4945" s="83">
        <v>-5.8862988428643383E-2</v>
      </c>
      <c r="F4945" s="83">
        <v>4937</v>
      </c>
      <c r="G4945" s="83">
        <f t="shared" ca="1" si="159"/>
        <v>1.5274539931074953E-2</v>
      </c>
    </row>
    <row r="4946" spans="2:7" x14ac:dyDescent="0.2">
      <c r="B4946" s="167">
        <v>38856</v>
      </c>
      <c r="C4946" s="28">
        <v>59.63</v>
      </c>
      <c r="D4946" s="83">
        <f t="shared" si="158"/>
        <v>-0.85542840517868401</v>
      </c>
      <c r="E4946" s="83">
        <v>-5.8869949494949447E-2</v>
      </c>
      <c r="F4946" s="83">
        <v>4938</v>
      </c>
      <c r="G4946" s="83">
        <f t="shared" ca="1" si="159"/>
        <v>1.1883336924572552E-2</v>
      </c>
    </row>
    <row r="4947" spans="2:7" x14ac:dyDescent="0.2">
      <c r="B4947" s="167">
        <v>45243</v>
      </c>
      <c r="C4947" s="28">
        <v>412.46</v>
      </c>
      <c r="D4947" s="83">
        <f t="shared" si="158"/>
        <v>6.5760574662153404E-2</v>
      </c>
      <c r="E4947" s="83">
        <v>-5.927699851750487E-2</v>
      </c>
      <c r="F4947" s="83">
        <v>4939</v>
      </c>
      <c r="G4947" s="83">
        <f t="shared" ca="1" si="159"/>
        <v>-3.0966402774061451E-2</v>
      </c>
    </row>
    <row r="4948" spans="2:7" x14ac:dyDescent="0.2">
      <c r="B4948" s="167">
        <v>45355</v>
      </c>
      <c r="C4948" s="28">
        <v>387.01</v>
      </c>
      <c r="D4948" s="83">
        <f t="shared" si="158"/>
        <v>0.94135941810885382</v>
      </c>
      <c r="E4948" s="83">
        <v>-6.0769324111151608E-2</v>
      </c>
      <c r="F4948" s="83">
        <v>4940</v>
      </c>
      <c r="G4948" s="83">
        <f t="shared" ca="1" si="159"/>
        <v>1.3573457467718155E-2</v>
      </c>
    </row>
    <row r="4949" spans="2:7" x14ac:dyDescent="0.2">
      <c r="B4949" s="167">
        <v>41520</v>
      </c>
      <c r="C4949" s="28">
        <v>199.35</v>
      </c>
      <c r="D4949" s="83">
        <f t="shared" si="158"/>
        <v>-4.5258620689655249E-2</v>
      </c>
      <c r="E4949" s="83">
        <v>-6.1484864177769417E-2</v>
      </c>
      <c r="F4949" s="83">
        <v>4941</v>
      </c>
      <c r="G4949" s="83">
        <f t="shared" ca="1" si="159"/>
        <v>-6.5755900516338442E-4</v>
      </c>
    </row>
    <row r="4950" spans="2:7" x14ac:dyDescent="0.2">
      <c r="B4950" s="167">
        <v>41813</v>
      </c>
      <c r="C4950" s="28">
        <v>208.8</v>
      </c>
      <c r="D4950" s="83">
        <f t="shared" si="158"/>
        <v>1.7120405247434733</v>
      </c>
      <c r="E4950" s="83">
        <v>-6.1783868793529539E-2</v>
      </c>
      <c r="F4950" s="83">
        <v>4942</v>
      </c>
      <c r="G4950" s="83">
        <f t="shared" ca="1" si="159"/>
        <v>1.4722059270164257E-3</v>
      </c>
    </row>
    <row r="4951" spans="2:7" x14ac:dyDescent="0.2">
      <c r="B4951" s="167">
        <v>40235</v>
      </c>
      <c r="C4951" s="28">
        <v>76.989999999999995</v>
      </c>
      <c r="D4951" s="83">
        <f t="shared" si="158"/>
        <v>0.55881757440777469</v>
      </c>
      <c r="E4951" s="83">
        <v>-6.1898379432192015E-2</v>
      </c>
      <c r="F4951" s="83">
        <v>4943</v>
      </c>
      <c r="G4951" s="83">
        <f t="shared" ca="1" si="159"/>
        <v>2.5747897285215701E-2</v>
      </c>
    </row>
    <row r="4952" spans="2:7" x14ac:dyDescent="0.2">
      <c r="B4952" s="167">
        <v>39748</v>
      </c>
      <c r="C4952" s="28">
        <v>49.39</v>
      </c>
      <c r="D4952" s="83">
        <f t="shared" si="158"/>
        <v>-9.9215757796826523E-2</v>
      </c>
      <c r="E4952" s="83">
        <v>-6.2274539586102164E-2</v>
      </c>
      <c r="F4952" s="83">
        <v>4944</v>
      </c>
      <c r="G4952" s="83">
        <f t="shared" ca="1" si="159"/>
        <v>-2.4965994992546623E-3</v>
      </c>
    </row>
    <row r="4953" spans="2:7" x14ac:dyDescent="0.2">
      <c r="B4953" s="167">
        <v>38868</v>
      </c>
      <c r="C4953" s="28">
        <v>54.83</v>
      </c>
      <c r="D4953" s="83">
        <f t="shared" si="158"/>
        <v>-0.77706850985972764</v>
      </c>
      <c r="E4953" s="83">
        <v>-6.2895231584344555E-2</v>
      </c>
      <c r="F4953" s="83">
        <v>4945</v>
      </c>
      <c r="G4953" s="83">
        <f t="shared" ca="1" si="159"/>
        <v>-8.764511732003771E-3</v>
      </c>
    </row>
    <row r="4954" spans="2:7" x14ac:dyDescent="0.2">
      <c r="B4954" s="167">
        <v>44488</v>
      </c>
      <c r="C4954" s="28">
        <v>245.95</v>
      </c>
      <c r="D4954" s="83">
        <f t="shared" si="158"/>
        <v>3.0017897819720138</v>
      </c>
      <c r="E4954" s="83">
        <v>-6.3226052180537118E-2</v>
      </c>
      <c r="F4954" s="83">
        <v>4946</v>
      </c>
      <c r="G4954" s="83">
        <f t="shared" ca="1" si="159"/>
        <v>1.3871640809595973E-2</v>
      </c>
    </row>
    <row r="4955" spans="2:7" x14ac:dyDescent="0.2">
      <c r="B4955" s="167">
        <v>39489</v>
      </c>
      <c r="C4955" s="28">
        <v>61.46</v>
      </c>
      <c r="D4955" s="83">
        <f t="shared" si="158"/>
        <v>-2.9987373737373715E-2</v>
      </c>
      <c r="E4955" s="83">
        <v>-6.3538016151150317E-2</v>
      </c>
      <c r="F4955" s="83">
        <v>4947</v>
      </c>
      <c r="G4955" s="83">
        <f t="shared" ca="1" si="159"/>
        <v>4.2720490558504215E-3</v>
      </c>
    </row>
    <row r="4956" spans="2:7" x14ac:dyDescent="0.2">
      <c r="B4956" s="167">
        <v>38855</v>
      </c>
      <c r="C4956" s="28">
        <v>63.36</v>
      </c>
      <c r="D4956" s="83">
        <f t="shared" si="158"/>
        <v>-0.69519411170443057</v>
      </c>
      <c r="E4956" s="83">
        <v>-6.4382752510336677E-2</v>
      </c>
      <c r="F4956" s="83">
        <v>4948</v>
      </c>
      <c r="G4956" s="83">
        <f t="shared" ca="1" si="159"/>
        <v>-4.1328682570364414E-4</v>
      </c>
    </row>
    <row r="4957" spans="2:7" x14ac:dyDescent="0.2">
      <c r="B4957" s="167">
        <v>42345</v>
      </c>
      <c r="C4957" s="28">
        <v>207.87</v>
      </c>
      <c r="D4957" s="83">
        <f t="shared" si="158"/>
        <v>-5.0821917808219159E-2</v>
      </c>
      <c r="E4957" s="83">
        <v>-6.6675646551724116E-2</v>
      </c>
      <c r="F4957" s="83">
        <v>4949</v>
      </c>
      <c r="G4957" s="83">
        <f t="shared" ca="1" si="159"/>
        <v>9.2483359721211109E-3</v>
      </c>
    </row>
    <row r="4958" spans="2:7" x14ac:dyDescent="0.2">
      <c r="B4958" s="167">
        <v>43862</v>
      </c>
      <c r="C4958" s="28">
        <v>219</v>
      </c>
      <c r="D4958" s="83">
        <f t="shared" si="158"/>
        <v>-0.49597238204833144</v>
      </c>
      <c r="E4958" s="83">
        <v>-6.8679566234318548E-2</v>
      </c>
      <c r="F4958" s="83">
        <v>4950</v>
      </c>
      <c r="G4958" s="83">
        <f t="shared" ca="1" si="159"/>
        <v>-3.5394013973776058E-3</v>
      </c>
    </row>
    <row r="4959" spans="2:7" x14ac:dyDescent="0.2">
      <c r="B4959" s="167">
        <v>45314</v>
      </c>
      <c r="C4959" s="28">
        <v>434.5</v>
      </c>
      <c r="D4959" s="83">
        <f t="shared" si="158"/>
        <v>5.8826231585616977</v>
      </c>
      <c r="E4959" s="83">
        <v>-7.2374039282664338E-2</v>
      </c>
      <c r="F4959" s="83">
        <v>4951</v>
      </c>
      <c r="G4959" s="83">
        <f t="shared" ca="1" si="159"/>
        <v>-4.0215743414953438E-2</v>
      </c>
    </row>
    <row r="4960" spans="2:7" x14ac:dyDescent="0.2">
      <c r="B4960" s="167">
        <v>39952</v>
      </c>
      <c r="C4960" s="28">
        <v>63.13</v>
      </c>
      <c r="D4960" s="83">
        <f t="shared" si="158"/>
        <v>-0.73647520454165971</v>
      </c>
      <c r="E4960" s="83">
        <v>-7.8797606887494501E-2</v>
      </c>
      <c r="F4960" s="83">
        <v>4952</v>
      </c>
      <c r="G4960" s="83">
        <f t="shared" ca="1" si="159"/>
        <v>-1.9261210061890358E-2</v>
      </c>
    </row>
    <row r="4961" spans="2:7" x14ac:dyDescent="0.2">
      <c r="B4961" s="167">
        <v>42063</v>
      </c>
      <c r="C4961" s="28">
        <v>239.56</v>
      </c>
      <c r="D4961" s="83">
        <f t="shared" si="158"/>
        <v>0.62689303904923599</v>
      </c>
      <c r="E4961" s="83">
        <v>-8.2180759357878969E-2</v>
      </c>
      <c r="F4961" s="83">
        <v>4953</v>
      </c>
      <c r="G4961" s="83">
        <f t="shared" ca="1" si="159"/>
        <v>-1.3686689019227209E-2</v>
      </c>
    </row>
    <row r="4962" spans="2:7" x14ac:dyDescent="0.2">
      <c r="B4962" s="167">
        <v>43906</v>
      </c>
      <c r="C4962" s="28">
        <v>147.25</v>
      </c>
      <c r="D4962" s="83">
        <f t="shared" si="158"/>
        <v>1.4286656770575623</v>
      </c>
      <c r="E4962" s="83">
        <v>-9.2449922958397532E-2</v>
      </c>
      <c r="F4962" s="83">
        <v>4954</v>
      </c>
      <c r="G4962" s="83">
        <f t="shared" ca="1" si="159"/>
        <v>4.024628612000241E-3</v>
      </c>
    </row>
    <row r="4963" spans="2:7" x14ac:dyDescent="0.2">
      <c r="B4963" s="167">
        <v>39469</v>
      </c>
      <c r="C4963" s="28">
        <v>60.63</v>
      </c>
      <c r="D4963" s="83">
        <f t="shared" si="158"/>
        <v>-0.61084724005134794</v>
      </c>
      <c r="E4963" s="83">
        <v>-9.3857420415483395E-2</v>
      </c>
      <c r="F4963" s="83">
        <v>4955</v>
      </c>
      <c r="G4963" s="83">
        <f t="shared" ca="1" si="159"/>
        <v>4.7210760153313111E-3</v>
      </c>
    </row>
    <row r="4964" spans="2:7" x14ac:dyDescent="0.2">
      <c r="B4964" s="167">
        <v>43902</v>
      </c>
      <c r="C4964" s="28">
        <v>155.80000000000001</v>
      </c>
      <c r="D4964" s="83">
        <f t="shared" si="158"/>
        <v>9.7213220998055728E-3</v>
      </c>
      <c r="E4964" s="83">
        <v>-0.11300882436663816</v>
      </c>
      <c r="F4964" s="83">
        <v>4956</v>
      </c>
      <c r="G4964" s="83">
        <f t="shared" ca="1" si="159"/>
        <v>-1.0326066551367561E-2</v>
      </c>
    </row>
    <row r="4965" spans="2:7" x14ac:dyDescent="0.2">
      <c r="B4965" s="167">
        <v>43913</v>
      </c>
      <c r="C4965" s="28">
        <v>154.30000000000001</v>
      </c>
      <c r="D4965" s="83">
        <f t="shared" si="158"/>
        <v>-0.45774029168863117</v>
      </c>
      <c r="E4965" s="83">
        <v>-0.12079772079772073</v>
      </c>
      <c r="F4965" s="83">
        <v>4957</v>
      </c>
      <c r="G4965" s="83">
        <f t="shared" ca="1" si="159"/>
        <v>-7.3571070333527363E-3</v>
      </c>
    </row>
    <row r="4966" spans="2:7" x14ac:dyDescent="0.2">
      <c r="B4966" s="167">
        <v>42934</v>
      </c>
      <c r="C4966" s="28">
        <v>284.55</v>
      </c>
      <c r="D4966" s="83">
        <f t="shared" si="158"/>
        <v>8.5422535211267618</v>
      </c>
      <c r="E4966" s="83">
        <v>-0.12486544671689979</v>
      </c>
      <c r="F4966" s="83">
        <v>4958</v>
      </c>
      <c r="G4966" s="83">
        <f t="shared" ca="1" si="159"/>
        <v>-2.0636787947669211E-2</v>
      </c>
    </row>
    <row r="4967" spans="2:7" x14ac:dyDescent="0.2">
      <c r="B4967" s="167">
        <v>38446</v>
      </c>
      <c r="C4967" s="28">
        <v>29.82</v>
      </c>
      <c r="F4967" s="83"/>
    </row>
    <row r="4968" spans="2:7" x14ac:dyDescent="0.2">
      <c r="B4968" s="167"/>
      <c r="C4968" s="28"/>
      <c r="F4968" s="83"/>
    </row>
    <row r="4969" spans="2:7" x14ac:dyDescent="0.2">
      <c r="F4969" s="83"/>
    </row>
    <row r="4970" spans="2:7" x14ac:dyDescent="0.2">
      <c r="F4970" s="83"/>
    </row>
    <row r="4971" spans="2:7" x14ac:dyDescent="0.2">
      <c r="F4971" s="83"/>
    </row>
    <row r="4972" spans="2:7" x14ac:dyDescent="0.2">
      <c r="F4972" s="83"/>
    </row>
    <row r="4973" spans="2:7" x14ac:dyDescent="0.2">
      <c r="F4973" s="83"/>
    </row>
    <row r="4974" spans="2:7" x14ac:dyDescent="0.2">
      <c r="F4974" s="83"/>
    </row>
    <row r="4975" spans="2:7" x14ac:dyDescent="0.2">
      <c r="F4975" s="83"/>
    </row>
    <row r="4976" spans="2:7" x14ac:dyDescent="0.2">
      <c r="F4976" s="83"/>
    </row>
    <row r="4977" spans="6:6" x14ac:dyDescent="0.2">
      <c r="F4977" s="83"/>
    </row>
    <row r="4978" spans="6:6" x14ac:dyDescent="0.2">
      <c r="F4978" s="83"/>
    </row>
    <row r="4979" spans="6:6" x14ac:dyDescent="0.2">
      <c r="F4979" s="83"/>
    </row>
    <row r="4980" spans="6:6" x14ac:dyDescent="0.2">
      <c r="F4980" s="83"/>
    </row>
    <row r="4981" spans="6:6" x14ac:dyDescent="0.2">
      <c r="F4981" s="83"/>
    </row>
    <row r="4982" spans="6:6" x14ac:dyDescent="0.2">
      <c r="F4982" s="83"/>
    </row>
    <row r="4983" spans="6:6" x14ac:dyDescent="0.2">
      <c r="F4983" s="83"/>
    </row>
    <row r="4984" spans="6:6" x14ac:dyDescent="0.2">
      <c r="F4984" s="83"/>
    </row>
    <row r="4985" spans="6:6" x14ac:dyDescent="0.2">
      <c r="F4985" s="83"/>
    </row>
    <row r="4986" spans="6:6" x14ac:dyDescent="0.2">
      <c r="F4986" s="83"/>
    </row>
    <row r="4987" spans="6:6" x14ac:dyDescent="0.2">
      <c r="F4987" s="83"/>
    </row>
    <row r="4988" spans="6:6" x14ac:dyDescent="0.2">
      <c r="F4988" s="83"/>
    </row>
    <row r="4989" spans="6:6" x14ac:dyDescent="0.2">
      <c r="F4989" s="83"/>
    </row>
    <row r="4990" spans="6:6" x14ac:dyDescent="0.2">
      <c r="F4990" s="83"/>
    </row>
    <row r="4991" spans="6:6" x14ac:dyDescent="0.2">
      <c r="F4991" s="83"/>
    </row>
    <row r="4992" spans="6:6" x14ac:dyDescent="0.2">
      <c r="F4992" s="83"/>
    </row>
    <row r="4993" spans="6:6" x14ac:dyDescent="0.2">
      <c r="F4993" s="83"/>
    </row>
    <row r="4994" spans="6:6" x14ac:dyDescent="0.2">
      <c r="F4994" s="83"/>
    </row>
    <row r="4995" spans="6:6" x14ac:dyDescent="0.2">
      <c r="F4995" s="83"/>
    </row>
    <row r="4996" spans="6:6" x14ac:dyDescent="0.2">
      <c r="F4996" s="83"/>
    </row>
    <row r="4997" spans="6:6" x14ac:dyDescent="0.2">
      <c r="F4997" s="83"/>
    </row>
    <row r="4998" spans="6:6" x14ac:dyDescent="0.2">
      <c r="F4998" s="83"/>
    </row>
    <row r="4999" spans="6:6" x14ac:dyDescent="0.2">
      <c r="F4999" s="83"/>
    </row>
    <row r="5000" spans="6:6" x14ac:dyDescent="0.2">
      <c r="F5000" s="83"/>
    </row>
    <row r="5001" spans="6:6" x14ac:dyDescent="0.2">
      <c r="F5001" s="83"/>
    </row>
    <row r="5002" spans="6:6" x14ac:dyDescent="0.2">
      <c r="F5002" s="83"/>
    </row>
    <row r="5003" spans="6:6" x14ac:dyDescent="0.2">
      <c r="F5003" s="83"/>
    </row>
    <row r="5004" spans="6:6" x14ac:dyDescent="0.2">
      <c r="F5004" s="83"/>
    </row>
    <row r="5005" spans="6:6" x14ac:dyDescent="0.2">
      <c r="F5005" s="83"/>
    </row>
    <row r="5006" spans="6:6" x14ac:dyDescent="0.2">
      <c r="F5006" s="83"/>
    </row>
  </sheetData>
  <mergeCells count="2">
    <mergeCell ref="I7:M7"/>
    <mergeCell ref="I16:M16"/>
  </mergeCells>
  <pageMargins left="0.70866141732283472" right="0.70866141732283472" top="0.39370078740157483" bottom="0.35433070866141736" header="0.31496062992125984" footer="0.31496062992125984"/>
  <pageSetup scale="90" fitToHeight="0" orientation="landscape" r:id="rId1"/>
  <rowBreaks count="1" manualBreakCount="1">
    <brk id="43" max="16383" man="1"/>
  </rowBreaks>
  <ignoredErrors>
    <ignoredError sqref="K25:K27" formulaRange="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73EF-8FEF-4EC0-942D-AD2990DCFB40}">
  <dimension ref="B1:N113"/>
  <sheetViews>
    <sheetView showGridLines="0" zoomScaleNormal="100" zoomScaleSheetLayoutView="100" workbookViewId="0">
      <selection activeCell="B2" sqref="B2:J5"/>
    </sheetView>
  </sheetViews>
  <sheetFormatPr defaultRowHeight="15" x14ac:dyDescent="0.2"/>
  <cols>
    <col min="1" max="1" width="1.8828125" customWidth="1"/>
    <col min="2" max="2" width="35.78125" customWidth="1"/>
    <col min="3" max="3" width="9.4140625" bestFit="1" customWidth="1"/>
    <col min="4" max="10" width="10.89453125" bestFit="1" customWidth="1"/>
  </cols>
  <sheetData>
    <row r="1" spans="2:10" ht="9" customHeight="1" x14ac:dyDescent="0.2">
      <c r="B1" s="113"/>
      <c r="C1" s="113"/>
      <c r="D1" s="113"/>
      <c r="E1" s="113"/>
      <c r="F1" s="113"/>
      <c r="G1" s="113"/>
      <c r="H1" s="113"/>
      <c r="I1" s="113"/>
      <c r="J1" s="113"/>
    </row>
    <row r="2" spans="2:10" ht="29.45" customHeight="1" x14ac:dyDescent="0.45">
      <c r="B2" s="218" t="str">
        <f>'Data Sheet'!B1</f>
        <v>ITC LTD</v>
      </c>
      <c r="C2" s="213"/>
      <c r="D2" s="216"/>
      <c r="E2" s="213"/>
      <c r="F2" s="213"/>
      <c r="G2" s="213"/>
      <c r="H2" s="213"/>
      <c r="I2" s="213"/>
      <c r="J2" s="213"/>
    </row>
    <row r="3" spans="2:10" x14ac:dyDescent="0.2">
      <c r="B3" s="219" t="str">
        <f>CONCATENATE("(",VLOOKUP(B2,'List of Stocks'!B2:D5442,3,FALSE)," | ","BSE Code: ",VLOOKUP('DuPont Analysis'!B2,'List of Stocks'!B3:D5442,2,FALSE),")")</f>
        <v>(ITC | BSE Code: 540376)</v>
      </c>
      <c r="C3" s="213"/>
      <c r="D3" s="213"/>
      <c r="E3" s="213"/>
      <c r="F3" s="213"/>
      <c r="G3" s="213"/>
      <c r="H3" s="213"/>
      <c r="I3" s="213"/>
      <c r="J3" s="213"/>
    </row>
    <row r="4" spans="2:10" ht="21" customHeight="1" x14ac:dyDescent="0.25">
      <c r="B4" s="217" t="str">
        <f>CONCATENATE("INR"," ", 'Data Sheet'!B8)</f>
        <v>INR 409.75</v>
      </c>
      <c r="C4" s="213"/>
      <c r="D4" s="213"/>
      <c r="E4" s="213"/>
      <c r="F4" s="213"/>
      <c r="G4" s="213"/>
      <c r="H4" s="213"/>
      <c r="I4" s="213"/>
      <c r="J4" s="213"/>
    </row>
    <row r="5" spans="2:10" x14ac:dyDescent="0.2">
      <c r="B5" s="220" t="s">
        <v>8557</v>
      </c>
      <c r="C5" s="214"/>
      <c r="D5" s="214"/>
      <c r="E5" s="214"/>
      <c r="F5" s="214"/>
      <c r="G5" s="214"/>
      <c r="H5" s="214"/>
      <c r="I5" s="214"/>
      <c r="J5" s="214"/>
    </row>
    <row r="6" spans="2:10" ht="21.6" customHeight="1" x14ac:dyDescent="0.2">
      <c r="B6" s="238" t="s">
        <v>8693</v>
      </c>
      <c r="C6" s="238"/>
      <c r="D6" s="238"/>
      <c r="E6" s="238"/>
      <c r="F6" s="238"/>
      <c r="G6" s="238"/>
      <c r="H6" s="238"/>
      <c r="I6" s="238"/>
      <c r="J6" s="238"/>
    </row>
    <row r="7" spans="2:10" x14ac:dyDescent="0.2">
      <c r="B7" s="239" t="s">
        <v>8692</v>
      </c>
      <c r="C7" s="239"/>
      <c r="D7" s="239"/>
      <c r="E7" s="239"/>
      <c r="F7" s="239"/>
      <c r="G7" s="239"/>
      <c r="H7" s="239"/>
      <c r="I7" s="239"/>
      <c r="J7" s="239"/>
    </row>
    <row r="8" spans="2:10" x14ac:dyDescent="0.2">
      <c r="B8" s="239"/>
      <c r="C8" s="239"/>
      <c r="D8" s="239"/>
      <c r="E8" s="239"/>
      <c r="F8" s="239"/>
      <c r="G8" s="239"/>
      <c r="H8" s="239"/>
      <c r="I8" s="239"/>
      <c r="J8" s="239"/>
    </row>
    <row r="9" spans="2:10" x14ac:dyDescent="0.2">
      <c r="B9" s="239"/>
      <c r="C9" s="239"/>
      <c r="D9" s="239"/>
      <c r="E9" s="239"/>
      <c r="F9" s="239"/>
      <c r="G9" s="239"/>
      <c r="H9" s="239"/>
      <c r="I9" s="239"/>
      <c r="J9" s="239"/>
    </row>
    <row r="10" spans="2:10" ht="24" customHeight="1" x14ac:dyDescent="0.2">
      <c r="B10" s="239"/>
      <c r="C10" s="239"/>
      <c r="D10" s="239"/>
      <c r="E10" s="239"/>
      <c r="F10" s="239"/>
      <c r="G10" s="239"/>
      <c r="H10" s="239"/>
      <c r="I10" s="239"/>
      <c r="J10" s="239"/>
    </row>
    <row r="11" spans="2:10" ht="9" customHeight="1" x14ac:dyDescent="0.2"/>
    <row r="12" spans="2:10" ht="18.75" x14ac:dyDescent="0.25">
      <c r="B12" s="143" t="s">
        <v>8573</v>
      </c>
    </row>
    <row r="54" spans="2:10" ht="9" customHeight="1" x14ac:dyDescent="0.2">
      <c r="B54" s="113"/>
      <c r="C54" s="113"/>
      <c r="D54" s="113"/>
      <c r="E54" s="113"/>
      <c r="F54" s="113"/>
      <c r="G54" s="113"/>
      <c r="H54" s="113"/>
      <c r="I54" s="113"/>
      <c r="J54" s="113"/>
    </row>
    <row r="55" spans="2:10" ht="9" customHeight="1" x14ac:dyDescent="0.2">
      <c r="B55" s="113"/>
      <c r="C55" s="113"/>
      <c r="D55" s="113"/>
      <c r="E55" s="113"/>
      <c r="F55" s="113"/>
      <c r="G55" s="113"/>
      <c r="H55" s="113"/>
      <c r="I55" s="113"/>
      <c r="J55" s="113"/>
    </row>
    <row r="58" spans="2:10" ht="9.6" customHeight="1" x14ac:dyDescent="0.2"/>
    <row r="59" spans="2:10" x14ac:dyDescent="0.2">
      <c r="B59" s="233" t="s">
        <v>8558</v>
      </c>
      <c r="C59" s="233"/>
      <c r="D59" s="233"/>
      <c r="E59" s="233"/>
      <c r="F59" s="233"/>
      <c r="G59" s="233"/>
      <c r="H59" s="233"/>
      <c r="I59" s="233"/>
      <c r="J59" s="233"/>
    </row>
    <row r="60" spans="2:10" x14ac:dyDescent="0.2">
      <c r="C60" s="141">
        <f>'Data Sheet'!D16</f>
        <v>43190</v>
      </c>
      <c r="D60" s="141">
        <f>'Data Sheet'!E16</f>
        <v>43555</v>
      </c>
      <c r="E60" s="141">
        <f>'Data Sheet'!F16</f>
        <v>43921</v>
      </c>
      <c r="F60" s="141">
        <f>'Data Sheet'!G16</f>
        <v>44286</v>
      </c>
      <c r="G60" s="141">
        <f>'Data Sheet'!H16</f>
        <v>44651</v>
      </c>
      <c r="H60" s="141">
        <f>'Data Sheet'!I16</f>
        <v>45016</v>
      </c>
      <c r="I60" s="141">
        <f>'Data Sheet'!J16</f>
        <v>45382</v>
      </c>
      <c r="J60" s="141">
        <f>'Data Sheet'!K16</f>
        <v>45747</v>
      </c>
    </row>
    <row r="61" spans="2:10" x14ac:dyDescent="0.2">
      <c r="B61" s="23" t="s">
        <v>8559</v>
      </c>
      <c r="C61" s="44">
        <f>'Data Sheet'!D30</f>
        <v>11271.2</v>
      </c>
      <c r="D61" s="44">
        <f>'Data Sheet'!E30</f>
        <v>12592.33</v>
      </c>
      <c r="E61" s="44">
        <f>'Data Sheet'!F30</f>
        <v>15306.23</v>
      </c>
      <c r="F61" s="44">
        <f>'Data Sheet'!G30</f>
        <v>13161.19</v>
      </c>
      <c r="G61" s="44">
        <f>'Data Sheet'!H30</f>
        <v>15242.66</v>
      </c>
      <c r="H61" s="44">
        <f>'Data Sheet'!I30</f>
        <v>19191.66</v>
      </c>
      <c r="I61" s="44">
        <f>'Data Sheet'!J30</f>
        <v>20458.78</v>
      </c>
      <c r="J61" s="44">
        <f>'Data Sheet'!K30</f>
        <v>34746.629999999997</v>
      </c>
    </row>
    <row r="62" spans="2:10" x14ac:dyDescent="0.2">
      <c r="B62" t="s">
        <v>8560</v>
      </c>
      <c r="C62" s="44" cm="1">
        <f t="array" ref="C62">SUM('Data Sheet'!D57:D58+SUM('Data Sheet'!C57:C58))/2</f>
        <v>72667.985000000001</v>
      </c>
      <c r="D62" s="44" cm="1">
        <f t="array" ref="D62">SUM('Data Sheet'!E57:E58+SUM('Data Sheet'!D57:D58))/2</f>
        <v>82080.544999999998</v>
      </c>
      <c r="E62" s="44" cm="1">
        <f t="array" ref="E62">SUM('Data Sheet'!F57:F58+SUM('Data Sheet'!E57:E58))/2</f>
        <v>91777.5</v>
      </c>
      <c r="F62" s="44" cm="1">
        <f t="array" ref="F62">SUM('Data Sheet'!G57:G58+SUM('Data Sheet'!F57:F58))/2</f>
        <v>95446.93</v>
      </c>
      <c r="G62" s="44" cm="1">
        <f t="array" ref="G62">SUM('Data Sheet'!H57:H58+SUM('Data Sheet'!G57:G58))/2</f>
        <v>91575.125</v>
      </c>
      <c r="H62" s="44" cm="1">
        <f t="array" ref="H62">SUM('Data Sheet'!I57:I58+SUM('Data Sheet'!H57:H58))/2</f>
        <v>97033.2</v>
      </c>
      <c r="I62" s="44" cm="1">
        <f t="array" ref="I62">SUM('Data Sheet'!J57:J58+SUM('Data Sheet'!I57:I58))/2</f>
        <v>106408.76000000001</v>
      </c>
      <c r="J62" s="44" cm="1">
        <f t="array" ref="J62">SUM('Data Sheet'!K57:K58+SUM('Data Sheet'!J57:J58))/2</f>
        <v>109522.02500000001</v>
      </c>
    </row>
    <row r="63" spans="2:10" x14ac:dyDescent="0.2">
      <c r="B63" s="144" t="s">
        <v>8561</v>
      </c>
      <c r="C63" s="158">
        <f>C61/C62</f>
        <v>0.15510544292648271</v>
      </c>
      <c r="D63" s="158">
        <f t="shared" ref="D63:J63" si="0">D61/D62</f>
        <v>0.15341430786065077</v>
      </c>
      <c r="E63" s="158">
        <f t="shared" si="0"/>
        <v>0.16677540791588352</v>
      </c>
      <c r="F63" s="158">
        <f t="shared" si="0"/>
        <v>0.13789013433957489</v>
      </c>
      <c r="G63" s="158">
        <f t="shared" si="0"/>
        <v>0.16644978644582795</v>
      </c>
      <c r="H63" s="158">
        <f t="shared" si="0"/>
        <v>0.19778446964544094</v>
      </c>
      <c r="I63" s="158">
        <f t="shared" si="0"/>
        <v>0.1922659375036416</v>
      </c>
      <c r="J63" s="158">
        <f t="shared" si="0"/>
        <v>0.31725700835060339</v>
      </c>
    </row>
    <row r="65" spans="2:10" x14ac:dyDescent="0.2">
      <c r="B65" s="233" t="s">
        <v>8562</v>
      </c>
      <c r="C65" s="233"/>
      <c r="D65" s="233"/>
      <c r="E65" s="233"/>
      <c r="F65" s="233"/>
      <c r="G65" s="233"/>
      <c r="H65" s="233"/>
      <c r="I65" s="233"/>
      <c r="J65" s="233"/>
    </row>
    <row r="66" spans="2:10" x14ac:dyDescent="0.2">
      <c r="C66" s="141">
        <v>43190</v>
      </c>
      <c r="D66" s="141">
        <v>43555</v>
      </c>
      <c r="E66" s="141">
        <v>43921</v>
      </c>
      <c r="F66" s="141">
        <v>44286</v>
      </c>
      <c r="G66" s="141">
        <v>44651</v>
      </c>
      <c r="H66" s="141">
        <v>45016</v>
      </c>
      <c r="I66" s="141">
        <v>45382</v>
      </c>
      <c r="J66" s="141">
        <v>45747</v>
      </c>
    </row>
    <row r="67" spans="2:10" x14ac:dyDescent="0.2">
      <c r="B67" s="23" t="str">
        <f>B61</f>
        <v xml:space="preserve">Net Profit </v>
      </c>
      <c r="C67" s="44">
        <f>C61</f>
        <v>11271.2</v>
      </c>
      <c r="D67" s="44">
        <f t="shared" ref="D67:J67" si="1">D61</f>
        <v>12592.33</v>
      </c>
      <c r="E67" s="44">
        <f t="shared" si="1"/>
        <v>15306.23</v>
      </c>
      <c r="F67" s="44">
        <f t="shared" si="1"/>
        <v>13161.19</v>
      </c>
      <c r="G67" s="44">
        <f t="shared" si="1"/>
        <v>15242.66</v>
      </c>
      <c r="H67" s="44">
        <f t="shared" si="1"/>
        <v>19191.66</v>
      </c>
      <c r="I67" s="44">
        <f t="shared" si="1"/>
        <v>20458.78</v>
      </c>
      <c r="J67" s="44">
        <f t="shared" si="1"/>
        <v>34746.629999999997</v>
      </c>
    </row>
    <row r="68" spans="2:10" x14ac:dyDescent="0.2">
      <c r="B68" t="s">
        <v>8563</v>
      </c>
      <c r="C68" s="44">
        <f>'Data Sheet'!D17</f>
        <v>43448.94</v>
      </c>
      <c r="D68" s="44">
        <f>'Data Sheet'!E17</f>
        <v>48339.58</v>
      </c>
      <c r="E68" s="44">
        <f>'Data Sheet'!F17</f>
        <v>49387.7</v>
      </c>
      <c r="F68" s="44">
        <f>'Data Sheet'!G17</f>
        <v>49257.45</v>
      </c>
      <c r="G68" s="44">
        <f>'Data Sheet'!H17</f>
        <v>60644.54</v>
      </c>
      <c r="H68" s="44">
        <f>'Data Sheet'!I17</f>
        <v>70919.03</v>
      </c>
      <c r="I68" s="44">
        <f>'Data Sheet'!J17</f>
        <v>67931.94</v>
      </c>
      <c r="J68" s="44">
        <f>'Data Sheet'!K17</f>
        <v>75323.34</v>
      </c>
    </row>
    <row r="69" spans="2:10" x14ac:dyDescent="0.2">
      <c r="B69" s="144" t="s">
        <v>8564</v>
      </c>
      <c r="C69" s="158">
        <f>C67/C68</f>
        <v>0.25941254263049918</v>
      </c>
      <c r="D69" s="158">
        <f t="shared" ref="D69" si="2">D67/D68</f>
        <v>0.26049729848707825</v>
      </c>
      <c r="E69" s="158">
        <f t="shared" ref="E69" si="3">E67/E68</f>
        <v>0.30991987883622846</v>
      </c>
      <c r="F69" s="158">
        <f t="shared" ref="F69" si="4">F67/F68</f>
        <v>0.26719186640802561</v>
      </c>
      <c r="G69" s="158">
        <f t="shared" ref="G69" si="5">G67/G68</f>
        <v>0.25134430898478244</v>
      </c>
      <c r="H69" s="158">
        <f t="shared" ref="H69" si="6">H67/H68</f>
        <v>0.27061368436652333</v>
      </c>
      <c r="I69" s="158">
        <f t="shared" ref="I69" si="7">I67/I68</f>
        <v>0.30116584334261615</v>
      </c>
      <c r="J69" s="158">
        <f t="shared" ref="J69" si="8">J67/J68</f>
        <v>0.46129964497060272</v>
      </c>
    </row>
    <row r="71" spans="2:10" x14ac:dyDescent="0.2">
      <c r="B71" s="142" t="s">
        <v>218</v>
      </c>
      <c r="C71" s="44">
        <f>C68</f>
        <v>43448.94</v>
      </c>
      <c r="D71" s="44">
        <f t="shared" ref="D71:J71" si="9">D68</f>
        <v>48339.58</v>
      </c>
      <c r="E71" s="44">
        <f t="shared" si="9"/>
        <v>49387.7</v>
      </c>
      <c r="F71" s="44">
        <f t="shared" si="9"/>
        <v>49257.45</v>
      </c>
      <c r="G71" s="44">
        <f t="shared" si="9"/>
        <v>60644.54</v>
      </c>
      <c r="H71" s="44">
        <f t="shared" si="9"/>
        <v>70919.03</v>
      </c>
      <c r="I71" s="44">
        <f t="shared" si="9"/>
        <v>67931.94</v>
      </c>
      <c r="J71" s="44">
        <f t="shared" si="9"/>
        <v>75323.34</v>
      </c>
    </row>
    <row r="72" spans="2:10" x14ac:dyDescent="0.2">
      <c r="B72" s="140" t="s">
        <v>8570</v>
      </c>
      <c r="C72" s="44">
        <f>'Data Sheet'!D66+'Data Sheet'!C66/2</f>
        <v>92190.04</v>
      </c>
      <c r="D72" s="44">
        <f>'Data Sheet'!E66+'Data Sheet'!D66/2</f>
        <v>103859.48</v>
      </c>
      <c r="E72" s="44">
        <f>'Data Sheet'!F66+'Data Sheet'!E66/2</f>
        <v>113180.26999999999</v>
      </c>
      <c r="F72" s="44">
        <f>'Data Sheet'!G66+'Data Sheet'!F66/2</f>
        <v>112416.13499999999</v>
      </c>
      <c r="G72" s="44">
        <f>'Data Sheet'!H66+'Data Sheet'!G66/2</f>
        <v>114076.4</v>
      </c>
      <c r="H72" s="44">
        <f>'Data Sheet'!I66+'Data Sheet'!H66/2</f>
        <v>124428.97</v>
      </c>
      <c r="I72" s="44">
        <f>'Data Sheet'!J66+'Data Sheet'!I66/2</f>
        <v>134669.45000000001</v>
      </c>
      <c r="J72" s="44">
        <f>'Data Sheet'!K66+'Data Sheet'!J66/2</f>
        <v>133879.685</v>
      </c>
    </row>
    <row r="73" spans="2:10" x14ac:dyDescent="0.2">
      <c r="B73" s="144" t="s">
        <v>8565</v>
      </c>
      <c r="C73" s="158">
        <f>C71/C72</f>
        <v>0.47129755014749974</v>
      </c>
      <c r="D73" s="158">
        <f t="shared" ref="D73:J73" si="10">D71/D72</f>
        <v>0.46543252479215191</v>
      </c>
      <c r="E73" s="158">
        <f t="shared" si="10"/>
        <v>0.43636315764222866</v>
      </c>
      <c r="F73" s="158">
        <f t="shared" si="10"/>
        <v>0.43817064160763042</v>
      </c>
      <c r="G73" s="158">
        <f t="shared" si="10"/>
        <v>0.53161337489612226</v>
      </c>
      <c r="H73" s="158">
        <f t="shared" si="10"/>
        <v>0.56995593550280133</v>
      </c>
      <c r="I73" s="158">
        <f t="shared" si="10"/>
        <v>0.5044346731942545</v>
      </c>
      <c r="J73" s="158">
        <f t="shared" si="10"/>
        <v>0.56261963867034792</v>
      </c>
    </row>
    <row r="75" spans="2:10" x14ac:dyDescent="0.2">
      <c r="B75" s="140" t="s">
        <v>8570</v>
      </c>
      <c r="C75" s="44">
        <f>C72</f>
        <v>92190.04</v>
      </c>
      <c r="D75" s="44">
        <f t="shared" ref="D75:J75" si="11">D72</f>
        <v>103859.48</v>
      </c>
      <c r="E75" s="44">
        <f t="shared" si="11"/>
        <v>113180.26999999999</v>
      </c>
      <c r="F75" s="44">
        <f t="shared" si="11"/>
        <v>112416.13499999999</v>
      </c>
      <c r="G75" s="44">
        <f t="shared" si="11"/>
        <v>114076.4</v>
      </c>
      <c r="H75" s="44">
        <f t="shared" si="11"/>
        <v>124428.97</v>
      </c>
      <c r="I75" s="44">
        <f t="shared" si="11"/>
        <v>134669.45000000001</v>
      </c>
      <c r="J75" s="44">
        <f t="shared" si="11"/>
        <v>133879.685</v>
      </c>
    </row>
    <row r="76" spans="2:10" x14ac:dyDescent="0.2">
      <c r="B76" t="str">
        <f>B62</f>
        <v xml:space="preserve"> Average Shareholder Equity</v>
      </c>
      <c r="C76" s="44">
        <f>C62</f>
        <v>72667.985000000001</v>
      </c>
      <c r="D76" s="44">
        <f t="shared" ref="D76:J76" si="12">D62</f>
        <v>82080.544999999998</v>
      </c>
      <c r="E76" s="44">
        <f t="shared" si="12"/>
        <v>91777.5</v>
      </c>
      <c r="F76" s="44">
        <f t="shared" si="12"/>
        <v>95446.93</v>
      </c>
      <c r="G76" s="44">
        <f t="shared" si="12"/>
        <v>91575.125</v>
      </c>
      <c r="H76" s="44">
        <f t="shared" si="12"/>
        <v>97033.2</v>
      </c>
      <c r="I76" s="44">
        <f t="shared" si="12"/>
        <v>106408.76000000001</v>
      </c>
      <c r="J76" s="44">
        <f t="shared" si="12"/>
        <v>109522.02500000001</v>
      </c>
    </row>
    <row r="77" spans="2:10" x14ac:dyDescent="0.2">
      <c r="B77" s="144" t="s">
        <v>8566</v>
      </c>
      <c r="C77" s="159">
        <f>C75/C76</f>
        <v>1.2686472591747244</v>
      </c>
      <c r="D77" s="159">
        <f t="shared" ref="D77:J77" si="13">D75/D76</f>
        <v>1.2653361402510181</v>
      </c>
      <c r="E77" s="159">
        <f t="shared" si="13"/>
        <v>1.2332028002506059</v>
      </c>
      <c r="F77" s="159">
        <f t="shared" si="13"/>
        <v>1.1777868078103717</v>
      </c>
      <c r="G77" s="159">
        <f t="shared" si="13"/>
        <v>1.2457138333144508</v>
      </c>
      <c r="H77" s="159">
        <f t="shared" si="13"/>
        <v>1.2823339846567978</v>
      </c>
      <c r="I77" s="159">
        <f t="shared" si="13"/>
        <v>1.2655861227966569</v>
      </c>
      <c r="J77" s="159">
        <f t="shared" si="13"/>
        <v>1.2223996497508149</v>
      </c>
    </row>
    <row r="79" spans="2:10" x14ac:dyDescent="0.2">
      <c r="B79" s="144" t="s">
        <v>8567</v>
      </c>
      <c r="C79" s="158">
        <f t="shared" ref="C79:I79" si="14">C77*C73*C69</f>
        <v>0.15510544292648271</v>
      </c>
      <c r="D79" s="158">
        <f t="shared" si="14"/>
        <v>0.15341430786065077</v>
      </c>
      <c r="E79" s="158">
        <f t="shared" si="14"/>
        <v>0.16677540791588352</v>
      </c>
      <c r="F79" s="158">
        <f t="shared" si="14"/>
        <v>0.13789013433957489</v>
      </c>
      <c r="G79" s="158">
        <f t="shared" si="14"/>
        <v>0.16644978644582792</v>
      </c>
      <c r="H79" s="158">
        <f t="shared" si="14"/>
        <v>0.19778446964544094</v>
      </c>
      <c r="I79" s="158">
        <f t="shared" si="14"/>
        <v>0.1922659375036416</v>
      </c>
      <c r="J79" s="158">
        <f>J77*J73*J69</f>
        <v>0.31725700835060339</v>
      </c>
    </row>
    <row r="82" spans="2:14" x14ac:dyDescent="0.2">
      <c r="B82" s="233" t="s">
        <v>8568</v>
      </c>
      <c r="C82" s="233"/>
      <c r="D82" s="233"/>
      <c r="E82" s="233"/>
      <c r="F82" s="233"/>
      <c r="G82" s="233"/>
      <c r="H82" s="233"/>
      <c r="I82" s="233"/>
      <c r="J82" s="233"/>
      <c r="N82" t="s">
        <v>219</v>
      </c>
    </row>
    <row r="83" spans="2:14" x14ac:dyDescent="0.2">
      <c r="C83" s="141">
        <f>'Data Sheet'!D16</f>
        <v>43190</v>
      </c>
      <c r="D83" s="141">
        <f>'Data Sheet'!E16</f>
        <v>43555</v>
      </c>
      <c r="E83" s="141">
        <f>'Data Sheet'!F16</f>
        <v>43921</v>
      </c>
      <c r="F83" s="141">
        <f>'Data Sheet'!G16</f>
        <v>44286</v>
      </c>
      <c r="G83" s="141">
        <f>'Data Sheet'!H16</f>
        <v>44651</v>
      </c>
      <c r="H83" s="141">
        <f>'Data Sheet'!I16</f>
        <v>45016</v>
      </c>
      <c r="I83" s="141">
        <f>'Data Sheet'!J16</f>
        <v>45382</v>
      </c>
      <c r="J83" s="141">
        <f>'Data Sheet'!K16</f>
        <v>45747</v>
      </c>
    </row>
    <row r="84" spans="2:14" x14ac:dyDescent="0.2">
      <c r="B84" s="23" t="s">
        <v>8559</v>
      </c>
      <c r="C84" s="44">
        <f>C61</f>
        <v>11271.2</v>
      </c>
      <c r="D84" s="44">
        <f t="shared" ref="D84:J84" si="15">D61</f>
        <v>12592.33</v>
      </c>
      <c r="E84" s="44">
        <f t="shared" si="15"/>
        <v>15306.23</v>
      </c>
      <c r="F84" s="44">
        <f t="shared" si="15"/>
        <v>13161.19</v>
      </c>
      <c r="G84" s="44">
        <f t="shared" si="15"/>
        <v>15242.66</v>
      </c>
      <c r="H84" s="44">
        <f t="shared" si="15"/>
        <v>19191.66</v>
      </c>
      <c r="I84" s="44">
        <f t="shared" si="15"/>
        <v>20458.78</v>
      </c>
      <c r="J84" s="44">
        <f t="shared" si="15"/>
        <v>34746.629999999997</v>
      </c>
    </row>
    <row r="85" spans="2:14" x14ac:dyDescent="0.2">
      <c r="B85" t="s">
        <v>8571</v>
      </c>
      <c r="C85" s="44">
        <f>C72</f>
        <v>92190.04</v>
      </c>
      <c r="D85" s="44">
        <f t="shared" ref="D85:J85" si="16">D72</f>
        <v>103859.48</v>
      </c>
      <c r="E85" s="44">
        <f t="shared" si="16"/>
        <v>113180.26999999999</v>
      </c>
      <c r="F85" s="44">
        <f t="shared" si="16"/>
        <v>112416.13499999999</v>
      </c>
      <c r="G85" s="44">
        <f t="shared" si="16"/>
        <v>114076.4</v>
      </c>
      <c r="H85" s="44">
        <f t="shared" si="16"/>
        <v>124428.97</v>
      </c>
      <c r="I85" s="44">
        <f t="shared" si="16"/>
        <v>134669.45000000001</v>
      </c>
      <c r="J85" s="44">
        <f t="shared" si="16"/>
        <v>133879.685</v>
      </c>
    </row>
    <row r="86" spans="2:14" x14ac:dyDescent="0.2">
      <c r="B86" s="144" t="s">
        <v>8574</v>
      </c>
      <c r="C86" s="158">
        <f>C84/C85</f>
        <v>0.12226049581928809</v>
      </c>
      <c r="D86" s="158">
        <f t="shared" ref="D86" si="17">D84/D85</f>
        <v>0.12124391533637566</v>
      </c>
      <c r="E86" s="158">
        <f t="shared" ref="E86" si="18">E84/E85</f>
        <v>0.13523761694507355</v>
      </c>
      <c r="F86" s="158">
        <f t="shared" ref="F86" si="19">F84/F85</f>
        <v>0.11707563153634486</v>
      </c>
      <c r="G86" s="158">
        <f t="shared" ref="G86" si="20">G84/G85</f>
        <v>0.13361799636033395</v>
      </c>
      <c r="H86" s="158">
        <f t="shared" ref="H86" si="21">H84/H85</f>
        <v>0.15423787563298161</v>
      </c>
      <c r="I86" s="158">
        <f t="shared" ref="I86" si="22">I84/I85</f>
        <v>0.15191849376380462</v>
      </c>
      <c r="J86" s="158">
        <f t="shared" ref="J86" si="23">J84/J85</f>
        <v>0.2595362395721203</v>
      </c>
    </row>
    <row r="88" spans="2:14" x14ac:dyDescent="0.2">
      <c r="B88" s="233" t="s">
        <v>8569</v>
      </c>
      <c r="C88" s="233"/>
      <c r="D88" s="233"/>
      <c r="E88" s="233"/>
      <c r="F88" s="233"/>
      <c r="G88" s="233"/>
      <c r="H88" s="233"/>
      <c r="I88" s="233"/>
      <c r="J88" s="233"/>
    </row>
    <row r="89" spans="2:14" x14ac:dyDescent="0.2">
      <c r="C89" s="141">
        <v>43190</v>
      </c>
      <c r="D89" s="141">
        <v>43555</v>
      </c>
      <c r="E89" s="141">
        <v>43921</v>
      </c>
      <c r="F89" s="141">
        <v>44286</v>
      </c>
      <c r="G89" s="141">
        <v>44651</v>
      </c>
      <c r="H89" s="141">
        <v>45016</v>
      </c>
      <c r="I89" s="141">
        <v>45382</v>
      </c>
      <c r="J89" s="141">
        <v>45747</v>
      </c>
    </row>
    <row r="90" spans="2:14" x14ac:dyDescent="0.2">
      <c r="B90" s="23" t="str">
        <f>B84</f>
        <v xml:space="preserve">Net Profit </v>
      </c>
      <c r="C90" s="44">
        <f>C61</f>
        <v>11271.2</v>
      </c>
      <c r="D90" s="44">
        <f t="shared" ref="D90:J90" si="24">D61</f>
        <v>12592.33</v>
      </c>
      <c r="E90" s="44">
        <f t="shared" si="24"/>
        <v>15306.23</v>
      </c>
      <c r="F90" s="44">
        <f t="shared" si="24"/>
        <v>13161.19</v>
      </c>
      <c r="G90" s="44">
        <f t="shared" si="24"/>
        <v>15242.66</v>
      </c>
      <c r="H90" s="44">
        <f t="shared" si="24"/>
        <v>19191.66</v>
      </c>
      <c r="I90" s="44">
        <f t="shared" si="24"/>
        <v>20458.78</v>
      </c>
      <c r="J90" s="44">
        <f t="shared" si="24"/>
        <v>34746.629999999997</v>
      </c>
    </row>
    <row r="91" spans="2:14" x14ac:dyDescent="0.2">
      <c r="B91" t="s">
        <v>8563</v>
      </c>
      <c r="C91" s="44">
        <f>C68</f>
        <v>43448.94</v>
      </c>
      <c r="D91" s="44">
        <f t="shared" ref="D91:J91" si="25">D68</f>
        <v>48339.58</v>
      </c>
      <c r="E91" s="44">
        <f t="shared" si="25"/>
        <v>49387.7</v>
      </c>
      <c r="F91" s="44">
        <f t="shared" si="25"/>
        <v>49257.45</v>
      </c>
      <c r="G91" s="44">
        <f t="shared" si="25"/>
        <v>60644.54</v>
      </c>
      <c r="H91" s="44">
        <f t="shared" si="25"/>
        <v>70919.03</v>
      </c>
      <c r="I91" s="44">
        <f t="shared" si="25"/>
        <v>67931.94</v>
      </c>
      <c r="J91" s="44">
        <f t="shared" si="25"/>
        <v>75323.34</v>
      </c>
    </row>
    <row r="92" spans="2:14" x14ac:dyDescent="0.2">
      <c r="B92" s="144" t="s">
        <v>8564</v>
      </c>
      <c r="C92" s="158">
        <f>C90/C91</f>
        <v>0.25941254263049918</v>
      </c>
      <c r="D92" s="158">
        <f t="shared" ref="D92" si="26">D90/D91</f>
        <v>0.26049729848707825</v>
      </c>
      <c r="E92" s="158">
        <f t="shared" ref="E92" si="27">E90/E91</f>
        <v>0.30991987883622846</v>
      </c>
      <c r="F92" s="158">
        <f t="shared" ref="F92" si="28">F90/F91</f>
        <v>0.26719186640802561</v>
      </c>
      <c r="G92" s="158">
        <f t="shared" ref="G92" si="29">G90/G91</f>
        <v>0.25134430898478244</v>
      </c>
      <c r="H92" s="158">
        <f t="shared" ref="H92" si="30">H90/H91</f>
        <v>0.27061368436652333</v>
      </c>
      <c r="I92" s="158">
        <f t="shared" ref="I92" si="31">I90/I91</f>
        <v>0.30116584334261615</v>
      </c>
      <c r="J92" s="158">
        <f t="shared" ref="J92" si="32">J90/J91</f>
        <v>0.46129964497060272</v>
      </c>
    </row>
    <row r="94" spans="2:14" x14ac:dyDescent="0.2">
      <c r="B94" t="s">
        <v>8563</v>
      </c>
      <c r="C94" s="44">
        <f>C91</f>
        <v>43448.94</v>
      </c>
      <c r="D94" s="44">
        <f t="shared" ref="D94:J94" si="33">D91</f>
        <v>48339.58</v>
      </c>
      <c r="E94" s="44">
        <f t="shared" si="33"/>
        <v>49387.7</v>
      </c>
      <c r="F94" s="44">
        <f t="shared" si="33"/>
        <v>49257.45</v>
      </c>
      <c r="G94" s="44">
        <f t="shared" si="33"/>
        <v>60644.54</v>
      </c>
      <c r="H94" s="44">
        <f t="shared" si="33"/>
        <v>70919.03</v>
      </c>
      <c r="I94" s="44">
        <f t="shared" si="33"/>
        <v>67931.94</v>
      </c>
      <c r="J94" s="44">
        <f t="shared" si="33"/>
        <v>75323.34</v>
      </c>
    </row>
    <row r="95" spans="2:14" x14ac:dyDescent="0.2">
      <c r="B95" t="s">
        <v>8571</v>
      </c>
      <c r="C95" s="44">
        <f>C85</f>
        <v>92190.04</v>
      </c>
      <c r="D95" s="44">
        <f t="shared" ref="D95:J95" si="34">D85</f>
        <v>103859.48</v>
      </c>
      <c r="E95" s="44">
        <f t="shared" si="34"/>
        <v>113180.26999999999</v>
      </c>
      <c r="F95" s="44">
        <f t="shared" si="34"/>
        <v>112416.13499999999</v>
      </c>
      <c r="G95" s="44">
        <f t="shared" si="34"/>
        <v>114076.4</v>
      </c>
      <c r="H95" s="44">
        <f t="shared" si="34"/>
        <v>124428.97</v>
      </c>
      <c r="I95" s="44">
        <f t="shared" si="34"/>
        <v>134669.45000000001</v>
      </c>
      <c r="J95" s="44">
        <f t="shared" si="34"/>
        <v>133879.685</v>
      </c>
      <c r="K95" s="44"/>
    </row>
    <row r="96" spans="2:14" x14ac:dyDescent="0.2">
      <c r="B96" s="144" t="s">
        <v>8565</v>
      </c>
      <c r="C96" s="158">
        <f>C94/C95</f>
        <v>0.47129755014749974</v>
      </c>
      <c r="D96" s="158">
        <f t="shared" ref="D96" si="35">D94/D95</f>
        <v>0.46543252479215191</v>
      </c>
      <c r="E96" s="158">
        <f t="shared" ref="E96" si="36">E94/E95</f>
        <v>0.43636315764222866</v>
      </c>
      <c r="F96" s="158">
        <f t="shared" ref="F96" si="37">F94/F95</f>
        <v>0.43817064160763042</v>
      </c>
      <c r="G96" s="158">
        <f t="shared" ref="G96" si="38">G94/G95</f>
        <v>0.53161337489612226</v>
      </c>
      <c r="H96" s="158">
        <f t="shared" ref="H96" si="39">H94/H95</f>
        <v>0.56995593550280133</v>
      </c>
      <c r="I96" s="158">
        <f t="shared" ref="I96" si="40">I94/I95</f>
        <v>0.5044346731942545</v>
      </c>
      <c r="J96" s="158">
        <f t="shared" ref="J96" si="41">J94/J95</f>
        <v>0.56261963867034792</v>
      </c>
    </row>
    <row r="98" spans="2:10" x14ac:dyDescent="0.2">
      <c r="B98" s="144" t="s">
        <v>8572</v>
      </c>
      <c r="C98" s="158">
        <f>C96*C92</f>
        <v>0.12226049581928811</v>
      </c>
      <c r="D98" s="158">
        <f t="shared" ref="D98:J98" si="42">D96*D92</f>
        <v>0.12124391533637564</v>
      </c>
      <c r="E98" s="158">
        <f t="shared" si="42"/>
        <v>0.13523761694507355</v>
      </c>
      <c r="F98" s="158">
        <f t="shared" si="42"/>
        <v>0.11707563153634486</v>
      </c>
      <c r="G98" s="158">
        <f t="shared" si="42"/>
        <v>0.13361799636033395</v>
      </c>
      <c r="H98" s="158">
        <f t="shared" si="42"/>
        <v>0.15423787563298161</v>
      </c>
      <c r="I98" s="158">
        <f t="shared" si="42"/>
        <v>0.15191849376380462</v>
      </c>
      <c r="J98" s="158">
        <f t="shared" si="42"/>
        <v>0.2595362395721203</v>
      </c>
    </row>
    <row r="113" spans="2:10" ht="9" customHeight="1" x14ac:dyDescent="0.2">
      <c r="B113" s="113"/>
      <c r="C113" s="113"/>
      <c r="D113" s="113"/>
      <c r="E113" s="113"/>
      <c r="F113" s="113"/>
      <c r="G113" s="113"/>
      <c r="H113" s="113"/>
      <c r="I113" s="113"/>
      <c r="J113" s="113"/>
    </row>
  </sheetData>
  <mergeCells count="6">
    <mergeCell ref="B6:J6"/>
    <mergeCell ref="B65:J65"/>
    <mergeCell ref="B82:J82"/>
    <mergeCell ref="B88:J88"/>
    <mergeCell ref="B7:J10"/>
    <mergeCell ref="B59:J59"/>
  </mergeCells>
  <printOptions horizontalCentered="1" verticalCentered="1"/>
  <pageMargins left="0.19685039370078741" right="0.19685039370078741" top="0.35433070866141736" bottom="0.35433070866141736" header="0" footer="0"/>
  <pageSetup scale="85" orientation="portrait" r:id="rId1"/>
  <rowBreaks count="1" manualBreakCount="1">
    <brk id="54" min="1" max="9" man="1"/>
  </rowBreaks>
  <colBreaks count="1" manualBreakCount="1">
    <brk id="10" max="1048575" man="1"/>
  </colBreaks>
  <ignoredErrors>
    <ignoredError sqref="C62:J62" formulaRange="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AB7BA-B53A-4EAC-9114-4A2DEFB570E8}">
  <dimension ref="B1:N108"/>
  <sheetViews>
    <sheetView showGridLines="0" zoomScaleNormal="100" zoomScaleSheetLayoutView="100" workbookViewId="0">
      <selection activeCell="B3" sqref="B3"/>
    </sheetView>
  </sheetViews>
  <sheetFormatPr defaultColWidth="10.89453125" defaultRowHeight="15" x14ac:dyDescent="0.2"/>
  <cols>
    <col min="1" max="1" width="1.8828125" customWidth="1"/>
    <col min="2" max="2" width="34.16796875" customWidth="1"/>
    <col min="3" max="3" width="10.89453125" bestFit="1" customWidth="1"/>
    <col min="4" max="4" width="11.97265625" bestFit="1" customWidth="1"/>
    <col min="5" max="6" width="10.89453125" bestFit="1" customWidth="1"/>
    <col min="7" max="7" width="9.55078125" customWidth="1"/>
    <col min="8" max="9" width="10.89453125" bestFit="1" customWidth="1"/>
    <col min="10" max="10" width="9.4140625" customWidth="1"/>
  </cols>
  <sheetData>
    <row r="1" spans="2:10" ht="9" customHeight="1" x14ac:dyDescent="0.2">
      <c r="B1" s="113"/>
      <c r="C1" s="113"/>
      <c r="D1" s="113"/>
      <c r="E1" s="113"/>
      <c r="F1" s="113"/>
      <c r="G1" s="113"/>
      <c r="H1" s="113"/>
      <c r="I1" s="113"/>
      <c r="J1" s="113"/>
    </row>
    <row r="2" spans="2:10" ht="29.45" customHeight="1" x14ac:dyDescent="0.45">
      <c r="B2" s="218" t="str">
        <f>'Data Sheet'!B1</f>
        <v>ITC LTD</v>
      </c>
      <c r="C2" s="213"/>
      <c r="D2" s="216"/>
      <c r="E2" s="213"/>
      <c r="F2" s="213"/>
      <c r="G2" s="213"/>
      <c r="H2" s="213"/>
      <c r="I2" s="213"/>
      <c r="J2" s="213"/>
    </row>
    <row r="3" spans="2:10" x14ac:dyDescent="0.2">
      <c r="B3" s="219" t="str">
        <f>CONCATENATE("(",VLOOKUP(B2,'List of Stocks'!B2:D5442,3,FALSE)," | ","BSE Code: ",VLOOKUP('Altman Z Score'!B2,'List of Stocks'!B3:D5442,2,FALSE),")")</f>
        <v>(ITC | BSE Code: 540376)</v>
      </c>
      <c r="C3" s="213"/>
      <c r="D3" s="213"/>
      <c r="E3" s="213"/>
      <c r="F3" s="213"/>
      <c r="G3" s="213"/>
      <c r="H3" s="213"/>
      <c r="I3" s="213"/>
      <c r="J3" s="213"/>
    </row>
    <row r="4" spans="2:10" ht="21" customHeight="1" x14ac:dyDescent="0.25">
      <c r="B4" s="217" t="str">
        <f>CONCATENATE("INR"," ", 'Data Sheet'!B8)</f>
        <v>INR 409.75</v>
      </c>
      <c r="C4" s="213"/>
      <c r="D4" s="213"/>
      <c r="E4" s="213"/>
      <c r="F4" s="213"/>
      <c r="G4" s="213"/>
      <c r="H4" s="213"/>
      <c r="I4" s="213"/>
      <c r="J4" s="213"/>
    </row>
    <row r="5" spans="2:10" ht="15.75" thickBot="1" x14ac:dyDescent="0.25">
      <c r="B5" s="219" t="s">
        <v>8557</v>
      </c>
      <c r="C5" s="213"/>
      <c r="D5" s="213"/>
      <c r="E5" s="213"/>
      <c r="F5" s="213"/>
      <c r="G5" s="213"/>
      <c r="H5" s="213"/>
      <c r="I5" s="213"/>
      <c r="J5" s="213"/>
    </row>
    <row r="6" spans="2:10" ht="25.15" customHeight="1" x14ac:dyDescent="0.2">
      <c r="B6" s="240" t="s">
        <v>8590</v>
      </c>
      <c r="C6" s="240"/>
      <c r="D6" s="240"/>
      <c r="E6" s="240"/>
      <c r="F6" s="240"/>
      <c r="G6" s="240"/>
      <c r="H6" s="240"/>
      <c r="I6" s="240"/>
      <c r="J6" s="240"/>
    </row>
    <row r="7" spans="2:10" x14ac:dyDescent="0.2">
      <c r="B7" s="239" t="s">
        <v>8594</v>
      </c>
      <c r="C7" s="239"/>
      <c r="D7" s="239"/>
      <c r="E7" s="239"/>
      <c r="F7" s="239"/>
      <c r="G7" s="239"/>
      <c r="H7" s="239"/>
      <c r="I7" s="239"/>
      <c r="J7" s="239"/>
    </row>
    <row r="8" spans="2:10" x14ac:dyDescent="0.2">
      <c r="B8" s="239"/>
      <c r="C8" s="239"/>
      <c r="D8" s="239"/>
      <c r="E8" s="239"/>
      <c r="F8" s="239"/>
      <c r="G8" s="239"/>
      <c r="H8" s="239"/>
      <c r="I8" s="239"/>
      <c r="J8" s="239"/>
    </row>
    <row r="9" spans="2:10" x14ac:dyDescent="0.2">
      <c r="B9" s="239"/>
      <c r="C9" s="239"/>
      <c r="D9" s="239"/>
      <c r="E9" s="239"/>
      <c r="F9" s="239"/>
      <c r="G9" s="239"/>
      <c r="H9" s="239"/>
      <c r="I9" s="239"/>
      <c r="J9" s="239"/>
    </row>
    <row r="10" spans="2:10" ht="36" customHeight="1" x14ac:dyDescent="0.2">
      <c r="B10" s="239"/>
      <c r="C10" s="239"/>
      <c r="D10" s="239"/>
      <c r="E10" s="239"/>
      <c r="F10" s="239"/>
      <c r="G10" s="239"/>
      <c r="H10" s="239"/>
      <c r="I10" s="239"/>
      <c r="J10" s="239"/>
    </row>
    <row r="11" spans="2:10" ht="9" customHeight="1" x14ac:dyDescent="0.2"/>
    <row r="12" spans="2:10" ht="21" x14ac:dyDescent="0.3">
      <c r="B12" s="160" t="s">
        <v>8573</v>
      </c>
    </row>
    <row r="13" spans="2:10" ht="3" customHeight="1" x14ac:dyDescent="0.25">
      <c r="B13" s="143"/>
    </row>
    <row r="55" spans="2:10" ht="9" customHeight="1" x14ac:dyDescent="0.2">
      <c r="B55" s="113"/>
      <c r="C55" s="113"/>
      <c r="D55" s="113"/>
      <c r="E55" s="113"/>
      <c r="F55" s="113"/>
      <c r="G55" s="113"/>
      <c r="H55" s="113"/>
      <c r="I55" s="113"/>
      <c r="J55" s="113"/>
    </row>
    <row r="56" spans="2:10" ht="9" customHeight="1" x14ac:dyDescent="0.2">
      <c r="B56" s="113"/>
      <c r="C56" s="113"/>
      <c r="D56" s="113"/>
      <c r="E56" s="113"/>
      <c r="F56" s="113"/>
      <c r="G56" s="113"/>
      <c r="H56" s="113"/>
      <c r="I56" s="113"/>
      <c r="J56" s="113"/>
    </row>
    <row r="59" spans="2:10" ht="9.6" customHeight="1" x14ac:dyDescent="0.2"/>
    <row r="60" spans="2:10" x14ac:dyDescent="0.2">
      <c r="B60" s="233" t="s">
        <v>8575</v>
      </c>
      <c r="C60" s="233"/>
      <c r="D60" s="233"/>
      <c r="E60" s="233"/>
      <c r="F60" s="233"/>
      <c r="G60" s="233"/>
      <c r="H60" s="233"/>
      <c r="I60" s="233"/>
      <c r="J60" s="233"/>
    </row>
    <row r="61" spans="2:10" x14ac:dyDescent="0.2">
      <c r="C61" s="141">
        <f>'Data Sheet'!D16</f>
        <v>43190</v>
      </c>
      <c r="D61" s="141">
        <f>'Data Sheet'!E16</f>
        <v>43555</v>
      </c>
      <c r="E61" s="141">
        <f>'Data Sheet'!F16</f>
        <v>43921</v>
      </c>
      <c r="F61" s="141">
        <f>'Data Sheet'!G16</f>
        <v>44286</v>
      </c>
      <c r="G61" s="141">
        <f>'Data Sheet'!H16</f>
        <v>44651</v>
      </c>
      <c r="H61" s="141">
        <f>'Data Sheet'!I16</f>
        <v>45016</v>
      </c>
      <c r="I61" s="141">
        <f>'Data Sheet'!J16</f>
        <v>45382</v>
      </c>
      <c r="J61" s="141">
        <f>'Data Sheet'!K16</f>
        <v>45747</v>
      </c>
    </row>
    <row r="62" spans="2:10" x14ac:dyDescent="0.2">
      <c r="B62" s="161" t="s">
        <v>8576</v>
      </c>
      <c r="C62" s="44">
        <f>'Data Sheet'!D65-'Data Sheet'!D60</f>
        <v>8460.8799999999992</v>
      </c>
      <c r="D62" s="44">
        <f>'Data Sheet'!E65-'Data Sheet'!E60</f>
        <v>10600.21</v>
      </c>
      <c r="E62" s="44">
        <f>'Data Sheet'!F65-'Data Sheet'!F60</f>
        <v>11917.559999999998</v>
      </c>
      <c r="F62" s="44">
        <f>'Data Sheet'!G65-'Data Sheet'!G60</f>
        <v>8437.5299999999988</v>
      </c>
      <c r="G62" s="44">
        <f>'Data Sheet'!H65-'Data Sheet'!H60</f>
        <v>10406.870000000001</v>
      </c>
      <c r="H62" s="44">
        <f>'Data Sheet'!I65-'Data Sheet'!I60</f>
        <v>11191.71</v>
      </c>
      <c r="I62" s="44">
        <f>'Data Sheet'!J65-'Data Sheet'!J60</f>
        <v>13015.41</v>
      </c>
      <c r="J62" s="44">
        <f>'Data Sheet'!K65-'Data Sheet'!K60</f>
        <v>12549.009999999998</v>
      </c>
    </row>
    <row r="63" spans="2:10" x14ac:dyDescent="0.2">
      <c r="B63" t="s">
        <v>8577</v>
      </c>
      <c r="C63" s="44">
        <f>'Data Sheet'!D61</f>
        <v>64240.88</v>
      </c>
      <c r="D63" s="44">
        <f>'Data Sheet'!E61</f>
        <v>71739.039999999994</v>
      </c>
      <c r="E63" s="44">
        <f>'Data Sheet'!F61</f>
        <v>77310.75</v>
      </c>
      <c r="F63" s="44">
        <f>'Data Sheet'!G61</f>
        <v>73760.759999999995</v>
      </c>
      <c r="G63" s="44">
        <f>'Data Sheet'!H61</f>
        <v>77196.02</v>
      </c>
      <c r="H63" s="44">
        <f>'Data Sheet'!I61</f>
        <v>85830.96</v>
      </c>
      <c r="I63" s="44">
        <f>'Data Sheet'!J61</f>
        <v>91753.97</v>
      </c>
      <c r="J63" s="44">
        <f>'Data Sheet'!K61</f>
        <v>88002.7</v>
      </c>
    </row>
    <row r="64" spans="2:10" x14ac:dyDescent="0.2">
      <c r="B64" s="144" t="s">
        <v>8586</v>
      </c>
      <c r="C64" s="159">
        <f>C62/C63</f>
        <v>0.13170554326154935</v>
      </c>
      <c r="D64" s="159">
        <f t="shared" ref="D64:J64" si="0">D62/D63</f>
        <v>0.14776068929832348</v>
      </c>
      <c r="E64" s="159">
        <f t="shared" si="0"/>
        <v>0.15415139550450613</v>
      </c>
      <c r="F64" s="159">
        <f t="shared" si="0"/>
        <v>0.11439049706103895</v>
      </c>
      <c r="G64" s="159">
        <f t="shared" si="0"/>
        <v>0.1348109656430474</v>
      </c>
      <c r="H64" s="159">
        <f t="shared" si="0"/>
        <v>0.13039245978374234</v>
      </c>
      <c r="I64" s="159">
        <f t="shared" si="0"/>
        <v>0.14185119183398823</v>
      </c>
      <c r="J64" s="159">
        <f t="shared" si="0"/>
        <v>0.14259801119738369</v>
      </c>
    </row>
    <row r="66" spans="2:14" x14ac:dyDescent="0.2">
      <c r="B66" s="233" t="s">
        <v>8578</v>
      </c>
      <c r="C66" s="233"/>
      <c r="D66" s="233"/>
      <c r="E66" s="233"/>
      <c r="F66" s="233"/>
      <c r="G66" s="233"/>
      <c r="H66" s="233"/>
      <c r="I66" s="233"/>
      <c r="J66" s="233"/>
    </row>
    <row r="67" spans="2:14" x14ac:dyDescent="0.2">
      <c r="C67" s="141">
        <v>43190</v>
      </c>
      <c r="D67" s="141">
        <v>43555</v>
      </c>
      <c r="E67" s="141">
        <v>43921</v>
      </c>
      <c r="F67" s="141">
        <v>44286</v>
      </c>
      <c r="G67" s="141">
        <v>44651</v>
      </c>
      <c r="H67" s="141">
        <v>45016</v>
      </c>
      <c r="I67" s="141">
        <v>45382</v>
      </c>
      <c r="J67" s="141">
        <v>45747</v>
      </c>
    </row>
    <row r="68" spans="2:14" x14ac:dyDescent="0.2">
      <c r="B68" s="161" t="s">
        <v>8579</v>
      </c>
      <c r="C68" s="44">
        <f>HistoricalFS!E43*HistoricalFS!E45*HistoricalFS!E51</f>
        <v>2967.6600000000017</v>
      </c>
      <c r="D68" s="44">
        <f>HistoricalFS!F43*HistoricalFS!F45*HistoricalFS!F51</f>
        <v>3706.7600000000007</v>
      </c>
      <c r="E68" s="44">
        <f>HistoricalFS!G43*HistoricalFS!G45*HistoricalFS!G51</f>
        <v>698.88000000000045</v>
      </c>
      <c r="F68" s="44">
        <f>HistoricalFS!H43*HistoricalFS!H45*HistoricalFS!H51</f>
        <v>0</v>
      </c>
      <c r="G68" s="44">
        <f>HistoricalFS!I43*HistoricalFS!I45*HistoricalFS!I51</f>
        <v>0</v>
      </c>
      <c r="H68" s="44">
        <f>HistoricalFS!J43*HistoricalFS!J45*HistoricalFS!J51</f>
        <v>0</v>
      </c>
      <c r="I68" s="44">
        <f>HistoricalFS!K43*HistoricalFS!K45*HistoricalFS!K51</f>
        <v>254.45000000000169</v>
      </c>
      <c r="J68" s="44">
        <f>HistoricalFS!L43*HistoricalFS!L45*HistoricalFS!L51</f>
        <v>0</v>
      </c>
    </row>
    <row r="69" spans="2:14" x14ac:dyDescent="0.2">
      <c r="B69" t="s">
        <v>8577</v>
      </c>
      <c r="C69" s="44">
        <f>C63</f>
        <v>64240.88</v>
      </c>
      <c r="D69" s="44">
        <f t="shared" ref="D69:J69" si="1">D63</f>
        <v>71739.039999999994</v>
      </c>
      <c r="E69" s="44">
        <f t="shared" si="1"/>
        <v>77310.75</v>
      </c>
      <c r="F69" s="44">
        <f t="shared" si="1"/>
        <v>73760.759999999995</v>
      </c>
      <c r="G69" s="44">
        <f t="shared" si="1"/>
        <v>77196.02</v>
      </c>
      <c r="H69" s="44">
        <f t="shared" si="1"/>
        <v>85830.96</v>
      </c>
      <c r="I69" s="44">
        <f t="shared" si="1"/>
        <v>91753.97</v>
      </c>
      <c r="J69" s="44">
        <f t="shared" si="1"/>
        <v>88002.7</v>
      </c>
    </row>
    <row r="70" spans="2:14" x14ac:dyDescent="0.2">
      <c r="B70" s="144" t="s">
        <v>8587</v>
      </c>
      <c r="C70" s="159">
        <f>C68/C69</f>
        <v>4.6195817990040015E-2</v>
      </c>
      <c r="D70" s="159">
        <f t="shared" ref="D70:J70" si="2">D68/D69</f>
        <v>5.1670053014369874E-2</v>
      </c>
      <c r="E70" s="159">
        <f t="shared" si="2"/>
        <v>9.0398812584278447E-3</v>
      </c>
      <c r="F70" s="159">
        <f t="shared" si="2"/>
        <v>0</v>
      </c>
      <c r="G70" s="159">
        <f t="shared" si="2"/>
        <v>0</v>
      </c>
      <c r="H70" s="159">
        <f t="shared" si="2"/>
        <v>0</v>
      </c>
      <c r="I70" s="177">
        <f>I68/I69</f>
        <v>2.7731770080357469E-3</v>
      </c>
      <c r="J70" s="159">
        <f t="shared" si="2"/>
        <v>0</v>
      </c>
    </row>
    <row r="72" spans="2:14" x14ac:dyDescent="0.2">
      <c r="B72" s="233" t="s">
        <v>8580</v>
      </c>
      <c r="C72" s="233"/>
      <c r="D72" s="233"/>
      <c r="E72" s="233"/>
      <c r="F72" s="233"/>
      <c r="G72" s="233"/>
      <c r="H72" s="233"/>
      <c r="I72" s="233"/>
      <c r="J72" s="233"/>
    </row>
    <row r="73" spans="2:14" x14ac:dyDescent="0.2">
      <c r="C73" s="141">
        <v>43190</v>
      </c>
      <c r="D73" s="141">
        <v>43555</v>
      </c>
      <c r="E73" s="141">
        <v>43921</v>
      </c>
      <c r="F73" s="141">
        <v>44286</v>
      </c>
      <c r="G73" s="141">
        <v>44651</v>
      </c>
      <c r="H73" s="141">
        <v>45016</v>
      </c>
      <c r="I73" s="141">
        <v>45382</v>
      </c>
      <c r="J73" s="141">
        <v>45747</v>
      </c>
    </row>
    <row r="74" spans="2:14" x14ac:dyDescent="0.2">
      <c r="B74" s="161" t="s">
        <v>144</v>
      </c>
      <c r="C74" s="44">
        <f>HistoricalFS!E31</f>
        <v>15284.310000000003</v>
      </c>
      <c r="D74" s="44">
        <f>HistoricalFS!F31</f>
        <v>17140.78</v>
      </c>
      <c r="E74" s="44">
        <f>HistoricalFS!G31</f>
        <v>17698.63</v>
      </c>
      <c r="F74" s="44">
        <f>HistoricalFS!H31</f>
        <v>15419.189999999999</v>
      </c>
      <c r="G74" s="44">
        <f>HistoricalFS!I31</f>
        <v>18890.739999999994</v>
      </c>
      <c r="H74" s="44">
        <f>HistoricalFS!J31</f>
        <v>23895.249999999996</v>
      </c>
      <c r="I74" s="44">
        <f>HistoricalFS!K31</f>
        <v>23669.48</v>
      </c>
      <c r="J74" s="44">
        <f>HistoricalFS!L31</f>
        <v>24193.129999999997</v>
      </c>
    </row>
    <row r="75" spans="2:14" x14ac:dyDescent="0.2">
      <c r="B75" t="s">
        <v>8577</v>
      </c>
      <c r="C75" s="44">
        <f>C69</f>
        <v>64240.88</v>
      </c>
      <c r="D75" s="44">
        <f t="shared" ref="D75:J75" si="3">D69</f>
        <v>71739.039999999994</v>
      </c>
      <c r="E75" s="44">
        <f t="shared" si="3"/>
        <v>77310.75</v>
      </c>
      <c r="F75" s="44">
        <f t="shared" si="3"/>
        <v>73760.759999999995</v>
      </c>
      <c r="G75" s="44">
        <f t="shared" si="3"/>
        <v>77196.02</v>
      </c>
      <c r="H75" s="44">
        <f t="shared" si="3"/>
        <v>85830.96</v>
      </c>
      <c r="I75" s="44">
        <f t="shared" si="3"/>
        <v>91753.97</v>
      </c>
      <c r="J75" s="44">
        <f t="shared" si="3"/>
        <v>88002.7</v>
      </c>
    </row>
    <row r="76" spans="2:14" x14ac:dyDescent="0.2">
      <c r="B76" s="144" t="s">
        <v>8588</v>
      </c>
      <c r="C76" s="159">
        <f>C74/C75</f>
        <v>0.23792186532936666</v>
      </c>
      <c r="D76" s="159">
        <f t="shared" ref="D76:J76" si="4">D74/D75</f>
        <v>0.23893238604809877</v>
      </c>
      <c r="E76" s="159">
        <f t="shared" si="4"/>
        <v>0.22892844785492317</v>
      </c>
      <c r="F76" s="159">
        <f t="shared" si="4"/>
        <v>0.20904326365400791</v>
      </c>
      <c r="G76" s="159">
        <f t="shared" si="4"/>
        <v>0.24471132060953393</v>
      </c>
      <c r="H76" s="159">
        <f t="shared" si="4"/>
        <v>0.27839896000231146</v>
      </c>
      <c r="I76" s="159">
        <f t="shared" si="4"/>
        <v>0.2579668214901219</v>
      </c>
      <c r="J76" s="159">
        <f t="shared" si="4"/>
        <v>0.27491349697225198</v>
      </c>
    </row>
    <row r="77" spans="2:14" x14ac:dyDescent="0.2">
      <c r="B77" s="2"/>
      <c r="C77" s="162"/>
      <c r="D77" s="162"/>
      <c r="E77" s="162"/>
      <c r="F77" s="162"/>
      <c r="G77" s="162"/>
      <c r="H77" s="162"/>
      <c r="I77" s="162"/>
      <c r="J77" s="162"/>
    </row>
    <row r="78" spans="2:14" x14ac:dyDescent="0.2">
      <c r="B78" s="233" t="s">
        <v>8581</v>
      </c>
      <c r="C78" s="233"/>
      <c r="D78" s="233"/>
      <c r="E78" s="233"/>
      <c r="F78" s="233"/>
      <c r="G78" s="233"/>
      <c r="H78" s="233"/>
      <c r="I78" s="233"/>
      <c r="J78" s="233"/>
      <c r="N78" t="s">
        <v>219</v>
      </c>
    </row>
    <row r="79" spans="2:14" x14ac:dyDescent="0.2">
      <c r="C79" s="141">
        <f>'Data Sheet'!D16</f>
        <v>43190</v>
      </c>
      <c r="D79" s="141">
        <f>'Data Sheet'!E16</f>
        <v>43555</v>
      </c>
      <c r="E79" s="141">
        <f>'Data Sheet'!F16</f>
        <v>43921</v>
      </c>
      <c r="F79" s="141">
        <f>'Data Sheet'!G16</f>
        <v>44286</v>
      </c>
      <c r="G79" s="141">
        <f>'Data Sheet'!H16</f>
        <v>44651</v>
      </c>
      <c r="H79" s="141">
        <f>'Data Sheet'!I16</f>
        <v>45016</v>
      </c>
      <c r="I79" s="141">
        <f>'Data Sheet'!J16</f>
        <v>45382</v>
      </c>
      <c r="J79" s="141">
        <f>'Data Sheet'!K16</f>
        <v>45747</v>
      </c>
    </row>
    <row r="80" spans="2:14" x14ac:dyDescent="0.2">
      <c r="B80" s="23" t="s">
        <v>8582</v>
      </c>
      <c r="C80" s="44">
        <f>'Data Sheet'!D93*'Data Sheet'!D90</f>
        <v>292292.98500000004</v>
      </c>
      <c r="D80" s="44">
        <f>'Data Sheet'!E93*'Data Sheet'!E90</f>
        <v>341573.63039999997</v>
      </c>
      <c r="E80" s="44">
        <f>'Data Sheet'!F93*'Data Sheet'!F90</f>
        <v>197842.959</v>
      </c>
      <c r="F80" s="44">
        <f>'Data Sheet'!G93*'Data Sheet'!G90</f>
        <v>252108.84160000001</v>
      </c>
      <c r="G80" s="44">
        <f>'Data Sheet'!H93*'Data Sheet'!H90</f>
        <v>289548.25679999997</v>
      </c>
      <c r="H80" s="44">
        <f>'Data Sheet'!I93*'Data Sheet'!I90</f>
        <v>446774.17200000002</v>
      </c>
      <c r="I80" s="44">
        <f>'Data Sheet'!J93*'Data Sheet'!J90</f>
        <v>501298.15909999999</v>
      </c>
      <c r="J80" s="44">
        <f>'Data Sheet'!K93*'Data Sheet'!K90</f>
        <v>512765.24750000006</v>
      </c>
    </row>
    <row r="81" spans="2:10" x14ac:dyDescent="0.2">
      <c r="B81" t="s">
        <v>8583</v>
      </c>
      <c r="C81" s="44">
        <f>'Data Sheet'!D59</f>
        <v>35.92</v>
      </c>
      <c r="D81" s="44">
        <f>'Data Sheet'!E59</f>
        <v>13.44</v>
      </c>
      <c r="E81" s="44">
        <f>'Data Sheet'!F59</f>
        <v>277.45</v>
      </c>
      <c r="F81" s="44">
        <f>'Data Sheet'!G59</f>
        <v>270.83</v>
      </c>
      <c r="G81" s="44">
        <f>'Data Sheet'!H59</f>
        <v>249.44</v>
      </c>
      <c r="H81" s="44">
        <f>'Data Sheet'!I59</f>
        <v>306.04000000000002</v>
      </c>
      <c r="I81" s="44">
        <f>'Data Sheet'!J59</f>
        <v>303.43</v>
      </c>
      <c r="J81" s="44">
        <f>'Data Sheet'!K59</f>
        <v>284.54000000000002</v>
      </c>
    </row>
    <row r="82" spans="2:10" x14ac:dyDescent="0.2">
      <c r="B82" s="144" t="s">
        <v>8589</v>
      </c>
      <c r="C82" s="159">
        <f>C80/C81</f>
        <v>8137.3325445434311</v>
      </c>
      <c r="D82" s="159">
        <f t="shared" ref="D82:J82" si="5">D80/D81</f>
        <v>25414.704642857141</v>
      </c>
      <c r="E82" s="159">
        <f t="shared" si="5"/>
        <v>713.07608217696884</v>
      </c>
      <c r="F82" s="159">
        <f t="shared" si="5"/>
        <v>930.87487205996388</v>
      </c>
      <c r="G82" s="159">
        <f t="shared" si="5"/>
        <v>1160.7932039769082</v>
      </c>
      <c r="H82" s="159">
        <f t="shared" si="5"/>
        <v>1459.8554829434061</v>
      </c>
      <c r="I82" s="159">
        <f t="shared" si="5"/>
        <v>1652.1047988003822</v>
      </c>
      <c r="J82" s="159">
        <f t="shared" si="5"/>
        <v>1802.0849353342237</v>
      </c>
    </row>
    <row r="84" spans="2:10" x14ac:dyDescent="0.2">
      <c r="B84" s="233" t="s">
        <v>8584</v>
      </c>
      <c r="C84" s="233"/>
      <c r="D84" s="233"/>
      <c r="E84" s="233"/>
      <c r="F84" s="233"/>
      <c r="G84" s="233"/>
      <c r="H84" s="233"/>
      <c r="I84" s="233"/>
      <c r="J84" s="233"/>
    </row>
    <row r="85" spans="2:10" x14ac:dyDescent="0.2">
      <c r="C85" s="141">
        <v>43190</v>
      </c>
      <c r="D85" s="141">
        <v>43555</v>
      </c>
      <c r="E85" s="141">
        <v>43921</v>
      </c>
      <c r="F85" s="141">
        <v>44286</v>
      </c>
      <c r="G85" s="141">
        <v>44651</v>
      </c>
      <c r="H85" s="141">
        <v>45016</v>
      </c>
      <c r="I85" s="141">
        <v>45382</v>
      </c>
      <c r="J85" s="141">
        <v>45747</v>
      </c>
    </row>
    <row r="86" spans="2:10" x14ac:dyDescent="0.2">
      <c r="B86" s="23" t="s">
        <v>8585</v>
      </c>
      <c r="C86" s="44">
        <f>'Data Sheet'!D17</f>
        <v>43448.94</v>
      </c>
      <c r="D86" s="44">
        <f>'Data Sheet'!E17</f>
        <v>48339.58</v>
      </c>
      <c r="E86" s="44">
        <f>'Data Sheet'!F17</f>
        <v>49387.7</v>
      </c>
      <c r="F86" s="44">
        <f>'Data Sheet'!G17</f>
        <v>49257.45</v>
      </c>
      <c r="G86" s="44">
        <f>'Data Sheet'!H17</f>
        <v>60644.54</v>
      </c>
      <c r="H86" s="44">
        <f>'Data Sheet'!I17</f>
        <v>70919.03</v>
      </c>
      <c r="I86" s="44">
        <f>'Data Sheet'!J17</f>
        <v>67931.94</v>
      </c>
      <c r="J86" s="44">
        <f>'Data Sheet'!K17</f>
        <v>75323.34</v>
      </c>
    </row>
    <row r="87" spans="2:10" x14ac:dyDescent="0.2">
      <c r="B87" t="str">
        <f>B75</f>
        <v xml:space="preserve"> Total Assets </v>
      </c>
      <c r="C87" s="44">
        <f>C69</f>
        <v>64240.88</v>
      </c>
      <c r="D87" s="44">
        <f t="shared" ref="D87:J87" si="6">D69</f>
        <v>71739.039999999994</v>
      </c>
      <c r="E87" s="44">
        <f t="shared" si="6"/>
        <v>77310.75</v>
      </c>
      <c r="F87" s="44">
        <f t="shared" si="6"/>
        <v>73760.759999999995</v>
      </c>
      <c r="G87" s="44">
        <f t="shared" si="6"/>
        <v>77196.02</v>
      </c>
      <c r="H87" s="44">
        <f t="shared" si="6"/>
        <v>85830.96</v>
      </c>
      <c r="I87" s="44">
        <f t="shared" si="6"/>
        <v>91753.97</v>
      </c>
      <c r="J87" s="44">
        <f t="shared" si="6"/>
        <v>88002.7</v>
      </c>
    </row>
    <row r="88" spans="2:10" x14ac:dyDescent="0.2">
      <c r="B88" s="144" t="s">
        <v>8592</v>
      </c>
      <c r="C88" s="159">
        <f>C86/C87</f>
        <v>0.67634409740339807</v>
      </c>
      <c r="D88" s="159">
        <f t="shared" ref="D88:J88" si="7">D86/D87</f>
        <v>0.67382529791310286</v>
      </c>
      <c r="E88" s="159">
        <f t="shared" si="7"/>
        <v>0.63882060386168804</v>
      </c>
      <c r="F88" s="159">
        <f t="shared" si="7"/>
        <v>0.66780019620188291</v>
      </c>
      <c r="G88" s="159">
        <f t="shared" si="7"/>
        <v>0.78559153697302009</v>
      </c>
      <c r="H88" s="159">
        <f t="shared" si="7"/>
        <v>0.82626397281353947</v>
      </c>
      <c r="I88" s="159">
        <f t="shared" si="7"/>
        <v>0.74037058015037394</v>
      </c>
      <c r="J88" s="159">
        <f t="shared" si="7"/>
        <v>0.85592078424866513</v>
      </c>
    </row>
    <row r="90" spans="2:10" x14ac:dyDescent="0.2">
      <c r="B90" s="233" t="s">
        <v>8590</v>
      </c>
      <c r="C90" s="233"/>
      <c r="D90" s="233"/>
      <c r="E90" s="233"/>
      <c r="F90" s="233"/>
      <c r="G90" s="233"/>
      <c r="H90" s="233"/>
      <c r="I90" s="233"/>
      <c r="J90" s="233"/>
    </row>
    <row r="91" spans="2:10" x14ac:dyDescent="0.2">
      <c r="C91" s="141">
        <v>43190</v>
      </c>
      <c r="D91" s="141">
        <v>43555</v>
      </c>
      <c r="E91" s="141">
        <v>43921</v>
      </c>
      <c r="F91" s="141">
        <v>44286</v>
      </c>
      <c r="G91" s="141">
        <v>44651</v>
      </c>
      <c r="H91" s="141">
        <v>45016</v>
      </c>
      <c r="I91" s="141">
        <v>45382</v>
      </c>
      <c r="J91" s="141">
        <v>45747</v>
      </c>
    </row>
    <row r="92" spans="2:10" x14ac:dyDescent="0.2">
      <c r="B92" s="164" t="s">
        <v>8591</v>
      </c>
      <c r="C92" s="165">
        <f>(C64*1.2)+(C70*1.4)+(C76*3.3)+(C82*0.6)+(C88*1)</f>
        <v>4884.0837337761495</v>
      </c>
      <c r="D92" s="165">
        <f>'Data Sheet'!E24</f>
        <v>1039.8499999999999</v>
      </c>
      <c r="E92" s="165">
        <f>'Data Sheet'!F24</f>
        <v>1225.1300000000001</v>
      </c>
      <c r="F92" s="165">
        <f>'Data Sheet'!G24</f>
        <v>1074.3900000000001</v>
      </c>
      <c r="G92" s="165">
        <f>'Data Sheet'!H24</f>
        <v>1109.95</v>
      </c>
      <c r="H92" s="165">
        <f>'Data Sheet'!I24</f>
        <v>1308.56</v>
      </c>
      <c r="I92" s="165">
        <f>'Data Sheet'!J24</f>
        <v>1765.97</v>
      </c>
      <c r="J92" s="165">
        <f>'Data Sheet'!K24</f>
        <v>2221.39</v>
      </c>
    </row>
    <row r="93" spans="2:10" x14ac:dyDescent="0.2">
      <c r="B93" t="s">
        <v>8593</v>
      </c>
      <c r="C93" s="163" t="str">
        <f>IF(C92&lt;1.81,"Distressed",IF(C92&gt;3,"Strong","Grey Zone"))</f>
        <v>Strong</v>
      </c>
      <c r="D93" s="163" t="str">
        <f t="shared" ref="D93:J93" si="8">IF(D92&lt;1.81,"Distressed",IF(D92&gt;3,"Strong","Grey Zone"))</f>
        <v>Strong</v>
      </c>
      <c r="E93" s="163" t="str">
        <f t="shared" si="8"/>
        <v>Strong</v>
      </c>
      <c r="F93" s="163" t="str">
        <f t="shared" si="8"/>
        <v>Strong</v>
      </c>
      <c r="G93" s="163" t="str">
        <f t="shared" si="8"/>
        <v>Strong</v>
      </c>
      <c r="H93" s="163" t="str">
        <f t="shared" si="8"/>
        <v>Strong</v>
      </c>
      <c r="I93" s="163" t="str">
        <f t="shared" si="8"/>
        <v>Strong</v>
      </c>
      <c r="J93" s="163" t="str">
        <f t="shared" si="8"/>
        <v>Strong</v>
      </c>
    </row>
    <row r="108" spans="2:10" ht="9" customHeight="1" x14ac:dyDescent="0.2">
      <c r="B108" s="113"/>
      <c r="C108" s="113"/>
      <c r="D108" s="113"/>
      <c r="E108" s="113"/>
      <c r="F108" s="113"/>
      <c r="G108" s="113"/>
      <c r="H108" s="113"/>
      <c r="I108" s="113"/>
      <c r="J108" s="113"/>
    </row>
  </sheetData>
  <mergeCells count="8">
    <mergeCell ref="B6:J6"/>
    <mergeCell ref="B72:J72"/>
    <mergeCell ref="B90:J90"/>
    <mergeCell ref="B7:J10"/>
    <mergeCell ref="B60:J60"/>
    <mergeCell ref="B66:J66"/>
    <mergeCell ref="B78:J78"/>
    <mergeCell ref="B84:J84"/>
  </mergeCells>
  <printOptions horizontalCentered="1" verticalCentered="1"/>
  <pageMargins left="0.19685039370078741" right="0.19685039370078741" top="0.35433070866141736" bottom="0.35433070866141736" header="0" footer="0"/>
  <pageSetup scale="85" orientation="portrait" r:id="rId1"/>
  <rowBreaks count="1" manualBreakCount="1">
    <brk id="55" min="1" max="9" man="1"/>
  </rowBreaks>
  <colBreaks count="1" manualBreakCount="1">
    <brk id="10"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D275-A063-438C-8DFC-C4ADB4CD416D}">
  <dimension ref="B1:M76"/>
  <sheetViews>
    <sheetView showGridLines="0" zoomScaleNormal="100" workbookViewId="0">
      <selection activeCell="B2" sqref="B2:L5"/>
    </sheetView>
  </sheetViews>
  <sheetFormatPr defaultRowHeight="15" x14ac:dyDescent="0.2"/>
  <cols>
    <col min="1" max="1" width="1.8828125" customWidth="1"/>
    <col min="2" max="2" width="10.625" bestFit="1" customWidth="1"/>
  </cols>
  <sheetData>
    <row r="1" spans="2:13" x14ac:dyDescent="0.2">
      <c r="B1" s="241"/>
      <c r="C1" s="241"/>
      <c r="D1" s="241"/>
      <c r="E1" s="241"/>
      <c r="F1" s="241"/>
      <c r="G1" s="241"/>
      <c r="H1" s="241"/>
      <c r="I1" s="241"/>
      <c r="J1" s="241"/>
      <c r="K1" s="241"/>
      <c r="L1" s="241"/>
    </row>
    <row r="2" spans="2:13" ht="24" customHeight="1" x14ac:dyDescent="0.2">
      <c r="B2" s="215" t="str">
        <f>'Data Sheet'!B1</f>
        <v>ITC LTD</v>
      </c>
      <c r="C2" s="213"/>
      <c r="D2" s="216"/>
      <c r="E2" s="213"/>
      <c r="F2" s="213"/>
      <c r="G2" s="213"/>
      <c r="H2" s="213"/>
      <c r="I2" s="213"/>
      <c r="J2" s="213"/>
      <c r="K2" s="213"/>
      <c r="L2" s="213"/>
    </row>
    <row r="3" spans="2:13" x14ac:dyDescent="0.2">
      <c r="B3" s="213" t="s">
        <v>8676</v>
      </c>
      <c r="C3" s="213"/>
      <c r="D3" s="213"/>
      <c r="E3" s="213"/>
      <c r="F3" s="213"/>
      <c r="G3" s="213"/>
      <c r="H3" s="213"/>
      <c r="I3" s="213"/>
      <c r="J3" s="213"/>
      <c r="K3" s="213"/>
      <c r="L3" s="213"/>
    </row>
    <row r="4" spans="2:13" ht="18.75" x14ac:dyDescent="0.25">
      <c r="B4" s="217" t="str">
        <f>CONCATENATE("INR"," ", 'Data Sheet'!B9)</f>
        <v>INR 513280.01</v>
      </c>
      <c r="C4" s="213"/>
      <c r="D4" s="213"/>
      <c r="E4" s="213"/>
      <c r="F4" s="213"/>
      <c r="G4" s="213"/>
      <c r="H4" s="213"/>
      <c r="I4" s="213"/>
      <c r="J4" s="213"/>
      <c r="K4" s="213"/>
      <c r="L4" s="213"/>
    </row>
    <row r="5" spans="2:13" x14ac:dyDescent="0.2">
      <c r="B5" s="214" t="s">
        <v>8557</v>
      </c>
      <c r="C5" s="214"/>
      <c r="D5" s="214"/>
      <c r="E5" s="214"/>
      <c r="F5" s="214"/>
      <c r="G5" s="214"/>
      <c r="H5" s="214"/>
      <c r="I5" s="214"/>
      <c r="J5" s="214"/>
      <c r="K5" s="214"/>
      <c r="L5" s="214"/>
    </row>
    <row r="6" spans="2:13" x14ac:dyDescent="0.2">
      <c r="B6" s="140"/>
      <c r="C6" s="140"/>
      <c r="D6" s="140"/>
      <c r="E6" s="140"/>
      <c r="F6" s="140"/>
      <c r="G6" s="140"/>
      <c r="H6" s="140"/>
      <c r="I6" s="140"/>
      <c r="J6" s="140"/>
    </row>
    <row r="7" spans="2:13" x14ac:dyDescent="0.2">
      <c r="B7" s="224" t="str">
        <f xml:space="preserve"> "Valuation Summary "&amp;" - "&amp;'Data Sheet'!B1</f>
        <v>Valuation Summary  - ITC LTD</v>
      </c>
      <c r="C7" s="224"/>
      <c r="D7" s="224"/>
      <c r="E7" s="224"/>
      <c r="F7" s="224"/>
      <c r="G7" s="224"/>
      <c r="H7" s="224"/>
      <c r="I7" s="224"/>
      <c r="J7" s="224"/>
      <c r="K7" s="224"/>
      <c r="L7" s="224"/>
    </row>
    <row r="8" spans="2:13" ht="3.6" customHeight="1" x14ac:dyDescent="0.2"/>
    <row r="9" spans="2:13" ht="14.45" customHeight="1" x14ac:dyDescent="0.2">
      <c r="B9" s="242" t="s">
        <v>8682</v>
      </c>
      <c r="C9" s="242"/>
      <c r="D9" s="242"/>
      <c r="E9" s="242"/>
      <c r="F9" s="242"/>
      <c r="G9" s="242"/>
      <c r="H9" s="242"/>
      <c r="I9" s="242"/>
      <c r="J9" s="242"/>
      <c r="K9" s="242"/>
      <c r="L9" s="242"/>
      <c r="M9" s="210"/>
    </row>
    <row r="10" spans="2:13" x14ac:dyDescent="0.2">
      <c r="B10" s="242"/>
      <c r="C10" s="242"/>
      <c r="D10" s="242"/>
      <c r="E10" s="242"/>
      <c r="F10" s="242"/>
      <c r="G10" s="242"/>
      <c r="H10" s="242"/>
      <c r="I10" s="242"/>
      <c r="J10" s="242"/>
      <c r="K10" s="242"/>
      <c r="L10" s="242"/>
      <c r="M10" s="210"/>
    </row>
    <row r="11" spans="2:13" x14ac:dyDescent="0.2">
      <c r="B11" s="242"/>
      <c r="C11" s="242"/>
      <c r="D11" s="242"/>
      <c r="E11" s="242"/>
      <c r="F11" s="242"/>
      <c r="G11" s="242"/>
      <c r="H11" s="242"/>
      <c r="I11" s="242"/>
      <c r="J11" s="242"/>
      <c r="K11" s="242"/>
      <c r="L11" s="242"/>
      <c r="M11" s="210"/>
    </row>
    <row r="13" spans="2:13" x14ac:dyDescent="0.2">
      <c r="B13" s="208" t="s">
        <v>8683</v>
      </c>
    </row>
    <row r="20" spans="2:2" x14ac:dyDescent="0.2">
      <c r="B20" s="208" t="s">
        <v>8684</v>
      </c>
    </row>
    <row r="21" spans="2:2" ht="9" customHeight="1" x14ac:dyDescent="0.2"/>
    <row r="22" spans="2:2" x14ac:dyDescent="0.2">
      <c r="B22" s="209" t="s">
        <v>8685</v>
      </c>
    </row>
    <row r="23" spans="2:2" ht="7.15" customHeight="1" x14ac:dyDescent="0.2"/>
    <row r="31" spans="2:2" x14ac:dyDescent="0.2">
      <c r="B31" s="209" t="s">
        <v>8686</v>
      </c>
    </row>
    <row r="32" spans="2:2" ht="7.15" customHeight="1" x14ac:dyDescent="0.2"/>
    <row r="40" spans="2:2" x14ac:dyDescent="0.2">
      <c r="B40" s="209" t="s">
        <v>8687</v>
      </c>
    </row>
    <row r="41" spans="2:2" ht="7.15" customHeight="1" x14ac:dyDescent="0.2"/>
    <row r="46" spans="2:2" ht="21" customHeight="1" x14ac:dyDescent="0.2"/>
    <row r="47" spans="2:2" ht="9" customHeight="1" x14ac:dyDescent="0.2"/>
    <row r="48" spans="2:2" x14ac:dyDescent="0.2">
      <c r="B48" s="209" t="s">
        <v>8688</v>
      </c>
    </row>
    <row r="49" spans="2:9" ht="7.15" customHeight="1" x14ac:dyDescent="0.2"/>
    <row r="57" spans="2:9" x14ac:dyDescent="0.2">
      <c r="B57" s="209" t="s">
        <v>8689</v>
      </c>
    </row>
    <row r="58" spans="2:9" ht="7.15" customHeight="1" x14ac:dyDescent="0.2"/>
    <row r="62" spans="2:9" x14ac:dyDescent="0.2">
      <c r="I62" s="2"/>
    </row>
    <row r="63" spans="2:9" x14ac:dyDescent="0.2">
      <c r="B63" s="208" t="s">
        <v>8690</v>
      </c>
    </row>
    <row r="69" spans="2:12" x14ac:dyDescent="0.2">
      <c r="B69" s="208" t="s">
        <v>8691</v>
      </c>
    </row>
    <row r="76" spans="2:12" ht="9" customHeight="1" x14ac:dyDescent="0.2">
      <c r="B76" s="241"/>
      <c r="C76" s="241"/>
      <c r="D76" s="241"/>
      <c r="E76" s="241"/>
      <c r="F76" s="241"/>
      <c r="G76" s="241"/>
      <c r="H76" s="241"/>
      <c r="I76" s="241"/>
      <c r="J76" s="241"/>
      <c r="K76" s="241"/>
      <c r="L76" s="241"/>
    </row>
  </sheetData>
  <mergeCells count="4">
    <mergeCell ref="B76:L76"/>
    <mergeCell ref="B9:L11"/>
    <mergeCell ref="B7:L7"/>
    <mergeCell ref="B1:L1"/>
  </mergeCells>
  <printOptions horizontalCentered="1" verticalCentered="1"/>
  <pageMargins left="0.15748031496062992" right="0.11811023622047245" top="0.6" bottom="0.53" header="0.31496062992125984" footer="0.31496062992125984"/>
  <pageSetup scale="105" fitToWidth="0" orientation="portrait" r:id="rId1"/>
  <rowBreaks count="1" manualBreakCount="1">
    <brk id="46" min="1" max="11"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F5BA7-D301-44A2-97B1-60A0BE708E92}">
  <sheetPr>
    <tabColor rgb="FF082C64"/>
  </sheetPr>
  <dimension ref="A1"/>
  <sheetViews>
    <sheetView topLeftCell="A2" workbookViewId="0">
      <selection activeCell="P11" sqref="P11"/>
    </sheetView>
  </sheetViews>
  <sheetFormatPr defaultRowHeight="15" x14ac:dyDescent="0.2"/>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73" activePane="bottomRight" state="frozen"/>
      <selection activeCell="C4" sqref="C4"/>
      <selection pane="bottomLeft" activeCell="C4" sqref="C4"/>
      <selection pane="topRight" activeCell="C4" sqref="C4"/>
      <selection pane="bottomRight" activeCell="C22" sqref="C22"/>
    </sheetView>
  </sheetViews>
  <sheetFormatPr defaultColWidth="8.7421875" defaultRowHeight="15" x14ac:dyDescent="0.2"/>
  <cols>
    <col min="1" max="1" width="27.7109375" style="3" bestFit="1" customWidth="1"/>
    <col min="2" max="11" width="13.44921875" style="3" bestFit="1" customWidth="1"/>
    <col min="12" max="16384" width="8.7421875" style="3"/>
  </cols>
  <sheetData>
    <row r="1" spans="1:11" s="1" customFormat="1" x14ac:dyDescent="0.2">
      <c r="A1" s="1" t="s">
        <v>0</v>
      </c>
      <c r="B1" s="1" t="s">
        <v>33</v>
      </c>
      <c r="E1" s="243" t="str">
        <f>IF(B2&lt;&gt;B3, "A NEW VERSION OF THE WORKSHEET IS AVAILABLE", "")</f>
        <v/>
      </c>
      <c r="F1" s="243"/>
      <c r="G1" s="243"/>
      <c r="H1" s="243"/>
      <c r="I1" s="243"/>
      <c r="J1" s="243"/>
      <c r="K1" s="243"/>
    </row>
    <row r="2" spans="1:11" x14ac:dyDescent="0.2">
      <c r="A2" s="1" t="s">
        <v>31</v>
      </c>
      <c r="B2" s="3">
        <v>2.1</v>
      </c>
      <c r="E2" s="244" t="s">
        <v>21</v>
      </c>
      <c r="F2" s="244"/>
      <c r="G2" s="244"/>
      <c r="H2" s="244"/>
      <c r="I2" s="244"/>
      <c r="J2" s="244"/>
      <c r="K2" s="244"/>
    </row>
    <row r="3" spans="1:11" x14ac:dyDescent="0.2">
      <c r="A3" s="1" t="s">
        <v>32</v>
      </c>
      <c r="B3" s="3">
        <v>2.1</v>
      </c>
    </row>
    <row r="4" spans="1:11" x14ac:dyDescent="0.2">
      <c r="A4" s="1"/>
    </row>
    <row r="5" spans="1:11" x14ac:dyDescent="0.2">
      <c r="A5" s="1" t="s">
        <v>34</v>
      </c>
    </row>
    <row r="6" spans="1:11" x14ac:dyDescent="0.2">
      <c r="A6" s="3" t="s">
        <v>27</v>
      </c>
      <c r="B6" s="3">
        <f>IF(B9&gt;0, B9/B8, 0)</f>
        <v>1252.6662843197071</v>
      </c>
    </row>
    <row r="7" spans="1:11" x14ac:dyDescent="0.2">
      <c r="A7" s="3" t="s">
        <v>16</v>
      </c>
      <c r="B7">
        <v>1</v>
      </c>
    </row>
    <row r="8" spans="1:11" x14ac:dyDescent="0.2">
      <c r="A8" s="3" t="s">
        <v>28</v>
      </c>
      <c r="B8">
        <v>409.75</v>
      </c>
    </row>
    <row r="9" spans="1:11" x14ac:dyDescent="0.2">
      <c r="A9" s="3" t="s">
        <v>44</v>
      </c>
      <c r="B9">
        <v>513280.01</v>
      </c>
    </row>
    <row r="15" spans="1:11" x14ac:dyDescent="0.2">
      <c r="A15" s="1" t="s">
        <v>22</v>
      </c>
    </row>
    <row r="16" spans="1:11" s="7" customFormat="1" x14ac:dyDescent="0.2">
      <c r="A16" s="6" t="s">
        <v>23</v>
      </c>
      <c r="B16" s="5">
        <v>42460</v>
      </c>
      <c r="C16" s="5">
        <v>42825</v>
      </c>
      <c r="D16" s="5">
        <v>43190</v>
      </c>
      <c r="E16" s="5">
        <v>43555</v>
      </c>
      <c r="F16" s="5">
        <v>43921</v>
      </c>
      <c r="G16" s="5">
        <v>44286</v>
      </c>
      <c r="H16" s="5">
        <v>44651</v>
      </c>
      <c r="I16" s="5">
        <v>45016</v>
      </c>
      <c r="J16" s="5">
        <v>45382</v>
      </c>
      <c r="K16" s="5">
        <v>45747</v>
      </c>
    </row>
    <row r="17" spans="1:11" s="4" customFormat="1" x14ac:dyDescent="0.2">
      <c r="A17" s="4" t="s">
        <v>1</v>
      </c>
      <c r="B17">
        <v>39192.1</v>
      </c>
      <c r="C17">
        <v>42767.6</v>
      </c>
      <c r="D17">
        <v>43448.94</v>
      </c>
      <c r="E17">
        <v>48339.58</v>
      </c>
      <c r="F17">
        <v>49387.7</v>
      </c>
      <c r="G17">
        <v>49257.45</v>
      </c>
      <c r="H17">
        <v>60644.54</v>
      </c>
      <c r="I17">
        <v>70919.03</v>
      </c>
      <c r="J17">
        <v>67931.94</v>
      </c>
      <c r="K17">
        <v>75323.34</v>
      </c>
    </row>
    <row r="18" spans="1:11" s="4" customFormat="1" x14ac:dyDescent="0.2">
      <c r="A18" s="3" t="s">
        <v>45</v>
      </c>
      <c r="B18">
        <v>13763.88</v>
      </c>
      <c r="C18">
        <v>15456.59</v>
      </c>
      <c r="D18">
        <v>14827.72</v>
      </c>
      <c r="E18">
        <v>17623.52</v>
      </c>
      <c r="F18">
        <v>18048.599999999999</v>
      </c>
      <c r="G18">
        <v>20776.71</v>
      </c>
      <c r="H18">
        <v>27071.07</v>
      </c>
      <c r="I18">
        <v>29364.36</v>
      </c>
      <c r="J18">
        <v>27348.57</v>
      </c>
      <c r="K18">
        <v>32704.37</v>
      </c>
    </row>
    <row r="19" spans="1:11" s="4" customFormat="1" x14ac:dyDescent="0.2">
      <c r="A19" s="3" t="s">
        <v>46</v>
      </c>
      <c r="B19">
        <v>195.38</v>
      </c>
      <c r="C19">
        <v>-592.57000000000005</v>
      </c>
      <c r="D19">
        <v>-1027.76</v>
      </c>
      <c r="E19">
        <v>203.19</v>
      </c>
      <c r="F19">
        <v>703.13</v>
      </c>
      <c r="G19">
        <v>645.27</v>
      </c>
      <c r="H19">
        <v>686</v>
      </c>
      <c r="I19">
        <v>358.59</v>
      </c>
      <c r="J19">
        <v>367.77</v>
      </c>
      <c r="K19">
        <v>725.65</v>
      </c>
    </row>
    <row r="20" spans="1:11" s="4" customFormat="1" x14ac:dyDescent="0.2">
      <c r="A20" s="3" t="s">
        <v>47</v>
      </c>
      <c r="B20">
        <v>571.88</v>
      </c>
      <c r="C20">
        <v>584.33000000000004</v>
      </c>
      <c r="D20">
        <v>653.5</v>
      </c>
      <c r="E20">
        <v>746.73</v>
      </c>
      <c r="F20">
        <v>780.85</v>
      </c>
      <c r="G20">
        <v>699.56</v>
      </c>
      <c r="H20">
        <v>889.77</v>
      </c>
      <c r="I20">
        <v>1232.3399999999999</v>
      </c>
      <c r="J20">
        <v>952.9</v>
      </c>
      <c r="K20">
        <v>975.35</v>
      </c>
    </row>
    <row r="21" spans="1:11" s="4" customFormat="1" x14ac:dyDescent="0.2">
      <c r="A21" s="3" t="s">
        <v>48</v>
      </c>
      <c r="B21">
        <v>1581.59</v>
      </c>
      <c r="C21">
        <v>1683.9</v>
      </c>
      <c r="D21">
        <v>1697.62</v>
      </c>
      <c r="E21">
        <v>1871.01</v>
      </c>
      <c r="F21">
        <v>1908.29</v>
      </c>
      <c r="G21">
        <v>1587.18</v>
      </c>
      <c r="H21">
        <v>1887.67</v>
      </c>
      <c r="I21">
        <v>2327.8000000000002</v>
      </c>
      <c r="J21">
        <v>2183.7600000000002</v>
      </c>
      <c r="K21">
        <v>2345.36</v>
      </c>
    </row>
    <row r="22" spans="1:11" s="4" customFormat="1" x14ac:dyDescent="0.2">
      <c r="A22" s="3" t="s">
        <v>49</v>
      </c>
      <c r="B22">
        <v>3440.97</v>
      </c>
      <c r="C22">
        <v>3631.73</v>
      </c>
      <c r="D22">
        <v>3760.9</v>
      </c>
      <c r="E22">
        <v>4177.88</v>
      </c>
      <c r="F22">
        <v>4295.79</v>
      </c>
      <c r="G22">
        <v>4463.33</v>
      </c>
      <c r="H22">
        <v>4890.55</v>
      </c>
      <c r="I22">
        <v>5736.22</v>
      </c>
      <c r="J22">
        <v>5548.53</v>
      </c>
      <c r="K22">
        <v>6169.78</v>
      </c>
    </row>
    <row r="23" spans="1:11" s="4" customFormat="1" x14ac:dyDescent="0.2">
      <c r="A23" s="3" t="s">
        <v>50</v>
      </c>
      <c r="B23">
        <v>4261.78</v>
      </c>
      <c r="C23">
        <v>4179.74</v>
      </c>
      <c r="D23">
        <v>3954.87</v>
      </c>
      <c r="E23">
        <v>4546.3900000000003</v>
      </c>
      <c r="F23">
        <v>4488.63</v>
      </c>
      <c r="G23">
        <v>4236.7700000000004</v>
      </c>
      <c r="H23">
        <v>4858.38</v>
      </c>
      <c r="I23">
        <v>5604.08</v>
      </c>
      <c r="J23">
        <v>5312.45</v>
      </c>
      <c r="K23">
        <v>5793.29</v>
      </c>
    </row>
    <row r="24" spans="1:11" s="4" customFormat="1" x14ac:dyDescent="0.2">
      <c r="A24" s="3" t="s">
        <v>51</v>
      </c>
      <c r="B24">
        <v>1235.8900000000001</v>
      </c>
      <c r="C24">
        <v>1169.23</v>
      </c>
      <c r="D24">
        <v>1005.98</v>
      </c>
      <c r="E24">
        <v>1039.8499999999999</v>
      </c>
      <c r="F24">
        <v>1225.1300000000001</v>
      </c>
      <c r="G24">
        <v>1074.3900000000001</v>
      </c>
      <c r="H24">
        <v>1109.95</v>
      </c>
      <c r="I24">
        <v>1308.56</v>
      </c>
      <c r="J24">
        <v>1765.97</v>
      </c>
      <c r="K24">
        <v>2221.39</v>
      </c>
    </row>
    <row r="25" spans="1:11" s="4" customFormat="1" x14ac:dyDescent="0.2">
      <c r="A25" s="4" t="s">
        <v>4</v>
      </c>
      <c r="B25">
        <v>1483.11</v>
      </c>
      <c r="C25">
        <v>1758.63</v>
      </c>
      <c r="D25">
        <v>2239.81</v>
      </c>
      <c r="E25">
        <v>2080.44</v>
      </c>
      <c r="F25">
        <v>2417.3200000000002</v>
      </c>
      <c r="G25">
        <v>2576.9499999999998</v>
      </c>
      <c r="H25">
        <v>1909.72</v>
      </c>
      <c r="I25">
        <v>2097.64</v>
      </c>
      <c r="J25">
        <v>3330.45</v>
      </c>
      <c r="K25">
        <v>17794.88</v>
      </c>
    </row>
    <row r="26" spans="1:11" s="4" customFormat="1" x14ac:dyDescent="0.2">
      <c r="A26" s="4" t="s">
        <v>5</v>
      </c>
      <c r="B26">
        <v>1077.4000000000001</v>
      </c>
      <c r="C26">
        <v>1152.79</v>
      </c>
      <c r="D26">
        <v>1236.28</v>
      </c>
      <c r="E26">
        <v>1396.61</v>
      </c>
      <c r="F26">
        <v>1644.91</v>
      </c>
      <c r="G26">
        <v>1645.59</v>
      </c>
      <c r="H26">
        <v>1732.41</v>
      </c>
      <c r="I26">
        <v>1809.01</v>
      </c>
      <c r="J26">
        <v>1518.05</v>
      </c>
      <c r="K26">
        <v>1646.32</v>
      </c>
    </row>
    <row r="27" spans="1:11" s="4" customFormat="1" x14ac:dyDescent="0.2">
      <c r="A27" s="4" t="s">
        <v>6</v>
      </c>
      <c r="B27">
        <v>78.13</v>
      </c>
      <c r="C27">
        <v>49.03</v>
      </c>
      <c r="D27">
        <v>115.01</v>
      </c>
      <c r="E27">
        <v>71.400000000000006</v>
      </c>
      <c r="F27">
        <v>81.38</v>
      </c>
      <c r="G27">
        <v>57.97</v>
      </c>
      <c r="H27">
        <v>59.99</v>
      </c>
      <c r="I27">
        <v>77.77</v>
      </c>
      <c r="J27">
        <v>39.11</v>
      </c>
      <c r="K27">
        <v>45.06</v>
      </c>
    </row>
    <row r="28" spans="1:11" s="4" customFormat="1" x14ac:dyDescent="0.2">
      <c r="A28" s="4" t="s">
        <v>7</v>
      </c>
      <c r="B28">
        <v>14859.07</v>
      </c>
      <c r="C28">
        <v>16026.32</v>
      </c>
      <c r="D28">
        <v>17409.11</v>
      </c>
      <c r="E28">
        <v>19149.82</v>
      </c>
      <c r="F28">
        <v>20034.57</v>
      </c>
      <c r="G28">
        <v>17938.169999999998</v>
      </c>
      <c r="H28">
        <v>20740.47</v>
      </c>
      <c r="I28">
        <v>25915.119999999999</v>
      </c>
      <c r="J28">
        <v>26960.82</v>
      </c>
      <c r="K28">
        <v>41942.949999999997</v>
      </c>
    </row>
    <row r="29" spans="1:11" s="4" customFormat="1" x14ac:dyDescent="0.2">
      <c r="A29" s="4" t="s">
        <v>8</v>
      </c>
      <c r="B29">
        <v>5358.21</v>
      </c>
      <c r="C29">
        <v>5549.09</v>
      </c>
      <c r="D29">
        <v>5916.43</v>
      </c>
      <c r="E29">
        <v>6313.92</v>
      </c>
      <c r="F29">
        <v>4441.79</v>
      </c>
      <c r="G29">
        <v>4555.29</v>
      </c>
      <c r="H29">
        <v>5237.34</v>
      </c>
      <c r="I29">
        <v>6438.4</v>
      </c>
      <c r="J29">
        <v>6209.46</v>
      </c>
      <c r="K29">
        <v>6890.47</v>
      </c>
    </row>
    <row r="30" spans="1:11" s="4" customFormat="1" x14ac:dyDescent="0.2">
      <c r="A30" s="4" t="s">
        <v>9</v>
      </c>
      <c r="B30">
        <v>9344.4500000000007</v>
      </c>
      <c r="C30">
        <v>10289.44</v>
      </c>
      <c r="D30">
        <v>11271.2</v>
      </c>
      <c r="E30">
        <v>12592.33</v>
      </c>
      <c r="F30">
        <v>15306.23</v>
      </c>
      <c r="G30">
        <v>13161.19</v>
      </c>
      <c r="H30">
        <v>15242.66</v>
      </c>
      <c r="I30">
        <v>19191.66</v>
      </c>
      <c r="J30">
        <v>20458.78</v>
      </c>
      <c r="K30">
        <v>34746.629999999997</v>
      </c>
    </row>
    <row r="31" spans="1:11" s="4" customFormat="1" x14ac:dyDescent="0.2">
      <c r="A31" s="4" t="s">
        <v>35</v>
      </c>
      <c r="B31">
        <v>6840.12</v>
      </c>
      <c r="C31">
        <v>5770.02</v>
      </c>
      <c r="D31">
        <v>6285.21</v>
      </c>
      <c r="E31">
        <v>7048.7</v>
      </c>
      <c r="F31">
        <v>12476.58</v>
      </c>
      <c r="G31">
        <v>13231.96</v>
      </c>
      <c r="H31">
        <v>14171.8</v>
      </c>
      <c r="I31">
        <v>19263.400000000001</v>
      </c>
      <c r="J31">
        <v>17166.46</v>
      </c>
      <c r="K31">
        <v>17957.73</v>
      </c>
    </row>
    <row r="32" spans="1:11" s="4" customFormat="1" x14ac:dyDescent="0.2"/>
    <row r="33" spans="1:11" x14ac:dyDescent="0.2">
      <c r="A33" s="4"/>
    </row>
    <row r="34" spans="1:11" x14ac:dyDescent="0.2">
      <c r="A34" s="4"/>
    </row>
    <row r="35" spans="1:11" x14ac:dyDescent="0.2">
      <c r="A35" s="4"/>
    </row>
    <row r="36" spans="1:11" x14ac:dyDescent="0.2">
      <c r="A36" s="4"/>
    </row>
    <row r="37" spans="1:11" x14ac:dyDescent="0.2">
      <c r="A37" s="4"/>
    </row>
    <row r="38" spans="1:11" x14ac:dyDescent="0.2">
      <c r="A38" s="4"/>
    </row>
    <row r="39" spans="1:11" x14ac:dyDescent="0.2">
      <c r="A39" s="4"/>
    </row>
    <row r="40" spans="1:11" x14ac:dyDescent="0.2">
      <c r="A40" s="1" t="s">
        <v>24</v>
      </c>
    </row>
    <row r="41" spans="1:11" s="7" customFormat="1" x14ac:dyDescent="0.2">
      <c r="A41" s="6" t="s">
        <v>23</v>
      </c>
      <c r="B41" s="5">
        <v>45016</v>
      </c>
      <c r="C41" s="5">
        <v>45107</v>
      </c>
      <c r="D41" s="5">
        <v>45199</v>
      </c>
      <c r="E41" s="5">
        <v>45291</v>
      </c>
      <c r="F41" s="5">
        <v>45382</v>
      </c>
      <c r="G41" s="5">
        <v>45473</v>
      </c>
      <c r="H41" s="5">
        <v>45565</v>
      </c>
      <c r="I41" s="5">
        <v>45657</v>
      </c>
      <c r="J41" s="5">
        <v>45747</v>
      </c>
      <c r="K41" s="5">
        <v>45838</v>
      </c>
    </row>
    <row r="42" spans="1:11" s="4" customFormat="1" x14ac:dyDescent="0.2">
      <c r="A42" s="4" t="s">
        <v>1</v>
      </c>
      <c r="B42">
        <v>17634.89</v>
      </c>
      <c r="C42">
        <v>17164.46</v>
      </c>
      <c r="D42">
        <v>17774.47</v>
      </c>
      <c r="E42">
        <v>17195.240000000002</v>
      </c>
      <c r="F42">
        <v>17037.8</v>
      </c>
      <c r="G42">
        <v>17777.810000000001</v>
      </c>
      <c r="H42">
        <v>19990.36</v>
      </c>
      <c r="I42">
        <v>18790.169999999998</v>
      </c>
      <c r="J42">
        <v>18765</v>
      </c>
      <c r="K42">
        <v>21494.79</v>
      </c>
    </row>
    <row r="43" spans="1:11" s="4" customFormat="1" x14ac:dyDescent="0.2">
      <c r="A43" s="4" t="s">
        <v>2</v>
      </c>
      <c r="B43">
        <v>11010.89</v>
      </c>
      <c r="C43">
        <v>10494.39</v>
      </c>
      <c r="D43">
        <v>11320.23</v>
      </c>
      <c r="E43">
        <v>10985.01</v>
      </c>
      <c r="F43">
        <v>10735.73</v>
      </c>
      <c r="G43">
        <v>11232.97</v>
      </c>
      <c r="H43">
        <v>13438.28</v>
      </c>
      <c r="I43">
        <v>12428.27</v>
      </c>
      <c r="J43">
        <v>12245.61</v>
      </c>
      <c r="K43">
        <v>14678.32</v>
      </c>
    </row>
    <row r="44" spans="1:11" s="4" customFormat="1" x14ac:dyDescent="0.2">
      <c r="A44" s="4" t="s">
        <v>4</v>
      </c>
      <c r="B44">
        <v>682.52</v>
      </c>
      <c r="C44">
        <v>722.3</v>
      </c>
      <c r="D44">
        <v>673.5</v>
      </c>
      <c r="E44">
        <v>820.26</v>
      </c>
      <c r="F44">
        <v>868</v>
      </c>
      <c r="G44">
        <v>771.13</v>
      </c>
      <c r="H44">
        <v>690.31</v>
      </c>
      <c r="I44">
        <v>803.4</v>
      </c>
      <c r="J44">
        <v>15391.28</v>
      </c>
      <c r="K44">
        <v>750.97</v>
      </c>
    </row>
    <row r="45" spans="1:11" s="4" customFormat="1" x14ac:dyDescent="0.2">
      <c r="A45" s="4" t="s">
        <v>5</v>
      </c>
      <c r="B45">
        <v>461.4</v>
      </c>
      <c r="C45">
        <v>442.46</v>
      </c>
      <c r="D45">
        <v>453.04</v>
      </c>
      <c r="E45">
        <v>384.04</v>
      </c>
      <c r="F45">
        <v>385.09</v>
      </c>
      <c r="G45">
        <v>403.13</v>
      </c>
      <c r="H45">
        <v>416.18</v>
      </c>
      <c r="I45">
        <v>415.98</v>
      </c>
      <c r="J45">
        <v>411.03</v>
      </c>
      <c r="K45">
        <v>422.96</v>
      </c>
    </row>
    <row r="46" spans="1:11" s="4" customFormat="1" x14ac:dyDescent="0.2">
      <c r="A46" s="4" t="s">
        <v>6</v>
      </c>
      <c r="B46">
        <v>12.15</v>
      </c>
      <c r="C46">
        <v>9.9</v>
      </c>
      <c r="D46">
        <v>9.8699999999999992</v>
      </c>
      <c r="E46">
        <v>11.94</v>
      </c>
      <c r="F46">
        <v>10.72</v>
      </c>
      <c r="G46">
        <v>9.6</v>
      </c>
      <c r="H46">
        <v>14.73</v>
      </c>
      <c r="I46">
        <v>9.82</v>
      </c>
      <c r="J46">
        <v>10.91</v>
      </c>
      <c r="K46">
        <v>16.47</v>
      </c>
    </row>
    <row r="47" spans="1:11" s="4" customFormat="1" x14ac:dyDescent="0.2">
      <c r="A47" s="4" t="s">
        <v>7</v>
      </c>
      <c r="B47">
        <v>6832.97</v>
      </c>
      <c r="C47">
        <v>6940.01</v>
      </c>
      <c r="D47">
        <v>6664.83</v>
      </c>
      <c r="E47">
        <v>6634.51</v>
      </c>
      <c r="F47">
        <v>6774.26</v>
      </c>
      <c r="G47">
        <v>6903.24</v>
      </c>
      <c r="H47">
        <v>6811.48</v>
      </c>
      <c r="I47">
        <v>6739.5</v>
      </c>
      <c r="J47">
        <v>21488.73</v>
      </c>
      <c r="K47">
        <v>7128.01</v>
      </c>
    </row>
    <row r="48" spans="1:11" s="4" customFormat="1" x14ac:dyDescent="0.2">
      <c r="A48" s="4" t="s">
        <v>8</v>
      </c>
      <c r="B48">
        <v>1607.95</v>
      </c>
      <c r="C48">
        <v>1759.89</v>
      </c>
      <c r="D48">
        <v>1700.31</v>
      </c>
      <c r="E48">
        <v>1227.99</v>
      </c>
      <c r="F48">
        <v>1583.55</v>
      </c>
      <c r="G48">
        <v>1726.25</v>
      </c>
      <c r="H48">
        <v>1757.05</v>
      </c>
      <c r="I48">
        <v>1726.32</v>
      </c>
      <c r="J48">
        <v>1680.85</v>
      </c>
      <c r="K48">
        <v>1784.6</v>
      </c>
    </row>
    <row r="49" spans="1:11" s="4" customFormat="1" x14ac:dyDescent="0.2">
      <c r="A49" s="4" t="s">
        <v>9</v>
      </c>
      <c r="B49">
        <v>5175.4799999999996</v>
      </c>
      <c r="C49">
        <v>5104.93</v>
      </c>
      <c r="D49">
        <v>4898.07</v>
      </c>
      <c r="E49">
        <v>5335.23</v>
      </c>
      <c r="F49">
        <v>5120.55</v>
      </c>
      <c r="G49">
        <v>5091.59</v>
      </c>
      <c r="H49">
        <v>4992.87</v>
      </c>
      <c r="I49">
        <v>4934.8</v>
      </c>
      <c r="J49">
        <v>19727.37</v>
      </c>
      <c r="K49">
        <v>5244.2</v>
      </c>
    </row>
    <row r="50" spans="1:11" x14ac:dyDescent="0.2">
      <c r="A50" s="4" t="s">
        <v>3</v>
      </c>
      <c r="B50">
        <v>6624</v>
      </c>
      <c r="C50">
        <v>6670.07</v>
      </c>
      <c r="D50">
        <v>6454.24</v>
      </c>
      <c r="E50">
        <v>6210.23</v>
      </c>
      <c r="F50">
        <v>6302.07</v>
      </c>
      <c r="G50">
        <v>6544.84</v>
      </c>
      <c r="H50">
        <v>6552.08</v>
      </c>
      <c r="I50">
        <v>6361.9</v>
      </c>
      <c r="J50">
        <v>6519.39</v>
      </c>
      <c r="K50">
        <v>6816.47</v>
      </c>
    </row>
    <row r="51" spans="1:11" x14ac:dyDescent="0.2">
      <c r="A51" s="4"/>
    </row>
    <row r="52" spans="1:11" x14ac:dyDescent="0.2">
      <c r="A52" s="4"/>
    </row>
    <row r="53" spans="1:11" x14ac:dyDescent="0.2">
      <c r="A53" s="4"/>
    </row>
    <row r="54" spans="1:11" x14ac:dyDescent="0.2">
      <c r="A54" s="4"/>
    </row>
    <row r="55" spans="1:11" x14ac:dyDescent="0.2">
      <c r="A55" s="1" t="s">
        <v>25</v>
      </c>
    </row>
    <row r="56" spans="1:11" s="7" customFormat="1" x14ac:dyDescent="0.2">
      <c r="A56" s="6" t="s">
        <v>23</v>
      </c>
      <c r="B56" s="5">
        <v>42460</v>
      </c>
      <c r="C56" s="5">
        <v>42825</v>
      </c>
      <c r="D56" s="5">
        <v>43190</v>
      </c>
      <c r="E56" s="5">
        <v>43555</v>
      </c>
      <c r="F56" s="5">
        <v>43921</v>
      </c>
      <c r="G56" s="5">
        <v>44286</v>
      </c>
      <c r="H56" s="5">
        <v>44651</v>
      </c>
      <c r="I56" s="5">
        <v>45016</v>
      </c>
      <c r="J56" s="5">
        <v>45382</v>
      </c>
      <c r="K56" s="5">
        <v>45747</v>
      </c>
    </row>
    <row r="57" spans="1:11" x14ac:dyDescent="0.2">
      <c r="A57" s="4" t="s">
        <v>10</v>
      </c>
      <c r="B57">
        <v>804.72</v>
      </c>
      <c r="C57">
        <v>1214.74</v>
      </c>
      <c r="D57">
        <v>1220.43</v>
      </c>
      <c r="E57">
        <v>1225.8599999999999</v>
      </c>
      <c r="F57">
        <v>1229.22</v>
      </c>
      <c r="G57">
        <v>1230.8800000000001</v>
      </c>
      <c r="H57">
        <v>1232.33</v>
      </c>
      <c r="I57">
        <v>1242.8</v>
      </c>
      <c r="J57">
        <v>1248.47</v>
      </c>
      <c r="K57">
        <v>1251.4100000000001</v>
      </c>
    </row>
    <row r="58" spans="1:11" x14ac:dyDescent="0.2">
      <c r="A58" s="4" t="s">
        <v>11</v>
      </c>
      <c r="B58">
        <v>41874.800000000003</v>
      </c>
      <c r="C58">
        <v>45198.19</v>
      </c>
      <c r="D58">
        <v>51289.68</v>
      </c>
      <c r="E58">
        <v>57915.01</v>
      </c>
      <c r="F58">
        <v>64044.04</v>
      </c>
      <c r="G58">
        <v>59116.46</v>
      </c>
      <c r="H58">
        <v>61223.24</v>
      </c>
      <c r="I58">
        <v>67912.460000000006</v>
      </c>
      <c r="J58">
        <v>73258.53</v>
      </c>
      <c r="K58">
        <v>68778.64</v>
      </c>
    </row>
    <row r="59" spans="1:11" x14ac:dyDescent="0.2">
      <c r="A59" s="4" t="s">
        <v>36</v>
      </c>
      <c r="B59">
        <v>83.78</v>
      </c>
      <c r="C59">
        <v>45.72</v>
      </c>
      <c r="D59">
        <v>35.92</v>
      </c>
      <c r="E59">
        <v>13.44</v>
      </c>
      <c r="F59">
        <v>277.45</v>
      </c>
      <c r="G59">
        <v>270.83</v>
      </c>
      <c r="H59">
        <v>249.44</v>
      </c>
      <c r="I59">
        <v>306.04000000000002</v>
      </c>
      <c r="J59">
        <v>303.43</v>
      </c>
      <c r="K59">
        <v>284.54000000000002</v>
      </c>
    </row>
    <row r="60" spans="1:11" x14ac:dyDescent="0.2">
      <c r="A60" s="4" t="s">
        <v>37</v>
      </c>
      <c r="B60">
        <v>8888.0400000000009</v>
      </c>
      <c r="C60">
        <v>9439.67</v>
      </c>
      <c r="D60">
        <v>11694.85</v>
      </c>
      <c r="E60">
        <v>12584.73</v>
      </c>
      <c r="F60">
        <v>11760.04</v>
      </c>
      <c r="G60">
        <v>13142.59</v>
      </c>
      <c r="H60">
        <v>14491.01</v>
      </c>
      <c r="I60">
        <v>16369.66</v>
      </c>
      <c r="J60">
        <v>16943.54</v>
      </c>
      <c r="K60">
        <v>17688.11</v>
      </c>
    </row>
    <row r="61" spans="1:11" s="1" customFormat="1" x14ac:dyDescent="0.2">
      <c r="A61" s="1" t="s">
        <v>12</v>
      </c>
      <c r="B61">
        <v>51651.34</v>
      </c>
      <c r="C61">
        <v>55898.32</v>
      </c>
      <c r="D61">
        <v>64240.88</v>
      </c>
      <c r="E61">
        <v>71739.039999999994</v>
      </c>
      <c r="F61">
        <v>77310.75</v>
      </c>
      <c r="G61">
        <v>73760.759999999995</v>
      </c>
      <c r="H61">
        <v>77196.02</v>
      </c>
      <c r="I61">
        <v>85830.96</v>
      </c>
      <c r="J61">
        <v>91753.97</v>
      </c>
      <c r="K61">
        <v>88002.7</v>
      </c>
    </row>
    <row r="62" spans="1:11" x14ac:dyDescent="0.2">
      <c r="A62" s="4" t="s">
        <v>13</v>
      </c>
      <c r="B62">
        <v>15106.63</v>
      </c>
      <c r="C62">
        <v>15893.48</v>
      </c>
      <c r="D62">
        <v>16523.96</v>
      </c>
      <c r="E62">
        <v>19374.189999999999</v>
      </c>
      <c r="F62">
        <v>21713.34</v>
      </c>
      <c r="G62">
        <v>23298.48</v>
      </c>
      <c r="H62">
        <v>24231.59</v>
      </c>
      <c r="I62">
        <v>25851.27</v>
      </c>
      <c r="J62">
        <v>27820.22</v>
      </c>
      <c r="K62">
        <v>21954.85</v>
      </c>
    </row>
    <row r="63" spans="1:11" x14ac:dyDescent="0.2">
      <c r="A63" s="4" t="s">
        <v>14</v>
      </c>
      <c r="B63">
        <v>2559.7199999999998</v>
      </c>
      <c r="C63">
        <v>3729.89</v>
      </c>
      <c r="D63">
        <v>5508.33</v>
      </c>
      <c r="E63">
        <v>4136.42</v>
      </c>
      <c r="F63">
        <v>3256.46</v>
      </c>
      <c r="G63">
        <v>4011.29</v>
      </c>
      <c r="H63">
        <v>3225.54</v>
      </c>
      <c r="I63">
        <v>3003.3</v>
      </c>
      <c r="J63">
        <v>2860.78</v>
      </c>
      <c r="K63">
        <v>1090.9100000000001</v>
      </c>
    </row>
    <row r="64" spans="1:11" x14ac:dyDescent="0.2">
      <c r="A64" s="4" t="s">
        <v>15</v>
      </c>
      <c r="B64">
        <v>11747.59</v>
      </c>
      <c r="C64">
        <v>17581.38</v>
      </c>
      <c r="D64">
        <v>22052.86</v>
      </c>
      <c r="E64">
        <v>25043.49</v>
      </c>
      <c r="F64">
        <v>28663.35</v>
      </c>
      <c r="G64">
        <v>24870.87</v>
      </c>
      <c r="H64">
        <v>24841.01</v>
      </c>
      <c r="I64">
        <v>29415.02</v>
      </c>
      <c r="J64">
        <v>31114.02</v>
      </c>
      <c r="K64">
        <v>34719.82</v>
      </c>
    </row>
    <row r="65" spans="1:11" x14ac:dyDescent="0.2">
      <c r="A65" s="4" t="s">
        <v>38</v>
      </c>
      <c r="B65">
        <v>22237.4</v>
      </c>
      <c r="C65">
        <v>18693.57</v>
      </c>
      <c r="D65">
        <v>20155.73</v>
      </c>
      <c r="E65">
        <v>23184.94</v>
      </c>
      <c r="F65">
        <v>23677.599999999999</v>
      </c>
      <c r="G65">
        <v>21580.12</v>
      </c>
      <c r="H65">
        <v>24897.88</v>
      </c>
      <c r="I65">
        <v>27561.37</v>
      </c>
      <c r="J65">
        <v>29958.95</v>
      </c>
      <c r="K65">
        <v>30237.119999999999</v>
      </c>
    </row>
    <row r="66" spans="1:11" s="1" customFormat="1" x14ac:dyDescent="0.2">
      <c r="A66" s="1" t="s">
        <v>12</v>
      </c>
      <c r="B66">
        <v>51651.34</v>
      </c>
      <c r="C66">
        <v>55898.32</v>
      </c>
      <c r="D66">
        <v>64240.88</v>
      </c>
      <c r="E66">
        <v>71739.039999999994</v>
      </c>
      <c r="F66">
        <v>77310.75</v>
      </c>
      <c r="G66">
        <v>73760.759999999995</v>
      </c>
      <c r="H66">
        <v>77196.02</v>
      </c>
      <c r="I66">
        <v>85830.96</v>
      </c>
      <c r="J66">
        <v>91753.97</v>
      </c>
      <c r="K66">
        <v>88002.7</v>
      </c>
    </row>
    <row r="67" spans="1:11" s="4" customFormat="1" x14ac:dyDescent="0.2">
      <c r="A67" s="4" t="s">
        <v>43</v>
      </c>
      <c r="B67">
        <v>1917.18</v>
      </c>
      <c r="C67">
        <v>2474.29</v>
      </c>
      <c r="D67">
        <v>2682.29</v>
      </c>
      <c r="E67">
        <v>4035.28</v>
      </c>
      <c r="F67">
        <v>2562.48</v>
      </c>
      <c r="G67">
        <v>2501.6999999999998</v>
      </c>
      <c r="H67">
        <v>2461.9</v>
      </c>
      <c r="I67">
        <v>2956.17</v>
      </c>
      <c r="J67">
        <v>4025.82</v>
      </c>
      <c r="K67">
        <v>4719.67</v>
      </c>
    </row>
    <row r="68" spans="1:11" x14ac:dyDescent="0.2">
      <c r="A68" s="4" t="s">
        <v>29</v>
      </c>
      <c r="B68">
        <v>9062.1</v>
      </c>
      <c r="C68">
        <v>8116.1</v>
      </c>
      <c r="D68">
        <v>7495.09</v>
      </c>
      <c r="E68">
        <v>7859.56</v>
      </c>
      <c r="F68">
        <v>8879.33</v>
      </c>
      <c r="G68">
        <v>10397.16</v>
      </c>
      <c r="H68">
        <v>10864.15</v>
      </c>
      <c r="I68">
        <v>11771.16</v>
      </c>
      <c r="J68">
        <v>14152.88</v>
      </c>
      <c r="K68">
        <v>15637.56</v>
      </c>
    </row>
    <row r="69" spans="1:11" x14ac:dyDescent="0.2">
      <c r="A69" s="3" t="s">
        <v>52</v>
      </c>
      <c r="B69">
        <v>6063.3</v>
      </c>
      <c r="C69">
        <v>2967.4</v>
      </c>
      <c r="D69">
        <v>2899.6</v>
      </c>
      <c r="E69">
        <v>4152.03</v>
      </c>
      <c r="F69">
        <v>7277.34</v>
      </c>
      <c r="G69">
        <v>4659.0200000000004</v>
      </c>
      <c r="H69">
        <v>4654.42</v>
      </c>
      <c r="I69">
        <v>4880.1899999999996</v>
      </c>
      <c r="J69">
        <v>7217.68</v>
      </c>
      <c r="K69">
        <v>4012.36</v>
      </c>
    </row>
    <row r="70" spans="1:11" x14ac:dyDescent="0.2">
      <c r="A70" s="3" t="s">
        <v>39</v>
      </c>
      <c r="B70">
        <v>8047206991</v>
      </c>
      <c r="C70">
        <v>12147383071</v>
      </c>
      <c r="D70">
        <v>12204294911</v>
      </c>
      <c r="E70">
        <v>12258631601</v>
      </c>
      <c r="F70">
        <v>12292231241</v>
      </c>
      <c r="G70">
        <v>12308844231</v>
      </c>
      <c r="H70">
        <v>12323255931</v>
      </c>
      <c r="I70">
        <v>12428017741</v>
      </c>
      <c r="J70">
        <v>12484700000</v>
      </c>
      <c r="K70">
        <v>12514119781</v>
      </c>
    </row>
    <row r="71" spans="1:11" x14ac:dyDescent="0.2">
      <c r="A71" s="3" t="s">
        <v>40</v>
      </c>
      <c r="C71">
        <v>4026657100</v>
      </c>
    </row>
    <row r="72" spans="1:11" x14ac:dyDescent="0.2">
      <c r="A72" s="3" t="s">
        <v>53</v>
      </c>
      <c r="B72">
        <v>1</v>
      </c>
      <c r="C72">
        <v>1</v>
      </c>
      <c r="D72">
        <v>1</v>
      </c>
      <c r="E72">
        <v>1</v>
      </c>
      <c r="F72">
        <v>1</v>
      </c>
      <c r="G72">
        <v>1</v>
      </c>
      <c r="H72">
        <v>1</v>
      </c>
      <c r="I72">
        <v>1</v>
      </c>
      <c r="J72">
        <v>1</v>
      </c>
      <c r="K72">
        <v>1</v>
      </c>
    </row>
    <row r="74" spans="1:11" x14ac:dyDescent="0.2">
      <c r="A74" s="4"/>
    </row>
    <row r="75" spans="1:11" x14ac:dyDescent="0.2">
      <c r="A75" s="4"/>
    </row>
    <row r="76" spans="1:11" x14ac:dyDescent="0.2">
      <c r="A76" s="4"/>
    </row>
    <row r="77" spans="1:11" x14ac:dyDescent="0.2">
      <c r="A77" s="4"/>
    </row>
    <row r="78" spans="1:11" x14ac:dyDescent="0.2">
      <c r="A78" s="4"/>
    </row>
    <row r="79" spans="1:11" x14ac:dyDescent="0.2">
      <c r="A79" s="4"/>
    </row>
    <row r="80" spans="1:11" x14ac:dyDescent="0.2">
      <c r="A80" s="1" t="s">
        <v>26</v>
      </c>
    </row>
    <row r="81" spans="1:11" s="7" customFormat="1" x14ac:dyDescent="0.2">
      <c r="A81" s="6" t="s">
        <v>23</v>
      </c>
      <c r="B81" s="5">
        <v>42460</v>
      </c>
      <c r="C81" s="5">
        <v>42825</v>
      </c>
      <c r="D81" s="5">
        <v>43190</v>
      </c>
      <c r="E81" s="5">
        <v>43555</v>
      </c>
      <c r="F81" s="5">
        <v>43921</v>
      </c>
      <c r="G81" s="5">
        <v>44286</v>
      </c>
      <c r="H81" s="5">
        <v>44651</v>
      </c>
      <c r="I81" s="5">
        <v>45016</v>
      </c>
      <c r="J81" s="5">
        <v>45382</v>
      </c>
      <c r="K81" s="5">
        <v>45747</v>
      </c>
    </row>
    <row r="82" spans="1:11" s="1" customFormat="1" x14ac:dyDescent="0.2">
      <c r="A82" s="4" t="s">
        <v>17</v>
      </c>
      <c r="B82">
        <v>9799.0400000000009</v>
      </c>
      <c r="C82">
        <v>10627.31</v>
      </c>
      <c r="D82">
        <v>13169.4</v>
      </c>
      <c r="E82">
        <v>12583.41</v>
      </c>
      <c r="F82">
        <v>14689.66</v>
      </c>
      <c r="G82">
        <v>12526.97</v>
      </c>
      <c r="H82">
        <v>15775.51</v>
      </c>
      <c r="I82">
        <v>18877.55</v>
      </c>
      <c r="J82">
        <v>17178.86</v>
      </c>
      <c r="K82">
        <v>17627.04</v>
      </c>
    </row>
    <row r="83" spans="1:11" s="4" customFormat="1" x14ac:dyDescent="0.2">
      <c r="A83" s="4" t="s">
        <v>18</v>
      </c>
      <c r="B83">
        <v>-3920.73</v>
      </c>
      <c r="C83">
        <v>-3250.93</v>
      </c>
      <c r="D83">
        <v>-7113.89</v>
      </c>
      <c r="E83">
        <v>-5545.68</v>
      </c>
      <c r="F83">
        <v>-6174.02</v>
      </c>
      <c r="G83">
        <v>5739.98</v>
      </c>
      <c r="H83">
        <v>-2238.4899999999998</v>
      </c>
      <c r="I83">
        <v>-5732.29</v>
      </c>
      <c r="J83">
        <v>1562.77</v>
      </c>
      <c r="K83">
        <v>-563.84</v>
      </c>
    </row>
    <row r="84" spans="1:11" s="4" customFormat="1" x14ac:dyDescent="0.2">
      <c r="A84" s="4" t="s">
        <v>19</v>
      </c>
      <c r="B84">
        <v>-5612.52</v>
      </c>
      <c r="C84">
        <v>-7301.03</v>
      </c>
      <c r="D84">
        <v>-6221.13</v>
      </c>
      <c r="E84">
        <v>-6868.64</v>
      </c>
      <c r="F84">
        <v>-8181.48</v>
      </c>
      <c r="G84">
        <v>-18633.830000000002</v>
      </c>
      <c r="H84">
        <v>-13580.5</v>
      </c>
      <c r="I84">
        <v>-13006.03</v>
      </c>
      <c r="J84">
        <v>-18550.96</v>
      </c>
      <c r="K84">
        <v>-17037.400000000001</v>
      </c>
    </row>
    <row r="85" spans="1:11" s="1" customFormat="1" x14ac:dyDescent="0.2">
      <c r="A85" s="4" t="s">
        <v>20</v>
      </c>
      <c r="B85">
        <v>265.79000000000002</v>
      </c>
      <c r="C85">
        <v>75.349999999999994</v>
      </c>
      <c r="D85">
        <v>-165.62</v>
      </c>
      <c r="E85">
        <v>169.09</v>
      </c>
      <c r="F85">
        <v>334.16</v>
      </c>
      <c r="G85">
        <v>-366.88</v>
      </c>
      <c r="H85">
        <v>-43.48</v>
      </c>
      <c r="I85">
        <v>139.22999999999999</v>
      </c>
      <c r="J85">
        <v>190.67</v>
      </c>
      <c r="K85">
        <v>25.8</v>
      </c>
    </row>
    <row r="86" spans="1:11" x14ac:dyDescent="0.2">
      <c r="A86" s="4"/>
    </row>
    <row r="87" spans="1:11" x14ac:dyDescent="0.2">
      <c r="A87" s="4"/>
    </row>
    <row r="88" spans="1:11" x14ac:dyDescent="0.2">
      <c r="A88" s="4"/>
    </row>
    <row r="89" spans="1:11" x14ac:dyDescent="0.2">
      <c r="A89" s="4"/>
    </row>
    <row r="90" spans="1:11" s="1" customFormat="1" x14ac:dyDescent="0.2">
      <c r="A90" s="1" t="s">
        <v>42</v>
      </c>
      <c r="B90">
        <v>205.13</v>
      </c>
      <c r="C90">
        <v>262.75</v>
      </c>
      <c r="D90">
        <v>239.5</v>
      </c>
      <c r="E90">
        <v>278.64</v>
      </c>
      <c r="F90">
        <v>160.94999999999999</v>
      </c>
      <c r="G90">
        <v>204.82</v>
      </c>
      <c r="H90">
        <v>234.96</v>
      </c>
      <c r="I90">
        <v>359.49</v>
      </c>
      <c r="J90">
        <v>401.53</v>
      </c>
      <c r="K90">
        <v>409.75</v>
      </c>
    </row>
    <row r="92" spans="1:11" s="1" customFormat="1" x14ac:dyDescent="0.2">
      <c r="A92" s="1" t="s">
        <v>41</v>
      </c>
    </row>
    <row r="93" spans="1:11" x14ac:dyDescent="0.2">
      <c r="A93" s="3" t="s">
        <v>54</v>
      </c>
      <c r="B93" s="8">
        <v>1207.08</v>
      </c>
      <c r="C93" s="8">
        <v>1214.74</v>
      </c>
      <c r="D93" s="8">
        <v>1220.43</v>
      </c>
      <c r="E93" s="8">
        <v>1225.8599999999999</v>
      </c>
      <c r="F93" s="8">
        <v>1229.22</v>
      </c>
      <c r="G93" s="8">
        <v>1230.8800000000001</v>
      </c>
      <c r="H93" s="8">
        <v>1232.33</v>
      </c>
      <c r="I93" s="8">
        <v>1242.8</v>
      </c>
      <c r="J93" s="8">
        <v>1248.47</v>
      </c>
      <c r="K93" s="8">
        <v>1251.4100000000001</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4C792-B001-438A-9CA8-F8C68C77A0D1}">
  <dimension ref="B2:R35"/>
  <sheetViews>
    <sheetView showGridLines="0" tabSelected="1" topLeftCell="A8" workbookViewId="0">
      <selection activeCell="M24" sqref="M24"/>
    </sheetView>
  </sheetViews>
  <sheetFormatPr defaultRowHeight="15" x14ac:dyDescent="0.2"/>
  <cols>
    <col min="2" max="2" width="5.51171875" bestFit="1" customWidth="1"/>
    <col min="3" max="3" width="45.6015625" bestFit="1" customWidth="1"/>
    <col min="4" max="4" width="12.9140625" bestFit="1" customWidth="1"/>
    <col min="5" max="5" width="9.81640625" bestFit="1" customWidth="1"/>
    <col min="6" max="6" width="16.0078125" bestFit="1" customWidth="1"/>
    <col min="7" max="7" width="19.1015625" bestFit="1" customWidth="1"/>
    <col min="8" max="8" width="10.22265625" bestFit="1" customWidth="1"/>
    <col min="9" max="9" width="13.98828125" bestFit="1" customWidth="1"/>
    <col min="10" max="10" width="11.703125" bestFit="1" customWidth="1"/>
    <col min="11" max="11" width="10.4921875" bestFit="1" customWidth="1"/>
    <col min="12" max="12" width="12.375" bestFit="1" customWidth="1"/>
    <col min="13" max="13" width="12.9140625" bestFit="1" customWidth="1"/>
  </cols>
  <sheetData>
    <row r="2" spans="2:18" x14ac:dyDescent="0.2">
      <c r="B2" s="128" t="s">
        <v>160</v>
      </c>
      <c r="C2" s="128" t="s">
        <v>159</v>
      </c>
      <c r="D2" s="128" t="s">
        <v>158</v>
      </c>
      <c r="E2" s="129" t="s">
        <v>8671</v>
      </c>
      <c r="F2" s="129" t="s">
        <v>157</v>
      </c>
      <c r="G2" s="129" t="s">
        <v>44</v>
      </c>
      <c r="H2" s="129" t="s">
        <v>165</v>
      </c>
      <c r="I2" s="129" t="s">
        <v>8672</v>
      </c>
      <c r="J2" s="129" t="s">
        <v>156</v>
      </c>
      <c r="K2" s="129" t="s">
        <v>1</v>
      </c>
      <c r="L2" s="129" t="s">
        <v>66</v>
      </c>
      <c r="M2" s="129" t="s">
        <v>155</v>
      </c>
      <c r="N2" s="91" t="s">
        <v>8667</v>
      </c>
      <c r="O2" s="91" t="s">
        <v>8668</v>
      </c>
    </row>
    <row r="3" spans="2:18" x14ac:dyDescent="0.2">
      <c r="B3" s="29">
        <v>1</v>
      </c>
      <c r="C3" s="29" t="s">
        <v>303</v>
      </c>
      <c r="D3" t="s">
        <v>303</v>
      </c>
      <c r="E3" s="83">
        <v>409.75</v>
      </c>
      <c r="F3" s="83">
        <v>1252.67</v>
      </c>
      <c r="G3" s="27">
        <f>F3*E3</f>
        <v>513281.53250000003</v>
      </c>
      <c r="H3" s="83">
        <v>284.54000000000002</v>
      </c>
      <c r="I3" s="83">
        <v>4012.36</v>
      </c>
      <c r="J3" s="27">
        <f>G3+H3-I3</f>
        <v>509553.71250000002</v>
      </c>
      <c r="K3" s="83">
        <v>79040.320000000007</v>
      </c>
      <c r="L3" s="83">
        <v>43885.8</v>
      </c>
      <c r="M3" s="83">
        <v>35218.9</v>
      </c>
      <c r="N3" s="15">
        <v>0.2072</v>
      </c>
      <c r="O3" s="15">
        <v>0.27850000000000003</v>
      </c>
    </row>
    <row r="4" spans="2:18" x14ac:dyDescent="0.2">
      <c r="B4" s="29">
        <v>2</v>
      </c>
      <c r="C4" s="29" t="s">
        <v>302</v>
      </c>
      <c r="D4" t="s">
        <v>312</v>
      </c>
      <c r="E4" s="83">
        <v>2659.8</v>
      </c>
      <c r="F4" s="83">
        <v>234.96</v>
      </c>
      <c r="G4" s="27">
        <f>F4*E4</f>
        <v>624946.60800000001</v>
      </c>
      <c r="H4" s="83">
        <v>1648</v>
      </c>
      <c r="I4" s="83">
        <v>7554</v>
      </c>
      <c r="J4" s="27">
        <f>G4+H4-I4</f>
        <v>619040.60800000001</v>
      </c>
      <c r="K4" s="83">
        <v>63928</v>
      </c>
      <c r="L4" s="83">
        <v>16005</v>
      </c>
      <c r="M4" s="83">
        <v>10827</v>
      </c>
      <c r="N4" s="15">
        <v>0.2732</v>
      </c>
      <c r="O4" s="15">
        <v>0.3679</v>
      </c>
    </row>
    <row r="5" spans="2:18" x14ac:dyDescent="0.2">
      <c r="B5" s="29">
        <v>3</v>
      </c>
      <c r="C5" s="29" t="s">
        <v>304</v>
      </c>
      <c r="D5" t="s">
        <v>313</v>
      </c>
      <c r="E5" s="83">
        <v>1156.2</v>
      </c>
      <c r="F5" s="83">
        <v>192.83</v>
      </c>
      <c r="G5" s="27">
        <f t="shared" ref="G5:G12" si="0">F5*E5</f>
        <v>222950.04600000003</v>
      </c>
      <c r="H5" s="83">
        <v>1166.8499999999999</v>
      </c>
      <c r="I5" s="83">
        <v>95.65</v>
      </c>
      <c r="J5" s="27">
        <f t="shared" ref="J5:J12" si="1">G5+H5-I5</f>
        <v>224021.24600000004</v>
      </c>
      <c r="K5" s="83">
        <v>20483.77</v>
      </c>
      <c r="L5" s="83">
        <v>5074.24</v>
      </c>
      <c r="M5" s="83">
        <v>3227.13</v>
      </c>
      <c r="N5" s="15">
        <v>0.83019999999999994</v>
      </c>
      <c r="O5" s="15">
        <v>0.95660000000000001</v>
      </c>
    </row>
    <row r="6" spans="2:18" x14ac:dyDescent="0.2">
      <c r="B6" s="29">
        <v>4</v>
      </c>
      <c r="C6" s="29" t="s">
        <v>305</v>
      </c>
      <c r="D6" t="s">
        <v>314</v>
      </c>
      <c r="E6" s="83">
        <v>487.15</v>
      </c>
      <c r="F6" s="83">
        <v>338.2</v>
      </c>
      <c r="G6" s="27">
        <f t="shared" si="0"/>
        <v>164754.12999999998</v>
      </c>
      <c r="H6" s="83">
        <v>2138.25</v>
      </c>
      <c r="I6" s="83">
        <v>2450.0500000000002</v>
      </c>
      <c r="J6" s="27">
        <f t="shared" si="1"/>
        <v>164442.32999999999</v>
      </c>
      <c r="K6" s="83">
        <v>21077.78</v>
      </c>
      <c r="L6" s="83">
        <v>5165.3999999999996</v>
      </c>
      <c r="M6" s="83">
        <v>2881.31</v>
      </c>
      <c r="N6" s="15">
        <v>0.22489999999999999</v>
      </c>
      <c r="O6" s="15">
        <v>0.24850000000000003</v>
      </c>
      <c r="R6">
        <v>100</v>
      </c>
    </row>
    <row r="7" spans="2:18" x14ac:dyDescent="0.2">
      <c r="B7" s="29">
        <v>5</v>
      </c>
      <c r="C7" s="29" t="s">
        <v>306</v>
      </c>
      <c r="D7" t="s">
        <v>315</v>
      </c>
      <c r="E7" s="83">
        <v>5824</v>
      </c>
      <c r="F7" s="83">
        <v>24.09</v>
      </c>
      <c r="G7" s="27">
        <f t="shared" si="0"/>
        <v>140300.16</v>
      </c>
      <c r="H7" s="83">
        <v>1246.51</v>
      </c>
      <c r="I7" s="83">
        <v>312.48</v>
      </c>
      <c r="J7" s="27">
        <f t="shared" si="1"/>
        <v>141234.19</v>
      </c>
      <c r="K7" s="83">
        <v>18314.59</v>
      </c>
      <c r="L7" s="83">
        <v>3403.93</v>
      </c>
      <c r="M7" s="83">
        <v>2193.11</v>
      </c>
      <c r="N7" s="15">
        <v>0.52939999999999998</v>
      </c>
      <c r="O7" s="15">
        <v>0.52990000000000004</v>
      </c>
    </row>
    <row r="8" spans="2:18" x14ac:dyDescent="0.2">
      <c r="B8" s="29">
        <v>6</v>
      </c>
      <c r="C8" s="29" t="s">
        <v>307</v>
      </c>
      <c r="D8" t="s">
        <v>316</v>
      </c>
      <c r="E8" s="83">
        <v>1242.5999999999999</v>
      </c>
      <c r="F8" s="83">
        <v>102.31</v>
      </c>
      <c r="G8" s="27">
        <f t="shared" si="0"/>
        <v>127130.40599999999</v>
      </c>
      <c r="H8" s="83">
        <v>4009.19</v>
      </c>
      <c r="I8" s="83">
        <v>483.06</v>
      </c>
      <c r="J8" s="27">
        <f t="shared" si="1"/>
        <v>130656.53599999999</v>
      </c>
      <c r="K8" s="83">
        <v>14694.57</v>
      </c>
      <c r="L8" s="83">
        <v>3234.21</v>
      </c>
      <c r="M8" s="83">
        <v>1853.97</v>
      </c>
      <c r="N8" s="15">
        <v>0.15210000000000001</v>
      </c>
      <c r="O8" s="15">
        <v>0.19210000000000002</v>
      </c>
    </row>
    <row r="9" spans="2:18" x14ac:dyDescent="0.2">
      <c r="B9" s="29">
        <v>7</v>
      </c>
      <c r="C9" s="29" t="s">
        <v>308</v>
      </c>
      <c r="D9" t="s">
        <v>317</v>
      </c>
      <c r="E9" s="83">
        <v>1065.4000000000001</v>
      </c>
      <c r="F9" s="83">
        <v>98.95</v>
      </c>
      <c r="G9" s="27">
        <f t="shared" si="0"/>
        <v>105421.33000000002</v>
      </c>
      <c r="H9" s="83">
        <v>2392.6799999999998</v>
      </c>
      <c r="I9" s="83">
        <v>2817.86</v>
      </c>
      <c r="J9" s="27">
        <f t="shared" si="1"/>
        <v>104996.15000000001</v>
      </c>
      <c r="K9" s="83">
        <v>18045.14</v>
      </c>
      <c r="L9" s="83">
        <v>2626.15</v>
      </c>
      <c r="M9" s="83">
        <v>1329.6</v>
      </c>
      <c r="N9" s="15">
        <v>7.0099999999999996E-2</v>
      </c>
      <c r="O9" s="15">
        <v>9.1600000000000001E-2</v>
      </c>
    </row>
    <row r="10" spans="2:18" x14ac:dyDescent="0.2">
      <c r="B10" s="29">
        <v>8</v>
      </c>
      <c r="C10" s="29" t="s">
        <v>309</v>
      </c>
      <c r="D10" t="s">
        <v>318</v>
      </c>
      <c r="E10" s="83">
        <v>1311</v>
      </c>
      <c r="F10" s="83">
        <v>72.739999999999995</v>
      </c>
      <c r="G10" s="27">
        <f t="shared" si="0"/>
        <v>95362.14</v>
      </c>
      <c r="H10" s="83">
        <v>480</v>
      </c>
      <c r="I10" s="83">
        <v>2030</v>
      </c>
      <c r="J10" s="27">
        <f t="shared" si="1"/>
        <v>93812.14</v>
      </c>
      <c r="K10" s="83">
        <v>12329</v>
      </c>
      <c r="L10" s="83">
        <v>2456</v>
      </c>
      <c r="M10" s="83">
        <v>1514</v>
      </c>
      <c r="N10" s="15">
        <v>0.19739999999999999</v>
      </c>
      <c r="O10" s="15">
        <v>0.26500000000000001</v>
      </c>
    </row>
    <row r="11" spans="2:18" x14ac:dyDescent="0.2">
      <c r="B11" s="29">
        <v>9</v>
      </c>
      <c r="C11" s="29" t="s">
        <v>310</v>
      </c>
      <c r="D11" t="s">
        <v>319</v>
      </c>
      <c r="E11" s="83">
        <v>725.85</v>
      </c>
      <c r="F11" s="83">
        <v>129.79</v>
      </c>
      <c r="G11" s="27">
        <f t="shared" si="0"/>
        <v>94208.071499999991</v>
      </c>
      <c r="H11" s="83">
        <v>554</v>
      </c>
      <c r="I11" s="83">
        <v>777</v>
      </c>
      <c r="J11" s="27">
        <f t="shared" si="1"/>
        <v>93985.071499999991</v>
      </c>
      <c r="K11" s="83">
        <v>11447</v>
      </c>
      <c r="L11" s="83">
        <v>2395</v>
      </c>
      <c r="M11" s="83">
        <v>1697</v>
      </c>
      <c r="N11" s="15">
        <v>0.1704</v>
      </c>
      <c r="O11" s="15">
        <v>0.2024</v>
      </c>
    </row>
    <row r="12" spans="2:18" x14ac:dyDescent="0.2">
      <c r="B12" s="29">
        <v>10</v>
      </c>
      <c r="C12" s="29" t="s">
        <v>311</v>
      </c>
      <c r="D12" t="s">
        <v>320</v>
      </c>
      <c r="E12" s="83">
        <v>521.1</v>
      </c>
      <c r="F12" s="83">
        <v>177.37</v>
      </c>
      <c r="G12" s="27">
        <f t="shared" si="0"/>
        <v>92427.507000000012</v>
      </c>
      <c r="H12" s="83">
        <v>950.37</v>
      </c>
      <c r="I12" s="83">
        <v>578.01</v>
      </c>
      <c r="J12" s="27">
        <f t="shared" si="1"/>
        <v>92799.867000000013</v>
      </c>
      <c r="K12" s="83">
        <v>12618.56</v>
      </c>
      <c r="L12" s="83">
        <v>2894.15</v>
      </c>
      <c r="M12" s="83">
        <v>1754.36</v>
      </c>
      <c r="N12" s="15">
        <v>0.41340000000000005</v>
      </c>
      <c r="O12" s="15">
        <v>0.45159999999999995</v>
      </c>
    </row>
    <row r="22" spans="2:12" x14ac:dyDescent="0.2">
      <c r="C22" s="113"/>
      <c r="D22" s="113"/>
      <c r="E22" s="113"/>
      <c r="F22" s="113"/>
      <c r="G22" s="113"/>
      <c r="H22" s="113"/>
      <c r="I22" s="113"/>
      <c r="J22" s="113"/>
      <c r="K22" s="113"/>
    </row>
    <row r="23" spans="2:12" ht="4.1500000000000004" customHeight="1" x14ac:dyDescent="0.2">
      <c r="C23" s="191"/>
      <c r="D23" s="191"/>
      <c r="E23" s="191"/>
      <c r="F23" s="191"/>
      <c r="G23" s="191"/>
      <c r="H23" s="191"/>
      <c r="I23" s="191"/>
      <c r="J23" s="191"/>
      <c r="K23" s="191"/>
    </row>
    <row r="24" spans="2:12" ht="22.15" customHeight="1" x14ac:dyDescent="0.2">
      <c r="C24" s="195" t="str">
        <f>'Data Sheet'!B1</f>
        <v>ITC LTD</v>
      </c>
      <c r="D24" s="191"/>
      <c r="E24" s="192"/>
      <c r="F24" s="191"/>
      <c r="G24" s="191"/>
      <c r="H24" s="191"/>
      <c r="I24" s="191"/>
      <c r="J24" s="191"/>
      <c r="K24" s="191"/>
    </row>
    <row r="25" spans="2:12" x14ac:dyDescent="0.2">
      <c r="C25" s="191" t="s">
        <v>8676</v>
      </c>
      <c r="D25" s="191"/>
      <c r="E25" s="191"/>
      <c r="F25" s="191"/>
      <c r="G25" s="191"/>
      <c r="H25" s="191"/>
      <c r="I25" s="191"/>
      <c r="J25" s="191"/>
      <c r="K25" s="191"/>
    </row>
    <row r="26" spans="2:12" ht="18.75" x14ac:dyDescent="0.25">
      <c r="C26" s="193" t="str">
        <f>CONCATENATE("INR"," ", 'Data Sheet'!C29)</f>
        <v>INR 5549.09</v>
      </c>
      <c r="D26" s="191"/>
      <c r="E26" s="191"/>
      <c r="F26" s="191"/>
      <c r="G26" s="191"/>
      <c r="H26" s="191"/>
      <c r="I26" s="191"/>
      <c r="J26" s="191"/>
      <c r="K26" s="191"/>
    </row>
    <row r="27" spans="2:12" x14ac:dyDescent="0.2">
      <c r="C27" s="191" t="s">
        <v>8557</v>
      </c>
      <c r="D27" s="191"/>
      <c r="E27" s="191"/>
      <c r="F27" s="191"/>
      <c r="G27" s="191"/>
      <c r="H27" s="191"/>
      <c r="I27" s="191"/>
      <c r="J27" s="191"/>
      <c r="K27" s="191"/>
    </row>
    <row r="28" spans="2:12" ht="4.1500000000000004" customHeight="1" thickBot="1" x14ac:dyDescent="0.25">
      <c r="C28" s="194"/>
      <c r="D28" s="194"/>
      <c r="E28" s="194"/>
      <c r="F28" s="194"/>
      <c r="G28" s="194"/>
      <c r="H28" s="194"/>
      <c r="I28" s="194"/>
      <c r="J28" s="194"/>
      <c r="K28" s="194"/>
    </row>
    <row r="31" spans="2:12" x14ac:dyDescent="0.2">
      <c r="B31" s="29"/>
      <c r="C31" s="29"/>
      <c r="D31" s="27"/>
      <c r="E31" s="27"/>
      <c r="F31" s="27"/>
      <c r="G31" s="27"/>
      <c r="H31" s="27"/>
      <c r="I31" s="27"/>
      <c r="J31" s="27"/>
      <c r="K31" s="28"/>
      <c r="L31" s="27"/>
    </row>
    <row r="32" spans="2:12" x14ac:dyDescent="0.2">
      <c r="B32" s="29"/>
      <c r="C32" s="29"/>
      <c r="D32" s="27"/>
      <c r="E32" s="27"/>
      <c r="F32" s="27"/>
      <c r="G32" s="27"/>
      <c r="H32" s="27"/>
      <c r="I32" s="27"/>
      <c r="J32" s="27"/>
      <c r="K32" s="28"/>
      <c r="L32" s="27"/>
    </row>
    <row r="33" spans="2:12" x14ac:dyDescent="0.2">
      <c r="B33" s="29"/>
      <c r="C33" s="29"/>
      <c r="D33" s="27"/>
      <c r="E33" s="27"/>
      <c r="F33" s="27"/>
      <c r="G33" s="27"/>
      <c r="H33" s="27"/>
      <c r="I33" s="27"/>
      <c r="J33" s="27"/>
      <c r="K33" s="28"/>
      <c r="L33" s="27"/>
    </row>
    <row r="34" spans="2:12" x14ac:dyDescent="0.2">
      <c r="B34" s="29"/>
      <c r="C34" s="29"/>
      <c r="D34" s="27"/>
      <c r="E34" s="27"/>
      <c r="F34" s="27"/>
      <c r="G34" s="27"/>
      <c r="H34" s="27"/>
      <c r="I34" s="27"/>
      <c r="J34" s="27"/>
      <c r="K34" s="28"/>
      <c r="L34" s="27"/>
    </row>
    <row r="35" spans="2:12" x14ac:dyDescent="0.2">
      <c r="B35" s="29"/>
      <c r="C35" s="29"/>
      <c r="D35" s="27"/>
      <c r="E35" s="27"/>
      <c r="F35" s="27"/>
      <c r="G35" s="27"/>
      <c r="H35" s="27"/>
      <c r="I35" s="27"/>
      <c r="J35" s="27"/>
      <c r="K35" s="28"/>
      <c r="L35" s="27"/>
    </row>
  </sheetData>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B4A87-C4F6-4961-B1B5-689AD3F4DB1C}">
  <dimension ref="B2:D1236"/>
  <sheetViews>
    <sheetView workbookViewId="0">
      <selection activeCell="O13" sqref="O13"/>
    </sheetView>
  </sheetViews>
  <sheetFormatPr defaultRowHeight="15" x14ac:dyDescent="0.2"/>
  <cols>
    <col min="2" max="2" width="10.35546875" bestFit="1" customWidth="1"/>
  </cols>
  <sheetData>
    <row r="2" spans="2:4" x14ac:dyDescent="0.2">
      <c r="B2" t="s">
        <v>322</v>
      </c>
      <c r="C2" t="s">
        <v>8608</v>
      </c>
      <c r="D2" t="s">
        <v>8623</v>
      </c>
    </row>
    <row r="3" spans="2:4" x14ac:dyDescent="0.2">
      <c r="B3" s="167">
        <v>45744</v>
      </c>
      <c r="C3" s="168">
        <v>409.75</v>
      </c>
      <c r="D3">
        <v>12.98</v>
      </c>
    </row>
    <row r="4" spans="2:4" x14ac:dyDescent="0.2">
      <c r="B4" s="167">
        <v>45743</v>
      </c>
      <c r="C4" s="168">
        <v>409.45</v>
      </c>
      <c r="D4">
        <v>18.64</v>
      </c>
    </row>
    <row r="5" spans="2:4" x14ac:dyDescent="0.2">
      <c r="B5" s="167">
        <v>45742</v>
      </c>
      <c r="C5" s="168">
        <v>407.35</v>
      </c>
      <c r="D5">
        <v>13.89</v>
      </c>
    </row>
    <row r="6" spans="2:4" x14ac:dyDescent="0.2">
      <c r="B6" s="167">
        <v>45741</v>
      </c>
      <c r="C6" s="168">
        <v>409.8</v>
      </c>
      <c r="D6">
        <v>20.34</v>
      </c>
    </row>
    <row r="7" spans="2:4" x14ac:dyDescent="0.2">
      <c r="B7" s="167">
        <v>45740</v>
      </c>
      <c r="C7" s="168">
        <v>410.9</v>
      </c>
      <c r="D7">
        <v>14.36</v>
      </c>
    </row>
    <row r="8" spans="2:4" x14ac:dyDescent="0.2">
      <c r="B8" s="167">
        <v>45737</v>
      </c>
      <c r="C8" s="168">
        <v>405.55</v>
      </c>
      <c r="D8">
        <v>25.3</v>
      </c>
    </row>
    <row r="9" spans="2:4" x14ac:dyDescent="0.2">
      <c r="B9" s="167">
        <v>45736</v>
      </c>
      <c r="C9" s="168">
        <v>403.95</v>
      </c>
      <c r="D9">
        <v>16.989999999999998</v>
      </c>
    </row>
    <row r="10" spans="2:4" x14ac:dyDescent="0.2">
      <c r="B10" s="167">
        <v>45735</v>
      </c>
      <c r="C10" s="168">
        <v>403.05</v>
      </c>
      <c r="D10">
        <v>12.83</v>
      </c>
    </row>
    <row r="11" spans="2:4" x14ac:dyDescent="0.2">
      <c r="B11" s="167">
        <v>45734</v>
      </c>
      <c r="C11" s="168">
        <v>409.1</v>
      </c>
      <c r="D11">
        <v>13.86</v>
      </c>
    </row>
    <row r="12" spans="2:4" x14ac:dyDescent="0.2">
      <c r="B12" s="167">
        <v>45733</v>
      </c>
      <c r="C12" s="168">
        <v>407.95</v>
      </c>
      <c r="D12">
        <v>5.26</v>
      </c>
    </row>
    <row r="13" spans="2:4" x14ac:dyDescent="0.2">
      <c r="B13" s="167">
        <v>45729</v>
      </c>
      <c r="C13" s="168">
        <v>412.05</v>
      </c>
      <c r="D13">
        <v>8.1999999999999993</v>
      </c>
    </row>
    <row r="14" spans="2:4" x14ac:dyDescent="0.2">
      <c r="B14" s="167">
        <v>45728</v>
      </c>
      <c r="C14" s="168">
        <v>412.4</v>
      </c>
      <c r="D14">
        <v>13.84</v>
      </c>
    </row>
    <row r="15" spans="2:4" x14ac:dyDescent="0.2">
      <c r="B15" s="167">
        <v>45727</v>
      </c>
      <c r="C15" s="168">
        <v>406.2</v>
      </c>
      <c r="D15">
        <v>11.1</v>
      </c>
    </row>
    <row r="16" spans="2:4" x14ac:dyDescent="0.2">
      <c r="B16" s="167">
        <v>45726</v>
      </c>
      <c r="C16" s="168">
        <v>405</v>
      </c>
      <c r="D16">
        <v>9.7899999999999991</v>
      </c>
    </row>
    <row r="17" spans="2:4" x14ac:dyDescent="0.2">
      <c r="B17" s="167">
        <v>45723</v>
      </c>
      <c r="C17" s="168">
        <v>403.9</v>
      </c>
      <c r="D17">
        <v>11.18</v>
      </c>
    </row>
    <row r="18" spans="2:4" x14ac:dyDescent="0.2">
      <c r="B18" s="167">
        <v>45722</v>
      </c>
      <c r="C18" s="168">
        <v>405.7</v>
      </c>
      <c r="D18">
        <v>17.87</v>
      </c>
    </row>
    <row r="19" spans="2:4" x14ac:dyDescent="0.2">
      <c r="B19" s="167">
        <v>45721</v>
      </c>
      <c r="C19" s="168">
        <v>405.05</v>
      </c>
      <c r="D19">
        <v>15.67</v>
      </c>
    </row>
    <row r="20" spans="2:4" x14ac:dyDescent="0.2">
      <c r="B20" s="167">
        <v>45720</v>
      </c>
      <c r="C20" s="168">
        <v>394.85</v>
      </c>
      <c r="D20">
        <v>13.4</v>
      </c>
    </row>
    <row r="21" spans="2:4" x14ac:dyDescent="0.2">
      <c r="B21" s="167">
        <v>45719</v>
      </c>
      <c r="C21" s="168">
        <v>397.45</v>
      </c>
      <c r="D21">
        <v>10.7</v>
      </c>
    </row>
    <row r="22" spans="2:4" x14ac:dyDescent="0.2">
      <c r="B22" s="167">
        <v>45716</v>
      </c>
      <c r="C22" s="168">
        <v>395</v>
      </c>
      <c r="D22">
        <v>31.95</v>
      </c>
    </row>
    <row r="23" spans="2:4" x14ac:dyDescent="0.2">
      <c r="B23" s="167">
        <v>45715</v>
      </c>
      <c r="C23" s="168">
        <v>401.6</v>
      </c>
      <c r="D23">
        <v>19.05</v>
      </c>
    </row>
    <row r="24" spans="2:4" x14ac:dyDescent="0.2">
      <c r="B24" s="167">
        <v>45713</v>
      </c>
      <c r="C24" s="168">
        <v>404.85</v>
      </c>
      <c r="D24">
        <v>15.76</v>
      </c>
    </row>
    <row r="25" spans="2:4" x14ac:dyDescent="0.2">
      <c r="B25" s="167">
        <v>45712</v>
      </c>
      <c r="C25" s="168">
        <v>401.9</v>
      </c>
      <c r="D25">
        <v>7.04</v>
      </c>
    </row>
    <row r="26" spans="2:4" x14ac:dyDescent="0.2">
      <c r="B26" s="167">
        <v>45709</v>
      </c>
      <c r="C26" s="168">
        <v>400.9</v>
      </c>
      <c r="D26">
        <v>8.24</v>
      </c>
    </row>
    <row r="27" spans="2:4" x14ac:dyDescent="0.2">
      <c r="B27" s="167">
        <v>45708</v>
      </c>
      <c r="C27" s="168">
        <v>402.05</v>
      </c>
      <c r="D27">
        <v>15.36</v>
      </c>
    </row>
    <row r="28" spans="2:4" x14ac:dyDescent="0.2">
      <c r="B28" s="167">
        <v>45707</v>
      </c>
      <c r="C28" s="168">
        <v>406.4</v>
      </c>
      <c r="D28">
        <v>7.08</v>
      </c>
    </row>
    <row r="29" spans="2:4" x14ac:dyDescent="0.2">
      <c r="B29" s="167">
        <v>45706</v>
      </c>
      <c r="C29" s="168">
        <v>405.25</v>
      </c>
      <c r="D29">
        <v>13</v>
      </c>
    </row>
    <row r="30" spans="2:4" x14ac:dyDescent="0.2">
      <c r="B30" s="167">
        <v>45705</v>
      </c>
      <c r="C30" s="168">
        <v>408.6</v>
      </c>
      <c r="D30">
        <v>11.98</v>
      </c>
    </row>
    <row r="31" spans="2:4" x14ac:dyDescent="0.2">
      <c r="B31" s="167">
        <v>45702</v>
      </c>
      <c r="C31" s="168">
        <v>410.25</v>
      </c>
      <c r="D31">
        <v>14.12</v>
      </c>
    </row>
    <row r="32" spans="2:4" x14ac:dyDescent="0.2">
      <c r="B32" s="167">
        <v>45701</v>
      </c>
      <c r="C32" s="168">
        <v>409.7</v>
      </c>
      <c r="D32">
        <v>12.99</v>
      </c>
    </row>
    <row r="33" spans="2:4" x14ac:dyDescent="0.2">
      <c r="B33" s="167">
        <v>45700</v>
      </c>
      <c r="C33" s="168">
        <v>409.9</v>
      </c>
      <c r="D33">
        <v>13.88</v>
      </c>
    </row>
    <row r="34" spans="2:4" x14ac:dyDescent="0.2">
      <c r="B34" s="167">
        <v>45699</v>
      </c>
      <c r="C34" s="168">
        <v>418.3</v>
      </c>
      <c r="D34">
        <v>14.29</v>
      </c>
    </row>
    <row r="35" spans="2:4" x14ac:dyDescent="0.2">
      <c r="B35" s="167">
        <v>45698</v>
      </c>
      <c r="C35" s="168">
        <v>427.2</v>
      </c>
      <c r="D35">
        <v>12.23</v>
      </c>
    </row>
    <row r="36" spans="2:4" x14ac:dyDescent="0.2">
      <c r="B36" s="167">
        <v>45695</v>
      </c>
      <c r="C36" s="168">
        <v>430.85</v>
      </c>
      <c r="D36">
        <v>18.88</v>
      </c>
    </row>
    <row r="37" spans="2:4" x14ac:dyDescent="0.2">
      <c r="B37" s="167">
        <v>45694</v>
      </c>
      <c r="C37" s="168">
        <v>441.1</v>
      </c>
      <c r="D37">
        <v>17.47</v>
      </c>
    </row>
    <row r="38" spans="2:4" x14ac:dyDescent="0.2">
      <c r="B38" s="167">
        <v>45693</v>
      </c>
      <c r="C38" s="168">
        <v>448.15</v>
      </c>
      <c r="D38">
        <v>12.84</v>
      </c>
    </row>
    <row r="39" spans="2:4" x14ac:dyDescent="0.2">
      <c r="B39" s="167">
        <v>45692</v>
      </c>
      <c r="C39" s="168">
        <v>455.15</v>
      </c>
      <c r="D39">
        <v>18.920000000000002</v>
      </c>
    </row>
    <row r="40" spans="2:4" x14ac:dyDescent="0.2">
      <c r="B40" s="167">
        <v>45691</v>
      </c>
      <c r="C40" s="168">
        <v>454.35</v>
      </c>
      <c r="D40">
        <v>16.989999999999998</v>
      </c>
    </row>
    <row r="41" spans="2:4" x14ac:dyDescent="0.2">
      <c r="B41" s="167">
        <v>45689</v>
      </c>
      <c r="C41" s="168">
        <v>462.55</v>
      </c>
      <c r="D41">
        <v>30.39</v>
      </c>
    </row>
    <row r="42" spans="2:4" x14ac:dyDescent="0.2">
      <c r="B42" s="167">
        <v>45688</v>
      </c>
      <c r="C42" s="168">
        <v>447.5</v>
      </c>
      <c r="D42">
        <v>13.55</v>
      </c>
    </row>
    <row r="43" spans="2:4" x14ac:dyDescent="0.2">
      <c r="B43" s="167">
        <v>45687</v>
      </c>
      <c r="C43" s="168">
        <v>436.2</v>
      </c>
      <c r="D43">
        <v>22.5</v>
      </c>
    </row>
    <row r="44" spans="2:4" x14ac:dyDescent="0.2">
      <c r="B44" s="167">
        <v>45686</v>
      </c>
      <c r="C44" s="168">
        <v>433.35</v>
      </c>
      <c r="D44">
        <v>15.16</v>
      </c>
    </row>
    <row r="45" spans="2:4" x14ac:dyDescent="0.2">
      <c r="B45" s="167">
        <v>45685</v>
      </c>
      <c r="C45" s="168">
        <v>435.45</v>
      </c>
      <c r="D45">
        <v>20.81</v>
      </c>
    </row>
    <row r="46" spans="2:4" x14ac:dyDescent="0.2">
      <c r="B46" s="167">
        <v>45684</v>
      </c>
      <c r="C46" s="168">
        <v>440.1</v>
      </c>
      <c r="D46">
        <v>10.48</v>
      </c>
    </row>
    <row r="47" spans="2:4" x14ac:dyDescent="0.2">
      <c r="B47" s="167">
        <v>45681</v>
      </c>
      <c r="C47" s="168">
        <v>441.6</v>
      </c>
      <c r="D47">
        <v>9.67</v>
      </c>
    </row>
    <row r="48" spans="2:4" x14ac:dyDescent="0.2">
      <c r="B48" s="167">
        <v>45680</v>
      </c>
      <c r="C48" s="168">
        <v>440.2</v>
      </c>
      <c r="D48">
        <v>8.89</v>
      </c>
    </row>
    <row r="49" spans="2:4" x14ac:dyDescent="0.2">
      <c r="B49" s="167">
        <v>45679</v>
      </c>
      <c r="C49" s="168">
        <v>437</v>
      </c>
      <c r="D49">
        <v>9.6199999999999992</v>
      </c>
    </row>
    <row r="50" spans="2:4" x14ac:dyDescent="0.2">
      <c r="B50" s="167">
        <v>45678</v>
      </c>
      <c r="C50" s="168">
        <v>437.55</v>
      </c>
      <c r="D50">
        <v>15.69</v>
      </c>
    </row>
    <row r="51" spans="2:4" x14ac:dyDescent="0.2">
      <c r="B51" s="167">
        <v>45677</v>
      </c>
      <c r="C51" s="168">
        <v>437.7</v>
      </c>
      <c r="D51">
        <v>8.74</v>
      </c>
    </row>
    <row r="52" spans="2:4" x14ac:dyDescent="0.2">
      <c r="B52" s="167">
        <v>45674</v>
      </c>
      <c r="C52" s="168">
        <v>440.2</v>
      </c>
      <c r="D52">
        <v>11.27</v>
      </c>
    </row>
    <row r="53" spans="2:4" x14ac:dyDescent="0.2">
      <c r="B53" s="167">
        <v>45673</v>
      </c>
      <c r="C53" s="168">
        <v>432.85</v>
      </c>
      <c r="D53">
        <v>15.77</v>
      </c>
    </row>
    <row r="54" spans="2:4" x14ac:dyDescent="0.2">
      <c r="B54" s="167">
        <v>45672</v>
      </c>
      <c r="C54" s="168">
        <v>437.35</v>
      </c>
      <c r="D54">
        <v>9.7899999999999991</v>
      </c>
    </row>
    <row r="55" spans="2:4" x14ac:dyDescent="0.2">
      <c r="B55" s="167">
        <v>45671</v>
      </c>
      <c r="C55" s="168">
        <v>436.6</v>
      </c>
      <c r="D55">
        <v>18.05</v>
      </c>
    </row>
    <row r="56" spans="2:4" x14ac:dyDescent="0.2">
      <c r="B56" s="167">
        <v>45670</v>
      </c>
      <c r="C56" s="168">
        <v>439.05</v>
      </c>
      <c r="D56">
        <v>17.8</v>
      </c>
    </row>
    <row r="57" spans="2:4" x14ac:dyDescent="0.2">
      <c r="B57" s="167">
        <v>45667</v>
      </c>
      <c r="C57" s="168">
        <v>444.9</v>
      </c>
      <c r="D57">
        <v>9.15</v>
      </c>
    </row>
    <row r="58" spans="2:4" x14ac:dyDescent="0.2">
      <c r="B58" s="167">
        <v>45666</v>
      </c>
      <c r="C58" s="168">
        <v>450.1</v>
      </c>
      <c r="D58">
        <v>19.73</v>
      </c>
    </row>
    <row r="59" spans="2:4" x14ac:dyDescent="0.2">
      <c r="B59" s="167">
        <v>45665</v>
      </c>
      <c r="C59" s="168">
        <v>449.55</v>
      </c>
      <c r="D59">
        <v>13.48</v>
      </c>
    </row>
    <row r="60" spans="2:4" x14ac:dyDescent="0.2">
      <c r="B60" s="167">
        <v>45664</v>
      </c>
      <c r="C60" s="168">
        <v>441.1</v>
      </c>
      <c r="D60">
        <v>14.29</v>
      </c>
    </row>
    <row r="61" spans="2:4" x14ac:dyDescent="0.2">
      <c r="B61" s="167">
        <v>45663</v>
      </c>
      <c r="C61" s="168">
        <v>442.65</v>
      </c>
      <c r="D61">
        <v>22.01</v>
      </c>
    </row>
    <row r="62" spans="2:4" x14ac:dyDescent="0.2">
      <c r="B62" s="167">
        <v>45660</v>
      </c>
      <c r="C62" s="168">
        <v>455.6</v>
      </c>
      <c r="D62">
        <v>37.07</v>
      </c>
    </row>
    <row r="63" spans="2:4" x14ac:dyDescent="0.2">
      <c r="B63" s="167">
        <v>45659</v>
      </c>
      <c r="C63" s="168">
        <v>462.65</v>
      </c>
      <c r="D63">
        <v>26.12</v>
      </c>
    </row>
    <row r="64" spans="2:4" x14ac:dyDescent="0.2">
      <c r="B64" s="167">
        <v>45658</v>
      </c>
      <c r="C64" s="168">
        <v>457.82</v>
      </c>
      <c r="D64">
        <v>18.23</v>
      </c>
    </row>
    <row r="65" spans="2:4" x14ac:dyDescent="0.2">
      <c r="B65" s="167">
        <v>45657</v>
      </c>
      <c r="C65" s="168">
        <v>457.54</v>
      </c>
      <c r="D65">
        <v>13.28</v>
      </c>
    </row>
    <row r="66" spans="2:4" x14ac:dyDescent="0.2">
      <c r="B66" s="167">
        <v>45656</v>
      </c>
      <c r="C66" s="168">
        <v>451.25</v>
      </c>
      <c r="D66">
        <v>13.07</v>
      </c>
    </row>
    <row r="67" spans="2:4" x14ac:dyDescent="0.2">
      <c r="B67" s="167">
        <v>45653</v>
      </c>
      <c r="C67" s="168">
        <v>452.76</v>
      </c>
      <c r="D67">
        <v>16.28</v>
      </c>
    </row>
    <row r="68" spans="2:4" x14ac:dyDescent="0.2">
      <c r="B68" s="167">
        <v>45652</v>
      </c>
      <c r="C68" s="168">
        <v>451.2</v>
      </c>
      <c r="D68">
        <v>8.85</v>
      </c>
    </row>
    <row r="69" spans="2:4" x14ac:dyDescent="0.2">
      <c r="B69" s="167">
        <v>45650</v>
      </c>
      <c r="C69" s="168">
        <v>452.62</v>
      </c>
      <c r="D69">
        <v>11.56</v>
      </c>
    </row>
    <row r="70" spans="2:4" x14ac:dyDescent="0.2">
      <c r="B70" s="167">
        <v>45649</v>
      </c>
      <c r="C70" s="168">
        <v>448.65</v>
      </c>
      <c r="D70">
        <v>18.84</v>
      </c>
    </row>
    <row r="71" spans="2:4" x14ac:dyDescent="0.2">
      <c r="B71" s="167">
        <v>45646</v>
      </c>
      <c r="C71" s="168">
        <v>439.57</v>
      </c>
      <c r="D71">
        <v>19.48</v>
      </c>
    </row>
    <row r="72" spans="2:4" x14ac:dyDescent="0.2">
      <c r="B72" s="167">
        <v>45645</v>
      </c>
      <c r="C72" s="168">
        <v>441.36</v>
      </c>
      <c r="D72">
        <v>14.6</v>
      </c>
    </row>
    <row r="73" spans="2:4" x14ac:dyDescent="0.2">
      <c r="B73" s="167">
        <v>45644</v>
      </c>
      <c r="C73" s="168">
        <v>445.1</v>
      </c>
      <c r="D73">
        <v>12.37</v>
      </c>
    </row>
    <row r="74" spans="2:4" x14ac:dyDescent="0.2">
      <c r="B74" s="167">
        <v>45643</v>
      </c>
      <c r="C74" s="168">
        <v>444.2</v>
      </c>
      <c r="D74">
        <v>19.84</v>
      </c>
    </row>
    <row r="75" spans="2:4" x14ac:dyDescent="0.2">
      <c r="B75" s="167">
        <v>45642</v>
      </c>
      <c r="C75" s="168">
        <v>444.72</v>
      </c>
      <c r="D75">
        <v>9.01</v>
      </c>
    </row>
    <row r="76" spans="2:4" x14ac:dyDescent="0.2">
      <c r="B76" s="167">
        <v>45639</v>
      </c>
      <c r="C76" s="168">
        <v>444.63</v>
      </c>
      <c r="D76">
        <v>31.75</v>
      </c>
    </row>
    <row r="77" spans="2:4" x14ac:dyDescent="0.2">
      <c r="B77" s="167">
        <v>45638</v>
      </c>
      <c r="C77" s="168">
        <v>435.73</v>
      </c>
      <c r="D77">
        <v>12.88</v>
      </c>
    </row>
    <row r="78" spans="2:4" x14ac:dyDescent="0.2">
      <c r="B78" s="167">
        <v>45637</v>
      </c>
      <c r="C78" s="168">
        <v>440.13</v>
      </c>
      <c r="D78">
        <v>6.75</v>
      </c>
    </row>
    <row r="79" spans="2:4" x14ac:dyDescent="0.2">
      <c r="B79" s="167">
        <v>45636</v>
      </c>
      <c r="C79" s="168">
        <v>440.32</v>
      </c>
      <c r="D79">
        <v>8.82</v>
      </c>
    </row>
    <row r="80" spans="2:4" x14ac:dyDescent="0.2">
      <c r="B80" s="167">
        <v>45635</v>
      </c>
      <c r="C80" s="168">
        <v>439.85</v>
      </c>
      <c r="D80">
        <v>11.7</v>
      </c>
    </row>
    <row r="81" spans="2:4" x14ac:dyDescent="0.2">
      <c r="B81" s="167">
        <v>45632</v>
      </c>
      <c r="C81" s="168">
        <v>445.71</v>
      </c>
      <c r="D81">
        <v>7.55</v>
      </c>
    </row>
    <row r="82" spans="2:4" x14ac:dyDescent="0.2">
      <c r="B82" s="167">
        <v>45631</v>
      </c>
      <c r="C82" s="168">
        <v>442.26</v>
      </c>
      <c r="D82">
        <v>26.42</v>
      </c>
    </row>
    <row r="83" spans="2:4" x14ac:dyDescent="0.2">
      <c r="B83" s="167">
        <v>45630</v>
      </c>
      <c r="C83" s="168">
        <v>441.88</v>
      </c>
      <c r="D83">
        <v>13.44</v>
      </c>
    </row>
    <row r="84" spans="2:4" x14ac:dyDescent="0.2">
      <c r="B84" s="167">
        <v>45629</v>
      </c>
      <c r="C84" s="168">
        <v>447.04</v>
      </c>
      <c r="D84">
        <v>22.22</v>
      </c>
    </row>
    <row r="85" spans="2:4" x14ac:dyDescent="0.2">
      <c r="B85" s="167">
        <v>45628</v>
      </c>
      <c r="C85" s="168">
        <v>451.44</v>
      </c>
      <c r="D85">
        <v>5.48</v>
      </c>
    </row>
    <row r="86" spans="2:4" x14ac:dyDescent="0.2">
      <c r="B86" s="167">
        <v>45625</v>
      </c>
      <c r="C86" s="168">
        <v>451.01</v>
      </c>
      <c r="D86">
        <v>8.35</v>
      </c>
    </row>
    <row r="87" spans="2:4" x14ac:dyDescent="0.2">
      <c r="B87" s="167">
        <v>45624</v>
      </c>
      <c r="C87" s="168">
        <v>449.26</v>
      </c>
      <c r="D87">
        <v>14.41</v>
      </c>
    </row>
    <row r="88" spans="2:4" x14ac:dyDescent="0.2">
      <c r="B88" s="167">
        <v>45623</v>
      </c>
      <c r="C88" s="168">
        <v>451.2</v>
      </c>
      <c r="D88">
        <v>7.07</v>
      </c>
    </row>
    <row r="89" spans="2:4" x14ac:dyDescent="0.2">
      <c r="B89" s="167">
        <v>45622</v>
      </c>
      <c r="C89" s="168">
        <v>451.25</v>
      </c>
      <c r="D89">
        <v>6.54</v>
      </c>
    </row>
    <row r="90" spans="2:4" x14ac:dyDescent="0.2">
      <c r="B90" s="167">
        <v>45621</v>
      </c>
      <c r="C90" s="168">
        <v>451.06</v>
      </c>
      <c r="D90">
        <v>13.89</v>
      </c>
    </row>
    <row r="91" spans="2:4" x14ac:dyDescent="0.2">
      <c r="B91" s="167">
        <v>45618</v>
      </c>
      <c r="C91" s="168">
        <v>449.02</v>
      </c>
      <c r="D91">
        <v>19.46</v>
      </c>
    </row>
    <row r="92" spans="2:4" x14ac:dyDescent="0.2">
      <c r="B92" s="167">
        <v>45617</v>
      </c>
      <c r="C92" s="168">
        <v>432.47</v>
      </c>
      <c r="D92">
        <v>19.559999999999999</v>
      </c>
    </row>
    <row r="93" spans="2:4" x14ac:dyDescent="0.2">
      <c r="B93" s="167">
        <v>45615</v>
      </c>
      <c r="C93" s="168">
        <v>442.12</v>
      </c>
      <c r="D93">
        <v>6.86</v>
      </c>
    </row>
    <row r="94" spans="2:4" x14ac:dyDescent="0.2">
      <c r="B94" s="167">
        <v>45614</v>
      </c>
      <c r="C94" s="168">
        <v>441.36</v>
      </c>
      <c r="D94">
        <v>8.14</v>
      </c>
    </row>
    <row r="95" spans="2:4" x14ac:dyDescent="0.2">
      <c r="B95" s="167">
        <v>45610</v>
      </c>
      <c r="C95" s="168">
        <v>440.8</v>
      </c>
      <c r="D95">
        <v>11.64</v>
      </c>
    </row>
    <row r="96" spans="2:4" x14ac:dyDescent="0.2">
      <c r="B96" s="167">
        <v>45609</v>
      </c>
      <c r="C96" s="168">
        <v>446.71</v>
      </c>
      <c r="D96">
        <v>11.12</v>
      </c>
    </row>
    <row r="97" spans="2:4" x14ac:dyDescent="0.2">
      <c r="B97" s="167">
        <v>45608</v>
      </c>
      <c r="C97" s="168">
        <v>447.32</v>
      </c>
      <c r="D97">
        <v>5.04</v>
      </c>
    </row>
    <row r="98" spans="2:4" x14ac:dyDescent="0.2">
      <c r="B98" s="167">
        <v>45607</v>
      </c>
      <c r="C98" s="168">
        <v>451.2</v>
      </c>
      <c r="D98">
        <v>5.49</v>
      </c>
    </row>
    <row r="99" spans="2:4" x14ac:dyDescent="0.2">
      <c r="B99" s="167">
        <v>45604</v>
      </c>
      <c r="C99" s="168">
        <v>452.24</v>
      </c>
      <c r="D99">
        <v>6.09</v>
      </c>
    </row>
    <row r="100" spans="2:4" x14ac:dyDescent="0.2">
      <c r="B100" s="167">
        <v>45603</v>
      </c>
      <c r="C100" s="168">
        <v>452.1</v>
      </c>
      <c r="D100">
        <v>8.92</v>
      </c>
    </row>
    <row r="101" spans="2:4" x14ac:dyDescent="0.2">
      <c r="B101" s="167">
        <v>45602</v>
      </c>
      <c r="C101" s="168">
        <v>455.13</v>
      </c>
      <c r="D101">
        <v>11.31</v>
      </c>
    </row>
    <row r="102" spans="2:4" x14ac:dyDescent="0.2">
      <c r="B102" s="167">
        <v>45601</v>
      </c>
      <c r="C102" s="168">
        <v>454.27</v>
      </c>
      <c r="D102">
        <v>7.33</v>
      </c>
    </row>
    <row r="103" spans="2:4" x14ac:dyDescent="0.2">
      <c r="B103" s="167">
        <v>45600</v>
      </c>
      <c r="C103" s="168">
        <v>458.44</v>
      </c>
      <c r="D103">
        <v>8.43</v>
      </c>
    </row>
    <row r="104" spans="2:4" x14ac:dyDescent="0.2">
      <c r="B104" s="167">
        <v>45597</v>
      </c>
      <c r="C104" s="168">
        <v>463.83</v>
      </c>
      <c r="D104">
        <v>1.46</v>
      </c>
    </row>
    <row r="105" spans="2:4" x14ac:dyDescent="0.2">
      <c r="B105" s="167">
        <v>45596</v>
      </c>
      <c r="C105" s="168">
        <v>462.41</v>
      </c>
      <c r="D105">
        <v>7.81</v>
      </c>
    </row>
    <row r="106" spans="2:4" x14ac:dyDescent="0.2">
      <c r="B106" s="167">
        <v>45595</v>
      </c>
      <c r="C106" s="168">
        <v>465.01</v>
      </c>
      <c r="D106">
        <v>6.39</v>
      </c>
    </row>
    <row r="107" spans="2:4" x14ac:dyDescent="0.2">
      <c r="B107" s="167">
        <v>45594</v>
      </c>
      <c r="C107" s="168">
        <v>461.61</v>
      </c>
      <c r="D107">
        <v>6.87</v>
      </c>
    </row>
    <row r="108" spans="2:4" x14ac:dyDescent="0.2">
      <c r="B108" s="167">
        <v>45593</v>
      </c>
      <c r="C108" s="168">
        <v>458.01</v>
      </c>
      <c r="D108">
        <v>8.61</v>
      </c>
    </row>
    <row r="109" spans="2:4" x14ac:dyDescent="0.2">
      <c r="B109" s="167">
        <v>45590</v>
      </c>
      <c r="C109" s="168">
        <v>456.26</v>
      </c>
      <c r="D109">
        <v>30.96</v>
      </c>
    </row>
    <row r="110" spans="2:4" x14ac:dyDescent="0.2">
      <c r="B110" s="167">
        <v>45589</v>
      </c>
      <c r="C110" s="168">
        <v>446.23</v>
      </c>
      <c r="D110">
        <v>13.09</v>
      </c>
    </row>
    <row r="111" spans="2:4" x14ac:dyDescent="0.2">
      <c r="B111" s="167">
        <v>45588</v>
      </c>
      <c r="C111" s="168">
        <v>454.42</v>
      </c>
      <c r="D111">
        <v>10.16</v>
      </c>
    </row>
    <row r="112" spans="2:4" x14ac:dyDescent="0.2">
      <c r="B112" s="167">
        <v>45587</v>
      </c>
      <c r="C112" s="168">
        <v>455.79</v>
      </c>
      <c r="D112">
        <v>12.3</v>
      </c>
    </row>
    <row r="113" spans="2:4" x14ac:dyDescent="0.2">
      <c r="B113" s="167">
        <v>45586</v>
      </c>
      <c r="C113" s="168">
        <v>457.54</v>
      </c>
      <c r="D113">
        <v>7.4</v>
      </c>
    </row>
    <row r="114" spans="2:4" x14ac:dyDescent="0.2">
      <c r="B114" s="167">
        <v>45583</v>
      </c>
      <c r="C114" s="168">
        <v>460.42</v>
      </c>
      <c r="D114">
        <v>21.78</v>
      </c>
    </row>
    <row r="115" spans="2:4" x14ac:dyDescent="0.2">
      <c r="B115" s="167">
        <v>45582</v>
      </c>
      <c r="C115" s="168">
        <v>462.51</v>
      </c>
      <c r="D115">
        <v>7.39</v>
      </c>
    </row>
    <row r="116" spans="2:4" x14ac:dyDescent="0.2">
      <c r="B116" s="167">
        <v>45581</v>
      </c>
      <c r="C116" s="168">
        <v>466.57</v>
      </c>
      <c r="D116">
        <v>6.68</v>
      </c>
    </row>
    <row r="117" spans="2:4" x14ac:dyDescent="0.2">
      <c r="B117" s="167">
        <v>45580</v>
      </c>
      <c r="C117" s="168">
        <v>471.64</v>
      </c>
      <c r="D117">
        <v>8.0399999999999991</v>
      </c>
    </row>
    <row r="118" spans="2:4" x14ac:dyDescent="0.2">
      <c r="B118" s="167">
        <v>45579</v>
      </c>
      <c r="C118" s="168">
        <v>470.12</v>
      </c>
      <c r="D118">
        <v>6.71</v>
      </c>
    </row>
    <row r="119" spans="2:4" x14ac:dyDescent="0.2">
      <c r="B119" s="167">
        <v>45576</v>
      </c>
      <c r="C119" s="168">
        <v>461.84</v>
      </c>
      <c r="D119">
        <v>14.39</v>
      </c>
    </row>
    <row r="120" spans="2:4" x14ac:dyDescent="0.2">
      <c r="B120" s="167">
        <v>45575</v>
      </c>
      <c r="C120" s="168">
        <v>465.49</v>
      </c>
      <c r="D120">
        <v>12.8</v>
      </c>
    </row>
    <row r="121" spans="2:4" x14ac:dyDescent="0.2">
      <c r="B121" s="167">
        <v>45574</v>
      </c>
      <c r="C121" s="168">
        <v>465.15</v>
      </c>
      <c r="D121">
        <v>23.95</v>
      </c>
    </row>
    <row r="122" spans="2:4" x14ac:dyDescent="0.2">
      <c r="B122" s="167">
        <v>45573</v>
      </c>
      <c r="C122" s="168">
        <v>480.53</v>
      </c>
      <c r="D122">
        <v>9.5</v>
      </c>
    </row>
    <row r="123" spans="2:4" x14ac:dyDescent="0.2">
      <c r="B123" s="167">
        <v>45572</v>
      </c>
      <c r="C123" s="168">
        <v>482.66</v>
      </c>
      <c r="D123">
        <v>16.48</v>
      </c>
    </row>
    <row r="124" spans="2:4" x14ac:dyDescent="0.2">
      <c r="B124" s="167">
        <v>45569</v>
      </c>
      <c r="C124" s="168">
        <v>476.36</v>
      </c>
      <c r="D124">
        <v>18.23</v>
      </c>
    </row>
    <row r="125" spans="2:4" x14ac:dyDescent="0.2">
      <c r="B125" s="167">
        <v>45568</v>
      </c>
      <c r="C125" s="168">
        <v>485.07</v>
      </c>
      <c r="D125">
        <v>15.87</v>
      </c>
    </row>
    <row r="126" spans="2:4" x14ac:dyDescent="0.2">
      <c r="B126" s="167">
        <v>45566</v>
      </c>
      <c r="C126" s="168">
        <v>488.33</v>
      </c>
      <c r="D126">
        <v>5.09</v>
      </c>
    </row>
    <row r="127" spans="2:4" x14ac:dyDescent="0.2">
      <c r="B127" s="167">
        <v>45565</v>
      </c>
      <c r="C127" s="168">
        <v>490.18</v>
      </c>
      <c r="D127">
        <v>10.53</v>
      </c>
    </row>
    <row r="128" spans="2:4" x14ac:dyDescent="0.2">
      <c r="B128" s="167">
        <v>45562</v>
      </c>
      <c r="C128" s="168">
        <v>494.48</v>
      </c>
      <c r="D128">
        <v>17.25</v>
      </c>
    </row>
    <row r="129" spans="2:4" x14ac:dyDescent="0.2">
      <c r="B129" s="167">
        <v>45561</v>
      </c>
      <c r="C129" s="168">
        <v>494.53</v>
      </c>
      <c r="D129">
        <v>15.49</v>
      </c>
    </row>
    <row r="130" spans="2:4" x14ac:dyDescent="0.2">
      <c r="B130" s="167">
        <v>45560</v>
      </c>
      <c r="C130" s="168">
        <v>489.61</v>
      </c>
      <c r="D130">
        <v>8.48</v>
      </c>
    </row>
    <row r="131" spans="2:4" x14ac:dyDescent="0.2">
      <c r="B131" s="167">
        <v>45559</v>
      </c>
      <c r="C131" s="168">
        <v>487.43</v>
      </c>
      <c r="D131">
        <v>6.76</v>
      </c>
    </row>
    <row r="132" spans="2:4" x14ac:dyDescent="0.2">
      <c r="B132" s="167">
        <v>45558</v>
      </c>
      <c r="C132" s="168">
        <v>489.04</v>
      </c>
      <c r="D132">
        <v>7.8</v>
      </c>
    </row>
    <row r="133" spans="2:4" x14ac:dyDescent="0.2">
      <c r="B133" s="167">
        <v>45555</v>
      </c>
      <c r="C133" s="168">
        <v>486.63</v>
      </c>
      <c r="D133">
        <v>23.81</v>
      </c>
    </row>
    <row r="134" spans="2:4" x14ac:dyDescent="0.2">
      <c r="B134" s="167">
        <v>45554</v>
      </c>
      <c r="C134" s="168">
        <v>480.81</v>
      </c>
      <c r="D134">
        <v>13.93</v>
      </c>
    </row>
    <row r="135" spans="2:4" x14ac:dyDescent="0.2">
      <c r="B135" s="167">
        <v>45553</v>
      </c>
      <c r="C135" s="168">
        <v>479.96</v>
      </c>
      <c r="D135">
        <v>5.43</v>
      </c>
    </row>
    <row r="136" spans="2:4" x14ac:dyDescent="0.2">
      <c r="B136" s="167">
        <v>45552</v>
      </c>
      <c r="C136" s="168">
        <v>480.34</v>
      </c>
      <c r="D136">
        <v>10.49</v>
      </c>
    </row>
    <row r="137" spans="2:4" x14ac:dyDescent="0.2">
      <c r="B137" s="167">
        <v>45551</v>
      </c>
      <c r="C137" s="168">
        <v>483.51</v>
      </c>
      <c r="D137">
        <v>7.53</v>
      </c>
    </row>
    <row r="138" spans="2:4" x14ac:dyDescent="0.2">
      <c r="B138" s="167">
        <v>45548</v>
      </c>
      <c r="C138" s="168">
        <v>486.11</v>
      </c>
      <c r="D138">
        <v>8.83</v>
      </c>
    </row>
    <row r="139" spans="2:4" x14ac:dyDescent="0.2">
      <c r="B139" s="167">
        <v>45547</v>
      </c>
      <c r="C139" s="168">
        <v>491.45</v>
      </c>
      <c r="D139">
        <v>18.38</v>
      </c>
    </row>
    <row r="140" spans="2:4" x14ac:dyDescent="0.2">
      <c r="B140" s="167">
        <v>45546</v>
      </c>
      <c r="C140" s="168">
        <v>486.58</v>
      </c>
      <c r="D140">
        <v>14.92</v>
      </c>
    </row>
    <row r="141" spans="2:4" x14ac:dyDescent="0.2">
      <c r="B141" s="167">
        <v>45545</v>
      </c>
      <c r="C141" s="168">
        <v>485.87</v>
      </c>
      <c r="D141">
        <v>10.91</v>
      </c>
    </row>
    <row r="142" spans="2:4" x14ac:dyDescent="0.2">
      <c r="B142" s="167">
        <v>45544</v>
      </c>
      <c r="C142" s="168">
        <v>484.12</v>
      </c>
      <c r="D142">
        <v>13.74</v>
      </c>
    </row>
    <row r="143" spans="2:4" x14ac:dyDescent="0.2">
      <c r="B143" s="167">
        <v>45541</v>
      </c>
      <c r="C143" s="168">
        <v>474.61</v>
      </c>
      <c r="D143">
        <v>13.72</v>
      </c>
    </row>
    <row r="144" spans="2:4" x14ac:dyDescent="0.2">
      <c r="B144" s="167">
        <v>45540</v>
      </c>
      <c r="C144" s="168">
        <v>483.6</v>
      </c>
      <c r="D144">
        <v>10.9</v>
      </c>
    </row>
    <row r="145" spans="2:4" x14ac:dyDescent="0.2">
      <c r="B145" s="167">
        <v>45539</v>
      </c>
      <c r="C145" s="168">
        <v>479.01</v>
      </c>
      <c r="D145">
        <v>8.41</v>
      </c>
    </row>
    <row r="146" spans="2:4" x14ac:dyDescent="0.2">
      <c r="B146" s="167">
        <v>45538</v>
      </c>
      <c r="C146" s="168">
        <v>481.9</v>
      </c>
      <c r="D146">
        <v>12.02</v>
      </c>
    </row>
    <row r="147" spans="2:4" x14ac:dyDescent="0.2">
      <c r="B147" s="167">
        <v>45537</v>
      </c>
      <c r="C147" s="168">
        <v>482.51</v>
      </c>
      <c r="D147">
        <v>15.89</v>
      </c>
    </row>
    <row r="148" spans="2:4" x14ac:dyDescent="0.2">
      <c r="B148" s="167">
        <v>45534</v>
      </c>
      <c r="C148" s="168">
        <v>474.8</v>
      </c>
      <c r="D148">
        <v>14.95</v>
      </c>
    </row>
    <row r="149" spans="2:4" x14ac:dyDescent="0.2">
      <c r="B149" s="167">
        <v>45533</v>
      </c>
      <c r="C149" s="168">
        <v>477.83</v>
      </c>
      <c r="D149">
        <v>18.670000000000002</v>
      </c>
    </row>
    <row r="150" spans="2:4" x14ac:dyDescent="0.2">
      <c r="B150" s="167">
        <v>45532</v>
      </c>
      <c r="C150" s="168">
        <v>470.45</v>
      </c>
      <c r="D150">
        <v>7.78</v>
      </c>
    </row>
    <row r="151" spans="2:4" x14ac:dyDescent="0.2">
      <c r="B151" s="167">
        <v>45531</v>
      </c>
      <c r="C151" s="168">
        <v>473.57</v>
      </c>
      <c r="D151">
        <v>7.95</v>
      </c>
    </row>
    <row r="152" spans="2:4" x14ac:dyDescent="0.2">
      <c r="B152" s="167">
        <v>45530</v>
      </c>
      <c r="C152" s="168">
        <v>478.4</v>
      </c>
      <c r="D152">
        <v>7.83</v>
      </c>
    </row>
    <row r="153" spans="2:4" x14ac:dyDescent="0.2">
      <c r="B153" s="167">
        <v>45527</v>
      </c>
      <c r="C153" s="168">
        <v>478.49</v>
      </c>
      <c r="D153">
        <v>7.89</v>
      </c>
    </row>
    <row r="154" spans="2:4" x14ac:dyDescent="0.2">
      <c r="B154" s="167">
        <v>45526</v>
      </c>
      <c r="C154" s="168">
        <v>477.31</v>
      </c>
      <c r="D154">
        <v>8.36</v>
      </c>
    </row>
    <row r="155" spans="2:4" x14ac:dyDescent="0.2">
      <c r="B155" s="167">
        <v>45525</v>
      </c>
      <c r="C155" s="168">
        <v>478.11</v>
      </c>
      <c r="D155">
        <v>8.4700000000000006</v>
      </c>
    </row>
    <row r="156" spans="2:4" x14ac:dyDescent="0.2">
      <c r="B156" s="167">
        <v>45524</v>
      </c>
      <c r="C156" s="168">
        <v>471.87</v>
      </c>
      <c r="D156">
        <v>6.63</v>
      </c>
    </row>
    <row r="157" spans="2:4" x14ac:dyDescent="0.2">
      <c r="B157" s="167">
        <v>45523</v>
      </c>
      <c r="C157" s="168">
        <v>474.38</v>
      </c>
      <c r="D157">
        <v>10.199999999999999</v>
      </c>
    </row>
    <row r="158" spans="2:4" x14ac:dyDescent="0.2">
      <c r="B158" s="167">
        <v>45520</v>
      </c>
      <c r="C158" s="168">
        <v>475.51</v>
      </c>
      <c r="D158">
        <v>13.14</v>
      </c>
    </row>
    <row r="159" spans="2:4" x14ac:dyDescent="0.2">
      <c r="B159" s="167">
        <v>45518</v>
      </c>
      <c r="C159" s="168">
        <v>465.63</v>
      </c>
      <c r="D159">
        <v>9.25</v>
      </c>
    </row>
    <row r="160" spans="2:4" x14ac:dyDescent="0.2">
      <c r="B160" s="167">
        <v>45517</v>
      </c>
      <c r="C160" s="168">
        <v>463.55</v>
      </c>
      <c r="D160">
        <v>7.76</v>
      </c>
    </row>
    <row r="161" spans="2:4" x14ac:dyDescent="0.2">
      <c r="B161" s="167">
        <v>45516</v>
      </c>
      <c r="C161" s="168">
        <v>467.9</v>
      </c>
      <c r="D161">
        <v>9.08</v>
      </c>
    </row>
    <row r="162" spans="2:4" x14ac:dyDescent="0.2">
      <c r="B162" s="167">
        <v>45513</v>
      </c>
      <c r="C162" s="168">
        <v>469.13</v>
      </c>
      <c r="D162">
        <v>9.1999999999999993</v>
      </c>
    </row>
    <row r="163" spans="2:4" x14ac:dyDescent="0.2">
      <c r="B163" s="167">
        <v>45512</v>
      </c>
      <c r="C163" s="168">
        <v>468.04</v>
      </c>
      <c r="D163">
        <v>20.56</v>
      </c>
    </row>
    <row r="164" spans="2:4" x14ac:dyDescent="0.2">
      <c r="B164" s="167">
        <v>45511</v>
      </c>
      <c r="C164" s="168">
        <v>466.05</v>
      </c>
      <c r="D164">
        <v>10.9</v>
      </c>
    </row>
    <row r="165" spans="2:4" x14ac:dyDescent="0.2">
      <c r="B165" s="167">
        <v>45510</v>
      </c>
      <c r="C165" s="168">
        <v>460.05</v>
      </c>
      <c r="D165">
        <v>13.72</v>
      </c>
    </row>
    <row r="166" spans="2:4" x14ac:dyDescent="0.2">
      <c r="B166" s="167">
        <v>45509</v>
      </c>
      <c r="C166" s="168">
        <v>459.76</v>
      </c>
      <c r="D166">
        <v>24.09</v>
      </c>
    </row>
    <row r="167" spans="2:4" x14ac:dyDescent="0.2">
      <c r="B167" s="167">
        <v>45506</v>
      </c>
      <c r="C167" s="168">
        <v>462.7</v>
      </c>
      <c r="D167">
        <v>21.32</v>
      </c>
    </row>
    <row r="168" spans="2:4" x14ac:dyDescent="0.2">
      <c r="B168" s="167">
        <v>45505</v>
      </c>
      <c r="C168" s="168">
        <v>467.05</v>
      </c>
      <c r="D168">
        <v>11.67</v>
      </c>
    </row>
    <row r="169" spans="2:4" x14ac:dyDescent="0.2">
      <c r="B169" s="167">
        <v>45504</v>
      </c>
      <c r="C169" s="168">
        <v>468.61</v>
      </c>
      <c r="D169">
        <v>11.54</v>
      </c>
    </row>
    <row r="170" spans="2:4" x14ac:dyDescent="0.2">
      <c r="B170" s="167">
        <v>45503</v>
      </c>
      <c r="C170" s="168">
        <v>463.45</v>
      </c>
      <c r="D170">
        <v>13.38</v>
      </c>
    </row>
    <row r="171" spans="2:4" x14ac:dyDescent="0.2">
      <c r="B171" s="167">
        <v>45502</v>
      </c>
      <c r="C171" s="168">
        <v>469.27</v>
      </c>
      <c r="D171">
        <v>12.5</v>
      </c>
    </row>
    <row r="172" spans="2:4" x14ac:dyDescent="0.2">
      <c r="B172" s="167">
        <v>45499</v>
      </c>
      <c r="C172" s="168">
        <v>475.09</v>
      </c>
      <c r="D172">
        <v>20.74</v>
      </c>
    </row>
    <row r="173" spans="2:4" x14ac:dyDescent="0.2">
      <c r="B173" s="167">
        <v>45498</v>
      </c>
      <c r="C173" s="168">
        <v>463.5</v>
      </c>
      <c r="D173">
        <v>17.88</v>
      </c>
    </row>
    <row r="174" spans="2:4" x14ac:dyDescent="0.2">
      <c r="B174" s="167">
        <v>45497</v>
      </c>
      <c r="C174" s="168">
        <v>467.38</v>
      </c>
      <c r="D174">
        <v>42.07</v>
      </c>
    </row>
    <row r="175" spans="2:4" x14ac:dyDescent="0.2">
      <c r="B175" s="167">
        <v>45496</v>
      </c>
      <c r="C175" s="168">
        <v>465.63</v>
      </c>
      <c r="D175">
        <v>54.04</v>
      </c>
    </row>
    <row r="176" spans="2:4" x14ac:dyDescent="0.2">
      <c r="B176" s="167">
        <v>45495</v>
      </c>
      <c r="C176" s="168">
        <v>441.36</v>
      </c>
      <c r="D176">
        <v>18.07</v>
      </c>
    </row>
    <row r="177" spans="2:4" x14ac:dyDescent="0.2">
      <c r="B177" s="167">
        <v>45492</v>
      </c>
      <c r="C177" s="168">
        <v>448.93</v>
      </c>
      <c r="D177">
        <v>24.98</v>
      </c>
    </row>
    <row r="178" spans="2:4" x14ac:dyDescent="0.2">
      <c r="B178" s="167">
        <v>45491</v>
      </c>
      <c r="C178" s="168">
        <v>444.86</v>
      </c>
      <c r="D178">
        <v>21.09</v>
      </c>
    </row>
    <row r="179" spans="2:4" x14ac:dyDescent="0.2">
      <c r="B179" s="167">
        <v>45489</v>
      </c>
      <c r="C179" s="168">
        <v>440.42</v>
      </c>
      <c r="D179">
        <v>13</v>
      </c>
    </row>
    <row r="180" spans="2:4" x14ac:dyDescent="0.2">
      <c r="B180" s="167">
        <v>45488</v>
      </c>
      <c r="C180" s="168">
        <v>438.38</v>
      </c>
      <c r="D180">
        <v>16.25</v>
      </c>
    </row>
    <row r="181" spans="2:4" x14ac:dyDescent="0.2">
      <c r="B181" s="167">
        <v>45485</v>
      </c>
      <c r="C181" s="168">
        <v>434.27</v>
      </c>
      <c r="D181">
        <v>18.96</v>
      </c>
    </row>
    <row r="182" spans="2:4" x14ac:dyDescent="0.2">
      <c r="B182" s="167">
        <v>45484</v>
      </c>
      <c r="C182" s="168">
        <v>433.89</v>
      </c>
      <c r="D182">
        <v>18.829999999999998</v>
      </c>
    </row>
    <row r="183" spans="2:4" x14ac:dyDescent="0.2">
      <c r="B183" s="167">
        <v>45483</v>
      </c>
      <c r="C183" s="168">
        <v>427.08</v>
      </c>
      <c r="D183">
        <v>11.62</v>
      </c>
    </row>
    <row r="184" spans="2:4" x14ac:dyDescent="0.2">
      <c r="B184" s="167">
        <v>45482</v>
      </c>
      <c r="C184" s="168">
        <v>428.17</v>
      </c>
      <c r="D184">
        <v>26.47</v>
      </c>
    </row>
    <row r="185" spans="2:4" x14ac:dyDescent="0.2">
      <c r="B185" s="167">
        <v>45481</v>
      </c>
      <c r="C185" s="168">
        <v>419.65</v>
      </c>
      <c r="D185">
        <v>20.52</v>
      </c>
    </row>
    <row r="186" spans="2:4" x14ac:dyDescent="0.2">
      <c r="B186" s="167">
        <v>45478</v>
      </c>
      <c r="C186" s="168">
        <v>410.24</v>
      </c>
      <c r="D186">
        <v>12.93</v>
      </c>
    </row>
    <row r="187" spans="2:4" x14ac:dyDescent="0.2">
      <c r="B187" s="167">
        <v>45477</v>
      </c>
      <c r="C187" s="168">
        <v>405.89</v>
      </c>
      <c r="D187">
        <v>9.1300000000000008</v>
      </c>
    </row>
    <row r="188" spans="2:4" x14ac:dyDescent="0.2">
      <c r="B188" s="167">
        <v>45476</v>
      </c>
      <c r="C188" s="168">
        <v>405.18</v>
      </c>
      <c r="D188">
        <v>7.16</v>
      </c>
    </row>
    <row r="189" spans="2:4" x14ac:dyDescent="0.2">
      <c r="B189" s="167">
        <v>45475</v>
      </c>
      <c r="C189" s="168">
        <v>402.53</v>
      </c>
      <c r="D189">
        <v>10.76</v>
      </c>
    </row>
    <row r="190" spans="2:4" x14ac:dyDescent="0.2">
      <c r="B190" s="167">
        <v>45474</v>
      </c>
      <c r="C190" s="168">
        <v>405.89</v>
      </c>
      <c r="D190">
        <v>12.89</v>
      </c>
    </row>
    <row r="191" spans="2:4" x14ac:dyDescent="0.2">
      <c r="B191" s="167">
        <v>45471</v>
      </c>
      <c r="C191" s="168">
        <v>401.96</v>
      </c>
      <c r="D191">
        <v>17.87</v>
      </c>
    </row>
    <row r="192" spans="2:4" x14ac:dyDescent="0.2">
      <c r="B192" s="167">
        <v>45470</v>
      </c>
      <c r="C192" s="168">
        <v>402.62</v>
      </c>
      <c r="D192">
        <v>37.01</v>
      </c>
    </row>
    <row r="193" spans="2:4" x14ac:dyDescent="0.2">
      <c r="B193" s="167">
        <v>45469</v>
      </c>
      <c r="C193" s="168">
        <v>401.06</v>
      </c>
      <c r="D193">
        <v>11.08</v>
      </c>
    </row>
    <row r="194" spans="2:4" x14ac:dyDescent="0.2">
      <c r="B194" s="167">
        <v>45468</v>
      </c>
      <c r="C194" s="168">
        <v>400.45</v>
      </c>
      <c r="D194">
        <v>10.26</v>
      </c>
    </row>
    <row r="195" spans="2:4" x14ac:dyDescent="0.2">
      <c r="B195" s="167">
        <v>45467</v>
      </c>
      <c r="C195" s="168">
        <v>400.45</v>
      </c>
      <c r="D195">
        <v>9.36</v>
      </c>
    </row>
    <row r="196" spans="2:4" x14ac:dyDescent="0.2">
      <c r="B196" s="167">
        <v>45464</v>
      </c>
      <c r="C196" s="168">
        <v>396.95</v>
      </c>
      <c r="D196">
        <v>25.21</v>
      </c>
    </row>
    <row r="197" spans="2:4" x14ac:dyDescent="0.2">
      <c r="B197" s="167">
        <v>45463</v>
      </c>
      <c r="C197" s="168">
        <v>400.45</v>
      </c>
      <c r="D197">
        <v>14.59</v>
      </c>
    </row>
    <row r="198" spans="2:4" x14ac:dyDescent="0.2">
      <c r="B198" s="167">
        <v>45462</v>
      </c>
      <c r="C198" s="168">
        <v>400.78</v>
      </c>
      <c r="D198">
        <v>10.91</v>
      </c>
    </row>
    <row r="199" spans="2:4" x14ac:dyDescent="0.2">
      <c r="B199" s="167">
        <v>45461</v>
      </c>
      <c r="C199" s="168">
        <v>405.6</v>
      </c>
      <c r="D199">
        <v>14.1</v>
      </c>
    </row>
    <row r="200" spans="2:4" x14ac:dyDescent="0.2">
      <c r="B200" s="167">
        <v>45457</v>
      </c>
      <c r="C200" s="168">
        <v>407.87</v>
      </c>
      <c r="D200">
        <v>9.2200000000000006</v>
      </c>
    </row>
    <row r="201" spans="2:4" x14ac:dyDescent="0.2">
      <c r="B201" s="167">
        <v>45456</v>
      </c>
      <c r="C201" s="168">
        <v>407.07</v>
      </c>
      <c r="D201">
        <v>9.2799999999999994</v>
      </c>
    </row>
    <row r="202" spans="2:4" x14ac:dyDescent="0.2">
      <c r="B202" s="167">
        <v>45455</v>
      </c>
      <c r="C202" s="168">
        <v>408.96</v>
      </c>
      <c r="D202">
        <v>10.35</v>
      </c>
    </row>
    <row r="203" spans="2:4" x14ac:dyDescent="0.2">
      <c r="B203" s="167">
        <v>45454</v>
      </c>
      <c r="C203" s="168">
        <v>409.62</v>
      </c>
      <c r="D203">
        <v>12.67</v>
      </c>
    </row>
    <row r="204" spans="2:4" x14ac:dyDescent="0.2">
      <c r="B204" s="167">
        <v>45453</v>
      </c>
      <c r="C204" s="168">
        <v>413.31</v>
      </c>
      <c r="D204">
        <v>11.43</v>
      </c>
    </row>
    <row r="205" spans="2:4" x14ac:dyDescent="0.2">
      <c r="B205" s="167">
        <v>45450</v>
      </c>
      <c r="C205" s="168">
        <v>415.44</v>
      </c>
      <c r="D205">
        <v>28.45</v>
      </c>
    </row>
    <row r="206" spans="2:4" x14ac:dyDescent="0.2">
      <c r="B206" s="167">
        <v>45449</v>
      </c>
      <c r="C206" s="168">
        <v>411.89</v>
      </c>
      <c r="D206">
        <v>31.12</v>
      </c>
    </row>
    <row r="207" spans="2:4" x14ac:dyDescent="0.2">
      <c r="B207" s="167">
        <v>45448</v>
      </c>
      <c r="C207" s="168">
        <v>407.07</v>
      </c>
      <c r="D207">
        <v>27.15</v>
      </c>
    </row>
    <row r="208" spans="2:4" x14ac:dyDescent="0.2">
      <c r="B208" s="167">
        <v>45447</v>
      </c>
      <c r="C208" s="168">
        <v>392.79</v>
      </c>
      <c r="D208">
        <v>46.02</v>
      </c>
    </row>
    <row r="209" spans="2:4" x14ac:dyDescent="0.2">
      <c r="B209" s="167">
        <v>45446</v>
      </c>
      <c r="C209" s="168">
        <v>407.12</v>
      </c>
      <c r="D209">
        <v>15.52</v>
      </c>
    </row>
    <row r="210" spans="2:4" x14ac:dyDescent="0.2">
      <c r="B210" s="167">
        <v>45443</v>
      </c>
      <c r="C210" s="168">
        <v>403.43</v>
      </c>
      <c r="D210">
        <v>28.21</v>
      </c>
    </row>
    <row r="211" spans="2:4" x14ac:dyDescent="0.2">
      <c r="B211" s="167">
        <v>45442</v>
      </c>
      <c r="C211" s="168">
        <v>400.97</v>
      </c>
      <c r="D211">
        <v>20.52</v>
      </c>
    </row>
    <row r="212" spans="2:4" x14ac:dyDescent="0.2">
      <c r="B212" s="167">
        <v>45441</v>
      </c>
      <c r="C212" s="168">
        <v>407.68</v>
      </c>
      <c r="D212">
        <v>10.43</v>
      </c>
    </row>
    <row r="213" spans="2:4" x14ac:dyDescent="0.2">
      <c r="B213" s="167">
        <v>45440</v>
      </c>
      <c r="C213" s="168">
        <v>405.84</v>
      </c>
      <c r="D213">
        <v>9.31</v>
      </c>
    </row>
    <row r="214" spans="2:4" x14ac:dyDescent="0.2">
      <c r="B214" s="167">
        <v>45439</v>
      </c>
      <c r="C214" s="168">
        <v>408.2</v>
      </c>
      <c r="D214">
        <v>11.83</v>
      </c>
    </row>
    <row r="215" spans="2:4" x14ac:dyDescent="0.2">
      <c r="B215" s="167">
        <v>45436</v>
      </c>
      <c r="C215" s="168">
        <v>412.65</v>
      </c>
      <c r="D215">
        <v>12.76</v>
      </c>
    </row>
    <row r="216" spans="2:4" x14ac:dyDescent="0.2">
      <c r="B216" s="167">
        <v>45435</v>
      </c>
      <c r="C216" s="168">
        <v>417.52</v>
      </c>
      <c r="D216">
        <v>26.23</v>
      </c>
    </row>
    <row r="217" spans="2:4" x14ac:dyDescent="0.2">
      <c r="B217" s="167">
        <v>45434</v>
      </c>
      <c r="C217" s="168">
        <v>416.15</v>
      </c>
      <c r="D217">
        <v>10.63</v>
      </c>
    </row>
    <row r="218" spans="2:4" x14ac:dyDescent="0.2">
      <c r="B218" s="167">
        <v>45433</v>
      </c>
      <c r="C218" s="168">
        <v>411.33</v>
      </c>
      <c r="D218">
        <v>10.76</v>
      </c>
    </row>
    <row r="219" spans="2:4" x14ac:dyDescent="0.2">
      <c r="B219" s="167">
        <v>45429</v>
      </c>
      <c r="C219" s="168">
        <v>412.74</v>
      </c>
      <c r="D219">
        <v>11.45</v>
      </c>
    </row>
    <row r="220" spans="2:4" x14ac:dyDescent="0.2">
      <c r="B220" s="167">
        <v>45428</v>
      </c>
      <c r="C220" s="168">
        <v>408.16</v>
      </c>
      <c r="D220">
        <v>23.03</v>
      </c>
    </row>
    <row r="221" spans="2:4" x14ac:dyDescent="0.2">
      <c r="B221" s="167">
        <v>45427</v>
      </c>
      <c r="C221" s="168">
        <v>404.7</v>
      </c>
      <c r="D221">
        <v>7.57</v>
      </c>
    </row>
    <row r="222" spans="2:4" x14ac:dyDescent="0.2">
      <c r="B222" s="167">
        <v>45426</v>
      </c>
      <c r="C222" s="168">
        <v>406.5</v>
      </c>
      <c r="D222">
        <v>11</v>
      </c>
    </row>
    <row r="223" spans="2:4" x14ac:dyDescent="0.2">
      <c r="B223" s="167">
        <v>45425</v>
      </c>
      <c r="C223" s="168">
        <v>408.54</v>
      </c>
      <c r="D223">
        <v>7.3</v>
      </c>
    </row>
    <row r="224" spans="2:4" x14ac:dyDescent="0.2">
      <c r="B224" s="167">
        <v>45422</v>
      </c>
      <c r="C224" s="168">
        <v>409.95</v>
      </c>
      <c r="D224">
        <v>13.99</v>
      </c>
    </row>
    <row r="225" spans="2:4" x14ac:dyDescent="0.2">
      <c r="B225" s="167">
        <v>45421</v>
      </c>
      <c r="C225" s="168">
        <v>402.15</v>
      </c>
      <c r="D225">
        <v>23.41</v>
      </c>
    </row>
    <row r="226" spans="2:4" x14ac:dyDescent="0.2">
      <c r="B226" s="167">
        <v>45420</v>
      </c>
      <c r="C226" s="168">
        <v>417.19</v>
      </c>
      <c r="D226">
        <v>10.51</v>
      </c>
    </row>
    <row r="227" spans="2:4" x14ac:dyDescent="0.2">
      <c r="B227" s="167">
        <v>45419</v>
      </c>
      <c r="C227" s="168">
        <v>416.58</v>
      </c>
      <c r="D227">
        <v>25.97</v>
      </c>
    </row>
    <row r="228" spans="2:4" x14ac:dyDescent="0.2">
      <c r="B228" s="167">
        <v>45418</v>
      </c>
      <c r="C228" s="168">
        <v>411.28</v>
      </c>
      <c r="D228">
        <v>10.36</v>
      </c>
    </row>
    <row r="229" spans="2:4" x14ac:dyDescent="0.2">
      <c r="B229" s="167">
        <v>45415</v>
      </c>
      <c r="C229" s="168">
        <v>412.89</v>
      </c>
      <c r="D229">
        <v>22.9</v>
      </c>
    </row>
    <row r="230" spans="2:4" x14ac:dyDescent="0.2">
      <c r="B230" s="167">
        <v>45414</v>
      </c>
      <c r="C230" s="168">
        <v>415.3</v>
      </c>
      <c r="D230">
        <v>23.23</v>
      </c>
    </row>
    <row r="231" spans="2:4" x14ac:dyDescent="0.2">
      <c r="B231" s="167">
        <v>45412</v>
      </c>
      <c r="C231" s="168">
        <v>412.13</v>
      </c>
      <c r="D231">
        <v>12.06</v>
      </c>
    </row>
    <row r="232" spans="2:4" x14ac:dyDescent="0.2">
      <c r="B232" s="167">
        <v>45411</v>
      </c>
      <c r="C232" s="168">
        <v>414.54</v>
      </c>
      <c r="D232">
        <v>11.63</v>
      </c>
    </row>
    <row r="233" spans="2:4" x14ac:dyDescent="0.2">
      <c r="B233" s="167">
        <v>45408</v>
      </c>
      <c r="C233" s="168">
        <v>416.25</v>
      </c>
      <c r="D233">
        <v>14.77</v>
      </c>
    </row>
    <row r="234" spans="2:4" x14ac:dyDescent="0.2">
      <c r="B234" s="167">
        <v>45407</v>
      </c>
      <c r="C234" s="168">
        <v>413.93</v>
      </c>
      <c r="D234">
        <v>29.21</v>
      </c>
    </row>
    <row r="235" spans="2:4" x14ac:dyDescent="0.2">
      <c r="B235" s="167">
        <v>45406</v>
      </c>
      <c r="C235" s="168">
        <v>405.74</v>
      </c>
      <c r="D235">
        <v>5.85</v>
      </c>
    </row>
    <row r="236" spans="2:4" x14ac:dyDescent="0.2">
      <c r="B236" s="167">
        <v>45405</v>
      </c>
      <c r="C236" s="168">
        <v>406.03</v>
      </c>
      <c r="D236">
        <v>12.02</v>
      </c>
    </row>
    <row r="237" spans="2:4" x14ac:dyDescent="0.2">
      <c r="B237" s="167">
        <v>45404</v>
      </c>
      <c r="C237" s="168">
        <v>402.34</v>
      </c>
      <c r="D237">
        <v>7.11</v>
      </c>
    </row>
    <row r="238" spans="2:4" x14ac:dyDescent="0.2">
      <c r="B238" s="167">
        <v>45401</v>
      </c>
      <c r="C238" s="168">
        <v>401.82</v>
      </c>
      <c r="D238">
        <v>16.579999999999998</v>
      </c>
    </row>
    <row r="239" spans="2:4" x14ac:dyDescent="0.2">
      <c r="B239" s="167">
        <v>45400</v>
      </c>
      <c r="C239" s="168">
        <v>396.24</v>
      </c>
      <c r="D239">
        <v>21.31</v>
      </c>
    </row>
    <row r="240" spans="2:4" x14ac:dyDescent="0.2">
      <c r="B240" s="167">
        <v>45398</v>
      </c>
      <c r="C240" s="168">
        <v>402.91</v>
      </c>
      <c r="D240">
        <v>9.9700000000000006</v>
      </c>
    </row>
    <row r="241" spans="2:4" x14ac:dyDescent="0.2">
      <c r="B241" s="167">
        <v>45397</v>
      </c>
      <c r="C241" s="168">
        <v>402.91</v>
      </c>
      <c r="D241">
        <v>8.75</v>
      </c>
    </row>
    <row r="242" spans="2:4" x14ac:dyDescent="0.2">
      <c r="B242" s="167">
        <v>45394</v>
      </c>
      <c r="C242" s="168">
        <v>406.88</v>
      </c>
      <c r="D242">
        <v>18.09</v>
      </c>
    </row>
    <row r="243" spans="2:4" x14ac:dyDescent="0.2">
      <c r="B243" s="167">
        <v>45392</v>
      </c>
      <c r="C243" s="168">
        <v>413.36</v>
      </c>
      <c r="D243">
        <v>14.01</v>
      </c>
    </row>
    <row r="244" spans="2:4" x14ac:dyDescent="0.2">
      <c r="B244" s="167">
        <v>45391</v>
      </c>
      <c r="C244" s="168">
        <v>403.33</v>
      </c>
      <c r="D244">
        <v>6.71</v>
      </c>
    </row>
    <row r="245" spans="2:4" x14ac:dyDescent="0.2">
      <c r="B245" s="167">
        <v>45390</v>
      </c>
      <c r="C245" s="168">
        <v>405.93</v>
      </c>
      <c r="D245">
        <v>8.52</v>
      </c>
    </row>
    <row r="246" spans="2:4" x14ac:dyDescent="0.2">
      <c r="B246" s="167">
        <v>45387</v>
      </c>
      <c r="C246" s="168">
        <v>404.47</v>
      </c>
      <c r="D246">
        <v>16.149999999999999</v>
      </c>
    </row>
    <row r="247" spans="2:4" x14ac:dyDescent="0.2">
      <c r="B247" s="167">
        <v>45386</v>
      </c>
      <c r="C247" s="168">
        <v>399.93</v>
      </c>
      <c r="D247">
        <v>18.36</v>
      </c>
    </row>
    <row r="248" spans="2:4" x14ac:dyDescent="0.2">
      <c r="B248" s="167">
        <v>45385</v>
      </c>
      <c r="C248" s="168">
        <v>402.24</v>
      </c>
      <c r="D248">
        <v>12.66</v>
      </c>
    </row>
    <row r="249" spans="2:4" x14ac:dyDescent="0.2">
      <c r="B249" s="167">
        <v>45384</v>
      </c>
      <c r="C249" s="168">
        <v>402.86</v>
      </c>
      <c r="D249">
        <v>8.85</v>
      </c>
    </row>
    <row r="250" spans="2:4" x14ac:dyDescent="0.2">
      <c r="B250" s="167">
        <v>45383</v>
      </c>
      <c r="C250" s="168">
        <v>403.66</v>
      </c>
      <c r="D250">
        <v>9.3800000000000008</v>
      </c>
    </row>
    <row r="251" spans="2:4" x14ac:dyDescent="0.2">
      <c r="B251" s="167">
        <v>45379</v>
      </c>
      <c r="C251" s="168">
        <v>405.23</v>
      </c>
      <c r="D251">
        <v>27.93</v>
      </c>
    </row>
    <row r="252" spans="2:4" x14ac:dyDescent="0.2">
      <c r="B252" s="167">
        <v>45378</v>
      </c>
      <c r="C252" s="168">
        <v>404.89</v>
      </c>
      <c r="D252">
        <v>12.23</v>
      </c>
    </row>
    <row r="253" spans="2:4" x14ac:dyDescent="0.2">
      <c r="B253" s="167">
        <v>45377</v>
      </c>
      <c r="C253" s="168">
        <v>404.56</v>
      </c>
      <c r="D253">
        <v>10.27</v>
      </c>
    </row>
    <row r="254" spans="2:4" x14ac:dyDescent="0.2">
      <c r="B254" s="167">
        <v>45373</v>
      </c>
      <c r="C254" s="168">
        <v>405.46</v>
      </c>
      <c r="D254">
        <v>38.86</v>
      </c>
    </row>
    <row r="255" spans="2:4" x14ac:dyDescent="0.2">
      <c r="B255" s="167">
        <v>45372</v>
      </c>
      <c r="C255" s="168">
        <v>398.51</v>
      </c>
      <c r="D255">
        <v>19.23</v>
      </c>
    </row>
    <row r="256" spans="2:4" x14ac:dyDescent="0.2">
      <c r="B256" s="167">
        <v>45371</v>
      </c>
      <c r="C256" s="168">
        <v>393.26</v>
      </c>
      <c r="D256">
        <v>19.61</v>
      </c>
    </row>
    <row r="257" spans="2:4" x14ac:dyDescent="0.2">
      <c r="B257" s="167">
        <v>45370</v>
      </c>
      <c r="C257" s="168">
        <v>387.44</v>
      </c>
      <c r="D257">
        <v>20.99</v>
      </c>
    </row>
    <row r="258" spans="2:4" x14ac:dyDescent="0.2">
      <c r="B258" s="167">
        <v>45369</v>
      </c>
      <c r="C258" s="168">
        <v>394.91</v>
      </c>
      <c r="D258">
        <v>15.93</v>
      </c>
    </row>
    <row r="259" spans="2:4" x14ac:dyDescent="0.2">
      <c r="B259" s="167">
        <v>45366</v>
      </c>
      <c r="C259" s="168">
        <v>396.47</v>
      </c>
      <c r="D259">
        <v>73.25</v>
      </c>
    </row>
    <row r="260" spans="2:4" x14ac:dyDescent="0.2">
      <c r="B260" s="167">
        <v>45365</v>
      </c>
      <c r="C260" s="168">
        <v>396.99</v>
      </c>
      <c r="D260">
        <v>30.76</v>
      </c>
    </row>
    <row r="261" spans="2:4" x14ac:dyDescent="0.2">
      <c r="B261" s="167">
        <v>45364</v>
      </c>
      <c r="C261" s="168">
        <v>399.64</v>
      </c>
      <c r="D261">
        <v>101.61</v>
      </c>
    </row>
    <row r="262" spans="2:4" x14ac:dyDescent="0.2">
      <c r="B262" s="167">
        <v>45363</v>
      </c>
      <c r="C262" s="168">
        <v>382.61</v>
      </c>
      <c r="D262">
        <v>34.880000000000003</v>
      </c>
    </row>
    <row r="263" spans="2:4" x14ac:dyDescent="0.2">
      <c r="B263" s="167">
        <v>45362</v>
      </c>
      <c r="C263" s="168">
        <v>387.3</v>
      </c>
      <c r="D263">
        <v>17.62</v>
      </c>
    </row>
    <row r="264" spans="2:4" x14ac:dyDescent="0.2">
      <c r="B264" s="167">
        <v>45358</v>
      </c>
      <c r="C264" s="168">
        <v>391.22</v>
      </c>
      <c r="D264">
        <v>23.02</v>
      </c>
    </row>
    <row r="265" spans="2:4" x14ac:dyDescent="0.2">
      <c r="B265" s="167">
        <v>45357</v>
      </c>
      <c r="C265" s="168">
        <v>385.83</v>
      </c>
      <c r="D265">
        <v>11.11</v>
      </c>
    </row>
    <row r="266" spans="2:4" x14ac:dyDescent="0.2">
      <c r="B266" s="167">
        <v>45356</v>
      </c>
      <c r="C266" s="168">
        <v>384.22</v>
      </c>
      <c r="D266">
        <v>9.73</v>
      </c>
    </row>
    <row r="267" spans="2:4" x14ac:dyDescent="0.2">
      <c r="B267" s="167">
        <v>45355</v>
      </c>
      <c r="C267" s="168">
        <v>387.01</v>
      </c>
      <c r="D267">
        <v>6.84</v>
      </c>
    </row>
    <row r="268" spans="2:4" x14ac:dyDescent="0.2">
      <c r="B268" s="167">
        <v>45352</v>
      </c>
      <c r="C268" s="168">
        <v>387.39</v>
      </c>
      <c r="D268">
        <v>12.4</v>
      </c>
    </row>
    <row r="269" spans="2:4" x14ac:dyDescent="0.2">
      <c r="B269" s="167">
        <v>45351</v>
      </c>
      <c r="C269" s="168">
        <v>384.36</v>
      </c>
      <c r="D269">
        <v>14.9</v>
      </c>
    </row>
    <row r="270" spans="2:4" x14ac:dyDescent="0.2">
      <c r="B270" s="167">
        <v>45350</v>
      </c>
      <c r="C270" s="168">
        <v>386.26</v>
      </c>
      <c r="D270">
        <v>8.6199999999999992</v>
      </c>
    </row>
    <row r="271" spans="2:4" x14ac:dyDescent="0.2">
      <c r="B271" s="167">
        <v>45349</v>
      </c>
      <c r="C271" s="168">
        <v>388.95</v>
      </c>
      <c r="D271">
        <v>7.78</v>
      </c>
    </row>
    <row r="272" spans="2:4" x14ac:dyDescent="0.2">
      <c r="B272" s="167">
        <v>45348</v>
      </c>
      <c r="C272" s="168">
        <v>387.11</v>
      </c>
      <c r="D272">
        <v>7.98</v>
      </c>
    </row>
    <row r="273" spans="2:4" x14ac:dyDescent="0.2">
      <c r="B273" s="167">
        <v>45345</v>
      </c>
      <c r="C273" s="168">
        <v>389.19</v>
      </c>
      <c r="D273">
        <v>11.15</v>
      </c>
    </row>
    <row r="274" spans="2:4" x14ac:dyDescent="0.2">
      <c r="B274" s="167">
        <v>45344</v>
      </c>
      <c r="C274" s="168">
        <v>392.08</v>
      </c>
      <c r="D274">
        <v>18.600000000000001</v>
      </c>
    </row>
    <row r="275" spans="2:4" x14ac:dyDescent="0.2">
      <c r="B275" s="167">
        <v>45343</v>
      </c>
      <c r="C275" s="168">
        <v>381.57</v>
      </c>
      <c r="D275">
        <v>19.41</v>
      </c>
    </row>
    <row r="276" spans="2:4" x14ac:dyDescent="0.2">
      <c r="B276" s="167">
        <v>45342</v>
      </c>
      <c r="C276" s="168">
        <v>384.18</v>
      </c>
      <c r="D276">
        <v>14.08</v>
      </c>
    </row>
    <row r="277" spans="2:4" x14ac:dyDescent="0.2">
      <c r="B277" s="167">
        <v>45341</v>
      </c>
      <c r="C277" s="168">
        <v>387.16</v>
      </c>
      <c r="D277">
        <v>16.95</v>
      </c>
    </row>
    <row r="278" spans="2:4" x14ac:dyDescent="0.2">
      <c r="B278" s="167">
        <v>45338</v>
      </c>
      <c r="C278" s="168">
        <v>382.76</v>
      </c>
      <c r="D278">
        <v>37.520000000000003</v>
      </c>
    </row>
    <row r="279" spans="2:4" x14ac:dyDescent="0.2">
      <c r="B279" s="167">
        <v>45337</v>
      </c>
      <c r="C279" s="168">
        <v>382.1</v>
      </c>
      <c r="D279">
        <v>20.38</v>
      </c>
    </row>
    <row r="280" spans="2:4" x14ac:dyDescent="0.2">
      <c r="B280" s="167">
        <v>45336</v>
      </c>
      <c r="C280" s="168">
        <v>389.33</v>
      </c>
      <c r="D280">
        <v>12.15</v>
      </c>
    </row>
    <row r="281" spans="2:4" x14ac:dyDescent="0.2">
      <c r="B281" s="167">
        <v>45335</v>
      </c>
      <c r="C281" s="168">
        <v>384.79</v>
      </c>
      <c r="D281">
        <v>15.61</v>
      </c>
    </row>
    <row r="282" spans="2:4" x14ac:dyDescent="0.2">
      <c r="B282" s="167">
        <v>45334</v>
      </c>
      <c r="C282" s="168">
        <v>384.89</v>
      </c>
      <c r="D282">
        <v>10.91</v>
      </c>
    </row>
    <row r="283" spans="2:4" x14ac:dyDescent="0.2">
      <c r="B283" s="167">
        <v>45331</v>
      </c>
      <c r="C283" s="168">
        <v>393.07</v>
      </c>
      <c r="D283">
        <v>32.28</v>
      </c>
    </row>
    <row r="284" spans="2:4" x14ac:dyDescent="0.2">
      <c r="B284" s="167">
        <v>45330</v>
      </c>
      <c r="C284" s="168">
        <v>392.17</v>
      </c>
      <c r="D284">
        <v>48.18</v>
      </c>
    </row>
    <row r="285" spans="2:4" x14ac:dyDescent="0.2">
      <c r="B285" s="167">
        <v>45329</v>
      </c>
      <c r="C285" s="168">
        <v>408.49</v>
      </c>
      <c r="D285">
        <v>12.88</v>
      </c>
    </row>
    <row r="286" spans="2:4" x14ac:dyDescent="0.2">
      <c r="B286" s="167">
        <v>45328</v>
      </c>
      <c r="C286" s="168">
        <v>408.11</v>
      </c>
      <c r="D286">
        <v>18.760000000000002</v>
      </c>
    </row>
    <row r="287" spans="2:4" x14ac:dyDescent="0.2">
      <c r="B287" s="167">
        <v>45327</v>
      </c>
      <c r="C287" s="168">
        <v>414.4</v>
      </c>
      <c r="D287">
        <v>12.04</v>
      </c>
    </row>
    <row r="288" spans="2:4" x14ac:dyDescent="0.2">
      <c r="B288" s="167">
        <v>45324</v>
      </c>
      <c r="C288" s="168">
        <v>416.34</v>
      </c>
      <c r="D288">
        <v>17.16</v>
      </c>
    </row>
    <row r="289" spans="2:4" x14ac:dyDescent="0.2">
      <c r="B289" s="167">
        <v>45323</v>
      </c>
      <c r="C289" s="168">
        <v>418.99</v>
      </c>
      <c r="D289">
        <v>19.170000000000002</v>
      </c>
    </row>
    <row r="290" spans="2:4" x14ac:dyDescent="0.2">
      <c r="B290" s="167">
        <v>45322</v>
      </c>
      <c r="C290" s="168">
        <v>417.71</v>
      </c>
      <c r="D290">
        <v>19.88</v>
      </c>
    </row>
    <row r="291" spans="2:4" x14ac:dyDescent="0.2">
      <c r="B291" s="167">
        <v>45321</v>
      </c>
      <c r="C291" s="168">
        <v>414.4</v>
      </c>
      <c r="D291">
        <v>43.51</v>
      </c>
    </row>
    <row r="292" spans="2:4" x14ac:dyDescent="0.2">
      <c r="B292" s="167">
        <v>45320</v>
      </c>
      <c r="C292" s="168">
        <v>425.52</v>
      </c>
      <c r="D292">
        <v>17.87</v>
      </c>
    </row>
    <row r="293" spans="2:4" x14ac:dyDescent="0.2">
      <c r="B293" s="167">
        <v>45316</v>
      </c>
      <c r="C293" s="168">
        <v>431.05</v>
      </c>
      <c r="D293">
        <v>19.68</v>
      </c>
    </row>
    <row r="294" spans="2:4" x14ac:dyDescent="0.2">
      <c r="B294" s="167">
        <v>45315</v>
      </c>
      <c r="C294" s="168">
        <v>438.57</v>
      </c>
      <c r="D294">
        <v>21.63</v>
      </c>
    </row>
    <row r="295" spans="2:4" x14ac:dyDescent="0.2">
      <c r="B295" s="167">
        <v>45314</v>
      </c>
      <c r="C295" s="168">
        <v>434.5</v>
      </c>
      <c r="D295">
        <v>8.4</v>
      </c>
    </row>
    <row r="296" spans="2:4" x14ac:dyDescent="0.2">
      <c r="B296" s="167">
        <v>45311</v>
      </c>
      <c r="C296" s="168">
        <v>468.4</v>
      </c>
      <c r="D296">
        <v>3.3</v>
      </c>
    </row>
    <row r="297" spans="2:4" x14ac:dyDescent="0.2">
      <c r="B297" s="167">
        <v>45310</v>
      </c>
      <c r="C297" s="168">
        <v>446.05</v>
      </c>
      <c r="D297">
        <v>12.2</v>
      </c>
    </row>
    <row r="298" spans="2:4" x14ac:dyDescent="0.2">
      <c r="B298" s="167">
        <v>45309</v>
      </c>
      <c r="C298" s="168">
        <v>440.37</v>
      </c>
      <c r="D298">
        <v>9.14</v>
      </c>
    </row>
    <row r="299" spans="2:4" x14ac:dyDescent="0.2">
      <c r="B299" s="167">
        <v>45308</v>
      </c>
      <c r="C299" s="168">
        <v>441.41</v>
      </c>
      <c r="D299">
        <v>11.11</v>
      </c>
    </row>
    <row r="300" spans="2:4" x14ac:dyDescent="0.2">
      <c r="B300" s="167">
        <v>45307</v>
      </c>
      <c r="C300" s="168">
        <v>446.8</v>
      </c>
      <c r="D300">
        <v>12.07</v>
      </c>
    </row>
    <row r="301" spans="2:4" x14ac:dyDescent="0.2">
      <c r="B301" s="167">
        <v>45306</v>
      </c>
      <c r="C301" s="168">
        <v>442.36</v>
      </c>
      <c r="D301">
        <v>6.9</v>
      </c>
    </row>
    <row r="302" spans="2:4" x14ac:dyDescent="0.2">
      <c r="B302" s="167">
        <v>45303</v>
      </c>
      <c r="C302" s="168">
        <v>441.5</v>
      </c>
      <c r="D302">
        <v>9.35</v>
      </c>
    </row>
    <row r="303" spans="2:4" x14ac:dyDescent="0.2">
      <c r="B303" s="167">
        <v>45302</v>
      </c>
      <c r="C303" s="168">
        <v>437.67</v>
      </c>
      <c r="D303">
        <v>6.53</v>
      </c>
    </row>
    <row r="304" spans="2:4" x14ac:dyDescent="0.2">
      <c r="B304" s="167">
        <v>45301</v>
      </c>
      <c r="C304" s="168">
        <v>438.29</v>
      </c>
      <c r="D304">
        <v>5.9</v>
      </c>
    </row>
    <row r="305" spans="2:4" x14ac:dyDescent="0.2">
      <c r="B305" s="167">
        <v>45300</v>
      </c>
      <c r="C305" s="168">
        <v>439.47</v>
      </c>
      <c r="D305">
        <v>5.7</v>
      </c>
    </row>
    <row r="306" spans="2:4" x14ac:dyDescent="0.2">
      <c r="B306" s="167">
        <v>45299</v>
      </c>
      <c r="C306" s="168">
        <v>440.37</v>
      </c>
      <c r="D306">
        <v>8</v>
      </c>
    </row>
    <row r="307" spans="2:4" x14ac:dyDescent="0.2">
      <c r="B307" s="167">
        <v>45296</v>
      </c>
      <c r="C307" s="168">
        <v>448.36</v>
      </c>
      <c r="D307">
        <v>9.2100000000000009</v>
      </c>
    </row>
    <row r="308" spans="2:4" x14ac:dyDescent="0.2">
      <c r="B308" s="167">
        <v>45295</v>
      </c>
      <c r="C308" s="168">
        <v>450.68</v>
      </c>
      <c r="D308">
        <v>11.79</v>
      </c>
    </row>
    <row r="309" spans="2:4" x14ac:dyDescent="0.2">
      <c r="B309" s="167">
        <v>45294</v>
      </c>
      <c r="C309" s="168">
        <v>451.48</v>
      </c>
      <c r="D309">
        <v>24.04</v>
      </c>
    </row>
    <row r="310" spans="2:4" x14ac:dyDescent="0.2">
      <c r="B310" s="167">
        <v>45293</v>
      </c>
      <c r="C310" s="168">
        <v>444.96</v>
      </c>
      <c r="D310">
        <v>10.52</v>
      </c>
    </row>
    <row r="311" spans="2:4" x14ac:dyDescent="0.2">
      <c r="B311" s="167">
        <v>45292</v>
      </c>
      <c r="C311" s="168">
        <v>442.78</v>
      </c>
      <c r="D311">
        <v>9.35</v>
      </c>
    </row>
    <row r="312" spans="2:4" x14ac:dyDescent="0.2">
      <c r="B312" s="167">
        <v>45289</v>
      </c>
      <c r="C312" s="168">
        <v>437.15</v>
      </c>
      <c r="D312">
        <v>12.89</v>
      </c>
    </row>
    <row r="313" spans="2:4" x14ac:dyDescent="0.2">
      <c r="B313" s="167">
        <v>45288</v>
      </c>
      <c r="C313" s="168">
        <v>439.05</v>
      </c>
      <c r="D313">
        <v>20.7</v>
      </c>
    </row>
    <row r="314" spans="2:4" x14ac:dyDescent="0.2">
      <c r="B314" s="167">
        <v>45287</v>
      </c>
      <c r="C314" s="168">
        <v>432.42</v>
      </c>
      <c r="D314">
        <v>7.54</v>
      </c>
    </row>
    <row r="315" spans="2:4" x14ac:dyDescent="0.2">
      <c r="B315" s="167">
        <v>45286</v>
      </c>
      <c r="C315" s="168">
        <v>431.81</v>
      </c>
      <c r="D315">
        <v>5.87</v>
      </c>
    </row>
    <row r="316" spans="2:4" x14ac:dyDescent="0.2">
      <c r="B316" s="167">
        <v>45282</v>
      </c>
      <c r="C316" s="168">
        <v>430.63</v>
      </c>
      <c r="D316">
        <v>11.03</v>
      </c>
    </row>
    <row r="317" spans="2:4" x14ac:dyDescent="0.2">
      <c r="B317" s="167">
        <v>45281</v>
      </c>
      <c r="C317" s="168">
        <v>427.08</v>
      </c>
      <c r="D317">
        <v>11.15</v>
      </c>
    </row>
    <row r="318" spans="2:4" x14ac:dyDescent="0.2">
      <c r="B318" s="167">
        <v>45280</v>
      </c>
      <c r="C318" s="168">
        <v>426.65</v>
      </c>
      <c r="D318">
        <v>10.37</v>
      </c>
    </row>
    <row r="319" spans="2:4" x14ac:dyDescent="0.2">
      <c r="B319" s="167">
        <v>45279</v>
      </c>
      <c r="C319" s="168">
        <v>431.48</v>
      </c>
      <c r="D319">
        <v>10.27</v>
      </c>
    </row>
    <row r="320" spans="2:4" x14ac:dyDescent="0.2">
      <c r="B320" s="167">
        <v>45278</v>
      </c>
      <c r="C320" s="168">
        <v>427.27</v>
      </c>
      <c r="D320">
        <v>12.03</v>
      </c>
    </row>
    <row r="321" spans="2:4" x14ac:dyDescent="0.2">
      <c r="B321" s="167">
        <v>45275</v>
      </c>
      <c r="C321" s="168">
        <v>433.46</v>
      </c>
      <c r="D321">
        <v>15.79</v>
      </c>
    </row>
    <row r="322" spans="2:4" x14ac:dyDescent="0.2">
      <c r="B322" s="167">
        <v>45274</v>
      </c>
      <c r="C322" s="168">
        <v>435.26</v>
      </c>
      <c r="D322">
        <v>14.37</v>
      </c>
    </row>
    <row r="323" spans="2:4" x14ac:dyDescent="0.2">
      <c r="B323" s="167">
        <v>45273</v>
      </c>
      <c r="C323" s="168">
        <v>431.05</v>
      </c>
      <c r="D323">
        <v>11.28</v>
      </c>
    </row>
    <row r="324" spans="2:4" x14ac:dyDescent="0.2">
      <c r="B324" s="167">
        <v>45272</v>
      </c>
      <c r="C324" s="168">
        <v>428.64</v>
      </c>
      <c r="D324">
        <v>10.16</v>
      </c>
    </row>
    <row r="325" spans="2:4" x14ac:dyDescent="0.2">
      <c r="B325" s="167">
        <v>45271</v>
      </c>
      <c r="C325" s="168">
        <v>428.02</v>
      </c>
      <c r="D325">
        <v>6.6</v>
      </c>
    </row>
    <row r="326" spans="2:4" x14ac:dyDescent="0.2">
      <c r="B326" s="167">
        <v>45268</v>
      </c>
      <c r="C326" s="168">
        <v>424.9</v>
      </c>
      <c r="D326">
        <v>18.670000000000002</v>
      </c>
    </row>
    <row r="327" spans="2:4" x14ac:dyDescent="0.2">
      <c r="B327" s="167">
        <v>45267</v>
      </c>
      <c r="C327" s="168">
        <v>433.37</v>
      </c>
      <c r="D327">
        <v>11.31</v>
      </c>
    </row>
    <row r="328" spans="2:4" x14ac:dyDescent="0.2">
      <c r="B328" s="167">
        <v>45266</v>
      </c>
      <c r="C328" s="168">
        <v>438.24</v>
      </c>
      <c r="D328">
        <v>20.420000000000002</v>
      </c>
    </row>
    <row r="329" spans="2:4" x14ac:dyDescent="0.2">
      <c r="B329" s="167">
        <v>45265</v>
      </c>
      <c r="C329" s="168">
        <v>427.36</v>
      </c>
      <c r="D329">
        <v>12.14</v>
      </c>
    </row>
    <row r="330" spans="2:4" x14ac:dyDescent="0.2">
      <c r="B330" s="167">
        <v>45264</v>
      </c>
      <c r="C330" s="168">
        <v>429.54</v>
      </c>
      <c r="D330">
        <v>12.8</v>
      </c>
    </row>
    <row r="331" spans="2:4" x14ac:dyDescent="0.2">
      <c r="B331" s="167">
        <v>45261</v>
      </c>
      <c r="C331" s="168">
        <v>425.52</v>
      </c>
      <c r="D331">
        <v>19.34</v>
      </c>
    </row>
    <row r="332" spans="2:4" x14ac:dyDescent="0.2">
      <c r="B332" s="167">
        <v>45260</v>
      </c>
      <c r="C332" s="168">
        <v>412.27</v>
      </c>
      <c r="D332">
        <v>15.13</v>
      </c>
    </row>
    <row r="333" spans="2:4" x14ac:dyDescent="0.2">
      <c r="B333" s="167">
        <v>45259</v>
      </c>
      <c r="C333" s="168">
        <v>413.6</v>
      </c>
      <c r="D333">
        <v>13.79</v>
      </c>
    </row>
    <row r="334" spans="2:4" x14ac:dyDescent="0.2">
      <c r="B334" s="167">
        <v>45258</v>
      </c>
      <c r="C334" s="168">
        <v>411.75</v>
      </c>
      <c r="D334">
        <v>8.75</v>
      </c>
    </row>
    <row r="335" spans="2:4" x14ac:dyDescent="0.2">
      <c r="B335" s="167">
        <v>45254</v>
      </c>
      <c r="C335" s="168">
        <v>414.16</v>
      </c>
      <c r="D335">
        <v>6.82</v>
      </c>
    </row>
    <row r="336" spans="2:4" x14ac:dyDescent="0.2">
      <c r="B336" s="167">
        <v>45253</v>
      </c>
      <c r="C336" s="168">
        <v>416.58</v>
      </c>
      <c r="D336">
        <v>6.37</v>
      </c>
    </row>
    <row r="337" spans="2:4" x14ac:dyDescent="0.2">
      <c r="B337" s="167">
        <v>45252</v>
      </c>
      <c r="C337" s="168">
        <v>415.96</v>
      </c>
      <c r="D337">
        <v>4.8899999999999997</v>
      </c>
    </row>
    <row r="338" spans="2:4" x14ac:dyDescent="0.2">
      <c r="B338" s="167">
        <v>45251</v>
      </c>
      <c r="C338" s="168">
        <v>412.7</v>
      </c>
      <c r="D338">
        <v>6</v>
      </c>
    </row>
    <row r="339" spans="2:4" x14ac:dyDescent="0.2">
      <c r="B339" s="167">
        <v>45250</v>
      </c>
      <c r="C339" s="168">
        <v>413.22</v>
      </c>
      <c r="D339">
        <v>4.34</v>
      </c>
    </row>
    <row r="340" spans="2:4" x14ac:dyDescent="0.2">
      <c r="B340" s="167">
        <v>45247</v>
      </c>
      <c r="C340" s="168">
        <v>415.54</v>
      </c>
      <c r="D340">
        <v>6.66</v>
      </c>
    </row>
    <row r="341" spans="2:4" x14ac:dyDescent="0.2">
      <c r="B341" s="167">
        <v>45246</v>
      </c>
      <c r="C341" s="168">
        <v>414.97</v>
      </c>
      <c r="D341">
        <v>10.86</v>
      </c>
    </row>
    <row r="342" spans="2:4" x14ac:dyDescent="0.2">
      <c r="B342" s="167">
        <v>45245</v>
      </c>
      <c r="C342" s="168">
        <v>418.09</v>
      </c>
      <c r="D342">
        <v>7.44</v>
      </c>
    </row>
    <row r="343" spans="2:4" x14ac:dyDescent="0.2">
      <c r="B343" s="167">
        <v>45243</v>
      </c>
      <c r="C343" s="168">
        <v>412.46</v>
      </c>
      <c r="D343">
        <v>3.74</v>
      </c>
    </row>
    <row r="344" spans="2:4" x14ac:dyDescent="0.2">
      <c r="B344" s="167">
        <v>45242</v>
      </c>
      <c r="C344" s="168">
        <v>438.45</v>
      </c>
      <c r="D344">
        <v>1.18</v>
      </c>
    </row>
    <row r="345" spans="2:4" x14ac:dyDescent="0.2">
      <c r="B345" s="167">
        <v>45240</v>
      </c>
      <c r="C345" s="168">
        <v>412.98</v>
      </c>
      <c r="D345">
        <v>4.08</v>
      </c>
    </row>
    <row r="346" spans="2:4" x14ac:dyDescent="0.2">
      <c r="B346" s="167">
        <v>45239</v>
      </c>
      <c r="C346" s="168">
        <v>410.95</v>
      </c>
      <c r="D346">
        <v>7.79</v>
      </c>
    </row>
    <row r="347" spans="2:4" x14ac:dyDescent="0.2">
      <c r="B347" s="167">
        <v>45238</v>
      </c>
      <c r="C347" s="168">
        <v>413.36</v>
      </c>
      <c r="D347">
        <v>6.98</v>
      </c>
    </row>
    <row r="348" spans="2:4" x14ac:dyDescent="0.2">
      <c r="B348" s="167">
        <v>45237</v>
      </c>
      <c r="C348" s="168">
        <v>409.34</v>
      </c>
      <c r="D348">
        <v>5.12</v>
      </c>
    </row>
    <row r="349" spans="2:4" x14ac:dyDescent="0.2">
      <c r="B349" s="167">
        <v>45236</v>
      </c>
      <c r="C349" s="168">
        <v>411.85</v>
      </c>
      <c r="D349">
        <v>7.31</v>
      </c>
    </row>
    <row r="350" spans="2:4" x14ac:dyDescent="0.2">
      <c r="B350" s="167">
        <v>45233</v>
      </c>
      <c r="C350" s="168">
        <v>409.86</v>
      </c>
      <c r="D350">
        <v>13.8</v>
      </c>
    </row>
    <row r="351" spans="2:4" x14ac:dyDescent="0.2">
      <c r="B351" s="167">
        <v>45232</v>
      </c>
      <c r="C351" s="168">
        <v>407.87</v>
      </c>
      <c r="D351">
        <v>8.15</v>
      </c>
    </row>
    <row r="352" spans="2:4" x14ac:dyDescent="0.2">
      <c r="B352" s="167">
        <v>45231</v>
      </c>
      <c r="C352" s="168">
        <v>404.99</v>
      </c>
      <c r="D352">
        <v>7.99</v>
      </c>
    </row>
    <row r="353" spans="2:4" x14ac:dyDescent="0.2">
      <c r="B353" s="167">
        <v>45230</v>
      </c>
      <c r="C353" s="168">
        <v>405.27</v>
      </c>
      <c r="D353">
        <v>8.6199999999999992</v>
      </c>
    </row>
    <row r="354" spans="2:4" x14ac:dyDescent="0.2">
      <c r="B354" s="167">
        <v>45229</v>
      </c>
      <c r="C354" s="168">
        <v>407.21</v>
      </c>
      <c r="D354">
        <v>7.62</v>
      </c>
    </row>
    <row r="355" spans="2:4" x14ac:dyDescent="0.2">
      <c r="B355" s="167">
        <v>45226</v>
      </c>
      <c r="C355" s="168">
        <v>410.33</v>
      </c>
      <c r="D355">
        <v>13.13</v>
      </c>
    </row>
    <row r="356" spans="2:4" x14ac:dyDescent="0.2">
      <c r="B356" s="167">
        <v>45225</v>
      </c>
      <c r="C356" s="168">
        <v>410.9</v>
      </c>
      <c r="D356">
        <v>18.8</v>
      </c>
    </row>
    <row r="357" spans="2:4" x14ac:dyDescent="0.2">
      <c r="B357" s="167">
        <v>45224</v>
      </c>
      <c r="C357" s="168">
        <v>409.34</v>
      </c>
      <c r="D357">
        <v>10.89</v>
      </c>
    </row>
    <row r="358" spans="2:4" x14ac:dyDescent="0.2">
      <c r="B358" s="167">
        <v>45222</v>
      </c>
      <c r="C358" s="168">
        <v>412.37</v>
      </c>
      <c r="D358">
        <v>7.28</v>
      </c>
    </row>
    <row r="359" spans="2:4" x14ac:dyDescent="0.2">
      <c r="B359" s="167">
        <v>45219</v>
      </c>
      <c r="C359" s="168">
        <v>414.64</v>
      </c>
      <c r="D359">
        <v>13.02</v>
      </c>
    </row>
    <row r="360" spans="2:4" x14ac:dyDescent="0.2">
      <c r="B360" s="167">
        <v>45218</v>
      </c>
      <c r="C360" s="168">
        <v>426.08</v>
      </c>
      <c r="D360">
        <v>9.4700000000000006</v>
      </c>
    </row>
    <row r="361" spans="2:4" x14ac:dyDescent="0.2">
      <c r="B361" s="167">
        <v>45217</v>
      </c>
      <c r="C361" s="168">
        <v>427.27</v>
      </c>
      <c r="D361">
        <v>6.89</v>
      </c>
    </row>
    <row r="362" spans="2:4" x14ac:dyDescent="0.2">
      <c r="B362" s="167">
        <v>45216</v>
      </c>
      <c r="C362" s="168">
        <v>428.97</v>
      </c>
      <c r="D362">
        <v>6.94</v>
      </c>
    </row>
    <row r="363" spans="2:4" x14ac:dyDescent="0.2">
      <c r="B363" s="167">
        <v>45215</v>
      </c>
      <c r="C363" s="168">
        <v>424.71</v>
      </c>
      <c r="D363">
        <v>4.21</v>
      </c>
    </row>
    <row r="364" spans="2:4" x14ac:dyDescent="0.2">
      <c r="B364" s="167">
        <v>45212</v>
      </c>
      <c r="C364" s="168">
        <v>424.14</v>
      </c>
      <c r="D364">
        <v>7.63</v>
      </c>
    </row>
    <row r="365" spans="2:4" x14ac:dyDescent="0.2">
      <c r="B365" s="167">
        <v>45211</v>
      </c>
      <c r="C365" s="168">
        <v>426.37</v>
      </c>
      <c r="D365">
        <v>11.77</v>
      </c>
    </row>
    <row r="366" spans="2:4" x14ac:dyDescent="0.2">
      <c r="B366" s="167">
        <v>45210</v>
      </c>
      <c r="C366" s="168">
        <v>424.05</v>
      </c>
      <c r="D366">
        <v>7.65</v>
      </c>
    </row>
    <row r="367" spans="2:4" x14ac:dyDescent="0.2">
      <c r="B367" s="167">
        <v>45209</v>
      </c>
      <c r="C367" s="168">
        <v>420.41</v>
      </c>
      <c r="D367">
        <v>5.01</v>
      </c>
    </row>
    <row r="368" spans="2:4" x14ac:dyDescent="0.2">
      <c r="B368" s="167">
        <v>45208</v>
      </c>
      <c r="C368" s="168">
        <v>416.67</v>
      </c>
      <c r="D368">
        <v>5.61</v>
      </c>
    </row>
    <row r="369" spans="2:4" x14ac:dyDescent="0.2">
      <c r="B369" s="167">
        <v>45205</v>
      </c>
      <c r="C369" s="168">
        <v>418.28</v>
      </c>
      <c r="D369">
        <v>8.42</v>
      </c>
    </row>
    <row r="370" spans="2:4" x14ac:dyDescent="0.2">
      <c r="B370" s="167">
        <v>45204</v>
      </c>
      <c r="C370" s="168">
        <v>412.51</v>
      </c>
      <c r="D370">
        <v>10.029999999999999</v>
      </c>
    </row>
    <row r="371" spans="2:4" x14ac:dyDescent="0.2">
      <c r="B371" s="167">
        <v>45203</v>
      </c>
      <c r="C371" s="168">
        <v>412.56</v>
      </c>
      <c r="D371">
        <v>13.4</v>
      </c>
    </row>
    <row r="372" spans="2:4" x14ac:dyDescent="0.2">
      <c r="B372" s="167">
        <v>45202</v>
      </c>
      <c r="C372" s="168">
        <v>416.01</v>
      </c>
      <c r="D372">
        <v>7.48</v>
      </c>
    </row>
    <row r="373" spans="2:4" x14ac:dyDescent="0.2">
      <c r="B373" s="167">
        <v>45198</v>
      </c>
      <c r="C373" s="168">
        <v>420.41</v>
      </c>
      <c r="D373">
        <v>8.16</v>
      </c>
    </row>
    <row r="374" spans="2:4" x14ac:dyDescent="0.2">
      <c r="B374" s="167">
        <v>45197</v>
      </c>
      <c r="C374" s="168">
        <v>416.95</v>
      </c>
      <c r="D374">
        <v>10.220000000000001</v>
      </c>
    </row>
    <row r="375" spans="2:4" x14ac:dyDescent="0.2">
      <c r="B375" s="167">
        <v>45196</v>
      </c>
      <c r="C375" s="168">
        <v>424.9</v>
      </c>
      <c r="D375">
        <v>10.49</v>
      </c>
    </row>
    <row r="376" spans="2:4" x14ac:dyDescent="0.2">
      <c r="B376" s="167">
        <v>45195</v>
      </c>
      <c r="C376" s="168">
        <v>418.56</v>
      </c>
      <c r="D376">
        <v>5.33</v>
      </c>
    </row>
    <row r="377" spans="2:4" x14ac:dyDescent="0.2">
      <c r="B377" s="167">
        <v>45194</v>
      </c>
      <c r="C377" s="168">
        <v>418.7</v>
      </c>
      <c r="D377">
        <v>5.78</v>
      </c>
    </row>
    <row r="378" spans="2:4" x14ac:dyDescent="0.2">
      <c r="B378" s="167">
        <v>45191</v>
      </c>
      <c r="C378" s="168">
        <v>419.18</v>
      </c>
      <c r="D378">
        <v>7.51</v>
      </c>
    </row>
    <row r="379" spans="2:4" x14ac:dyDescent="0.2">
      <c r="B379" s="167">
        <v>45190</v>
      </c>
      <c r="C379" s="168">
        <v>423.34</v>
      </c>
      <c r="D379">
        <v>10.72</v>
      </c>
    </row>
    <row r="380" spans="2:4" x14ac:dyDescent="0.2">
      <c r="B380" s="167">
        <v>45189</v>
      </c>
      <c r="C380" s="168">
        <v>428.5</v>
      </c>
      <c r="D380">
        <v>9.9600000000000009</v>
      </c>
    </row>
    <row r="381" spans="2:4" x14ac:dyDescent="0.2">
      <c r="B381" s="167">
        <v>45187</v>
      </c>
      <c r="C381" s="168">
        <v>427.64</v>
      </c>
      <c r="D381">
        <v>8.1999999999999993</v>
      </c>
    </row>
    <row r="382" spans="2:4" x14ac:dyDescent="0.2">
      <c r="B382" s="167">
        <v>45184</v>
      </c>
      <c r="C382" s="168">
        <v>424.14</v>
      </c>
      <c r="D382">
        <v>15.08</v>
      </c>
    </row>
    <row r="383" spans="2:4" x14ac:dyDescent="0.2">
      <c r="B383" s="167">
        <v>45183</v>
      </c>
      <c r="C383" s="168">
        <v>425.66</v>
      </c>
      <c r="D383">
        <v>14.43</v>
      </c>
    </row>
    <row r="384" spans="2:4" x14ac:dyDescent="0.2">
      <c r="B384" s="167">
        <v>45182</v>
      </c>
      <c r="C384" s="168">
        <v>429.02</v>
      </c>
      <c r="D384">
        <v>11.81</v>
      </c>
    </row>
    <row r="385" spans="2:4" x14ac:dyDescent="0.2">
      <c r="B385" s="167">
        <v>45181</v>
      </c>
      <c r="C385" s="168">
        <v>426.79</v>
      </c>
      <c r="D385">
        <v>14.41</v>
      </c>
    </row>
    <row r="386" spans="2:4" x14ac:dyDescent="0.2">
      <c r="B386" s="167">
        <v>45180</v>
      </c>
      <c r="C386" s="168">
        <v>423.06</v>
      </c>
      <c r="D386">
        <v>9.32</v>
      </c>
    </row>
    <row r="387" spans="2:4" x14ac:dyDescent="0.2">
      <c r="B387" s="167">
        <v>45177</v>
      </c>
      <c r="C387" s="168">
        <v>418.75</v>
      </c>
      <c r="D387">
        <v>9.94</v>
      </c>
    </row>
    <row r="388" spans="2:4" x14ac:dyDescent="0.2">
      <c r="B388" s="167">
        <v>45176</v>
      </c>
      <c r="C388" s="168">
        <v>421.83</v>
      </c>
      <c r="D388">
        <v>8.09</v>
      </c>
    </row>
    <row r="389" spans="2:4" x14ac:dyDescent="0.2">
      <c r="B389" s="167">
        <v>45175</v>
      </c>
      <c r="C389" s="168">
        <v>423.29</v>
      </c>
      <c r="D389">
        <v>12.86</v>
      </c>
    </row>
    <row r="390" spans="2:4" x14ac:dyDescent="0.2">
      <c r="B390" s="167">
        <v>45174</v>
      </c>
      <c r="C390" s="168">
        <v>419.18</v>
      </c>
      <c r="D390">
        <v>8.3800000000000008</v>
      </c>
    </row>
    <row r="391" spans="2:4" x14ac:dyDescent="0.2">
      <c r="B391" s="167">
        <v>45173</v>
      </c>
      <c r="C391" s="168">
        <v>413.88</v>
      </c>
      <c r="D391">
        <v>13.6</v>
      </c>
    </row>
    <row r="392" spans="2:4" x14ac:dyDescent="0.2">
      <c r="B392" s="167">
        <v>45170</v>
      </c>
      <c r="C392" s="168">
        <v>417.24</v>
      </c>
      <c r="D392">
        <v>11.44</v>
      </c>
    </row>
    <row r="393" spans="2:4" x14ac:dyDescent="0.2">
      <c r="B393" s="167">
        <v>45169</v>
      </c>
      <c r="C393" s="168">
        <v>415.96</v>
      </c>
      <c r="D393">
        <v>19.899999999999999</v>
      </c>
    </row>
    <row r="394" spans="2:4" x14ac:dyDescent="0.2">
      <c r="B394" s="167">
        <v>45168</v>
      </c>
      <c r="C394" s="168">
        <v>418.89</v>
      </c>
      <c r="D394">
        <v>7.36</v>
      </c>
    </row>
    <row r="395" spans="2:4" x14ac:dyDescent="0.2">
      <c r="B395" s="167">
        <v>45167</v>
      </c>
      <c r="C395" s="168">
        <v>416.34</v>
      </c>
      <c r="D395">
        <v>9.48</v>
      </c>
    </row>
    <row r="396" spans="2:4" x14ac:dyDescent="0.2">
      <c r="B396" s="167">
        <v>45166</v>
      </c>
      <c r="C396" s="168">
        <v>417.57</v>
      </c>
      <c r="D396">
        <v>6.91</v>
      </c>
    </row>
    <row r="397" spans="2:4" x14ac:dyDescent="0.2">
      <c r="B397" s="167">
        <v>45163</v>
      </c>
      <c r="C397" s="168">
        <v>419.42</v>
      </c>
      <c r="D397">
        <v>9.27</v>
      </c>
    </row>
    <row r="398" spans="2:4" x14ac:dyDescent="0.2">
      <c r="B398" s="167">
        <v>45162</v>
      </c>
      <c r="C398" s="168">
        <v>426.56</v>
      </c>
      <c r="D398">
        <v>6.09</v>
      </c>
    </row>
    <row r="399" spans="2:4" x14ac:dyDescent="0.2">
      <c r="B399" s="167">
        <v>45161</v>
      </c>
      <c r="C399" s="168">
        <v>426.13</v>
      </c>
      <c r="D399">
        <v>8.4499999999999993</v>
      </c>
    </row>
    <row r="400" spans="2:4" x14ac:dyDescent="0.2">
      <c r="B400" s="167">
        <v>45160</v>
      </c>
      <c r="C400" s="168">
        <v>429.73</v>
      </c>
      <c r="D400">
        <v>9.85</v>
      </c>
    </row>
    <row r="401" spans="2:4" x14ac:dyDescent="0.2">
      <c r="B401" s="167">
        <v>45159</v>
      </c>
      <c r="C401" s="168">
        <v>423.63</v>
      </c>
      <c r="D401">
        <v>9.57</v>
      </c>
    </row>
    <row r="402" spans="2:4" x14ac:dyDescent="0.2">
      <c r="B402" s="167">
        <v>45156</v>
      </c>
      <c r="C402" s="168">
        <v>417.81</v>
      </c>
      <c r="D402">
        <v>19.32</v>
      </c>
    </row>
    <row r="403" spans="2:4" x14ac:dyDescent="0.2">
      <c r="B403" s="167">
        <v>45155</v>
      </c>
      <c r="C403" s="168">
        <v>417.19</v>
      </c>
      <c r="D403">
        <v>16.27</v>
      </c>
    </row>
    <row r="404" spans="2:4" x14ac:dyDescent="0.2">
      <c r="B404" s="167">
        <v>45154</v>
      </c>
      <c r="C404" s="168">
        <v>425.94</v>
      </c>
      <c r="D404">
        <v>14.92</v>
      </c>
    </row>
    <row r="405" spans="2:4" x14ac:dyDescent="0.2">
      <c r="B405" s="167">
        <v>45152</v>
      </c>
      <c r="C405" s="168">
        <v>424.95</v>
      </c>
      <c r="D405">
        <v>7.56</v>
      </c>
    </row>
    <row r="406" spans="2:4" x14ac:dyDescent="0.2">
      <c r="B406" s="167">
        <v>45149</v>
      </c>
      <c r="C406" s="168">
        <v>424.52</v>
      </c>
      <c r="D406">
        <v>11.58</v>
      </c>
    </row>
    <row r="407" spans="2:4" x14ac:dyDescent="0.2">
      <c r="B407" s="167">
        <v>45148</v>
      </c>
      <c r="C407" s="168">
        <v>427.36</v>
      </c>
      <c r="D407">
        <v>13.19</v>
      </c>
    </row>
    <row r="408" spans="2:4" x14ac:dyDescent="0.2">
      <c r="B408" s="167">
        <v>45147</v>
      </c>
      <c r="C408" s="168">
        <v>433.89</v>
      </c>
      <c r="D408">
        <v>9.76</v>
      </c>
    </row>
    <row r="409" spans="2:4" x14ac:dyDescent="0.2">
      <c r="B409" s="167">
        <v>45146</v>
      </c>
      <c r="C409" s="168">
        <v>427.93</v>
      </c>
      <c r="D409">
        <v>6.39</v>
      </c>
    </row>
    <row r="410" spans="2:4" x14ac:dyDescent="0.2">
      <c r="B410" s="167">
        <v>45145</v>
      </c>
      <c r="C410" s="168">
        <v>430.34</v>
      </c>
      <c r="D410">
        <v>9.16</v>
      </c>
    </row>
    <row r="411" spans="2:4" x14ac:dyDescent="0.2">
      <c r="B411" s="167">
        <v>45142</v>
      </c>
      <c r="C411" s="168">
        <v>430.39</v>
      </c>
      <c r="D411">
        <v>6.83</v>
      </c>
    </row>
    <row r="412" spans="2:4" x14ac:dyDescent="0.2">
      <c r="B412" s="167">
        <v>45141</v>
      </c>
      <c r="C412" s="168">
        <v>431.43</v>
      </c>
      <c r="D412">
        <v>10.62</v>
      </c>
    </row>
    <row r="413" spans="2:4" x14ac:dyDescent="0.2">
      <c r="B413" s="167">
        <v>45140</v>
      </c>
      <c r="C413" s="168">
        <v>435.26</v>
      </c>
      <c r="D413">
        <v>10.32</v>
      </c>
    </row>
    <row r="414" spans="2:4" x14ac:dyDescent="0.2">
      <c r="B414" s="167">
        <v>45139</v>
      </c>
      <c r="C414" s="168">
        <v>439.71</v>
      </c>
      <c r="D414">
        <v>6.44</v>
      </c>
    </row>
    <row r="415" spans="2:4" x14ac:dyDescent="0.2">
      <c r="B415" s="167">
        <v>45138</v>
      </c>
      <c r="C415" s="168">
        <v>440.56</v>
      </c>
      <c r="D415">
        <v>8.19</v>
      </c>
    </row>
    <row r="416" spans="2:4" x14ac:dyDescent="0.2">
      <c r="B416" s="167">
        <v>45135</v>
      </c>
      <c r="C416" s="168">
        <v>443.16</v>
      </c>
      <c r="D416">
        <v>9.98</v>
      </c>
    </row>
    <row r="417" spans="2:4" x14ac:dyDescent="0.2">
      <c r="B417" s="167">
        <v>45134</v>
      </c>
      <c r="C417" s="168">
        <v>439.94</v>
      </c>
      <c r="D417">
        <v>13.99</v>
      </c>
    </row>
    <row r="418" spans="2:4" x14ac:dyDescent="0.2">
      <c r="B418" s="167">
        <v>45133</v>
      </c>
      <c r="C418" s="168">
        <v>446.76</v>
      </c>
      <c r="D418">
        <v>18.14</v>
      </c>
    </row>
    <row r="419" spans="2:4" x14ac:dyDescent="0.2">
      <c r="B419" s="167">
        <v>45132</v>
      </c>
      <c r="C419" s="168">
        <v>437.34</v>
      </c>
      <c r="D419">
        <v>43.53</v>
      </c>
    </row>
    <row r="420" spans="2:4" x14ac:dyDescent="0.2">
      <c r="B420" s="167">
        <v>45131</v>
      </c>
      <c r="C420" s="168">
        <v>445.9</v>
      </c>
      <c r="D420">
        <v>38.979999999999997</v>
      </c>
    </row>
    <row r="421" spans="2:4" x14ac:dyDescent="0.2">
      <c r="B421" s="167">
        <v>45128</v>
      </c>
      <c r="C421" s="168">
        <v>463.97</v>
      </c>
      <c r="D421">
        <v>13.97</v>
      </c>
    </row>
    <row r="422" spans="2:4" x14ac:dyDescent="0.2">
      <c r="B422" s="167">
        <v>45127</v>
      </c>
      <c r="C422" s="168">
        <v>465.58</v>
      </c>
      <c r="D422">
        <v>20.25</v>
      </c>
    </row>
    <row r="423" spans="2:4" x14ac:dyDescent="0.2">
      <c r="B423" s="167">
        <v>45126</v>
      </c>
      <c r="C423" s="168">
        <v>453</v>
      </c>
      <c r="D423">
        <v>13.87</v>
      </c>
    </row>
    <row r="424" spans="2:4" x14ac:dyDescent="0.2">
      <c r="B424" s="167">
        <v>45125</v>
      </c>
      <c r="C424" s="168">
        <v>446.99</v>
      </c>
      <c r="D424">
        <v>5.35</v>
      </c>
    </row>
    <row r="425" spans="2:4" x14ac:dyDescent="0.2">
      <c r="B425" s="167">
        <v>45124</v>
      </c>
      <c r="C425" s="168">
        <v>446.85</v>
      </c>
      <c r="D425">
        <v>6.09</v>
      </c>
    </row>
    <row r="426" spans="2:4" x14ac:dyDescent="0.2">
      <c r="B426" s="167">
        <v>45121</v>
      </c>
      <c r="C426" s="168">
        <v>447.37</v>
      </c>
      <c r="D426">
        <v>5.08</v>
      </c>
    </row>
    <row r="427" spans="2:4" x14ac:dyDescent="0.2">
      <c r="B427" s="167">
        <v>45120</v>
      </c>
      <c r="C427" s="168">
        <v>446.52</v>
      </c>
      <c r="D427">
        <v>7.91</v>
      </c>
    </row>
    <row r="428" spans="2:4" x14ac:dyDescent="0.2">
      <c r="B428" s="167">
        <v>45119</v>
      </c>
      <c r="C428" s="168">
        <v>446.8</v>
      </c>
      <c r="D428">
        <v>12.34</v>
      </c>
    </row>
    <row r="429" spans="2:4" x14ac:dyDescent="0.2">
      <c r="B429" s="167">
        <v>45118</v>
      </c>
      <c r="C429" s="168">
        <v>447.61</v>
      </c>
      <c r="D429">
        <v>8.4600000000000009</v>
      </c>
    </row>
    <row r="430" spans="2:4" x14ac:dyDescent="0.2">
      <c r="B430" s="167">
        <v>45117</v>
      </c>
      <c r="C430" s="168">
        <v>440.7</v>
      </c>
      <c r="D430">
        <v>6.52</v>
      </c>
    </row>
    <row r="431" spans="2:4" x14ac:dyDescent="0.2">
      <c r="B431" s="167">
        <v>45114</v>
      </c>
      <c r="C431" s="168">
        <v>443.11</v>
      </c>
      <c r="D431">
        <v>7.32</v>
      </c>
    </row>
    <row r="432" spans="2:4" x14ac:dyDescent="0.2">
      <c r="B432" s="167">
        <v>45113</v>
      </c>
      <c r="C432" s="168">
        <v>448.32</v>
      </c>
      <c r="D432">
        <v>9.4700000000000006</v>
      </c>
    </row>
    <row r="433" spans="2:4" x14ac:dyDescent="0.2">
      <c r="B433" s="167">
        <v>45112</v>
      </c>
      <c r="C433" s="168">
        <v>449.45</v>
      </c>
      <c r="D433">
        <v>16.25</v>
      </c>
    </row>
    <row r="434" spans="2:4" x14ac:dyDescent="0.2">
      <c r="B434" s="167">
        <v>45111</v>
      </c>
      <c r="C434" s="168">
        <v>441.17</v>
      </c>
      <c r="D434">
        <v>7.73</v>
      </c>
    </row>
    <row r="435" spans="2:4" x14ac:dyDescent="0.2">
      <c r="B435" s="167">
        <v>45110</v>
      </c>
      <c r="C435" s="168">
        <v>438.24</v>
      </c>
      <c r="D435">
        <v>10.7</v>
      </c>
    </row>
    <row r="436" spans="2:4" x14ac:dyDescent="0.2">
      <c r="B436" s="167">
        <v>45107</v>
      </c>
      <c r="C436" s="168">
        <v>427.22</v>
      </c>
      <c r="D436">
        <v>9.11</v>
      </c>
    </row>
    <row r="437" spans="2:4" x14ac:dyDescent="0.2">
      <c r="B437" s="167">
        <v>45105</v>
      </c>
      <c r="C437" s="168">
        <v>425.09</v>
      </c>
      <c r="D437">
        <v>12.08</v>
      </c>
    </row>
    <row r="438" spans="2:4" x14ac:dyDescent="0.2">
      <c r="B438" s="167">
        <v>45104</v>
      </c>
      <c r="C438" s="168">
        <v>421.07</v>
      </c>
      <c r="D438">
        <v>4.87</v>
      </c>
    </row>
    <row r="439" spans="2:4" x14ac:dyDescent="0.2">
      <c r="B439" s="167">
        <v>45103</v>
      </c>
      <c r="C439" s="168">
        <v>421.64</v>
      </c>
      <c r="D439">
        <v>5.48</v>
      </c>
    </row>
    <row r="440" spans="2:4" x14ac:dyDescent="0.2">
      <c r="B440" s="167">
        <v>45100</v>
      </c>
      <c r="C440" s="168">
        <v>420.74</v>
      </c>
      <c r="D440">
        <v>6.09</v>
      </c>
    </row>
    <row r="441" spans="2:4" x14ac:dyDescent="0.2">
      <c r="B441" s="167">
        <v>45099</v>
      </c>
      <c r="C441" s="168">
        <v>423.48</v>
      </c>
      <c r="D441">
        <v>6.64</v>
      </c>
    </row>
    <row r="442" spans="2:4" x14ac:dyDescent="0.2">
      <c r="B442" s="167">
        <v>45098</v>
      </c>
      <c r="C442" s="168">
        <v>422.92</v>
      </c>
      <c r="D442">
        <v>6.06</v>
      </c>
    </row>
    <row r="443" spans="2:4" x14ac:dyDescent="0.2">
      <c r="B443" s="167">
        <v>45097</v>
      </c>
      <c r="C443" s="168">
        <v>428.4</v>
      </c>
      <c r="D443">
        <v>4.47</v>
      </c>
    </row>
    <row r="444" spans="2:4" x14ac:dyDescent="0.2">
      <c r="B444" s="167">
        <v>45096</v>
      </c>
      <c r="C444" s="168">
        <v>429.11</v>
      </c>
      <c r="D444">
        <v>4.1900000000000004</v>
      </c>
    </row>
    <row r="445" spans="2:4" x14ac:dyDescent="0.2">
      <c r="B445" s="167">
        <v>45093</v>
      </c>
      <c r="C445" s="168">
        <v>428.64</v>
      </c>
      <c r="D445">
        <v>11.73</v>
      </c>
    </row>
    <row r="446" spans="2:4" x14ac:dyDescent="0.2">
      <c r="B446" s="167">
        <v>45092</v>
      </c>
      <c r="C446" s="168">
        <v>423.91</v>
      </c>
      <c r="D446">
        <v>7.5</v>
      </c>
    </row>
    <row r="447" spans="2:4" x14ac:dyDescent="0.2">
      <c r="B447" s="167">
        <v>45091</v>
      </c>
      <c r="C447" s="168">
        <v>420.5</v>
      </c>
      <c r="D447">
        <v>8.6999999999999993</v>
      </c>
    </row>
    <row r="448" spans="2:4" x14ac:dyDescent="0.2">
      <c r="B448" s="167">
        <v>45090</v>
      </c>
      <c r="C448" s="168">
        <v>421.35</v>
      </c>
      <c r="D448">
        <v>16.11</v>
      </c>
    </row>
    <row r="449" spans="2:4" x14ac:dyDescent="0.2">
      <c r="B449" s="167">
        <v>45089</v>
      </c>
      <c r="C449" s="168">
        <v>413.36</v>
      </c>
      <c r="D449">
        <v>8.7200000000000006</v>
      </c>
    </row>
    <row r="450" spans="2:4" x14ac:dyDescent="0.2">
      <c r="B450" s="167">
        <v>45086</v>
      </c>
      <c r="C450" s="168">
        <v>414.78</v>
      </c>
      <c r="D450">
        <v>7.06</v>
      </c>
    </row>
    <row r="451" spans="2:4" x14ac:dyDescent="0.2">
      <c r="B451" s="167">
        <v>45085</v>
      </c>
      <c r="C451" s="168">
        <v>418.99</v>
      </c>
      <c r="D451">
        <v>7.02</v>
      </c>
    </row>
    <row r="452" spans="2:4" x14ac:dyDescent="0.2">
      <c r="B452" s="167">
        <v>45084</v>
      </c>
      <c r="C452" s="168">
        <v>419.98</v>
      </c>
      <c r="D452">
        <v>7.54</v>
      </c>
    </row>
    <row r="453" spans="2:4" x14ac:dyDescent="0.2">
      <c r="B453" s="167">
        <v>45083</v>
      </c>
      <c r="C453" s="168">
        <v>418.89</v>
      </c>
      <c r="D453">
        <v>6.45</v>
      </c>
    </row>
    <row r="454" spans="2:4" x14ac:dyDescent="0.2">
      <c r="B454" s="167">
        <v>45082</v>
      </c>
      <c r="C454" s="168">
        <v>416.86</v>
      </c>
      <c r="D454">
        <v>7.15</v>
      </c>
    </row>
    <row r="455" spans="2:4" x14ac:dyDescent="0.2">
      <c r="B455" s="167">
        <v>45079</v>
      </c>
      <c r="C455" s="168">
        <v>419.46</v>
      </c>
      <c r="D455">
        <v>9.1999999999999993</v>
      </c>
    </row>
    <row r="456" spans="2:4" x14ac:dyDescent="0.2">
      <c r="B456" s="167">
        <v>45078</v>
      </c>
      <c r="C456" s="168">
        <v>415.96</v>
      </c>
      <c r="D456">
        <v>8.8000000000000007</v>
      </c>
    </row>
    <row r="457" spans="2:4" x14ac:dyDescent="0.2">
      <c r="B457" s="167">
        <v>45077</v>
      </c>
      <c r="C457" s="168">
        <v>421.45</v>
      </c>
      <c r="D457">
        <v>14.27</v>
      </c>
    </row>
    <row r="458" spans="2:4" x14ac:dyDescent="0.2">
      <c r="B458" s="167">
        <v>45076</v>
      </c>
      <c r="C458" s="168">
        <v>425.61</v>
      </c>
      <c r="D458">
        <v>18.899999999999999</v>
      </c>
    </row>
    <row r="459" spans="2:4" x14ac:dyDescent="0.2">
      <c r="B459" s="167">
        <v>45075</v>
      </c>
      <c r="C459" s="168">
        <v>422.25</v>
      </c>
      <c r="D459">
        <v>19.829999999999998</v>
      </c>
    </row>
    <row r="460" spans="2:4" x14ac:dyDescent="0.2">
      <c r="B460" s="167">
        <v>45072</v>
      </c>
      <c r="C460" s="168">
        <v>417.08</v>
      </c>
      <c r="D460">
        <v>13</v>
      </c>
    </row>
    <row r="461" spans="2:4" x14ac:dyDescent="0.2">
      <c r="B461" s="167">
        <v>45071</v>
      </c>
      <c r="C461" s="168">
        <v>414.78</v>
      </c>
      <c r="D461">
        <v>18.2</v>
      </c>
    </row>
    <row r="462" spans="2:4" x14ac:dyDescent="0.2">
      <c r="B462" s="167">
        <v>45070</v>
      </c>
      <c r="C462" s="168">
        <v>407.59</v>
      </c>
      <c r="D462">
        <v>11.48</v>
      </c>
    </row>
    <row r="463" spans="2:4" x14ac:dyDescent="0.2">
      <c r="B463" s="167">
        <v>45069</v>
      </c>
      <c r="C463" s="168">
        <v>403.5</v>
      </c>
      <c r="D463">
        <v>8.73</v>
      </c>
    </row>
    <row r="464" spans="2:4" x14ac:dyDescent="0.2">
      <c r="B464" s="167">
        <v>45068</v>
      </c>
      <c r="C464" s="168">
        <v>399.36</v>
      </c>
      <c r="D464">
        <v>15.42</v>
      </c>
    </row>
    <row r="465" spans="2:4" x14ac:dyDescent="0.2">
      <c r="B465" s="167">
        <v>45065</v>
      </c>
      <c r="C465" s="168">
        <v>394.75</v>
      </c>
      <c r="D465">
        <v>25.77</v>
      </c>
    </row>
    <row r="466" spans="2:4" x14ac:dyDescent="0.2">
      <c r="B466" s="167">
        <v>45064</v>
      </c>
      <c r="C466" s="168">
        <v>394.61</v>
      </c>
      <c r="D466">
        <v>24</v>
      </c>
    </row>
    <row r="467" spans="2:4" x14ac:dyDescent="0.2">
      <c r="B467" s="167">
        <v>45063</v>
      </c>
      <c r="C467" s="168">
        <v>402.04</v>
      </c>
      <c r="D467">
        <v>9.48</v>
      </c>
    </row>
    <row r="468" spans="2:4" x14ac:dyDescent="0.2">
      <c r="B468" s="167">
        <v>45062</v>
      </c>
      <c r="C468" s="168">
        <v>398.61</v>
      </c>
      <c r="D468">
        <v>7.99</v>
      </c>
    </row>
    <row r="469" spans="2:4" x14ac:dyDescent="0.2">
      <c r="B469" s="167">
        <v>45061</v>
      </c>
      <c r="C469" s="168">
        <v>402.23</v>
      </c>
      <c r="D469">
        <v>9.15</v>
      </c>
    </row>
    <row r="470" spans="2:4" x14ac:dyDescent="0.2">
      <c r="B470" s="167">
        <v>45058</v>
      </c>
      <c r="C470" s="168">
        <v>395.32</v>
      </c>
      <c r="D470">
        <v>11.14</v>
      </c>
    </row>
    <row r="471" spans="2:4" x14ac:dyDescent="0.2">
      <c r="B471" s="167">
        <v>45057</v>
      </c>
      <c r="C471" s="168">
        <v>395.27</v>
      </c>
      <c r="D471">
        <v>15.98</v>
      </c>
    </row>
    <row r="472" spans="2:4" x14ac:dyDescent="0.2">
      <c r="B472" s="167">
        <v>45056</v>
      </c>
      <c r="C472" s="168">
        <v>399.92</v>
      </c>
      <c r="D472">
        <v>9.75</v>
      </c>
    </row>
    <row r="473" spans="2:4" x14ac:dyDescent="0.2">
      <c r="B473" s="167">
        <v>45055</v>
      </c>
      <c r="C473" s="168">
        <v>398.46</v>
      </c>
      <c r="D473">
        <v>9.99</v>
      </c>
    </row>
    <row r="474" spans="2:4" x14ac:dyDescent="0.2">
      <c r="B474" s="167">
        <v>45054</v>
      </c>
      <c r="C474" s="168">
        <v>405.66</v>
      </c>
      <c r="D474">
        <v>7.24</v>
      </c>
    </row>
    <row r="475" spans="2:4" x14ac:dyDescent="0.2">
      <c r="B475" s="167">
        <v>45051</v>
      </c>
      <c r="C475" s="168">
        <v>403.12</v>
      </c>
      <c r="D475">
        <v>12.41</v>
      </c>
    </row>
    <row r="476" spans="2:4" x14ac:dyDescent="0.2">
      <c r="B476" s="167">
        <v>45050</v>
      </c>
      <c r="C476" s="168">
        <v>399.22</v>
      </c>
      <c r="D476">
        <v>7.98</v>
      </c>
    </row>
    <row r="477" spans="2:4" x14ac:dyDescent="0.2">
      <c r="B477" s="167">
        <v>45049</v>
      </c>
      <c r="C477" s="168">
        <v>401.61</v>
      </c>
      <c r="D477">
        <v>7.33</v>
      </c>
    </row>
    <row r="478" spans="2:4" x14ac:dyDescent="0.2">
      <c r="B478" s="167">
        <v>45048</v>
      </c>
      <c r="C478" s="168">
        <v>399.08</v>
      </c>
      <c r="D478">
        <v>10.25</v>
      </c>
    </row>
    <row r="479" spans="2:4" x14ac:dyDescent="0.2">
      <c r="B479" s="167">
        <v>45044</v>
      </c>
      <c r="C479" s="168">
        <v>400.11</v>
      </c>
      <c r="D479">
        <v>12.72</v>
      </c>
    </row>
    <row r="480" spans="2:4" x14ac:dyDescent="0.2">
      <c r="B480" s="167">
        <v>45043</v>
      </c>
      <c r="C480" s="168">
        <v>391.13</v>
      </c>
      <c r="D480">
        <v>12.61</v>
      </c>
    </row>
    <row r="481" spans="2:4" x14ac:dyDescent="0.2">
      <c r="B481" s="167">
        <v>45042</v>
      </c>
      <c r="C481" s="168">
        <v>387.61</v>
      </c>
      <c r="D481">
        <v>7.62</v>
      </c>
    </row>
    <row r="482" spans="2:4" x14ac:dyDescent="0.2">
      <c r="B482" s="167">
        <v>45041</v>
      </c>
      <c r="C482" s="168">
        <v>386.95</v>
      </c>
      <c r="D482">
        <v>8.84</v>
      </c>
    </row>
    <row r="483" spans="2:4" x14ac:dyDescent="0.2">
      <c r="B483" s="167">
        <v>45040</v>
      </c>
      <c r="C483" s="168">
        <v>384.27</v>
      </c>
      <c r="D483">
        <v>5.98</v>
      </c>
    </row>
    <row r="484" spans="2:4" x14ac:dyDescent="0.2">
      <c r="B484" s="167">
        <v>45037</v>
      </c>
      <c r="C484" s="168">
        <v>383.85</v>
      </c>
      <c r="D484">
        <v>14.25</v>
      </c>
    </row>
    <row r="485" spans="2:4" x14ac:dyDescent="0.2">
      <c r="B485" s="167">
        <v>45036</v>
      </c>
      <c r="C485" s="168">
        <v>376.37</v>
      </c>
      <c r="D485">
        <v>6.67</v>
      </c>
    </row>
    <row r="486" spans="2:4" x14ac:dyDescent="0.2">
      <c r="B486" s="167">
        <v>45035</v>
      </c>
      <c r="C486" s="168">
        <v>374.91</v>
      </c>
      <c r="D486">
        <v>9.74</v>
      </c>
    </row>
    <row r="487" spans="2:4" x14ac:dyDescent="0.2">
      <c r="B487" s="167">
        <v>45034</v>
      </c>
      <c r="C487" s="168">
        <v>374.68</v>
      </c>
      <c r="D487">
        <v>9.49</v>
      </c>
    </row>
    <row r="488" spans="2:4" x14ac:dyDescent="0.2">
      <c r="B488" s="167">
        <v>45033</v>
      </c>
      <c r="C488" s="168">
        <v>376.23</v>
      </c>
      <c r="D488">
        <v>11.04</v>
      </c>
    </row>
    <row r="489" spans="2:4" x14ac:dyDescent="0.2">
      <c r="B489" s="167">
        <v>45029</v>
      </c>
      <c r="C489" s="168">
        <v>371.95</v>
      </c>
      <c r="D489">
        <v>6.06</v>
      </c>
    </row>
    <row r="490" spans="2:4" x14ac:dyDescent="0.2">
      <c r="B490" s="167">
        <v>45028</v>
      </c>
      <c r="C490" s="168">
        <v>370.02</v>
      </c>
      <c r="D490">
        <v>9.75</v>
      </c>
    </row>
    <row r="491" spans="2:4" x14ac:dyDescent="0.2">
      <c r="B491" s="167">
        <v>45027</v>
      </c>
      <c r="C491" s="168">
        <v>372.33</v>
      </c>
      <c r="D491">
        <v>18.239999999999998</v>
      </c>
    </row>
    <row r="492" spans="2:4" x14ac:dyDescent="0.2">
      <c r="B492" s="167">
        <v>45026</v>
      </c>
      <c r="C492" s="168">
        <v>365.32</v>
      </c>
      <c r="D492">
        <v>6.78</v>
      </c>
    </row>
    <row r="493" spans="2:4" x14ac:dyDescent="0.2">
      <c r="B493" s="167">
        <v>45022</v>
      </c>
      <c r="C493" s="168">
        <v>364.19</v>
      </c>
      <c r="D493">
        <v>12.9</v>
      </c>
    </row>
    <row r="494" spans="2:4" x14ac:dyDescent="0.2">
      <c r="B494" s="167">
        <v>45021</v>
      </c>
      <c r="C494" s="168">
        <v>363.3</v>
      </c>
      <c r="D494">
        <v>11.61</v>
      </c>
    </row>
    <row r="495" spans="2:4" x14ac:dyDescent="0.2">
      <c r="B495" s="167">
        <v>45019</v>
      </c>
      <c r="C495" s="168">
        <v>356.25</v>
      </c>
      <c r="D495">
        <v>7.06</v>
      </c>
    </row>
    <row r="496" spans="2:4" x14ac:dyDescent="0.2">
      <c r="B496" s="167">
        <v>45016</v>
      </c>
      <c r="C496" s="168">
        <v>360.58</v>
      </c>
      <c r="D496">
        <v>9.51</v>
      </c>
    </row>
    <row r="497" spans="2:4" x14ac:dyDescent="0.2">
      <c r="B497" s="167">
        <v>45014</v>
      </c>
      <c r="C497" s="168">
        <v>359.87</v>
      </c>
      <c r="D497">
        <v>10.16</v>
      </c>
    </row>
    <row r="498" spans="2:4" x14ac:dyDescent="0.2">
      <c r="B498" s="167">
        <v>45013</v>
      </c>
      <c r="C498" s="168">
        <v>357.05</v>
      </c>
      <c r="D498">
        <v>9.17</v>
      </c>
    </row>
    <row r="499" spans="2:4" x14ac:dyDescent="0.2">
      <c r="B499" s="167">
        <v>45012</v>
      </c>
      <c r="C499" s="168">
        <v>357.47</v>
      </c>
      <c r="D499">
        <v>10.82</v>
      </c>
    </row>
    <row r="500" spans="2:4" x14ac:dyDescent="0.2">
      <c r="B500" s="167">
        <v>45009</v>
      </c>
      <c r="C500" s="168">
        <v>356.06</v>
      </c>
      <c r="D500">
        <v>9.93</v>
      </c>
    </row>
    <row r="501" spans="2:4" x14ac:dyDescent="0.2">
      <c r="B501" s="167">
        <v>45008</v>
      </c>
      <c r="C501" s="168">
        <v>357.89</v>
      </c>
      <c r="D501">
        <v>9.75</v>
      </c>
    </row>
    <row r="502" spans="2:4" x14ac:dyDescent="0.2">
      <c r="B502" s="167">
        <v>45007</v>
      </c>
      <c r="C502" s="168">
        <v>355.17</v>
      </c>
      <c r="D502">
        <v>4.7699999999999996</v>
      </c>
    </row>
    <row r="503" spans="2:4" x14ac:dyDescent="0.2">
      <c r="B503" s="167">
        <v>45006</v>
      </c>
      <c r="C503" s="168">
        <v>354.42</v>
      </c>
      <c r="D503">
        <v>11.61</v>
      </c>
    </row>
    <row r="504" spans="2:4" x14ac:dyDescent="0.2">
      <c r="B504" s="167">
        <v>45005</v>
      </c>
      <c r="C504" s="168">
        <v>356.16</v>
      </c>
      <c r="D504">
        <v>10.119999999999999</v>
      </c>
    </row>
    <row r="505" spans="2:4" x14ac:dyDescent="0.2">
      <c r="B505" s="167">
        <v>45002</v>
      </c>
      <c r="C505" s="168">
        <v>353.1</v>
      </c>
      <c r="D505">
        <v>48.9</v>
      </c>
    </row>
    <row r="506" spans="2:4" x14ac:dyDescent="0.2">
      <c r="B506" s="167">
        <v>45001</v>
      </c>
      <c r="C506" s="168">
        <v>358.65</v>
      </c>
      <c r="D506">
        <v>15.71</v>
      </c>
    </row>
    <row r="507" spans="2:4" x14ac:dyDescent="0.2">
      <c r="B507" s="167">
        <v>45000</v>
      </c>
      <c r="C507" s="168">
        <v>356.72</v>
      </c>
      <c r="D507">
        <v>8.42</v>
      </c>
    </row>
    <row r="508" spans="2:4" x14ac:dyDescent="0.2">
      <c r="B508" s="167">
        <v>44999</v>
      </c>
      <c r="C508" s="168">
        <v>357</v>
      </c>
      <c r="D508">
        <v>10.23</v>
      </c>
    </row>
    <row r="509" spans="2:4" x14ac:dyDescent="0.2">
      <c r="B509" s="167">
        <v>44998</v>
      </c>
      <c r="C509" s="168">
        <v>360.72</v>
      </c>
      <c r="D509">
        <v>8.7899999999999991</v>
      </c>
    </row>
    <row r="510" spans="2:4" x14ac:dyDescent="0.2">
      <c r="B510" s="167">
        <v>44995</v>
      </c>
      <c r="C510" s="168">
        <v>364.81</v>
      </c>
      <c r="D510">
        <v>8.36</v>
      </c>
    </row>
    <row r="511" spans="2:4" x14ac:dyDescent="0.2">
      <c r="B511" s="167">
        <v>44994</v>
      </c>
      <c r="C511" s="168">
        <v>364.33</v>
      </c>
      <c r="D511">
        <v>9.6300000000000008</v>
      </c>
    </row>
    <row r="512" spans="2:4" x14ac:dyDescent="0.2">
      <c r="B512" s="167">
        <v>44993</v>
      </c>
      <c r="C512" s="168">
        <v>368.94</v>
      </c>
      <c r="D512">
        <v>8.92</v>
      </c>
    </row>
    <row r="513" spans="2:4" x14ac:dyDescent="0.2">
      <c r="B513" s="167">
        <v>44991</v>
      </c>
      <c r="C513" s="168">
        <v>364.95</v>
      </c>
      <c r="D513">
        <v>10.71</v>
      </c>
    </row>
    <row r="514" spans="2:4" x14ac:dyDescent="0.2">
      <c r="B514" s="167">
        <v>44988</v>
      </c>
      <c r="C514" s="168">
        <v>361.94</v>
      </c>
      <c r="D514">
        <v>8.18</v>
      </c>
    </row>
    <row r="515" spans="2:4" x14ac:dyDescent="0.2">
      <c r="B515" s="167">
        <v>44987</v>
      </c>
      <c r="C515" s="168">
        <v>353.1</v>
      </c>
      <c r="D515">
        <v>5.0199999999999996</v>
      </c>
    </row>
    <row r="516" spans="2:4" x14ac:dyDescent="0.2">
      <c r="B516" s="167">
        <v>44986</v>
      </c>
      <c r="C516" s="168">
        <v>356.06</v>
      </c>
      <c r="D516">
        <v>7.77</v>
      </c>
    </row>
    <row r="517" spans="2:4" x14ac:dyDescent="0.2">
      <c r="B517" s="167">
        <v>44985</v>
      </c>
      <c r="C517" s="168">
        <v>354.18</v>
      </c>
      <c r="D517">
        <v>16.37</v>
      </c>
    </row>
    <row r="518" spans="2:4" x14ac:dyDescent="0.2">
      <c r="B518" s="167">
        <v>44984</v>
      </c>
      <c r="C518" s="168">
        <v>359.35</v>
      </c>
      <c r="D518">
        <v>8.14</v>
      </c>
    </row>
    <row r="519" spans="2:4" x14ac:dyDescent="0.2">
      <c r="B519" s="167">
        <v>44981</v>
      </c>
      <c r="C519" s="168">
        <v>362.08</v>
      </c>
      <c r="D519">
        <v>12.91</v>
      </c>
    </row>
    <row r="520" spans="2:4" x14ac:dyDescent="0.2">
      <c r="B520" s="167">
        <v>44980</v>
      </c>
      <c r="C520" s="168">
        <v>364.43</v>
      </c>
      <c r="D520">
        <v>18.829999999999998</v>
      </c>
    </row>
    <row r="521" spans="2:4" x14ac:dyDescent="0.2">
      <c r="B521" s="167">
        <v>44979</v>
      </c>
      <c r="C521" s="168">
        <v>360.9</v>
      </c>
      <c r="D521">
        <v>8.9600000000000009</v>
      </c>
    </row>
    <row r="522" spans="2:4" x14ac:dyDescent="0.2">
      <c r="B522" s="167">
        <v>44978</v>
      </c>
      <c r="C522" s="168">
        <v>359.4</v>
      </c>
      <c r="D522">
        <v>8.26</v>
      </c>
    </row>
    <row r="523" spans="2:4" x14ac:dyDescent="0.2">
      <c r="B523" s="167">
        <v>44977</v>
      </c>
      <c r="C523" s="168">
        <v>361.09</v>
      </c>
      <c r="D523">
        <v>7.8</v>
      </c>
    </row>
    <row r="524" spans="2:4" x14ac:dyDescent="0.2">
      <c r="B524" s="167">
        <v>44974</v>
      </c>
      <c r="C524" s="168">
        <v>360.48</v>
      </c>
      <c r="D524">
        <v>7.67</v>
      </c>
    </row>
    <row r="525" spans="2:4" x14ac:dyDescent="0.2">
      <c r="B525" s="167">
        <v>44973</v>
      </c>
      <c r="C525" s="168">
        <v>359.68</v>
      </c>
      <c r="D525">
        <v>9.7799999999999994</v>
      </c>
    </row>
    <row r="526" spans="2:4" x14ac:dyDescent="0.2">
      <c r="B526" s="167">
        <v>44972</v>
      </c>
      <c r="C526" s="168">
        <v>359.35</v>
      </c>
      <c r="D526">
        <v>12.21</v>
      </c>
    </row>
    <row r="527" spans="2:4" x14ac:dyDescent="0.2">
      <c r="B527" s="167">
        <v>44971</v>
      </c>
      <c r="C527" s="168">
        <v>363.35</v>
      </c>
      <c r="D527">
        <v>29.13</v>
      </c>
    </row>
    <row r="528" spans="2:4" x14ac:dyDescent="0.2">
      <c r="B528" s="167">
        <v>44970</v>
      </c>
      <c r="C528" s="168">
        <v>351.83</v>
      </c>
      <c r="D528">
        <v>9.9</v>
      </c>
    </row>
    <row r="529" spans="2:4" x14ac:dyDescent="0.2">
      <c r="B529" s="167">
        <v>44967</v>
      </c>
      <c r="C529" s="168">
        <v>349.15</v>
      </c>
      <c r="D529">
        <v>10.28</v>
      </c>
    </row>
    <row r="530" spans="2:4" x14ac:dyDescent="0.2">
      <c r="B530" s="167">
        <v>44966</v>
      </c>
      <c r="C530" s="168">
        <v>351.88</v>
      </c>
      <c r="D530">
        <v>11.86</v>
      </c>
    </row>
    <row r="531" spans="2:4" x14ac:dyDescent="0.2">
      <c r="B531" s="167">
        <v>44965</v>
      </c>
      <c r="C531" s="168">
        <v>353.1</v>
      </c>
      <c r="D531">
        <v>10.42</v>
      </c>
    </row>
    <row r="532" spans="2:4" x14ac:dyDescent="0.2">
      <c r="B532" s="167">
        <v>44964</v>
      </c>
      <c r="C532" s="168">
        <v>350.94</v>
      </c>
      <c r="D532">
        <v>20.64</v>
      </c>
    </row>
    <row r="533" spans="2:4" x14ac:dyDescent="0.2">
      <c r="B533" s="167">
        <v>44963</v>
      </c>
      <c r="C533" s="168">
        <v>360.48</v>
      </c>
      <c r="D533">
        <v>25.79</v>
      </c>
    </row>
    <row r="534" spans="2:4" x14ac:dyDescent="0.2">
      <c r="B534" s="167">
        <v>44960</v>
      </c>
      <c r="C534" s="168">
        <v>357.89</v>
      </c>
      <c r="D534">
        <v>22.3</v>
      </c>
    </row>
    <row r="535" spans="2:4" x14ac:dyDescent="0.2">
      <c r="B535" s="167">
        <v>44959</v>
      </c>
      <c r="C535" s="168">
        <v>355.97</v>
      </c>
      <c r="D535">
        <v>55.75</v>
      </c>
    </row>
    <row r="536" spans="2:4" x14ac:dyDescent="0.2">
      <c r="B536" s="167">
        <v>44958</v>
      </c>
      <c r="C536" s="168">
        <v>339.8</v>
      </c>
      <c r="D536">
        <v>64.52</v>
      </c>
    </row>
    <row r="537" spans="2:4" x14ac:dyDescent="0.2">
      <c r="B537" s="167">
        <v>44957</v>
      </c>
      <c r="C537" s="168">
        <v>331.29</v>
      </c>
      <c r="D537">
        <v>17.13</v>
      </c>
    </row>
    <row r="538" spans="2:4" x14ac:dyDescent="0.2">
      <c r="B538" s="167">
        <v>44956</v>
      </c>
      <c r="C538" s="168">
        <v>324.19</v>
      </c>
      <c r="D538">
        <v>14.09</v>
      </c>
    </row>
    <row r="539" spans="2:4" x14ac:dyDescent="0.2">
      <c r="B539" s="167">
        <v>44953</v>
      </c>
      <c r="C539" s="168">
        <v>325.32</v>
      </c>
      <c r="D539">
        <v>21.04</v>
      </c>
    </row>
    <row r="540" spans="2:4" x14ac:dyDescent="0.2">
      <c r="B540" s="167">
        <v>44951</v>
      </c>
      <c r="C540" s="168">
        <v>318.97000000000003</v>
      </c>
      <c r="D540">
        <v>12.5</v>
      </c>
    </row>
    <row r="541" spans="2:4" x14ac:dyDescent="0.2">
      <c r="B541" s="167">
        <v>44950</v>
      </c>
      <c r="C541" s="168">
        <v>318.69</v>
      </c>
      <c r="D541">
        <v>12.3</v>
      </c>
    </row>
    <row r="542" spans="2:4" x14ac:dyDescent="0.2">
      <c r="B542" s="167">
        <v>44949</v>
      </c>
      <c r="C542" s="168">
        <v>317.56</v>
      </c>
      <c r="D542">
        <v>7.12</v>
      </c>
    </row>
    <row r="543" spans="2:4" x14ac:dyDescent="0.2">
      <c r="B543" s="167">
        <v>44946</v>
      </c>
      <c r="C543" s="168">
        <v>314.60000000000002</v>
      </c>
      <c r="D543">
        <v>13.1</v>
      </c>
    </row>
    <row r="544" spans="2:4" x14ac:dyDescent="0.2">
      <c r="B544" s="167">
        <v>44945</v>
      </c>
      <c r="C544" s="168">
        <v>312.29000000000002</v>
      </c>
      <c r="D544">
        <v>8.35</v>
      </c>
    </row>
    <row r="545" spans="2:4" x14ac:dyDescent="0.2">
      <c r="B545" s="167">
        <v>44944</v>
      </c>
      <c r="C545" s="168">
        <v>314.64</v>
      </c>
      <c r="D545">
        <v>12.56</v>
      </c>
    </row>
    <row r="546" spans="2:4" x14ac:dyDescent="0.2">
      <c r="B546" s="167">
        <v>44943</v>
      </c>
      <c r="C546" s="168">
        <v>312.39</v>
      </c>
      <c r="D546">
        <v>13.71</v>
      </c>
    </row>
    <row r="547" spans="2:4" x14ac:dyDescent="0.2">
      <c r="B547" s="167">
        <v>44942</v>
      </c>
      <c r="C547" s="168">
        <v>310.45999999999998</v>
      </c>
      <c r="D547">
        <v>8.25</v>
      </c>
    </row>
    <row r="548" spans="2:4" x14ac:dyDescent="0.2">
      <c r="B548" s="167">
        <v>44939</v>
      </c>
      <c r="C548" s="168">
        <v>309.10000000000002</v>
      </c>
      <c r="D548">
        <v>14.41</v>
      </c>
    </row>
    <row r="549" spans="2:4" x14ac:dyDescent="0.2">
      <c r="B549" s="167">
        <v>44938</v>
      </c>
      <c r="C549" s="168">
        <v>310.13</v>
      </c>
      <c r="D549">
        <v>6.64</v>
      </c>
    </row>
    <row r="550" spans="2:4" x14ac:dyDescent="0.2">
      <c r="B550" s="167">
        <v>44937</v>
      </c>
      <c r="C550" s="168">
        <v>311.95999999999998</v>
      </c>
      <c r="D550">
        <v>4.58</v>
      </c>
    </row>
    <row r="551" spans="2:4" x14ac:dyDescent="0.2">
      <c r="B551" s="167">
        <v>44936</v>
      </c>
      <c r="C551" s="168">
        <v>313.47000000000003</v>
      </c>
      <c r="D551">
        <v>6.95</v>
      </c>
    </row>
    <row r="552" spans="2:4" x14ac:dyDescent="0.2">
      <c r="B552" s="167">
        <v>44935</v>
      </c>
      <c r="C552" s="168">
        <v>317.83999999999997</v>
      </c>
      <c r="D552">
        <v>10.62</v>
      </c>
    </row>
    <row r="553" spans="2:4" x14ac:dyDescent="0.2">
      <c r="B553" s="167">
        <v>44932</v>
      </c>
      <c r="C553" s="168">
        <v>315.02</v>
      </c>
      <c r="D553">
        <v>8.2799999999999994</v>
      </c>
    </row>
    <row r="554" spans="2:4" x14ac:dyDescent="0.2">
      <c r="B554" s="167">
        <v>44931</v>
      </c>
      <c r="C554" s="168">
        <v>313.52</v>
      </c>
      <c r="D554">
        <v>8.17</v>
      </c>
    </row>
    <row r="555" spans="2:4" x14ac:dyDescent="0.2">
      <c r="B555" s="167">
        <v>44930</v>
      </c>
      <c r="C555" s="168">
        <v>307.45</v>
      </c>
      <c r="D555">
        <v>6.69</v>
      </c>
    </row>
    <row r="556" spans="2:4" x14ac:dyDescent="0.2">
      <c r="B556" s="167">
        <v>44929</v>
      </c>
      <c r="C556" s="168">
        <v>311.31</v>
      </c>
      <c r="D556">
        <v>6</v>
      </c>
    </row>
    <row r="557" spans="2:4" x14ac:dyDescent="0.2">
      <c r="B557" s="167">
        <v>44928</v>
      </c>
      <c r="C557" s="168">
        <v>312.95</v>
      </c>
      <c r="D557">
        <v>5.95</v>
      </c>
    </row>
    <row r="558" spans="2:4" x14ac:dyDescent="0.2">
      <c r="B558" s="167">
        <v>44925</v>
      </c>
      <c r="C558" s="168">
        <v>311.73</v>
      </c>
      <c r="D558">
        <v>6.96</v>
      </c>
    </row>
    <row r="559" spans="2:4" x14ac:dyDescent="0.2">
      <c r="B559" s="167">
        <v>44924</v>
      </c>
      <c r="C559" s="168">
        <v>315.3</v>
      </c>
      <c r="D559">
        <v>8.11</v>
      </c>
    </row>
    <row r="560" spans="2:4" x14ac:dyDescent="0.2">
      <c r="B560" s="167">
        <v>44923</v>
      </c>
      <c r="C560" s="168">
        <v>314.41000000000003</v>
      </c>
      <c r="D560">
        <v>7.74</v>
      </c>
    </row>
    <row r="561" spans="2:4" x14ac:dyDescent="0.2">
      <c r="B561" s="167">
        <v>44922</v>
      </c>
      <c r="C561" s="168">
        <v>313.23</v>
      </c>
      <c r="D561">
        <v>6.73</v>
      </c>
    </row>
    <row r="562" spans="2:4" x14ac:dyDescent="0.2">
      <c r="B562" s="167">
        <v>44921</v>
      </c>
      <c r="C562" s="168">
        <v>314.60000000000002</v>
      </c>
      <c r="D562">
        <v>9.57</v>
      </c>
    </row>
    <row r="563" spans="2:4" x14ac:dyDescent="0.2">
      <c r="B563" s="167">
        <v>44918</v>
      </c>
      <c r="C563" s="168">
        <v>307.17</v>
      </c>
      <c r="D563">
        <v>10.07</v>
      </c>
    </row>
    <row r="564" spans="2:4" x14ac:dyDescent="0.2">
      <c r="B564" s="167">
        <v>44917</v>
      </c>
      <c r="C564" s="168">
        <v>312.58</v>
      </c>
      <c r="D564">
        <v>6.58</v>
      </c>
    </row>
    <row r="565" spans="2:4" x14ac:dyDescent="0.2">
      <c r="B565" s="167">
        <v>44916</v>
      </c>
      <c r="C565" s="168">
        <v>315.11</v>
      </c>
      <c r="D565">
        <v>7.05</v>
      </c>
    </row>
    <row r="566" spans="2:4" x14ac:dyDescent="0.2">
      <c r="B566" s="167">
        <v>44915</v>
      </c>
      <c r="C566" s="168">
        <v>319.82</v>
      </c>
      <c r="D566">
        <v>5.48</v>
      </c>
    </row>
    <row r="567" spans="2:4" x14ac:dyDescent="0.2">
      <c r="B567" s="167">
        <v>44914</v>
      </c>
      <c r="C567" s="168">
        <v>320.14</v>
      </c>
      <c r="D567">
        <v>7.81</v>
      </c>
    </row>
    <row r="568" spans="2:4" x14ac:dyDescent="0.2">
      <c r="B568" s="167">
        <v>44911</v>
      </c>
      <c r="C568" s="168">
        <v>333.05</v>
      </c>
      <c r="D568">
        <v>12.43</v>
      </c>
    </row>
    <row r="569" spans="2:4" x14ac:dyDescent="0.2">
      <c r="B569" s="167">
        <v>44910</v>
      </c>
      <c r="C569" s="168">
        <v>336.77</v>
      </c>
      <c r="D569">
        <v>8.15</v>
      </c>
    </row>
    <row r="570" spans="2:4" x14ac:dyDescent="0.2">
      <c r="B570" s="167">
        <v>44909</v>
      </c>
      <c r="C570" s="168">
        <v>343.29</v>
      </c>
      <c r="D570">
        <v>7.38</v>
      </c>
    </row>
    <row r="571" spans="2:4" x14ac:dyDescent="0.2">
      <c r="B571" s="167">
        <v>44908</v>
      </c>
      <c r="C571" s="168">
        <v>343.48</v>
      </c>
      <c r="D571">
        <v>10.69</v>
      </c>
    </row>
    <row r="572" spans="2:4" x14ac:dyDescent="0.2">
      <c r="B572" s="167">
        <v>44907</v>
      </c>
      <c r="C572" s="168">
        <v>341.1</v>
      </c>
      <c r="D572">
        <v>11.21</v>
      </c>
    </row>
    <row r="573" spans="2:4" x14ac:dyDescent="0.2">
      <c r="B573" s="167">
        <v>44904</v>
      </c>
      <c r="C573" s="168">
        <v>339.31</v>
      </c>
      <c r="D573">
        <v>8.1300000000000008</v>
      </c>
    </row>
    <row r="574" spans="2:4" x14ac:dyDescent="0.2">
      <c r="B574" s="167">
        <v>44903</v>
      </c>
      <c r="C574" s="168">
        <v>336.33</v>
      </c>
      <c r="D574">
        <v>6.2</v>
      </c>
    </row>
    <row r="575" spans="2:4" x14ac:dyDescent="0.2">
      <c r="B575" s="167">
        <v>44902</v>
      </c>
      <c r="C575" s="168">
        <v>338.02</v>
      </c>
      <c r="D575">
        <v>9.81</v>
      </c>
    </row>
    <row r="576" spans="2:4" x14ac:dyDescent="0.2">
      <c r="B576" s="167">
        <v>44901</v>
      </c>
      <c r="C576" s="168">
        <v>335.23</v>
      </c>
      <c r="D576">
        <v>6.33</v>
      </c>
    </row>
    <row r="577" spans="2:4" x14ac:dyDescent="0.2">
      <c r="B577" s="167">
        <v>44900</v>
      </c>
      <c r="C577" s="168">
        <v>334.69</v>
      </c>
      <c r="D577">
        <v>9.7200000000000006</v>
      </c>
    </row>
    <row r="578" spans="2:4" x14ac:dyDescent="0.2">
      <c r="B578" s="167">
        <v>44897</v>
      </c>
      <c r="C578" s="168">
        <v>335.09</v>
      </c>
      <c r="D578">
        <v>8.39</v>
      </c>
    </row>
    <row r="579" spans="2:4" x14ac:dyDescent="0.2">
      <c r="B579" s="167">
        <v>44896</v>
      </c>
      <c r="C579" s="168">
        <v>337.47</v>
      </c>
      <c r="D579">
        <v>16.63</v>
      </c>
    </row>
    <row r="580" spans="2:4" x14ac:dyDescent="0.2">
      <c r="B580" s="167">
        <v>44895</v>
      </c>
      <c r="C580" s="168">
        <v>337.92</v>
      </c>
      <c r="D580">
        <v>22.56</v>
      </c>
    </row>
    <row r="581" spans="2:4" x14ac:dyDescent="0.2">
      <c r="B581" s="167">
        <v>44894</v>
      </c>
      <c r="C581" s="168">
        <v>340.2</v>
      </c>
      <c r="D581">
        <v>10.19</v>
      </c>
    </row>
    <row r="582" spans="2:4" x14ac:dyDescent="0.2">
      <c r="B582" s="167">
        <v>44893</v>
      </c>
      <c r="C582" s="168">
        <v>337.97</v>
      </c>
      <c r="D582">
        <v>9.9</v>
      </c>
    </row>
    <row r="583" spans="2:4" x14ac:dyDescent="0.2">
      <c r="B583" s="167">
        <v>44890</v>
      </c>
      <c r="C583" s="168">
        <v>338.22</v>
      </c>
      <c r="D583">
        <v>6.93</v>
      </c>
    </row>
    <row r="584" spans="2:4" x14ac:dyDescent="0.2">
      <c r="B584" s="167">
        <v>44889</v>
      </c>
      <c r="C584" s="168">
        <v>338.66</v>
      </c>
      <c r="D584">
        <v>8.14</v>
      </c>
    </row>
    <row r="585" spans="2:4" x14ac:dyDescent="0.2">
      <c r="B585" s="167">
        <v>44888</v>
      </c>
      <c r="C585" s="168">
        <v>337.72</v>
      </c>
      <c r="D585">
        <v>7.77</v>
      </c>
    </row>
    <row r="586" spans="2:4" x14ac:dyDescent="0.2">
      <c r="B586" s="167">
        <v>44887</v>
      </c>
      <c r="C586" s="168">
        <v>338.17</v>
      </c>
      <c r="D586">
        <v>6.5</v>
      </c>
    </row>
    <row r="587" spans="2:4" x14ac:dyDescent="0.2">
      <c r="B587" s="167">
        <v>44886</v>
      </c>
      <c r="C587" s="168">
        <v>335.14</v>
      </c>
      <c r="D587">
        <v>9.1999999999999993</v>
      </c>
    </row>
    <row r="588" spans="2:4" x14ac:dyDescent="0.2">
      <c r="B588" s="167">
        <v>44883</v>
      </c>
      <c r="C588" s="168">
        <v>338.96</v>
      </c>
      <c r="D588">
        <v>7.84</v>
      </c>
    </row>
    <row r="589" spans="2:4" x14ac:dyDescent="0.2">
      <c r="B589" s="167">
        <v>44882</v>
      </c>
      <c r="C589" s="168">
        <v>341.6</v>
      </c>
      <c r="D589">
        <v>9.99</v>
      </c>
    </row>
    <row r="590" spans="2:4" x14ac:dyDescent="0.2">
      <c r="B590" s="167">
        <v>44881</v>
      </c>
      <c r="C590" s="168">
        <v>341.99</v>
      </c>
      <c r="D590">
        <v>7.6</v>
      </c>
    </row>
    <row r="591" spans="2:4" x14ac:dyDescent="0.2">
      <c r="B591" s="167">
        <v>44880</v>
      </c>
      <c r="C591" s="168">
        <v>343.14</v>
      </c>
      <c r="D591">
        <v>15.45</v>
      </c>
    </row>
    <row r="592" spans="2:4" x14ac:dyDescent="0.2">
      <c r="B592" s="167">
        <v>44879</v>
      </c>
      <c r="C592" s="168">
        <v>345.07</v>
      </c>
      <c r="D592">
        <v>17.64</v>
      </c>
    </row>
    <row r="593" spans="2:4" x14ac:dyDescent="0.2">
      <c r="B593" s="167">
        <v>44876</v>
      </c>
      <c r="C593" s="168">
        <v>354.17</v>
      </c>
      <c r="D593">
        <v>10.95</v>
      </c>
    </row>
    <row r="594" spans="2:4" x14ac:dyDescent="0.2">
      <c r="B594" s="167">
        <v>44875</v>
      </c>
      <c r="C594" s="168">
        <v>353.82</v>
      </c>
      <c r="D594">
        <v>19.329999999999998</v>
      </c>
    </row>
    <row r="595" spans="2:4" x14ac:dyDescent="0.2">
      <c r="B595" s="167">
        <v>44874</v>
      </c>
      <c r="C595" s="168">
        <v>358.49</v>
      </c>
      <c r="D595">
        <v>20.61</v>
      </c>
    </row>
    <row r="596" spans="2:4" x14ac:dyDescent="0.2">
      <c r="B596" s="167">
        <v>44872</v>
      </c>
      <c r="C596" s="168">
        <v>351.34</v>
      </c>
      <c r="D596">
        <v>10.050000000000001</v>
      </c>
    </row>
    <row r="597" spans="2:4" x14ac:dyDescent="0.2">
      <c r="B597" s="167">
        <v>44869</v>
      </c>
      <c r="C597" s="168">
        <v>351.43</v>
      </c>
      <c r="D597">
        <v>8.39</v>
      </c>
    </row>
    <row r="598" spans="2:4" x14ac:dyDescent="0.2">
      <c r="B598" s="167">
        <v>44868</v>
      </c>
      <c r="C598" s="168">
        <v>351.53</v>
      </c>
      <c r="D598">
        <v>10.74</v>
      </c>
    </row>
    <row r="599" spans="2:4" x14ac:dyDescent="0.2">
      <c r="B599" s="167">
        <v>44867</v>
      </c>
      <c r="C599" s="168">
        <v>352.48</v>
      </c>
      <c r="D599">
        <v>16.78</v>
      </c>
    </row>
    <row r="600" spans="2:4" x14ac:dyDescent="0.2">
      <c r="B600" s="167">
        <v>44866</v>
      </c>
      <c r="C600" s="168">
        <v>347.36</v>
      </c>
      <c r="D600">
        <v>19.670000000000002</v>
      </c>
    </row>
    <row r="601" spans="2:4" x14ac:dyDescent="0.2">
      <c r="B601" s="167">
        <v>44865</v>
      </c>
      <c r="C601" s="168">
        <v>346.57</v>
      </c>
      <c r="D601">
        <v>13.83</v>
      </c>
    </row>
    <row r="602" spans="2:4" x14ac:dyDescent="0.2">
      <c r="B602" s="167">
        <v>44862</v>
      </c>
      <c r="C602" s="168">
        <v>343.68</v>
      </c>
      <c r="D602">
        <v>13.07</v>
      </c>
    </row>
    <row r="603" spans="2:4" x14ac:dyDescent="0.2">
      <c r="B603" s="167">
        <v>44861</v>
      </c>
      <c r="C603" s="168">
        <v>343.68</v>
      </c>
      <c r="D603">
        <v>18.559999999999999</v>
      </c>
    </row>
    <row r="604" spans="2:4" x14ac:dyDescent="0.2">
      <c r="B604" s="167">
        <v>44859</v>
      </c>
      <c r="C604" s="168">
        <v>344.18</v>
      </c>
      <c r="D604">
        <v>17.239999999999998</v>
      </c>
    </row>
    <row r="605" spans="2:4" x14ac:dyDescent="0.2">
      <c r="B605" s="167">
        <v>44858</v>
      </c>
      <c r="C605" s="168">
        <v>345.57</v>
      </c>
      <c r="D605">
        <v>3.17</v>
      </c>
    </row>
    <row r="606" spans="2:4" x14ac:dyDescent="0.2">
      <c r="B606" s="167">
        <v>44855</v>
      </c>
      <c r="C606" s="168">
        <v>343.48</v>
      </c>
      <c r="D606">
        <v>27.37</v>
      </c>
    </row>
    <row r="607" spans="2:4" x14ac:dyDescent="0.2">
      <c r="B607" s="167">
        <v>44854</v>
      </c>
      <c r="C607" s="168">
        <v>347.56</v>
      </c>
      <c r="D607">
        <v>18.47</v>
      </c>
    </row>
    <row r="608" spans="2:4" x14ac:dyDescent="0.2">
      <c r="B608" s="167">
        <v>44853</v>
      </c>
      <c r="C608" s="168">
        <v>344.23</v>
      </c>
      <c r="D608">
        <v>16.3</v>
      </c>
    </row>
    <row r="609" spans="2:4" x14ac:dyDescent="0.2">
      <c r="B609" s="167">
        <v>44852</v>
      </c>
      <c r="C609" s="168">
        <v>338.22</v>
      </c>
      <c r="D609">
        <v>20.89</v>
      </c>
    </row>
    <row r="610" spans="2:4" x14ac:dyDescent="0.2">
      <c r="B610" s="167">
        <v>44851</v>
      </c>
      <c r="C610" s="168">
        <v>330.22</v>
      </c>
      <c r="D610">
        <v>6.93</v>
      </c>
    </row>
    <row r="611" spans="2:4" x14ac:dyDescent="0.2">
      <c r="B611" s="167">
        <v>44848</v>
      </c>
      <c r="C611" s="168">
        <v>330.07</v>
      </c>
      <c r="D611">
        <v>6.42</v>
      </c>
    </row>
    <row r="612" spans="2:4" x14ac:dyDescent="0.2">
      <c r="B612" s="167">
        <v>44847</v>
      </c>
      <c r="C612" s="168">
        <v>326.64</v>
      </c>
      <c r="D612">
        <v>7.27</v>
      </c>
    </row>
    <row r="613" spans="2:4" x14ac:dyDescent="0.2">
      <c r="B613" s="167">
        <v>44846</v>
      </c>
      <c r="C613" s="168">
        <v>328.08</v>
      </c>
      <c r="D613">
        <v>10.34</v>
      </c>
    </row>
    <row r="614" spans="2:4" x14ac:dyDescent="0.2">
      <c r="B614" s="167">
        <v>44845</v>
      </c>
      <c r="C614" s="168">
        <v>324.3</v>
      </c>
      <c r="D614">
        <v>10.61</v>
      </c>
    </row>
    <row r="615" spans="2:4" x14ac:dyDescent="0.2">
      <c r="B615" s="167">
        <v>44844</v>
      </c>
      <c r="C615" s="168">
        <v>325.83999999999997</v>
      </c>
      <c r="D615">
        <v>9.39</v>
      </c>
    </row>
    <row r="616" spans="2:4" x14ac:dyDescent="0.2">
      <c r="B616" s="167">
        <v>44841</v>
      </c>
      <c r="C616" s="168">
        <v>332.05</v>
      </c>
      <c r="D616">
        <v>10.51</v>
      </c>
    </row>
    <row r="617" spans="2:4" x14ac:dyDescent="0.2">
      <c r="B617" s="167">
        <v>44840</v>
      </c>
      <c r="C617" s="168">
        <v>334.59</v>
      </c>
      <c r="D617">
        <v>22.24</v>
      </c>
    </row>
    <row r="618" spans="2:4" x14ac:dyDescent="0.2">
      <c r="B618" s="167">
        <v>44838</v>
      </c>
      <c r="C618" s="168">
        <v>330.81</v>
      </c>
      <c r="D618">
        <v>8.8000000000000007</v>
      </c>
    </row>
    <row r="619" spans="2:4" x14ac:dyDescent="0.2">
      <c r="B619" s="167">
        <v>44837</v>
      </c>
      <c r="C619" s="168">
        <v>322.41000000000003</v>
      </c>
      <c r="D619">
        <v>9.11</v>
      </c>
    </row>
    <row r="620" spans="2:4" x14ac:dyDescent="0.2">
      <c r="B620" s="167">
        <v>44834</v>
      </c>
      <c r="C620" s="168">
        <v>330.17</v>
      </c>
      <c r="D620">
        <v>12.43</v>
      </c>
    </row>
    <row r="621" spans="2:4" x14ac:dyDescent="0.2">
      <c r="B621" s="167">
        <v>44833</v>
      </c>
      <c r="C621" s="168">
        <v>331.01</v>
      </c>
      <c r="D621">
        <v>18.28</v>
      </c>
    </row>
    <row r="622" spans="2:4" x14ac:dyDescent="0.2">
      <c r="B622" s="167">
        <v>44832</v>
      </c>
      <c r="C622" s="168">
        <v>322.95999999999998</v>
      </c>
      <c r="D622">
        <v>15.55</v>
      </c>
    </row>
    <row r="623" spans="2:4" x14ac:dyDescent="0.2">
      <c r="B623" s="167">
        <v>44831</v>
      </c>
      <c r="C623" s="168">
        <v>332.8</v>
      </c>
      <c r="D623">
        <v>9.99</v>
      </c>
    </row>
    <row r="624" spans="2:4" x14ac:dyDescent="0.2">
      <c r="B624" s="167">
        <v>44830</v>
      </c>
      <c r="C624" s="168">
        <v>330.56</v>
      </c>
      <c r="D624">
        <v>16.21</v>
      </c>
    </row>
    <row r="625" spans="2:4" x14ac:dyDescent="0.2">
      <c r="B625" s="167">
        <v>44827</v>
      </c>
      <c r="C625" s="168">
        <v>344.28</v>
      </c>
      <c r="D625">
        <v>22.84</v>
      </c>
    </row>
    <row r="626" spans="2:4" x14ac:dyDescent="0.2">
      <c r="B626" s="167">
        <v>44826</v>
      </c>
      <c r="C626" s="168">
        <v>342.94</v>
      </c>
      <c r="D626">
        <v>24.18</v>
      </c>
    </row>
    <row r="627" spans="2:4" x14ac:dyDescent="0.2">
      <c r="B627" s="167">
        <v>44825</v>
      </c>
      <c r="C627" s="168">
        <v>338.86</v>
      </c>
      <c r="D627">
        <v>20.99</v>
      </c>
    </row>
    <row r="628" spans="2:4" x14ac:dyDescent="0.2">
      <c r="B628" s="167">
        <v>44824</v>
      </c>
      <c r="C628" s="168">
        <v>333.94</v>
      </c>
      <c r="D628">
        <v>9.5299999999999994</v>
      </c>
    </row>
    <row r="629" spans="2:4" x14ac:dyDescent="0.2">
      <c r="B629" s="167">
        <v>44823</v>
      </c>
      <c r="C629" s="168">
        <v>333.55</v>
      </c>
      <c r="D629">
        <v>14.37</v>
      </c>
    </row>
    <row r="630" spans="2:4" x14ac:dyDescent="0.2">
      <c r="B630" s="167">
        <v>44820</v>
      </c>
      <c r="C630" s="168">
        <v>329.27</v>
      </c>
      <c r="D630">
        <v>12.49</v>
      </c>
    </row>
    <row r="631" spans="2:4" x14ac:dyDescent="0.2">
      <c r="B631" s="167">
        <v>44819</v>
      </c>
      <c r="C631" s="168">
        <v>332.05</v>
      </c>
      <c r="D631">
        <v>8.42</v>
      </c>
    </row>
    <row r="632" spans="2:4" x14ac:dyDescent="0.2">
      <c r="B632" s="167">
        <v>44818</v>
      </c>
      <c r="C632" s="168">
        <v>333.3</v>
      </c>
      <c r="D632">
        <v>12.27</v>
      </c>
    </row>
    <row r="633" spans="2:4" x14ac:dyDescent="0.2">
      <c r="B633" s="167">
        <v>44817</v>
      </c>
      <c r="C633" s="168">
        <v>332.35</v>
      </c>
      <c r="D633">
        <v>10.52</v>
      </c>
    </row>
    <row r="634" spans="2:4" x14ac:dyDescent="0.2">
      <c r="B634" s="167">
        <v>44816</v>
      </c>
      <c r="C634" s="168">
        <v>328.87</v>
      </c>
      <c r="D634">
        <v>8.7100000000000009</v>
      </c>
    </row>
    <row r="635" spans="2:4" x14ac:dyDescent="0.2">
      <c r="B635" s="167">
        <v>44813</v>
      </c>
      <c r="C635" s="168">
        <v>328.48</v>
      </c>
      <c r="D635">
        <v>9.41</v>
      </c>
    </row>
    <row r="636" spans="2:4" x14ac:dyDescent="0.2">
      <c r="B636" s="167">
        <v>44812</v>
      </c>
      <c r="C636" s="168">
        <v>327.88</v>
      </c>
      <c r="D636">
        <v>10.91</v>
      </c>
    </row>
    <row r="637" spans="2:4" x14ac:dyDescent="0.2">
      <c r="B637" s="167">
        <v>44811</v>
      </c>
      <c r="C637" s="168">
        <v>324.10000000000002</v>
      </c>
      <c r="D637">
        <v>8.09</v>
      </c>
    </row>
    <row r="638" spans="2:4" x14ac:dyDescent="0.2">
      <c r="B638" s="167">
        <v>44810</v>
      </c>
      <c r="C638" s="168">
        <v>325.14999999999998</v>
      </c>
      <c r="D638">
        <v>11.97</v>
      </c>
    </row>
    <row r="639" spans="2:4" x14ac:dyDescent="0.2">
      <c r="B639" s="167">
        <v>44809</v>
      </c>
      <c r="C639" s="168">
        <v>326.83999999999997</v>
      </c>
      <c r="D639">
        <v>17.47</v>
      </c>
    </row>
    <row r="640" spans="2:4" x14ac:dyDescent="0.2">
      <c r="B640" s="167">
        <v>44806</v>
      </c>
      <c r="C640" s="168">
        <v>321.17</v>
      </c>
      <c r="D640">
        <v>25.76</v>
      </c>
    </row>
    <row r="641" spans="2:4" x14ac:dyDescent="0.2">
      <c r="B641" s="167">
        <v>44805</v>
      </c>
      <c r="C641" s="168">
        <v>315.64999999999998</v>
      </c>
      <c r="D641">
        <v>13.25</v>
      </c>
    </row>
    <row r="642" spans="2:4" x14ac:dyDescent="0.2">
      <c r="B642" s="167">
        <v>44803</v>
      </c>
      <c r="C642" s="168">
        <v>318.54000000000002</v>
      </c>
      <c r="D642">
        <v>17.829999999999998</v>
      </c>
    </row>
    <row r="643" spans="2:4" x14ac:dyDescent="0.2">
      <c r="B643" s="167">
        <v>44802</v>
      </c>
      <c r="C643" s="168">
        <v>311.63</v>
      </c>
      <c r="D643">
        <v>11.36</v>
      </c>
    </row>
    <row r="644" spans="2:4" x14ac:dyDescent="0.2">
      <c r="B644" s="167">
        <v>44799</v>
      </c>
      <c r="C644" s="168">
        <v>310.98</v>
      </c>
      <c r="D644">
        <v>6.96</v>
      </c>
    </row>
    <row r="645" spans="2:4" x14ac:dyDescent="0.2">
      <c r="B645" s="167">
        <v>44798</v>
      </c>
      <c r="C645" s="168">
        <v>310.44</v>
      </c>
      <c r="D645">
        <v>7.76</v>
      </c>
    </row>
    <row r="646" spans="2:4" x14ac:dyDescent="0.2">
      <c r="B646" s="167">
        <v>44797</v>
      </c>
      <c r="C646" s="168">
        <v>312.18</v>
      </c>
      <c r="D646">
        <v>11.35</v>
      </c>
    </row>
    <row r="647" spans="2:4" x14ac:dyDescent="0.2">
      <c r="B647" s="167">
        <v>44796</v>
      </c>
      <c r="C647" s="168">
        <v>313.97000000000003</v>
      </c>
      <c r="D647">
        <v>9.34</v>
      </c>
    </row>
    <row r="648" spans="2:4" x14ac:dyDescent="0.2">
      <c r="B648" s="167">
        <v>44795</v>
      </c>
      <c r="C648" s="168">
        <v>312.48</v>
      </c>
      <c r="D648">
        <v>11.36</v>
      </c>
    </row>
    <row r="649" spans="2:4" x14ac:dyDescent="0.2">
      <c r="B649" s="167">
        <v>44792</v>
      </c>
      <c r="C649" s="168">
        <v>310.08999999999997</v>
      </c>
      <c r="D649">
        <v>10.42</v>
      </c>
    </row>
    <row r="650" spans="2:4" x14ac:dyDescent="0.2">
      <c r="B650" s="167">
        <v>44791</v>
      </c>
      <c r="C650" s="168">
        <v>313.72000000000003</v>
      </c>
      <c r="D650">
        <v>9.8800000000000008</v>
      </c>
    </row>
    <row r="651" spans="2:4" x14ac:dyDescent="0.2">
      <c r="B651" s="167">
        <v>44790</v>
      </c>
      <c r="C651" s="168">
        <v>310.64</v>
      </c>
      <c r="D651">
        <v>7.98</v>
      </c>
    </row>
    <row r="652" spans="2:4" x14ac:dyDescent="0.2">
      <c r="B652" s="167">
        <v>44789</v>
      </c>
      <c r="C652" s="168">
        <v>308.64999999999998</v>
      </c>
      <c r="D652">
        <v>8.61</v>
      </c>
    </row>
    <row r="653" spans="2:4" x14ac:dyDescent="0.2">
      <c r="B653" s="167">
        <v>44785</v>
      </c>
      <c r="C653" s="168">
        <v>306.66000000000003</v>
      </c>
      <c r="D653">
        <v>6.42</v>
      </c>
    </row>
    <row r="654" spans="2:4" x14ac:dyDescent="0.2">
      <c r="B654" s="167">
        <v>44784</v>
      </c>
      <c r="C654" s="168">
        <v>304.38</v>
      </c>
      <c r="D654">
        <v>10.89</v>
      </c>
    </row>
    <row r="655" spans="2:4" x14ac:dyDescent="0.2">
      <c r="B655" s="167">
        <v>44783</v>
      </c>
      <c r="C655" s="168">
        <v>309.3</v>
      </c>
      <c r="D655">
        <v>8.92</v>
      </c>
    </row>
    <row r="656" spans="2:4" x14ac:dyDescent="0.2">
      <c r="B656" s="167">
        <v>44781</v>
      </c>
      <c r="C656" s="168">
        <v>311.23</v>
      </c>
      <c r="D656">
        <v>8.31</v>
      </c>
    </row>
    <row r="657" spans="2:4" x14ac:dyDescent="0.2">
      <c r="B657" s="167">
        <v>44778</v>
      </c>
      <c r="C657" s="168">
        <v>308.95</v>
      </c>
      <c r="D657">
        <v>10.09</v>
      </c>
    </row>
    <row r="658" spans="2:4" x14ac:dyDescent="0.2">
      <c r="B658" s="167">
        <v>44777</v>
      </c>
      <c r="C658" s="168">
        <v>307.61</v>
      </c>
      <c r="D658">
        <v>15.9</v>
      </c>
    </row>
    <row r="659" spans="2:4" x14ac:dyDescent="0.2">
      <c r="B659" s="167">
        <v>44776</v>
      </c>
      <c r="C659" s="168">
        <v>306.26</v>
      </c>
      <c r="D659">
        <v>17.7</v>
      </c>
    </row>
    <row r="660" spans="2:4" x14ac:dyDescent="0.2">
      <c r="B660" s="167">
        <v>44775</v>
      </c>
      <c r="C660" s="168">
        <v>308.05</v>
      </c>
      <c r="D660">
        <v>38.979999999999997</v>
      </c>
    </row>
    <row r="661" spans="2:4" x14ac:dyDescent="0.2">
      <c r="B661" s="167">
        <v>44774</v>
      </c>
      <c r="C661" s="168">
        <v>305.62</v>
      </c>
      <c r="D661">
        <v>15.89</v>
      </c>
    </row>
    <row r="662" spans="2:4" x14ac:dyDescent="0.2">
      <c r="B662" s="167">
        <v>44771</v>
      </c>
      <c r="C662" s="168">
        <v>301.19</v>
      </c>
      <c r="D662">
        <v>16.93</v>
      </c>
    </row>
    <row r="663" spans="2:4" x14ac:dyDescent="0.2">
      <c r="B663" s="167">
        <v>44770</v>
      </c>
      <c r="C663" s="168">
        <v>301.58999999999997</v>
      </c>
      <c r="D663">
        <v>10.84</v>
      </c>
    </row>
    <row r="664" spans="2:4" x14ac:dyDescent="0.2">
      <c r="B664" s="167">
        <v>44769</v>
      </c>
      <c r="C664" s="168">
        <v>302.29000000000002</v>
      </c>
      <c r="D664">
        <v>9.35</v>
      </c>
    </row>
    <row r="665" spans="2:4" x14ac:dyDescent="0.2">
      <c r="B665" s="167">
        <v>44768</v>
      </c>
      <c r="C665" s="168">
        <v>300.60000000000002</v>
      </c>
      <c r="D665">
        <v>9.74</v>
      </c>
    </row>
    <row r="666" spans="2:4" x14ac:dyDescent="0.2">
      <c r="B666" s="167">
        <v>44767</v>
      </c>
      <c r="C666" s="168">
        <v>299.26</v>
      </c>
      <c r="D666">
        <v>10.64</v>
      </c>
    </row>
    <row r="667" spans="2:4" x14ac:dyDescent="0.2">
      <c r="B667" s="167">
        <v>44764</v>
      </c>
      <c r="C667" s="168">
        <v>298.70999999999998</v>
      </c>
      <c r="D667">
        <v>9.9700000000000006</v>
      </c>
    </row>
    <row r="668" spans="2:4" x14ac:dyDescent="0.2">
      <c r="B668" s="167">
        <v>44763</v>
      </c>
      <c r="C668" s="168">
        <v>297.72000000000003</v>
      </c>
      <c r="D668">
        <v>16.04</v>
      </c>
    </row>
    <row r="669" spans="2:4" x14ac:dyDescent="0.2">
      <c r="B669" s="167">
        <v>44762</v>
      </c>
      <c r="C669" s="168">
        <v>296.37</v>
      </c>
      <c r="D669">
        <v>15.79</v>
      </c>
    </row>
    <row r="670" spans="2:4" x14ac:dyDescent="0.2">
      <c r="B670" s="167">
        <v>44761</v>
      </c>
      <c r="C670" s="168">
        <v>292.8</v>
      </c>
      <c r="D670">
        <v>9.19</v>
      </c>
    </row>
    <row r="671" spans="2:4" x14ac:dyDescent="0.2">
      <c r="B671" s="167">
        <v>44760</v>
      </c>
      <c r="C671" s="168">
        <v>293.49</v>
      </c>
      <c r="D671">
        <v>11.32</v>
      </c>
    </row>
    <row r="672" spans="2:4" x14ac:dyDescent="0.2">
      <c r="B672" s="167">
        <v>44757</v>
      </c>
      <c r="C672" s="168">
        <v>291.75</v>
      </c>
      <c r="D672">
        <v>11.03</v>
      </c>
    </row>
    <row r="673" spans="2:4" x14ac:dyDescent="0.2">
      <c r="B673" s="167">
        <v>44756</v>
      </c>
      <c r="C673" s="168">
        <v>289.07</v>
      </c>
      <c r="D673">
        <v>13.41</v>
      </c>
    </row>
    <row r="674" spans="2:4" x14ac:dyDescent="0.2">
      <c r="B674" s="167">
        <v>44755</v>
      </c>
      <c r="C674" s="168">
        <v>292.25</v>
      </c>
      <c r="D674">
        <v>9.2799999999999994</v>
      </c>
    </row>
    <row r="675" spans="2:4" x14ac:dyDescent="0.2">
      <c r="B675" s="167">
        <v>44754</v>
      </c>
      <c r="C675" s="168">
        <v>290.91000000000003</v>
      </c>
      <c r="D675">
        <v>14.07</v>
      </c>
    </row>
    <row r="676" spans="2:4" x14ac:dyDescent="0.2">
      <c r="B676" s="167">
        <v>44753</v>
      </c>
      <c r="C676" s="168">
        <v>293.19</v>
      </c>
      <c r="D676">
        <v>12.35</v>
      </c>
    </row>
    <row r="677" spans="2:4" x14ac:dyDescent="0.2">
      <c r="B677" s="167">
        <v>44750</v>
      </c>
      <c r="C677" s="168">
        <v>291.26</v>
      </c>
      <c r="D677">
        <v>11.11</v>
      </c>
    </row>
    <row r="678" spans="2:4" x14ac:dyDescent="0.2">
      <c r="B678" s="167">
        <v>44749</v>
      </c>
      <c r="C678" s="168">
        <v>290.16000000000003</v>
      </c>
      <c r="D678">
        <v>13.79</v>
      </c>
    </row>
    <row r="679" spans="2:4" x14ac:dyDescent="0.2">
      <c r="B679" s="167">
        <v>44748</v>
      </c>
      <c r="C679" s="168">
        <v>287.52999999999997</v>
      </c>
      <c r="D679">
        <v>18.29</v>
      </c>
    </row>
    <row r="680" spans="2:4" x14ac:dyDescent="0.2">
      <c r="B680" s="167">
        <v>44747</v>
      </c>
      <c r="C680" s="168">
        <v>285.14</v>
      </c>
      <c r="D680">
        <v>18.57</v>
      </c>
    </row>
    <row r="681" spans="2:4" x14ac:dyDescent="0.2">
      <c r="B681" s="167">
        <v>44746</v>
      </c>
      <c r="C681" s="168">
        <v>290.11</v>
      </c>
      <c r="D681">
        <v>39.880000000000003</v>
      </c>
    </row>
    <row r="682" spans="2:4" x14ac:dyDescent="0.2">
      <c r="B682" s="167">
        <v>44743</v>
      </c>
      <c r="C682" s="168">
        <v>282.61</v>
      </c>
      <c r="D682">
        <v>35.17</v>
      </c>
    </row>
    <row r="683" spans="2:4" x14ac:dyDescent="0.2">
      <c r="B683" s="167">
        <v>44742</v>
      </c>
      <c r="C683" s="168">
        <v>271.83</v>
      </c>
      <c r="D683">
        <v>19.260000000000002</v>
      </c>
    </row>
    <row r="684" spans="2:4" x14ac:dyDescent="0.2">
      <c r="B684" s="167">
        <v>44741</v>
      </c>
      <c r="C684" s="168">
        <v>272.37</v>
      </c>
      <c r="D684">
        <v>16.02</v>
      </c>
    </row>
    <row r="685" spans="2:4" x14ac:dyDescent="0.2">
      <c r="B685" s="167">
        <v>44740</v>
      </c>
      <c r="C685" s="168">
        <v>270.18</v>
      </c>
      <c r="D685">
        <v>11.24</v>
      </c>
    </row>
    <row r="686" spans="2:4" x14ac:dyDescent="0.2">
      <c r="B686" s="167">
        <v>44739</v>
      </c>
      <c r="C686" s="168">
        <v>268.3</v>
      </c>
      <c r="D686">
        <v>8.17</v>
      </c>
    </row>
    <row r="687" spans="2:4" x14ac:dyDescent="0.2">
      <c r="B687" s="167">
        <v>44736</v>
      </c>
      <c r="C687" s="168">
        <v>264.22000000000003</v>
      </c>
      <c r="D687">
        <v>7.01</v>
      </c>
    </row>
    <row r="688" spans="2:4" x14ac:dyDescent="0.2">
      <c r="B688" s="167">
        <v>44735</v>
      </c>
      <c r="C688" s="168">
        <v>263.87</v>
      </c>
      <c r="D688">
        <v>9.07</v>
      </c>
    </row>
    <row r="689" spans="2:4" x14ac:dyDescent="0.2">
      <c r="B689" s="167">
        <v>44734</v>
      </c>
      <c r="C689" s="168">
        <v>263.68</v>
      </c>
      <c r="D689">
        <v>11.32</v>
      </c>
    </row>
    <row r="690" spans="2:4" x14ac:dyDescent="0.2">
      <c r="B690" s="167">
        <v>44733</v>
      </c>
      <c r="C690" s="168">
        <v>268.25</v>
      </c>
      <c r="D690">
        <v>13.88</v>
      </c>
    </row>
    <row r="691" spans="2:4" x14ac:dyDescent="0.2">
      <c r="B691" s="167">
        <v>44732</v>
      </c>
      <c r="C691" s="168">
        <v>262.48</v>
      </c>
      <c r="D691">
        <v>17.079999999999998</v>
      </c>
    </row>
    <row r="692" spans="2:4" x14ac:dyDescent="0.2">
      <c r="B692" s="167">
        <v>44729</v>
      </c>
      <c r="C692" s="168">
        <v>261.69</v>
      </c>
      <c r="D692">
        <v>16.649999999999999</v>
      </c>
    </row>
    <row r="693" spans="2:4" x14ac:dyDescent="0.2">
      <c r="B693" s="167">
        <v>44728</v>
      </c>
      <c r="C693" s="168">
        <v>259.10000000000002</v>
      </c>
      <c r="D693">
        <v>14.29</v>
      </c>
    </row>
    <row r="694" spans="2:4" x14ac:dyDescent="0.2">
      <c r="B694" s="167">
        <v>44727</v>
      </c>
      <c r="C694" s="168">
        <v>261.79000000000002</v>
      </c>
      <c r="D694">
        <v>5.0599999999999996</v>
      </c>
    </row>
    <row r="695" spans="2:4" x14ac:dyDescent="0.2">
      <c r="B695" s="167">
        <v>44726</v>
      </c>
      <c r="C695" s="168">
        <v>263.83</v>
      </c>
      <c r="D695">
        <v>7.42</v>
      </c>
    </row>
    <row r="696" spans="2:4" x14ac:dyDescent="0.2">
      <c r="B696" s="167">
        <v>44725</v>
      </c>
      <c r="C696" s="168">
        <v>263.02999999999997</v>
      </c>
      <c r="D696">
        <v>11.09</v>
      </c>
    </row>
    <row r="697" spans="2:4" x14ac:dyDescent="0.2">
      <c r="B697" s="167">
        <v>44722</v>
      </c>
      <c r="C697" s="168">
        <v>268.5</v>
      </c>
      <c r="D697">
        <v>8.3699999999999992</v>
      </c>
    </row>
    <row r="698" spans="2:4" x14ac:dyDescent="0.2">
      <c r="B698" s="167">
        <v>44721</v>
      </c>
      <c r="C698" s="168">
        <v>269.19</v>
      </c>
      <c r="D698">
        <v>9.86</v>
      </c>
    </row>
    <row r="699" spans="2:4" x14ac:dyDescent="0.2">
      <c r="B699" s="167">
        <v>44720</v>
      </c>
      <c r="C699" s="168">
        <v>266.26</v>
      </c>
      <c r="D699">
        <v>14.36</v>
      </c>
    </row>
    <row r="700" spans="2:4" x14ac:dyDescent="0.2">
      <c r="B700" s="167">
        <v>44719</v>
      </c>
      <c r="C700" s="168">
        <v>272.22000000000003</v>
      </c>
      <c r="D700">
        <v>10.83</v>
      </c>
    </row>
    <row r="701" spans="2:4" x14ac:dyDescent="0.2">
      <c r="B701" s="167">
        <v>44718</v>
      </c>
      <c r="C701" s="168">
        <v>273.12</v>
      </c>
      <c r="D701">
        <v>10.93</v>
      </c>
    </row>
    <row r="702" spans="2:4" x14ac:dyDescent="0.2">
      <c r="B702" s="167">
        <v>44715</v>
      </c>
      <c r="C702" s="168">
        <v>271.02999999999997</v>
      </c>
      <c r="D702">
        <v>12.49</v>
      </c>
    </row>
    <row r="703" spans="2:4" x14ac:dyDescent="0.2">
      <c r="B703" s="167">
        <v>44714</v>
      </c>
      <c r="C703" s="168">
        <v>271.83</v>
      </c>
      <c r="D703">
        <v>14.24</v>
      </c>
    </row>
    <row r="704" spans="2:4" x14ac:dyDescent="0.2">
      <c r="B704" s="167">
        <v>44713</v>
      </c>
      <c r="C704" s="168">
        <v>270.18</v>
      </c>
      <c r="D704">
        <v>14.7</v>
      </c>
    </row>
    <row r="705" spans="2:4" x14ac:dyDescent="0.2">
      <c r="B705" s="167">
        <v>44712</v>
      </c>
      <c r="C705" s="168">
        <v>268.99</v>
      </c>
      <c r="D705">
        <v>23.21</v>
      </c>
    </row>
    <row r="706" spans="2:4" x14ac:dyDescent="0.2">
      <c r="B706" s="167">
        <v>44711</v>
      </c>
      <c r="C706" s="168">
        <v>267.39999999999998</v>
      </c>
      <c r="D706">
        <v>11.82</v>
      </c>
    </row>
    <row r="707" spans="2:4" x14ac:dyDescent="0.2">
      <c r="B707" s="167">
        <v>44708</v>
      </c>
      <c r="C707" s="168">
        <v>267.55</v>
      </c>
      <c r="D707">
        <v>13.47</v>
      </c>
    </row>
    <row r="708" spans="2:4" x14ac:dyDescent="0.2">
      <c r="B708" s="167">
        <v>44707</v>
      </c>
      <c r="C708" s="168">
        <v>265.07</v>
      </c>
      <c r="D708">
        <v>18.420000000000002</v>
      </c>
    </row>
    <row r="709" spans="2:4" x14ac:dyDescent="0.2">
      <c r="B709" s="167">
        <v>44706</v>
      </c>
      <c r="C709" s="168">
        <v>271.02999999999997</v>
      </c>
      <c r="D709">
        <v>15.29</v>
      </c>
    </row>
    <row r="710" spans="2:4" x14ac:dyDescent="0.2">
      <c r="B710" s="167">
        <v>44705</v>
      </c>
      <c r="C710" s="168">
        <v>269.19</v>
      </c>
      <c r="D710">
        <v>15.55</v>
      </c>
    </row>
    <row r="711" spans="2:4" x14ac:dyDescent="0.2">
      <c r="B711" s="167">
        <v>44704</v>
      </c>
      <c r="C711" s="168">
        <v>272.82</v>
      </c>
      <c r="D711">
        <v>21.7</v>
      </c>
    </row>
    <row r="712" spans="2:4" x14ac:dyDescent="0.2">
      <c r="B712" s="167">
        <v>44701</v>
      </c>
      <c r="C712" s="168">
        <v>278.29000000000002</v>
      </c>
      <c r="D712">
        <v>32.369999999999997</v>
      </c>
    </row>
    <row r="713" spans="2:4" x14ac:dyDescent="0.2">
      <c r="B713" s="167">
        <v>44700</v>
      </c>
      <c r="C713" s="168">
        <v>273.95999999999998</v>
      </c>
      <c r="D713">
        <v>78.290000000000006</v>
      </c>
    </row>
    <row r="714" spans="2:4" x14ac:dyDescent="0.2">
      <c r="B714" s="167">
        <v>44699</v>
      </c>
      <c r="C714" s="168">
        <v>266.8</v>
      </c>
      <c r="D714">
        <v>20.2</v>
      </c>
    </row>
    <row r="715" spans="2:4" x14ac:dyDescent="0.2">
      <c r="B715" s="167">
        <v>44698</v>
      </c>
      <c r="C715" s="168">
        <v>264.7</v>
      </c>
      <c r="D715">
        <v>17.8</v>
      </c>
    </row>
    <row r="716" spans="2:4" x14ac:dyDescent="0.2">
      <c r="B716" s="167">
        <v>44697</v>
      </c>
      <c r="C716" s="168">
        <v>254.1</v>
      </c>
      <c r="D716">
        <v>8.19</v>
      </c>
    </row>
    <row r="717" spans="2:4" x14ac:dyDescent="0.2">
      <c r="B717" s="167">
        <v>44694</v>
      </c>
      <c r="C717" s="168">
        <v>258.60000000000002</v>
      </c>
      <c r="D717">
        <v>11.92</v>
      </c>
    </row>
    <row r="718" spans="2:4" x14ac:dyDescent="0.2">
      <c r="B718" s="167">
        <v>44693</v>
      </c>
      <c r="C718" s="168">
        <v>251.35</v>
      </c>
      <c r="D718">
        <v>20.04</v>
      </c>
    </row>
    <row r="719" spans="2:4" x14ac:dyDescent="0.2">
      <c r="B719" s="167">
        <v>44692</v>
      </c>
      <c r="C719" s="168">
        <v>254.09</v>
      </c>
      <c r="D719">
        <v>17.34</v>
      </c>
    </row>
    <row r="720" spans="2:4" x14ac:dyDescent="0.2">
      <c r="B720" s="167">
        <v>44691</v>
      </c>
      <c r="C720" s="168">
        <v>259.75</v>
      </c>
      <c r="D720">
        <v>18.03</v>
      </c>
    </row>
    <row r="721" spans="2:4" x14ac:dyDescent="0.2">
      <c r="B721" s="167">
        <v>44690</v>
      </c>
      <c r="C721" s="168">
        <v>261.33999999999997</v>
      </c>
      <c r="D721">
        <v>21.4</v>
      </c>
    </row>
    <row r="722" spans="2:4" x14ac:dyDescent="0.2">
      <c r="B722" s="167">
        <v>44687</v>
      </c>
      <c r="C722" s="168">
        <v>266.64999999999998</v>
      </c>
      <c r="D722">
        <v>34.49</v>
      </c>
    </row>
    <row r="723" spans="2:4" x14ac:dyDescent="0.2">
      <c r="B723" s="167">
        <v>44686</v>
      </c>
      <c r="C723" s="168">
        <v>262.05</v>
      </c>
      <c r="D723">
        <v>17.93</v>
      </c>
    </row>
    <row r="724" spans="2:4" x14ac:dyDescent="0.2">
      <c r="B724" s="167">
        <v>44685</v>
      </c>
      <c r="C724" s="168">
        <v>259.75</v>
      </c>
      <c r="D724">
        <v>25.95</v>
      </c>
    </row>
    <row r="725" spans="2:4" x14ac:dyDescent="0.2">
      <c r="B725" s="167">
        <v>44683</v>
      </c>
      <c r="C725" s="168">
        <v>263.14999999999998</v>
      </c>
      <c r="D725">
        <v>18.97</v>
      </c>
    </row>
    <row r="726" spans="2:4" x14ac:dyDescent="0.2">
      <c r="B726" s="167">
        <v>44680</v>
      </c>
      <c r="C726" s="168">
        <v>259.55</v>
      </c>
      <c r="D726">
        <v>20.420000000000002</v>
      </c>
    </row>
    <row r="727" spans="2:4" x14ac:dyDescent="0.2">
      <c r="B727" s="167">
        <v>44679</v>
      </c>
      <c r="C727" s="168">
        <v>261.10000000000002</v>
      </c>
      <c r="D727">
        <v>27.92</v>
      </c>
    </row>
    <row r="728" spans="2:4" x14ac:dyDescent="0.2">
      <c r="B728" s="167">
        <v>44678</v>
      </c>
      <c r="C728" s="168">
        <v>257.5</v>
      </c>
      <c r="D728">
        <v>16.579999999999998</v>
      </c>
    </row>
    <row r="729" spans="2:4" x14ac:dyDescent="0.2">
      <c r="B729" s="167">
        <v>44677</v>
      </c>
      <c r="C729" s="168">
        <v>258.95</v>
      </c>
      <c r="D729">
        <v>20.54</v>
      </c>
    </row>
    <row r="730" spans="2:4" x14ac:dyDescent="0.2">
      <c r="B730" s="167">
        <v>44676</v>
      </c>
      <c r="C730" s="168">
        <v>255.25</v>
      </c>
      <c r="D730">
        <v>24.21</v>
      </c>
    </row>
    <row r="731" spans="2:4" x14ac:dyDescent="0.2">
      <c r="B731" s="167">
        <v>44673</v>
      </c>
      <c r="C731" s="168">
        <v>261.10000000000002</v>
      </c>
      <c r="D731">
        <v>15.67</v>
      </c>
    </row>
    <row r="732" spans="2:4" x14ac:dyDescent="0.2">
      <c r="B732" s="167">
        <v>44672</v>
      </c>
      <c r="C732" s="168">
        <v>260.39999999999998</v>
      </c>
      <c r="D732">
        <v>23.41</v>
      </c>
    </row>
    <row r="733" spans="2:4" x14ac:dyDescent="0.2">
      <c r="B733" s="167">
        <v>44671</v>
      </c>
      <c r="C733" s="168">
        <v>259.55</v>
      </c>
      <c r="D733">
        <v>24.51</v>
      </c>
    </row>
    <row r="734" spans="2:4" x14ac:dyDescent="0.2">
      <c r="B734" s="167">
        <v>44670</v>
      </c>
      <c r="C734" s="168">
        <v>261.55</v>
      </c>
      <c r="D734">
        <v>23.38</v>
      </c>
    </row>
    <row r="735" spans="2:4" x14ac:dyDescent="0.2">
      <c r="B735" s="167">
        <v>44669</v>
      </c>
      <c r="C735" s="168">
        <v>268.45</v>
      </c>
      <c r="D735">
        <v>24.4</v>
      </c>
    </row>
    <row r="736" spans="2:4" x14ac:dyDescent="0.2">
      <c r="B736" s="167">
        <v>44664</v>
      </c>
      <c r="C736" s="168">
        <v>269.55</v>
      </c>
      <c r="D736">
        <v>21.41</v>
      </c>
    </row>
    <row r="737" spans="2:4" x14ac:dyDescent="0.2">
      <c r="B737" s="167">
        <v>44663</v>
      </c>
      <c r="C737" s="168">
        <v>263.18</v>
      </c>
      <c r="D737">
        <v>23.55</v>
      </c>
    </row>
    <row r="738" spans="2:4" x14ac:dyDescent="0.2">
      <c r="B738" s="167">
        <v>44662</v>
      </c>
      <c r="C738" s="168">
        <v>267.5</v>
      </c>
      <c r="D738">
        <v>46.15</v>
      </c>
    </row>
    <row r="739" spans="2:4" x14ac:dyDescent="0.2">
      <c r="B739" s="167">
        <v>44659</v>
      </c>
      <c r="C739" s="168">
        <v>266.16000000000003</v>
      </c>
      <c r="D739">
        <v>37.83</v>
      </c>
    </row>
    <row r="740" spans="2:4" x14ac:dyDescent="0.2">
      <c r="B740" s="167">
        <v>44658</v>
      </c>
      <c r="C740" s="168">
        <v>256.64999999999998</v>
      </c>
      <c r="D740">
        <v>16.059999999999999</v>
      </c>
    </row>
    <row r="741" spans="2:4" x14ac:dyDescent="0.2">
      <c r="B741" s="167">
        <v>44657</v>
      </c>
      <c r="C741" s="168">
        <v>259.60000000000002</v>
      </c>
      <c r="D741">
        <v>19.600000000000001</v>
      </c>
    </row>
    <row r="742" spans="2:4" x14ac:dyDescent="0.2">
      <c r="B742" s="167">
        <v>44656</v>
      </c>
      <c r="C742" s="168">
        <v>259.45</v>
      </c>
      <c r="D742">
        <v>27.18</v>
      </c>
    </row>
    <row r="743" spans="2:4" x14ac:dyDescent="0.2">
      <c r="B743" s="167">
        <v>44655</v>
      </c>
      <c r="C743" s="168">
        <v>255.45</v>
      </c>
      <c r="D743">
        <v>15.91</v>
      </c>
    </row>
    <row r="744" spans="2:4" x14ac:dyDescent="0.2">
      <c r="B744" s="167">
        <v>44652</v>
      </c>
      <c r="C744" s="168">
        <v>253.3</v>
      </c>
      <c r="D744">
        <v>14.31</v>
      </c>
    </row>
    <row r="745" spans="2:4" x14ac:dyDescent="0.2">
      <c r="B745" s="167">
        <v>44651</v>
      </c>
      <c r="C745" s="168">
        <v>250.65</v>
      </c>
      <c r="D745">
        <v>25.66</v>
      </c>
    </row>
    <row r="746" spans="2:4" x14ac:dyDescent="0.2">
      <c r="B746" s="167">
        <v>44650</v>
      </c>
      <c r="C746" s="168">
        <v>249.2</v>
      </c>
      <c r="D746">
        <v>17.600000000000001</v>
      </c>
    </row>
    <row r="747" spans="2:4" x14ac:dyDescent="0.2">
      <c r="B747" s="167">
        <v>44649</v>
      </c>
      <c r="C747" s="168">
        <v>254.6</v>
      </c>
      <c r="D747">
        <v>18.12</v>
      </c>
    </row>
    <row r="748" spans="2:4" x14ac:dyDescent="0.2">
      <c r="B748" s="167">
        <v>44648</v>
      </c>
      <c r="C748" s="168">
        <v>257.05</v>
      </c>
      <c r="D748">
        <v>24.92</v>
      </c>
    </row>
    <row r="749" spans="2:4" x14ac:dyDescent="0.2">
      <c r="B749" s="167">
        <v>44645</v>
      </c>
      <c r="C749" s="168">
        <v>253.35</v>
      </c>
      <c r="D749">
        <v>29.28</v>
      </c>
    </row>
    <row r="750" spans="2:4" x14ac:dyDescent="0.2">
      <c r="B750" s="167">
        <v>44644</v>
      </c>
      <c r="C750" s="168">
        <v>254.85</v>
      </c>
      <c r="D750">
        <v>38.24</v>
      </c>
    </row>
    <row r="751" spans="2:4" x14ac:dyDescent="0.2">
      <c r="B751" s="167">
        <v>44643</v>
      </c>
      <c r="C751" s="168">
        <v>252</v>
      </c>
      <c r="D751">
        <v>40.49</v>
      </c>
    </row>
    <row r="752" spans="2:4" x14ac:dyDescent="0.2">
      <c r="B752" s="167">
        <v>44642</v>
      </c>
      <c r="C752" s="168">
        <v>249.75</v>
      </c>
      <c r="D752">
        <v>36.950000000000003</v>
      </c>
    </row>
    <row r="753" spans="2:4" x14ac:dyDescent="0.2">
      <c r="B753" s="167">
        <v>44641</v>
      </c>
      <c r="C753" s="168">
        <v>244.5</v>
      </c>
      <c r="D753">
        <v>27.98</v>
      </c>
    </row>
    <row r="754" spans="2:4" x14ac:dyDescent="0.2">
      <c r="B754" s="167">
        <v>44637</v>
      </c>
      <c r="C754" s="168">
        <v>244.9</v>
      </c>
      <c r="D754">
        <v>34.22</v>
      </c>
    </row>
    <row r="755" spans="2:4" x14ac:dyDescent="0.2">
      <c r="B755" s="167">
        <v>44636</v>
      </c>
      <c r="C755" s="168">
        <v>242.6</v>
      </c>
      <c r="D755">
        <v>21.63</v>
      </c>
    </row>
    <row r="756" spans="2:4" x14ac:dyDescent="0.2">
      <c r="B756" s="167">
        <v>44635</v>
      </c>
      <c r="C756" s="168">
        <v>237.85</v>
      </c>
      <c r="D756">
        <v>33</v>
      </c>
    </row>
    <row r="757" spans="2:4" x14ac:dyDescent="0.2">
      <c r="B757" s="167">
        <v>44634</v>
      </c>
      <c r="C757" s="168">
        <v>239</v>
      </c>
      <c r="D757">
        <v>35.11</v>
      </c>
    </row>
    <row r="758" spans="2:4" x14ac:dyDescent="0.2">
      <c r="B758" s="167">
        <v>44631</v>
      </c>
      <c r="C758" s="168">
        <v>236.35</v>
      </c>
      <c r="D758">
        <v>41.7</v>
      </c>
    </row>
    <row r="759" spans="2:4" x14ac:dyDescent="0.2">
      <c r="B759" s="167">
        <v>44630</v>
      </c>
      <c r="C759" s="168">
        <v>232</v>
      </c>
      <c r="D759">
        <v>36.130000000000003</v>
      </c>
    </row>
    <row r="760" spans="2:4" x14ac:dyDescent="0.2">
      <c r="B760" s="167">
        <v>44629</v>
      </c>
      <c r="C760" s="168">
        <v>229.25</v>
      </c>
      <c r="D760">
        <v>42.29</v>
      </c>
    </row>
    <row r="761" spans="2:4" x14ac:dyDescent="0.2">
      <c r="B761" s="167">
        <v>44628</v>
      </c>
      <c r="C761" s="168">
        <v>226.9</v>
      </c>
      <c r="D761">
        <v>36.04</v>
      </c>
    </row>
    <row r="762" spans="2:4" x14ac:dyDescent="0.2">
      <c r="B762" s="167">
        <v>44627</v>
      </c>
      <c r="C762" s="168">
        <v>224.95</v>
      </c>
      <c r="D762">
        <v>45.26</v>
      </c>
    </row>
    <row r="763" spans="2:4" x14ac:dyDescent="0.2">
      <c r="B763" s="167">
        <v>44624</v>
      </c>
      <c r="C763" s="168">
        <v>225.5</v>
      </c>
      <c r="D763">
        <v>66.84</v>
      </c>
    </row>
    <row r="764" spans="2:4" x14ac:dyDescent="0.2">
      <c r="B764" s="167">
        <v>44623</v>
      </c>
      <c r="C764" s="168">
        <v>219.4</v>
      </c>
      <c r="D764">
        <v>28.53</v>
      </c>
    </row>
    <row r="765" spans="2:4" x14ac:dyDescent="0.2">
      <c r="B765" s="167">
        <v>44622</v>
      </c>
      <c r="C765" s="168">
        <v>215.3</v>
      </c>
      <c r="D765">
        <v>19.3</v>
      </c>
    </row>
    <row r="766" spans="2:4" x14ac:dyDescent="0.2">
      <c r="B766" s="167">
        <v>44620</v>
      </c>
      <c r="C766" s="168">
        <v>215.85</v>
      </c>
      <c r="D766">
        <v>20.03</v>
      </c>
    </row>
    <row r="767" spans="2:4" x14ac:dyDescent="0.2">
      <c r="B767" s="167">
        <v>44617</v>
      </c>
      <c r="C767" s="168">
        <v>213.95</v>
      </c>
      <c r="D767">
        <v>23.63</v>
      </c>
    </row>
    <row r="768" spans="2:4" x14ac:dyDescent="0.2">
      <c r="B768" s="167">
        <v>44616</v>
      </c>
      <c r="C768" s="168">
        <v>208.5</v>
      </c>
      <c r="D768">
        <v>41.34</v>
      </c>
    </row>
    <row r="769" spans="2:4" x14ac:dyDescent="0.2">
      <c r="B769" s="167">
        <v>44615</v>
      </c>
      <c r="C769" s="168">
        <v>215.95</v>
      </c>
      <c r="D769">
        <v>11.01</v>
      </c>
    </row>
    <row r="770" spans="2:4" x14ac:dyDescent="0.2">
      <c r="B770" s="167">
        <v>44614</v>
      </c>
      <c r="C770" s="168">
        <v>214.85</v>
      </c>
      <c r="D770">
        <v>25.75</v>
      </c>
    </row>
    <row r="771" spans="2:4" x14ac:dyDescent="0.2">
      <c r="B771" s="167">
        <v>44613</v>
      </c>
      <c r="C771" s="168">
        <v>218</v>
      </c>
      <c r="D771">
        <v>16.13</v>
      </c>
    </row>
    <row r="772" spans="2:4" x14ac:dyDescent="0.2">
      <c r="B772" s="167">
        <v>44610</v>
      </c>
      <c r="C772" s="168">
        <v>221.9</v>
      </c>
      <c r="D772">
        <v>8.67</v>
      </c>
    </row>
    <row r="773" spans="2:4" x14ac:dyDescent="0.2">
      <c r="B773" s="167">
        <v>44609</v>
      </c>
      <c r="C773" s="168">
        <v>222.65</v>
      </c>
      <c r="D773">
        <v>14.02</v>
      </c>
    </row>
    <row r="774" spans="2:4" x14ac:dyDescent="0.2">
      <c r="B774" s="167">
        <v>44608</v>
      </c>
      <c r="C774" s="168">
        <v>222.75</v>
      </c>
      <c r="D774">
        <v>11.23</v>
      </c>
    </row>
    <row r="775" spans="2:4" x14ac:dyDescent="0.2">
      <c r="B775" s="167">
        <v>44607</v>
      </c>
      <c r="C775" s="168">
        <v>223</v>
      </c>
      <c r="D775">
        <v>12.88</v>
      </c>
    </row>
    <row r="776" spans="2:4" x14ac:dyDescent="0.2">
      <c r="B776" s="167">
        <v>44606</v>
      </c>
      <c r="C776" s="168">
        <v>219.45</v>
      </c>
      <c r="D776">
        <v>22.75</v>
      </c>
    </row>
    <row r="777" spans="2:4" x14ac:dyDescent="0.2">
      <c r="B777" s="167">
        <v>44603</v>
      </c>
      <c r="C777" s="168">
        <v>232.45</v>
      </c>
      <c r="D777">
        <v>18.100000000000001</v>
      </c>
    </row>
    <row r="778" spans="2:4" x14ac:dyDescent="0.2">
      <c r="B778" s="167">
        <v>44602</v>
      </c>
      <c r="C778" s="168">
        <v>232.25</v>
      </c>
      <c r="D778">
        <v>19.559999999999999</v>
      </c>
    </row>
    <row r="779" spans="2:4" x14ac:dyDescent="0.2">
      <c r="B779" s="167">
        <v>44601</v>
      </c>
      <c r="C779" s="168">
        <v>230.15</v>
      </c>
      <c r="D779">
        <v>11.89</v>
      </c>
    </row>
    <row r="780" spans="2:4" x14ac:dyDescent="0.2">
      <c r="B780" s="167">
        <v>44600</v>
      </c>
      <c r="C780" s="168">
        <v>231.25</v>
      </c>
      <c r="D780">
        <v>16.2</v>
      </c>
    </row>
    <row r="781" spans="2:4" x14ac:dyDescent="0.2">
      <c r="B781" s="167">
        <v>44599</v>
      </c>
      <c r="C781" s="168">
        <v>230.2</v>
      </c>
      <c r="D781">
        <v>24.17</v>
      </c>
    </row>
    <row r="782" spans="2:4" x14ac:dyDescent="0.2">
      <c r="B782" s="167">
        <v>44596</v>
      </c>
      <c r="C782" s="168">
        <v>234.3</v>
      </c>
      <c r="D782">
        <v>56.71</v>
      </c>
    </row>
    <row r="783" spans="2:4" x14ac:dyDescent="0.2">
      <c r="B783" s="167">
        <v>44595</v>
      </c>
      <c r="C783" s="168">
        <v>234.45</v>
      </c>
      <c r="D783">
        <v>27.85</v>
      </c>
    </row>
    <row r="784" spans="2:4" x14ac:dyDescent="0.2">
      <c r="B784" s="167">
        <v>44594</v>
      </c>
      <c r="C784" s="168">
        <v>232.15</v>
      </c>
      <c r="D784">
        <v>41.13</v>
      </c>
    </row>
    <row r="785" spans="2:4" x14ac:dyDescent="0.2">
      <c r="B785" s="167">
        <v>44593</v>
      </c>
      <c r="C785" s="168">
        <v>227.75</v>
      </c>
      <c r="D785">
        <v>43.21</v>
      </c>
    </row>
    <row r="786" spans="2:4" x14ac:dyDescent="0.2">
      <c r="B786" s="167">
        <v>44592</v>
      </c>
      <c r="C786" s="168">
        <v>220.2</v>
      </c>
      <c r="D786">
        <v>15.04</v>
      </c>
    </row>
    <row r="787" spans="2:4" x14ac:dyDescent="0.2">
      <c r="B787" s="167">
        <v>44589</v>
      </c>
      <c r="C787" s="168">
        <v>217.6</v>
      </c>
      <c r="D787">
        <v>15.28</v>
      </c>
    </row>
    <row r="788" spans="2:4" x14ac:dyDescent="0.2">
      <c r="B788" s="167">
        <v>44588</v>
      </c>
      <c r="C788" s="168">
        <v>214.6</v>
      </c>
      <c r="D788">
        <v>23.15</v>
      </c>
    </row>
    <row r="789" spans="2:4" x14ac:dyDescent="0.2">
      <c r="B789" s="167">
        <v>44586</v>
      </c>
      <c r="C789" s="168">
        <v>214.3</v>
      </c>
      <c r="D789">
        <v>18.32</v>
      </c>
    </row>
    <row r="790" spans="2:4" x14ac:dyDescent="0.2">
      <c r="B790" s="167">
        <v>44585</v>
      </c>
      <c r="C790" s="168">
        <v>211.8</v>
      </c>
      <c r="D790">
        <v>17.350000000000001</v>
      </c>
    </row>
    <row r="791" spans="2:4" x14ac:dyDescent="0.2">
      <c r="B791" s="167">
        <v>44582</v>
      </c>
      <c r="C791" s="168">
        <v>217.05</v>
      </c>
      <c r="D791">
        <v>16.59</v>
      </c>
    </row>
    <row r="792" spans="2:4" x14ac:dyDescent="0.2">
      <c r="B792" s="167">
        <v>44581</v>
      </c>
      <c r="C792" s="168">
        <v>218.75</v>
      </c>
      <c r="D792">
        <v>17.329999999999998</v>
      </c>
    </row>
    <row r="793" spans="2:4" x14ac:dyDescent="0.2">
      <c r="B793" s="167">
        <v>44580</v>
      </c>
      <c r="C793" s="168">
        <v>220.35</v>
      </c>
      <c r="D793">
        <v>11.47</v>
      </c>
    </row>
    <row r="794" spans="2:4" x14ac:dyDescent="0.2">
      <c r="B794" s="167">
        <v>44579</v>
      </c>
      <c r="C794" s="168">
        <v>220.75</v>
      </c>
      <c r="D794">
        <v>14.39</v>
      </c>
    </row>
    <row r="795" spans="2:4" x14ac:dyDescent="0.2">
      <c r="B795" s="167">
        <v>44578</v>
      </c>
      <c r="C795" s="168">
        <v>224.6</v>
      </c>
      <c r="D795">
        <v>12.32</v>
      </c>
    </row>
    <row r="796" spans="2:4" x14ac:dyDescent="0.2">
      <c r="B796" s="167">
        <v>44575</v>
      </c>
      <c r="C796" s="168">
        <v>222.6</v>
      </c>
      <c r="D796">
        <v>10.57</v>
      </c>
    </row>
    <row r="797" spans="2:4" x14ac:dyDescent="0.2">
      <c r="B797" s="167">
        <v>44574</v>
      </c>
      <c r="C797" s="168">
        <v>223.95</v>
      </c>
      <c r="D797">
        <v>11.5</v>
      </c>
    </row>
    <row r="798" spans="2:4" x14ac:dyDescent="0.2">
      <c r="B798" s="167">
        <v>44573</v>
      </c>
      <c r="C798" s="168">
        <v>222.75</v>
      </c>
      <c r="D798">
        <v>13.16</v>
      </c>
    </row>
    <row r="799" spans="2:4" x14ac:dyDescent="0.2">
      <c r="B799" s="167">
        <v>44572</v>
      </c>
      <c r="C799" s="168">
        <v>221.95</v>
      </c>
      <c r="D799">
        <v>8.02</v>
      </c>
    </row>
    <row r="800" spans="2:4" x14ac:dyDescent="0.2">
      <c r="B800" s="167">
        <v>44571</v>
      </c>
      <c r="C800" s="168">
        <v>223.3</v>
      </c>
      <c r="D800">
        <v>15.84</v>
      </c>
    </row>
    <row r="801" spans="2:4" x14ac:dyDescent="0.2">
      <c r="B801" s="167">
        <v>44568</v>
      </c>
      <c r="C801" s="168">
        <v>218.4</v>
      </c>
      <c r="D801">
        <v>8.86</v>
      </c>
    </row>
    <row r="802" spans="2:4" x14ac:dyDescent="0.2">
      <c r="B802" s="167">
        <v>44567</v>
      </c>
      <c r="C802" s="168">
        <v>218.7</v>
      </c>
      <c r="D802">
        <v>8.9499999999999993</v>
      </c>
    </row>
    <row r="803" spans="2:4" x14ac:dyDescent="0.2">
      <c r="B803" s="167">
        <v>44566</v>
      </c>
      <c r="C803" s="168">
        <v>220.55</v>
      </c>
      <c r="D803">
        <v>11.23</v>
      </c>
    </row>
    <row r="804" spans="2:4" x14ac:dyDescent="0.2">
      <c r="B804" s="167">
        <v>44565</v>
      </c>
      <c r="C804" s="168">
        <v>220.25</v>
      </c>
      <c r="D804">
        <v>9.0500000000000007</v>
      </c>
    </row>
    <row r="805" spans="2:4" x14ac:dyDescent="0.2">
      <c r="B805" s="167">
        <v>44564</v>
      </c>
      <c r="C805" s="168">
        <v>219.1</v>
      </c>
      <c r="D805">
        <v>7.77</v>
      </c>
    </row>
    <row r="806" spans="2:4" x14ac:dyDescent="0.2">
      <c r="B806" s="167">
        <v>44561</v>
      </c>
      <c r="C806" s="168">
        <v>218.05</v>
      </c>
      <c r="D806">
        <v>7.58</v>
      </c>
    </row>
    <row r="807" spans="2:4" x14ac:dyDescent="0.2">
      <c r="B807" s="167">
        <v>44560</v>
      </c>
      <c r="C807" s="168">
        <v>216</v>
      </c>
      <c r="D807">
        <v>9.74</v>
      </c>
    </row>
    <row r="808" spans="2:4" x14ac:dyDescent="0.2">
      <c r="B808" s="167">
        <v>44559</v>
      </c>
      <c r="C808" s="168">
        <v>216.75</v>
      </c>
      <c r="D808">
        <v>11.48</v>
      </c>
    </row>
    <row r="809" spans="2:4" x14ac:dyDescent="0.2">
      <c r="B809" s="167">
        <v>44558</v>
      </c>
      <c r="C809" s="168">
        <v>220.05</v>
      </c>
      <c r="D809">
        <v>11.57</v>
      </c>
    </row>
    <row r="810" spans="2:4" x14ac:dyDescent="0.2">
      <c r="B810" s="167">
        <v>44557</v>
      </c>
      <c r="C810" s="168">
        <v>217.55</v>
      </c>
      <c r="D810">
        <v>8.15</v>
      </c>
    </row>
    <row r="811" spans="2:4" x14ac:dyDescent="0.2">
      <c r="B811" s="167">
        <v>44554</v>
      </c>
      <c r="C811" s="168">
        <v>218</v>
      </c>
      <c r="D811">
        <v>16.579999999999998</v>
      </c>
    </row>
    <row r="812" spans="2:4" x14ac:dyDescent="0.2">
      <c r="B812" s="167">
        <v>44553</v>
      </c>
      <c r="C812" s="168">
        <v>217.3</v>
      </c>
      <c r="D812">
        <v>22.21</v>
      </c>
    </row>
    <row r="813" spans="2:4" x14ac:dyDescent="0.2">
      <c r="B813" s="167">
        <v>44552</v>
      </c>
      <c r="C813" s="168">
        <v>212</v>
      </c>
      <c r="D813">
        <v>17.239999999999998</v>
      </c>
    </row>
    <row r="814" spans="2:4" x14ac:dyDescent="0.2">
      <c r="B814" s="167">
        <v>44551</v>
      </c>
      <c r="C814" s="168">
        <v>212.5</v>
      </c>
      <c r="D814">
        <v>19.399999999999999</v>
      </c>
    </row>
    <row r="815" spans="2:4" x14ac:dyDescent="0.2">
      <c r="B815" s="167">
        <v>44550</v>
      </c>
      <c r="C815" s="168">
        <v>212.4</v>
      </c>
      <c r="D815">
        <v>37.340000000000003</v>
      </c>
    </row>
    <row r="816" spans="2:4" x14ac:dyDescent="0.2">
      <c r="B816" s="167">
        <v>44547</v>
      </c>
      <c r="C816" s="168">
        <v>217.95</v>
      </c>
      <c r="D816">
        <v>29.68</v>
      </c>
    </row>
    <row r="817" spans="2:4" x14ac:dyDescent="0.2">
      <c r="B817" s="167">
        <v>44546</v>
      </c>
      <c r="C817" s="168">
        <v>222.9</v>
      </c>
      <c r="D817">
        <v>24.2</v>
      </c>
    </row>
    <row r="818" spans="2:4" x14ac:dyDescent="0.2">
      <c r="B818" s="167">
        <v>44545</v>
      </c>
      <c r="C818" s="168">
        <v>224.05</v>
      </c>
      <c r="D818">
        <v>34.65</v>
      </c>
    </row>
    <row r="819" spans="2:4" x14ac:dyDescent="0.2">
      <c r="B819" s="167">
        <v>44544</v>
      </c>
      <c r="C819" s="168">
        <v>228.6</v>
      </c>
      <c r="D819">
        <v>37.51</v>
      </c>
    </row>
    <row r="820" spans="2:4" x14ac:dyDescent="0.2">
      <c r="B820" s="167">
        <v>44543</v>
      </c>
      <c r="C820" s="168">
        <v>234.6</v>
      </c>
      <c r="D820">
        <v>22.05</v>
      </c>
    </row>
    <row r="821" spans="2:4" x14ac:dyDescent="0.2">
      <c r="B821" s="167">
        <v>44540</v>
      </c>
      <c r="C821" s="168">
        <v>236.1</v>
      </c>
      <c r="D821">
        <v>35.159999999999997</v>
      </c>
    </row>
    <row r="822" spans="2:4" x14ac:dyDescent="0.2">
      <c r="B822" s="167">
        <v>44539</v>
      </c>
      <c r="C822" s="168">
        <v>235.4</v>
      </c>
      <c r="D822">
        <v>38.24</v>
      </c>
    </row>
    <row r="823" spans="2:4" x14ac:dyDescent="0.2">
      <c r="B823" s="167">
        <v>44538</v>
      </c>
      <c r="C823" s="168">
        <v>224.95</v>
      </c>
      <c r="D823">
        <v>9.86</v>
      </c>
    </row>
    <row r="824" spans="2:4" x14ac:dyDescent="0.2">
      <c r="B824" s="167">
        <v>44537</v>
      </c>
      <c r="C824" s="168">
        <v>220.65</v>
      </c>
      <c r="D824">
        <v>8.9</v>
      </c>
    </row>
    <row r="825" spans="2:4" x14ac:dyDescent="0.2">
      <c r="B825" s="167">
        <v>44536</v>
      </c>
      <c r="C825" s="168">
        <v>217.9</v>
      </c>
      <c r="D825">
        <v>13.14</v>
      </c>
    </row>
    <row r="826" spans="2:4" x14ac:dyDescent="0.2">
      <c r="B826" s="167">
        <v>44533</v>
      </c>
      <c r="C826" s="168">
        <v>221.65</v>
      </c>
      <c r="D826">
        <v>13.79</v>
      </c>
    </row>
    <row r="827" spans="2:4" x14ac:dyDescent="0.2">
      <c r="B827" s="167">
        <v>44532</v>
      </c>
      <c r="C827" s="168">
        <v>225.45</v>
      </c>
      <c r="D827">
        <v>15.9</v>
      </c>
    </row>
    <row r="828" spans="2:4" x14ac:dyDescent="0.2">
      <c r="B828" s="167">
        <v>44531</v>
      </c>
      <c r="C828" s="168">
        <v>221.9</v>
      </c>
      <c r="D828">
        <v>13</v>
      </c>
    </row>
    <row r="829" spans="2:4" x14ac:dyDescent="0.2">
      <c r="B829" s="167">
        <v>44530</v>
      </c>
      <c r="C829" s="168">
        <v>221.15</v>
      </c>
      <c r="D829">
        <v>23.5</v>
      </c>
    </row>
    <row r="830" spans="2:4" x14ac:dyDescent="0.2">
      <c r="B830" s="167">
        <v>44529</v>
      </c>
      <c r="C830" s="168">
        <v>221.5</v>
      </c>
      <c r="D830">
        <v>22.13</v>
      </c>
    </row>
    <row r="831" spans="2:4" x14ac:dyDescent="0.2">
      <c r="B831" s="167">
        <v>44526</v>
      </c>
      <c r="C831" s="168">
        <v>224</v>
      </c>
      <c r="D831">
        <v>27.03</v>
      </c>
    </row>
    <row r="832" spans="2:4" x14ac:dyDescent="0.2">
      <c r="B832" s="167">
        <v>44525</v>
      </c>
      <c r="C832" s="168">
        <v>231.3</v>
      </c>
      <c r="D832">
        <v>23.9</v>
      </c>
    </row>
    <row r="833" spans="2:4" x14ac:dyDescent="0.2">
      <c r="B833" s="167">
        <v>44524</v>
      </c>
      <c r="C833" s="168">
        <v>227.7</v>
      </c>
      <c r="D833">
        <v>14.14</v>
      </c>
    </row>
    <row r="834" spans="2:4" x14ac:dyDescent="0.2">
      <c r="B834" s="167">
        <v>44523</v>
      </c>
      <c r="C834" s="168">
        <v>231.6</v>
      </c>
      <c r="D834">
        <v>13.43</v>
      </c>
    </row>
    <row r="835" spans="2:4" x14ac:dyDescent="0.2">
      <c r="B835" s="167">
        <v>44522</v>
      </c>
      <c r="C835" s="168">
        <v>230.9</v>
      </c>
      <c r="D835">
        <v>22.57</v>
      </c>
    </row>
    <row r="836" spans="2:4" x14ac:dyDescent="0.2">
      <c r="B836" s="167">
        <v>44518</v>
      </c>
      <c r="C836" s="168">
        <v>237.5</v>
      </c>
      <c r="D836">
        <v>20.23</v>
      </c>
    </row>
    <row r="837" spans="2:4" x14ac:dyDescent="0.2">
      <c r="B837" s="167">
        <v>44517</v>
      </c>
      <c r="C837" s="168">
        <v>239.5</v>
      </c>
      <c r="D837">
        <v>46.7</v>
      </c>
    </row>
    <row r="838" spans="2:4" x14ac:dyDescent="0.2">
      <c r="B838" s="167">
        <v>44516</v>
      </c>
      <c r="C838" s="168">
        <v>235.45</v>
      </c>
      <c r="D838">
        <v>14.68</v>
      </c>
    </row>
    <row r="839" spans="2:4" x14ac:dyDescent="0.2">
      <c r="B839" s="167">
        <v>44515</v>
      </c>
      <c r="C839" s="168">
        <v>238.1</v>
      </c>
      <c r="D839">
        <v>38.76</v>
      </c>
    </row>
    <row r="840" spans="2:4" x14ac:dyDescent="0.2">
      <c r="B840" s="167">
        <v>44512</v>
      </c>
      <c r="C840" s="168">
        <v>232.9</v>
      </c>
      <c r="D840">
        <v>11.86</v>
      </c>
    </row>
    <row r="841" spans="2:4" x14ac:dyDescent="0.2">
      <c r="B841" s="167">
        <v>44511</v>
      </c>
      <c r="C841" s="168">
        <v>230</v>
      </c>
      <c r="D841">
        <v>8.1300000000000008</v>
      </c>
    </row>
    <row r="842" spans="2:4" x14ac:dyDescent="0.2">
      <c r="B842" s="167">
        <v>44510</v>
      </c>
      <c r="C842" s="168">
        <v>230.85</v>
      </c>
      <c r="D842">
        <v>13.43</v>
      </c>
    </row>
    <row r="843" spans="2:4" x14ac:dyDescent="0.2">
      <c r="B843" s="167">
        <v>44509</v>
      </c>
      <c r="C843" s="168">
        <v>228.75</v>
      </c>
      <c r="D843">
        <v>11.52</v>
      </c>
    </row>
    <row r="844" spans="2:4" x14ac:dyDescent="0.2">
      <c r="B844" s="167">
        <v>44508</v>
      </c>
      <c r="C844" s="168">
        <v>229.8</v>
      </c>
      <c r="D844">
        <v>20.27</v>
      </c>
    </row>
    <row r="845" spans="2:4" x14ac:dyDescent="0.2">
      <c r="B845" s="167">
        <v>44504</v>
      </c>
      <c r="C845" s="168">
        <v>226.55</v>
      </c>
      <c r="D845">
        <v>7.02</v>
      </c>
    </row>
    <row r="846" spans="2:4" x14ac:dyDescent="0.2">
      <c r="B846" s="167">
        <v>44503</v>
      </c>
      <c r="C846" s="168">
        <v>222.45</v>
      </c>
      <c r="D846">
        <v>17.84</v>
      </c>
    </row>
    <row r="847" spans="2:4" x14ac:dyDescent="0.2">
      <c r="B847" s="167">
        <v>44502</v>
      </c>
      <c r="C847" s="168">
        <v>225.6</v>
      </c>
      <c r="D847">
        <v>14.34</v>
      </c>
    </row>
    <row r="848" spans="2:4" x14ac:dyDescent="0.2">
      <c r="B848" s="167">
        <v>44501</v>
      </c>
      <c r="C848" s="168">
        <v>226.85</v>
      </c>
      <c r="D848">
        <v>23.2</v>
      </c>
    </row>
    <row r="849" spans="2:4" x14ac:dyDescent="0.2">
      <c r="B849" s="167">
        <v>44498</v>
      </c>
      <c r="C849" s="168">
        <v>223.2</v>
      </c>
      <c r="D849">
        <v>26.64</v>
      </c>
    </row>
    <row r="850" spans="2:4" x14ac:dyDescent="0.2">
      <c r="B850" s="167">
        <v>44497</v>
      </c>
      <c r="C850" s="168">
        <v>225.1</v>
      </c>
      <c r="D850">
        <v>46.28</v>
      </c>
    </row>
    <row r="851" spans="2:4" x14ac:dyDescent="0.2">
      <c r="B851" s="167">
        <v>44496</v>
      </c>
      <c r="C851" s="168">
        <v>238.45</v>
      </c>
      <c r="D851">
        <v>25.91</v>
      </c>
    </row>
    <row r="852" spans="2:4" x14ac:dyDescent="0.2">
      <c r="B852" s="167">
        <v>44495</v>
      </c>
      <c r="C852" s="168">
        <v>236.7</v>
      </c>
      <c r="D852">
        <v>18.93</v>
      </c>
    </row>
    <row r="853" spans="2:4" x14ac:dyDescent="0.2">
      <c r="B853" s="167">
        <v>44494</v>
      </c>
      <c r="C853" s="168">
        <v>233.4</v>
      </c>
      <c r="D853">
        <v>22.33</v>
      </c>
    </row>
    <row r="854" spans="2:4" x14ac:dyDescent="0.2">
      <c r="B854" s="167">
        <v>44491</v>
      </c>
      <c r="C854" s="168">
        <v>236.6</v>
      </c>
      <c r="D854">
        <v>35.54</v>
      </c>
    </row>
    <row r="855" spans="2:4" x14ac:dyDescent="0.2">
      <c r="B855" s="167">
        <v>44490</v>
      </c>
      <c r="C855" s="168">
        <v>244.7</v>
      </c>
      <c r="D855">
        <v>22.52</v>
      </c>
    </row>
    <row r="856" spans="2:4" x14ac:dyDescent="0.2">
      <c r="B856" s="167">
        <v>44489</v>
      </c>
      <c r="C856" s="168">
        <v>246.6</v>
      </c>
      <c r="D856">
        <v>47.82</v>
      </c>
    </row>
    <row r="857" spans="2:4" x14ac:dyDescent="0.2">
      <c r="B857" s="167">
        <v>44488</v>
      </c>
      <c r="C857" s="168">
        <v>245.95</v>
      </c>
      <c r="D857">
        <v>59.06</v>
      </c>
    </row>
    <row r="858" spans="2:4" x14ac:dyDescent="0.2">
      <c r="B858" s="167">
        <v>44487</v>
      </c>
      <c r="C858" s="168">
        <v>262.55</v>
      </c>
      <c r="D858">
        <v>60.29</v>
      </c>
    </row>
    <row r="859" spans="2:4" x14ac:dyDescent="0.2">
      <c r="B859" s="167">
        <v>44483</v>
      </c>
      <c r="C859" s="168">
        <v>256.55</v>
      </c>
      <c r="D859">
        <v>85.41</v>
      </c>
    </row>
    <row r="860" spans="2:4" x14ac:dyDescent="0.2">
      <c r="B860" s="167">
        <v>44482</v>
      </c>
      <c r="C860" s="168">
        <v>249.2</v>
      </c>
      <c r="D860">
        <v>50.16</v>
      </c>
    </row>
    <row r="861" spans="2:4" x14ac:dyDescent="0.2">
      <c r="B861" s="167">
        <v>44481</v>
      </c>
      <c r="C861" s="168">
        <v>241.3</v>
      </c>
      <c r="D861">
        <v>29.22</v>
      </c>
    </row>
    <row r="862" spans="2:4" x14ac:dyDescent="0.2">
      <c r="B862" s="167">
        <v>44480</v>
      </c>
      <c r="C862" s="168">
        <v>238.05</v>
      </c>
      <c r="D862">
        <v>21.18</v>
      </c>
    </row>
    <row r="863" spans="2:4" x14ac:dyDescent="0.2">
      <c r="B863" s="167">
        <v>44477</v>
      </c>
      <c r="C863" s="168">
        <v>231.7</v>
      </c>
      <c r="D863">
        <v>9.74</v>
      </c>
    </row>
    <row r="864" spans="2:4" x14ac:dyDescent="0.2">
      <c r="B864" s="167">
        <v>44476</v>
      </c>
      <c r="C864" s="168">
        <v>232.95</v>
      </c>
      <c r="D864">
        <v>10.37</v>
      </c>
    </row>
    <row r="865" spans="2:4" x14ac:dyDescent="0.2">
      <c r="B865" s="167">
        <v>44475</v>
      </c>
      <c r="C865" s="168">
        <v>231.25</v>
      </c>
      <c r="D865">
        <v>17.510000000000002</v>
      </c>
    </row>
    <row r="866" spans="2:4" x14ac:dyDescent="0.2">
      <c r="B866" s="167">
        <v>44474</v>
      </c>
      <c r="C866" s="168">
        <v>234.7</v>
      </c>
      <c r="D866">
        <v>9.2200000000000006</v>
      </c>
    </row>
    <row r="867" spans="2:4" x14ac:dyDescent="0.2">
      <c r="B867" s="167">
        <v>44473</v>
      </c>
      <c r="C867" s="168">
        <v>236.6</v>
      </c>
      <c r="D867">
        <v>10.69</v>
      </c>
    </row>
    <row r="868" spans="2:4" x14ac:dyDescent="0.2">
      <c r="B868" s="167">
        <v>44470</v>
      </c>
      <c r="C868" s="168">
        <v>235.35</v>
      </c>
      <c r="D868">
        <v>15.96</v>
      </c>
    </row>
    <row r="869" spans="2:4" x14ac:dyDescent="0.2">
      <c r="B869" s="167">
        <v>44469</v>
      </c>
      <c r="C869" s="168">
        <v>236.15</v>
      </c>
      <c r="D869">
        <v>16.36</v>
      </c>
    </row>
    <row r="870" spans="2:4" x14ac:dyDescent="0.2">
      <c r="B870" s="167">
        <v>44468</v>
      </c>
      <c r="C870" s="168">
        <v>238.1</v>
      </c>
      <c r="D870">
        <v>15.45</v>
      </c>
    </row>
    <row r="871" spans="2:4" x14ac:dyDescent="0.2">
      <c r="B871" s="167">
        <v>44467</v>
      </c>
      <c r="C871" s="168">
        <v>237.75</v>
      </c>
      <c r="D871">
        <v>15.71</v>
      </c>
    </row>
    <row r="872" spans="2:4" x14ac:dyDescent="0.2">
      <c r="B872" s="167">
        <v>44466</v>
      </c>
      <c r="C872" s="168">
        <v>238.7</v>
      </c>
      <c r="D872">
        <v>22.89</v>
      </c>
    </row>
    <row r="873" spans="2:4" x14ac:dyDescent="0.2">
      <c r="B873" s="167">
        <v>44463</v>
      </c>
      <c r="C873" s="168">
        <v>238.45</v>
      </c>
      <c r="D873">
        <v>24.82</v>
      </c>
    </row>
    <row r="874" spans="2:4" x14ac:dyDescent="0.2">
      <c r="B874" s="167">
        <v>44462</v>
      </c>
      <c r="C874" s="168">
        <v>242.5</v>
      </c>
      <c r="D874">
        <v>21.79</v>
      </c>
    </row>
    <row r="875" spans="2:4" x14ac:dyDescent="0.2">
      <c r="B875" s="167">
        <v>44461</v>
      </c>
      <c r="C875" s="168">
        <v>243.5</v>
      </c>
      <c r="D875">
        <v>52.62</v>
      </c>
    </row>
    <row r="876" spans="2:4" x14ac:dyDescent="0.2">
      <c r="B876" s="167">
        <v>44460</v>
      </c>
      <c r="C876" s="168">
        <v>241.5</v>
      </c>
      <c r="D876">
        <v>56.67</v>
      </c>
    </row>
    <row r="877" spans="2:4" x14ac:dyDescent="0.2">
      <c r="B877" s="167">
        <v>44459</v>
      </c>
      <c r="C877" s="168">
        <v>233.75</v>
      </c>
      <c r="D877">
        <v>70.39</v>
      </c>
    </row>
    <row r="878" spans="2:4" x14ac:dyDescent="0.2">
      <c r="B878" s="167">
        <v>44456</v>
      </c>
      <c r="C878" s="168">
        <v>231.15</v>
      </c>
      <c r="D878">
        <v>79.5</v>
      </c>
    </row>
    <row r="879" spans="2:4" x14ac:dyDescent="0.2">
      <c r="B879" s="167">
        <v>44454</v>
      </c>
      <c r="C879" s="168">
        <v>216</v>
      </c>
      <c r="D879">
        <v>20.25</v>
      </c>
    </row>
    <row r="880" spans="2:4" x14ac:dyDescent="0.2">
      <c r="B880" s="167">
        <v>44453</v>
      </c>
      <c r="C880" s="168">
        <v>216.1</v>
      </c>
      <c r="D880">
        <v>19.62</v>
      </c>
    </row>
    <row r="881" spans="2:4" x14ac:dyDescent="0.2">
      <c r="B881" s="167">
        <v>44452</v>
      </c>
      <c r="C881" s="168">
        <v>214.15</v>
      </c>
      <c r="D881">
        <v>16.04</v>
      </c>
    </row>
    <row r="882" spans="2:4" x14ac:dyDescent="0.2">
      <c r="B882" s="167">
        <v>44448</v>
      </c>
      <c r="C882" s="168">
        <v>212.65</v>
      </c>
      <c r="D882">
        <v>19.05</v>
      </c>
    </row>
    <row r="883" spans="2:4" x14ac:dyDescent="0.2">
      <c r="B883" s="167">
        <v>44447</v>
      </c>
      <c r="C883" s="168">
        <v>211.25</v>
      </c>
      <c r="D883">
        <v>17.23</v>
      </c>
    </row>
    <row r="884" spans="2:4" x14ac:dyDescent="0.2">
      <c r="B884" s="167">
        <v>44446</v>
      </c>
      <c r="C884" s="168">
        <v>211.75</v>
      </c>
      <c r="D884">
        <v>37.49</v>
      </c>
    </row>
    <row r="885" spans="2:4" x14ac:dyDescent="0.2">
      <c r="B885" s="167">
        <v>44445</v>
      </c>
      <c r="C885" s="168">
        <v>209.3</v>
      </c>
      <c r="D885">
        <v>10.63</v>
      </c>
    </row>
    <row r="886" spans="2:4" x14ac:dyDescent="0.2">
      <c r="B886" s="167">
        <v>44442</v>
      </c>
      <c r="C886" s="168">
        <v>210.6</v>
      </c>
      <c r="D886">
        <v>10.23</v>
      </c>
    </row>
    <row r="887" spans="2:4" x14ac:dyDescent="0.2">
      <c r="B887" s="167">
        <v>44441</v>
      </c>
      <c r="C887" s="168">
        <v>209.75</v>
      </c>
      <c r="D887">
        <v>14.32</v>
      </c>
    </row>
    <row r="888" spans="2:4" x14ac:dyDescent="0.2">
      <c r="B888" s="167">
        <v>44440</v>
      </c>
      <c r="C888" s="168">
        <v>209.5</v>
      </c>
      <c r="D888">
        <v>16.239999999999998</v>
      </c>
    </row>
    <row r="889" spans="2:4" x14ac:dyDescent="0.2">
      <c r="B889" s="167">
        <v>44439</v>
      </c>
      <c r="C889" s="168">
        <v>211.3</v>
      </c>
      <c r="D889">
        <v>25.81</v>
      </c>
    </row>
    <row r="890" spans="2:4" x14ac:dyDescent="0.2">
      <c r="B890" s="167">
        <v>44438</v>
      </c>
      <c r="C890" s="168">
        <v>208</v>
      </c>
      <c r="D890">
        <v>12.08</v>
      </c>
    </row>
    <row r="891" spans="2:4" x14ac:dyDescent="0.2">
      <c r="B891" s="167">
        <v>44435</v>
      </c>
      <c r="C891" s="168">
        <v>205.9</v>
      </c>
      <c r="D891">
        <v>10.48</v>
      </c>
    </row>
    <row r="892" spans="2:4" x14ac:dyDescent="0.2">
      <c r="B892" s="167">
        <v>44434</v>
      </c>
      <c r="C892" s="168">
        <v>204.6</v>
      </c>
      <c r="D892">
        <v>14.84</v>
      </c>
    </row>
    <row r="893" spans="2:4" x14ac:dyDescent="0.2">
      <c r="B893" s="167">
        <v>44433</v>
      </c>
      <c r="C893" s="168">
        <v>206.4</v>
      </c>
      <c r="D893">
        <v>10.59</v>
      </c>
    </row>
    <row r="894" spans="2:4" x14ac:dyDescent="0.2">
      <c r="B894" s="167">
        <v>44432</v>
      </c>
      <c r="C894" s="168">
        <v>205.75</v>
      </c>
      <c r="D894">
        <v>12.49</v>
      </c>
    </row>
    <row r="895" spans="2:4" x14ac:dyDescent="0.2">
      <c r="B895" s="167">
        <v>44431</v>
      </c>
      <c r="C895" s="168">
        <v>206.3</v>
      </c>
      <c r="D895">
        <v>9.94</v>
      </c>
    </row>
    <row r="896" spans="2:4" x14ac:dyDescent="0.2">
      <c r="B896" s="167">
        <v>44428</v>
      </c>
      <c r="C896" s="168">
        <v>208.9</v>
      </c>
      <c r="D896">
        <v>19.420000000000002</v>
      </c>
    </row>
    <row r="897" spans="2:4" x14ac:dyDescent="0.2">
      <c r="B897" s="167">
        <v>44426</v>
      </c>
      <c r="C897" s="168">
        <v>208.95</v>
      </c>
      <c r="D897">
        <v>10.74</v>
      </c>
    </row>
    <row r="898" spans="2:4" x14ac:dyDescent="0.2">
      <c r="B898" s="167">
        <v>44425</v>
      </c>
      <c r="C898" s="168">
        <v>209.2</v>
      </c>
      <c r="D898">
        <v>7.86</v>
      </c>
    </row>
    <row r="899" spans="2:4" x14ac:dyDescent="0.2">
      <c r="B899" s="167">
        <v>44424</v>
      </c>
      <c r="C899" s="168">
        <v>210.9</v>
      </c>
      <c r="D899">
        <v>11.19</v>
      </c>
    </row>
    <row r="900" spans="2:4" x14ac:dyDescent="0.2">
      <c r="B900" s="167">
        <v>44421</v>
      </c>
      <c r="C900" s="168">
        <v>211.45</v>
      </c>
      <c r="D900">
        <v>18.850000000000001</v>
      </c>
    </row>
    <row r="901" spans="2:4" x14ac:dyDescent="0.2">
      <c r="B901" s="167">
        <v>44420</v>
      </c>
      <c r="C901" s="168">
        <v>208.9</v>
      </c>
      <c r="D901">
        <v>27.69</v>
      </c>
    </row>
    <row r="902" spans="2:4" x14ac:dyDescent="0.2">
      <c r="B902" s="167">
        <v>44419</v>
      </c>
      <c r="C902" s="168">
        <v>208.65</v>
      </c>
      <c r="D902">
        <v>15.42</v>
      </c>
    </row>
    <row r="903" spans="2:4" x14ac:dyDescent="0.2">
      <c r="B903" s="167">
        <v>44418</v>
      </c>
      <c r="C903" s="168">
        <v>209.85</v>
      </c>
      <c r="D903">
        <v>18.16</v>
      </c>
    </row>
    <row r="904" spans="2:4" x14ac:dyDescent="0.2">
      <c r="B904" s="167">
        <v>44417</v>
      </c>
      <c r="C904" s="168">
        <v>213.8</v>
      </c>
      <c r="D904">
        <v>20.36</v>
      </c>
    </row>
    <row r="905" spans="2:4" x14ac:dyDescent="0.2">
      <c r="B905" s="167">
        <v>44414</v>
      </c>
      <c r="C905" s="168">
        <v>214.25</v>
      </c>
      <c r="D905">
        <v>23.58</v>
      </c>
    </row>
    <row r="906" spans="2:4" x14ac:dyDescent="0.2">
      <c r="B906" s="167">
        <v>44413</v>
      </c>
      <c r="C906" s="168">
        <v>215.25</v>
      </c>
      <c r="D906">
        <v>47.18</v>
      </c>
    </row>
    <row r="907" spans="2:4" x14ac:dyDescent="0.2">
      <c r="B907" s="167">
        <v>44412</v>
      </c>
      <c r="C907" s="168">
        <v>208.6</v>
      </c>
      <c r="D907">
        <v>11</v>
      </c>
    </row>
    <row r="908" spans="2:4" x14ac:dyDescent="0.2">
      <c r="B908" s="167">
        <v>44411</v>
      </c>
      <c r="C908" s="168">
        <v>209.9</v>
      </c>
      <c r="D908">
        <v>18.47</v>
      </c>
    </row>
    <row r="909" spans="2:4" x14ac:dyDescent="0.2">
      <c r="B909" s="167">
        <v>44410</v>
      </c>
      <c r="C909" s="168">
        <v>207.3</v>
      </c>
      <c r="D909">
        <v>9.67</v>
      </c>
    </row>
    <row r="910" spans="2:4" x14ac:dyDescent="0.2">
      <c r="B910" s="167">
        <v>44407</v>
      </c>
      <c r="C910" s="168">
        <v>204.95</v>
      </c>
      <c r="D910">
        <v>14.94</v>
      </c>
    </row>
    <row r="911" spans="2:4" x14ac:dyDescent="0.2">
      <c r="B911" s="167">
        <v>44406</v>
      </c>
      <c r="C911" s="168">
        <v>206.05</v>
      </c>
      <c r="D911">
        <v>15.6</v>
      </c>
    </row>
    <row r="912" spans="2:4" x14ac:dyDescent="0.2">
      <c r="B912" s="167">
        <v>44405</v>
      </c>
      <c r="C912" s="168">
        <v>209.1</v>
      </c>
      <c r="D912">
        <v>14.74</v>
      </c>
    </row>
    <row r="913" spans="2:4" x14ac:dyDescent="0.2">
      <c r="B913" s="167">
        <v>44404</v>
      </c>
      <c r="C913" s="168">
        <v>208.65</v>
      </c>
      <c r="D913">
        <v>24.44</v>
      </c>
    </row>
    <row r="914" spans="2:4" x14ac:dyDescent="0.2">
      <c r="B914" s="167">
        <v>44403</v>
      </c>
      <c r="C914" s="168">
        <v>211.15</v>
      </c>
      <c r="D914">
        <v>47.26</v>
      </c>
    </row>
    <row r="915" spans="2:4" x14ac:dyDescent="0.2">
      <c r="B915" s="167">
        <v>44400</v>
      </c>
      <c r="C915" s="168">
        <v>212.4</v>
      </c>
      <c r="D915">
        <v>44.53</v>
      </c>
    </row>
    <row r="916" spans="2:4" x14ac:dyDescent="0.2">
      <c r="B916" s="167">
        <v>44399</v>
      </c>
      <c r="C916" s="168">
        <v>207</v>
      </c>
      <c r="D916">
        <v>18.309999999999999</v>
      </c>
    </row>
    <row r="917" spans="2:4" x14ac:dyDescent="0.2">
      <c r="B917" s="167">
        <v>44397</v>
      </c>
      <c r="C917" s="168">
        <v>206.8</v>
      </c>
      <c r="D917">
        <v>23.66</v>
      </c>
    </row>
    <row r="918" spans="2:4" x14ac:dyDescent="0.2">
      <c r="B918" s="167">
        <v>44396</v>
      </c>
      <c r="C918" s="168">
        <v>207.75</v>
      </c>
      <c r="D918">
        <v>16.46</v>
      </c>
    </row>
    <row r="919" spans="2:4" x14ac:dyDescent="0.2">
      <c r="B919" s="167">
        <v>44393</v>
      </c>
      <c r="C919" s="168">
        <v>207.9</v>
      </c>
      <c r="D919">
        <v>29.02</v>
      </c>
    </row>
    <row r="920" spans="2:4" x14ac:dyDescent="0.2">
      <c r="B920" s="167">
        <v>44392</v>
      </c>
      <c r="C920" s="168">
        <v>206.25</v>
      </c>
      <c r="D920">
        <v>28.85</v>
      </c>
    </row>
    <row r="921" spans="2:4" x14ac:dyDescent="0.2">
      <c r="B921" s="167">
        <v>44391</v>
      </c>
      <c r="C921" s="168">
        <v>204.1</v>
      </c>
      <c r="D921">
        <v>20.48</v>
      </c>
    </row>
    <row r="922" spans="2:4" x14ac:dyDescent="0.2">
      <c r="B922" s="167">
        <v>44390</v>
      </c>
      <c r="C922" s="168">
        <v>201.85</v>
      </c>
      <c r="D922">
        <v>10.83</v>
      </c>
    </row>
    <row r="923" spans="2:4" x14ac:dyDescent="0.2">
      <c r="B923" s="167">
        <v>44389</v>
      </c>
      <c r="C923" s="168">
        <v>201.1</v>
      </c>
      <c r="D923">
        <v>13.09</v>
      </c>
    </row>
    <row r="924" spans="2:4" x14ac:dyDescent="0.2">
      <c r="B924" s="167">
        <v>44386</v>
      </c>
      <c r="C924" s="168">
        <v>201.35</v>
      </c>
      <c r="D924">
        <v>11.83</v>
      </c>
    </row>
    <row r="925" spans="2:4" x14ac:dyDescent="0.2">
      <c r="B925" s="167">
        <v>44385</v>
      </c>
      <c r="C925" s="168">
        <v>202</v>
      </c>
      <c r="D925">
        <v>20.93</v>
      </c>
    </row>
    <row r="926" spans="2:4" x14ac:dyDescent="0.2">
      <c r="B926" s="167">
        <v>44384</v>
      </c>
      <c r="C926" s="168">
        <v>203.75</v>
      </c>
      <c r="D926">
        <v>17.88</v>
      </c>
    </row>
    <row r="927" spans="2:4" x14ac:dyDescent="0.2">
      <c r="B927" s="167">
        <v>44383</v>
      </c>
      <c r="C927" s="168">
        <v>202.5</v>
      </c>
      <c r="D927">
        <v>11.09</v>
      </c>
    </row>
    <row r="928" spans="2:4" x14ac:dyDescent="0.2">
      <c r="B928" s="167">
        <v>44382</v>
      </c>
      <c r="C928" s="168">
        <v>203.65</v>
      </c>
      <c r="D928">
        <v>10.25</v>
      </c>
    </row>
    <row r="929" spans="2:4" x14ac:dyDescent="0.2">
      <c r="B929" s="167">
        <v>44379</v>
      </c>
      <c r="C929" s="168">
        <v>202.4</v>
      </c>
      <c r="D929">
        <v>12.7</v>
      </c>
    </row>
    <row r="930" spans="2:4" x14ac:dyDescent="0.2">
      <c r="B930" s="167">
        <v>44378</v>
      </c>
      <c r="C930" s="168">
        <v>203</v>
      </c>
      <c r="D930">
        <v>10.19</v>
      </c>
    </row>
    <row r="931" spans="2:4" x14ac:dyDescent="0.2">
      <c r="B931" s="167">
        <v>44377</v>
      </c>
      <c r="C931" s="168">
        <v>202.7</v>
      </c>
      <c r="D931">
        <v>15.94</v>
      </c>
    </row>
    <row r="932" spans="2:4" x14ac:dyDescent="0.2">
      <c r="B932" s="167">
        <v>44376</v>
      </c>
      <c r="C932" s="168">
        <v>203.3</v>
      </c>
      <c r="D932">
        <v>13.33</v>
      </c>
    </row>
    <row r="933" spans="2:4" x14ac:dyDescent="0.2">
      <c r="B933" s="167">
        <v>44375</v>
      </c>
      <c r="C933" s="168">
        <v>203.6</v>
      </c>
      <c r="D933">
        <v>14.63</v>
      </c>
    </row>
    <row r="934" spans="2:4" x14ac:dyDescent="0.2">
      <c r="B934" s="167">
        <v>44372</v>
      </c>
      <c r="C934" s="168">
        <v>205.05</v>
      </c>
      <c r="D934">
        <v>13.88</v>
      </c>
    </row>
    <row r="935" spans="2:4" x14ac:dyDescent="0.2">
      <c r="B935" s="167">
        <v>44371</v>
      </c>
      <c r="C935" s="168">
        <v>203.25</v>
      </c>
      <c r="D935">
        <v>22.44</v>
      </c>
    </row>
    <row r="936" spans="2:4" x14ac:dyDescent="0.2">
      <c r="B936" s="167">
        <v>44370</v>
      </c>
      <c r="C936" s="168">
        <v>203.95</v>
      </c>
      <c r="D936">
        <v>12.58</v>
      </c>
    </row>
    <row r="937" spans="2:4" x14ac:dyDescent="0.2">
      <c r="B937" s="167">
        <v>44369</v>
      </c>
      <c r="C937" s="168">
        <v>205.1</v>
      </c>
      <c r="D937">
        <v>18.04</v>
      </c>
    </row>
    <row r="938" spans="2:4" x14ac:dyDescent="0.2">
      <c r="B938" s="167">
        <v>44368</v>
      </c>
      <c r="C938" s="168">
        <v>204.45</v>
      </c>
      <c r="D938">
        <v>19.07</v>
      </c>
    </row>
    <row r="939" spans="2:4" x14ac:dyDescent="0.2">
      <c r="B939" s="167">
        <v>44365</v>
      </c>
      <c r="C939" s="168">
        <v>204.55</v>
      </c>
      <c r="D939">
        <v>23.57</v>
      </c>
    </row>
    <row r="940" spans="2:4" x14ac:dyDescent="0.2">
      <c r="B940" s="167">
        <v>44364</v>
      </c>
      <c r="C940" s="168">
        <v>205.65</v>
      </c>
      <c r="D940">
        <v>21.48</v>
      </c>
    </row>
    <row r="941" spans="2:4" x14ac:dyDescent="0.2">
      <c r="B941" s="167">
        <v>44363</v>
      </c>
      <c r="C941" s="168">
        <v>207.85</v>
      </c>
      <c r="D941">
        <v>20.100000000000001</v>
      </c>
    </row>
    <row r="942" spans="2:4" x14ac:dyDescent="0.2">
      <c r="B942" s="167">
        <v>44362</v>
      </c>
      <c r="C942" s="168">
        <v>207.05</v>
      </c>
      <c r="D942">
        <v>14.85</v>
      </c>
    </row>
    <row r="943" spans="2:4" x14ac:dyDescent="0.2">
      <c r="B943" s="167">
        <v>44361</v>
      </c>
      <c r="C943" s="168">
        <v>207.3</v>
      </c>
      <c r="D943">
        <v>17.68</v>
      </c>
    </row>
    <row r="944" spans="2:4" x14ac:dyDescent="0.2">
      <c r="B944" s="167">
        <v>44358</v>
      </c>
      <c r="C944" s="168">
        <v>207.9</v>
      </c>
      <c r="D944">
        <v>21.42</v>
      </c>
    </row>
    <row r="945" spans="2:4" x14ac:dyDescent="0.2">
      <c r="B945" s="167">
        <v>44357</v>
      </c>
      <c r="C945" s="168">
        <v>209.3</v>
      </c>
      <c r="D945">
        <v>30.72</v>
      </c>
    </row>
    <row r="946" spans="2:4" x14ac:dyDescent="0.2">
      <c r="B946" s="167">
        <v>44356</v>
      </c>
      <c r="C946" s="168">
        <v>212.5</v>
      </c>
      <c r="D946">
        <v>24.89</v>
      </c>
    </row>
    <row r="947" spans="2:4" x14ac:dyDescent="0.2">
      <c r="B947" s="167">
        <v>44355</v>
      </c>
      <c r="C947" s="168">
        <v>213.65</v>
      </c>
      <c r="D947">
        <v>21.26</v>
      </c>
    </row>
    <row r="948" spans="2:4" x14ac:dyDescent="0.2">
      <c r="B948" s="167">
        <v>44354</v>
      </c>
      <c r="C948" s="168">
        <v>211.45</v>
      </c>
      <c r="D948">
        <v>31.43</v>
      </c>
    </row>
    <row r="949" spans="2:4" x14ac:dyDescent="0.2">
      <c r="B949" s="167">
        <v>44351</v>
      </c>
      <c r="C949" s="168">
        <v>208.75</v>
      </c>
      <c r="D949">
        <v>30.13</v>
      </c>
    </row>
    <row r="950" spans="2:4" x14ac:dyDescent="0.2">
      <c r="B950" s="167">
        <v>44350</v>
      </c>
      <c r="C950" s="168">
        <v>209.05</v>
      </c>
      <c r="D950">
        <v>46.66</v>
      </c>
    </row>
    <row r="951" spans="2:4" x14ac:dyDescent="0.2">
      <c r="B951" s="167">
        <v>44349</v>
      </c>
      <c r="C951" s="168">
        <v>209</v>
      </c>
      <c r="D951">
        <v>96.65</v>
      </c>
    </row>
    <row r="952" spans="2:4" x14ac:dyDescent="0.2">
      <c r="B952" s="167">
        <v>44348</v>
      </c>
      <c r="C952" s="168">
        <v>215.25</v>
      </c>
      <c r="D952">
        <v>38.76</v>
      </c>
    </row>
    <row r="953" spans="2:4" x14ac:dyDescent="0.2">
      <c r="B953" s="167">
        <v>44347</v>
      </c>
      <c r="C953" s="168">
        <v>216.6</v>
      </c>
      <c r="D953">
        <v>73.040000000000006</v>
      </c>
    </row>
    <row r="954" spans="2:4" x14ac:dyDescent="0.2">
      <c r="B954" s="167">
        <v>44344</v>
      </c>
      <c r="C954" s="168">
        <v>212.9</v>
      </c>
      <c r="D954">
        <v>25.6</v>
      </c>
    </row>
    <row r="955" spans="2:4" x14ac:dyDescent="0.2">
      <c r="B955" s="167">
        <v>44343</v>
      </c>
      <c r="C955" s="168">
        <v>211.15</v>
      </c>
      <c r="D955">
        <v>47.55</v>
      </c>
    </row>
    <row r="956" spans="2:4" x14ac:dyDescent="0.2">
      <c r="B956" s="167">
        <v>44342</v>
      </c>
      <c r="C956" s="168">
        <v>210.6</v>
      </c>
      <c r="D956">
        <v>17.579999999999998</v>
      </c>
    </row>
    <row r="957" spans="2:4" x14ac:dyDescent="0.2">
      <c r="B957" s="167">
        <v>44341</v>
      </c>
      <c r="C957" s="168">
        <v>210.9</v>
      </c>
      <c r="D957">
        <v>25.33</v>
      </c>
    </row>
    <row r="958" spans="2:4" x14ac:dyDescent="0.2">
      <c r="B958" s="167">
        <v>44340</v>
      </c>
      <c r="C958" s="168">
        <v>211.5</v>
      </c>
      <c r="D958">
        <v>28.87</v>
      </c>
    </row>
    <row r="959" spans="2:4" x14ac:dyDescent="0.2">
      <c r="B959" s="167">
        <v>44337</v>
      </c>
      <c r="C959" s="168">
        <v>209.05</v>
      </c>
      <c r="D959">
        <v>22.64</v>
      </c>
    </row>
    <row r="960" spans="2:4" x14ac:dyDescent="0.2">
      <c r="B960" s="167">
        <v>44336</v>
      </c>
      <c r="C960" s="168">
        <v>207</v>
      </c>
      <c r="D960">
        <v>20.88</v>
      </c>
    </row>
    <row r="961" spans="2:4" x14ac:dyDescent="0.2">
      <c r="B961" s="167">
        <v>44335</v>
      </c>
      <c r="C961" s="168">
        <v>207.75</v>
      </c>
      <c r="D961">
        <v>24.41</v>
      </c>
    </row>
    <row r="962" spans="2:4" x14ac:dyDescent="0.2">
      <c r="B962" s="167">
        <v>44334</v>
      </c>
      <c r="C962" s="168">
        <v>210.05</v>
      </c>
      <c r="D962">
        <v>30.48</v>
      </c>
    </row>
    <row r="963" spans="2:4" x14ac:dyDescent="0.2">
      <c r="B963" s="167">
        <v>44333</v>
      </c>
      <c r="C963" s="168">
        <v>212.6</v>
      </c>
      <c r="D963">
        <v>38</v>
      </c>
    </row>
    <row r="964" spans="2:4" x14ac:dyDescent="0.2">
      <c r="B964" s="167">
        <v>44330</v>
      </c>
      <c r="C964" s="168">
        <v>212.25</v>
      </c>
      <c r="D964">
        <v>61.65</v>
      </c>
    </row>
    <row r="965" spans="2:4" x14ac:dyDescent="0.2">
      <c r="B965" s="167">
        <v>44328</v>
      </c>
      <c r="C965" s="168">
        <v>203.25</v>
      </c>
      <c r="D965">
        <v>16.54</v>
      </c>
    </row>
    <row r="966" spans="2:4" x14ac:dyDescent="0.2">
      <c r="B966" s="167">
        <v>44327</v>
      </c>
      <c r="C966" s="168">
        <v>204</v>
      </c>
      <c r="D966">
        <v>13.75</v>
      </c>
    </row>
    <row r="967" spans="2:4" x14ac:dyDescent="0.2">
      <c r="B967" s="167">
        <v>44326</v>
      </c>
      <c r="C967" s="168">
        <v>205.55</v>
      </c>
      <c r="D967">
        <v>16.3</v>
      </c>
    </row>
    <row r="968" spans="2:4" x14ac:dyDescent="0.2">
      <c r="B968" s="167">
        <v>44323</v>
      </c>
      <c r="C968" s="168">
        <v>205.35</v>
      </c>
      <c r="D968">
        <v>19.46</v>
      </c>
    </row>
    <row r="969" spans="2:4" x14ac:dyDescent="0.2">
      <c r="B969" s="167">
        <v>44322</v>
      </c>
      <c r="C969" s="168">
        <v>202.75</v>
      </c>
      <c r="D969">
        <v>14.32</v>
      </c>
    </row>
    <row r="970" spans="2:4" x14ac:dyDescent="0.2">
      <c r="B970" s="167">
        <v>44321</v>
      </c>
      <c r="C970" s="168">
        <v>201.4</v>
      </c>
      <c r="D970">
        <v>13.86</v>
      </c>
    </row>
    <row r="971" spans="2:4" x14ac:dyDescent="0.2">
      <c r="B971" s="167">
        <v>44320</v>
      </c>
      <c r="C971" s="168">
        <v>199.6</v>
      </c>
      <c r="D971">
        <v>18.260000000000002</v>
      </c>
    </row>
    <row r="972" spans="2:4" x14ac:dyDescent="0.2">
      <c r="B972" s="167">
        <v>44319</v>
      </c>
      <c r="C972" s="168">
        <v>200.95</v>
      </c>
      <c r="D972">
        <v>20.61</v>
      </c>
    </row>
    <row r="973" spans="2:4" x14ac:dyDescent="0.2">
      <c r="B973" s="167">
        <v>44316</v>
      </c>
      <c r="C973" s="168">
        <v>202.6</v>
      </c>
      <c r="D973">
        <v>16.5</v>
      </c>
    </row>
    <row r="974" spans="2:4" x14ac:dyDescent="0.2">
      <c r="B974" s="167">
        <v>44315</v>
      </c>
      <c r="C974" s="168">
        <v>204.3</v>
      </c>
      <c r="D974">
        <v>13.1</v>
      </c>
    </row>
    <row r="975" spans="2:4" x14ac:dyDescent="0.2">
      <c r="B975" s="167">
        <v>44314</v>
      </c>
      <c r="C975" s="168">
        <v>205.5</v>
      </c>
      <c r="D975">
        <v>12.71</v>
      </c>
    </row>
    <row r="976" spans="2:4" x14ac:dyDescent="0.2">
      <c r="B976" s="167">
        <v>44313</v>
      </c>
      <c r="C976" s="168">
        <v>205.4</v>
      </c>
      <c r="D976">
        <v>11.44</v>
      </c>
    </row>
    <row r="977" spans="2:4" x14ac:dyDescent="0.2">
      <c r="B977" s="167">
        <v>44312</v>
      </c>
      <c r="C977" s="168">
        <v>205.3</v>
      </c>
      <c r="D977">
        <v>19.89</v>
      </c>
    </row>
    <row r="978" spans="2:4" x14ac:dyDescent="0.2">
      <c r="B978" s="167">
        <v>44309</v>
      </c>
      <c r="C978" s="168">
        <v>205.35</v>
      </c>
      <c r="D978">
        <v>19.63</v>
      </c>
    </row>
    <row r="979" spans="2:4" x14ac:dyDescent="0.2">
      <c r="B979" s="167">
        <v>44308</v>
      </c>
      <c r="C979" s="168">
        <v>205.9</v>
      </c>
      <c r="D979">
        <v>23.14</v>
      </c>
    </row>
    <row r="980" spans="2:4" x14ac:dyDescent="0.2">
      <c r="B980" s="167">
        <v>44306</v>
      </c>
      <c r="C980" s="168">
        <v>203.55</v>
      </c>
      <c r="D980">
        <v>21.36</v>
      </c>
    </row>
    <row r="981" spans="2:4" x14ac:dyDescent="0.2">
      <c r="B981" s="167">
        <v>44305</v>
      </c>
      <c r="C981" s="168">
        <v>205.6</v>
      </c>
      <c r="D981">
        <v>15.79</v>
      </c>
    </row>
    <row r="982" spans="2:4" x14ac:dyDescent="0.2">
      <c r="B982" s="167">
        <v>44302</v>
      </c>
      <c r="C982" s="168">
        <v>207.95</v>
      </c>
      <c r="D982">
        <v>13.31</v>
      </c>
    </row>
    <row r="983" spans="2:4" x14ac:dyDescent="0.2">
      <c r="B983" s="167">
        <v>44301</v>
      </c>
      <c r="C983" s="168">
        <v>206.7</v>
      </c>
      <c r="D983">
        <v>17.53</v>
      </c>
    </row>
    <row r="984" spans="2:4" x14ac:dyDescent="0.2">
      <c r="B984" s="167">
        <v>44299</v>
      </c>
      <c r="C984" s="168">
        <v>208.7</v>
      </c>
      <c r="D984">
        <v>20.25</v>
      </c>
    </row>
    <row r="985" spans="2:4" x14ac:dyDescent="0.2">
      <c r="B985" s="167">
        <v>44298</v>
      </c>
      <c r="C985" s="168">
        <v>205.3</v>
      </c>
      <c r="D985">
        <v>34.51</v>
      </c>
    </row>
    <row r="986" spans="2:4" x14ac:dyDescent="0.2">
      <c r="B986" s="167">
        <v>44295</v>
      </c>
      <c r="C986" s="168">
        <v>213.1</v>
      </c>
      <c r="D986">
        <v>16.36</v>
      </c>
    </row>
    <row r="987" spans="2:4" x14ac:dyDescent="0.2">
      <c r="B987" s="167">
        <v>44294</v>
      </c>
      <c r="C987" s="168">
        <v>213.25</v>
      </c>
      <c r="D987">
        <v>14.12</v>
      </c>
    </row>
    <row r="988" spans="2:4" x14ac:dyDescent="0.2">
      <c r="B988" s="167">
        <v>44293</v>
      </c>
      <c r="C988" s="168">
        <v>213.8</v>
      </c>
      <c r="D988">
        <v>15.2</v>
      </c>
    </row>
    <row r="989" spans="2:4" x14ac:dyDescent="0.2">
      <c r="B989" s="167">
        <v>44292</v>
      </c>
      <c r="C989" s="168">
        <v>212.65</v>
      </c>
      <c r="D989">
        <v>25.67</v>
      </c>
    </row>
    <row r="990" spans="2:4" x14ac:dyDescent="0.2">
      <c r="B990" s="167">
        <v>44291</v>
      </c>
      <c r="C990" s="168">
        <v>212.55</v>
      </c>
      <c r="D990">
        <v>31.38</v>
      </c>
    </row>
    <row r="991" spans="2:4" x14ac:dyDescent="0.2">
      <c r="B991" s="167">
        <v>44287</v>
      </c>
      <c r="C991" s="168">
        <v>220.05</v>
      </c>
      <c r="D991">
        <v>29.06</v>
      </c>
    </row>
    <row r="992" spans="2:4" x14ac:dyDescent="0.2">
      <c r="B992" s="167">
        <v>44286</v>
      </c>
      <c r="C992" s="168">
        <v>218.5</v>
      </c>
      <c r="D992">
        <v>36.49</v>
      </c>
    </row>
    <row r="993" spans="2:4" x14ac:dyDescent="0.2">
      <c r="B993" s="167">
        <v>44285</v>
      </c>
      <c r="C993" s="168">
        <v>214.55</v>
      </c>
      <c r="D993">
        <v>27.79</v>
      </c>
    </row>
    <row r="994" spans="2:4" x14ac:dyDescent="0.2">
      <c r="B994" s="167">
        <v>44281</v>
      </c>
      <c r="C994" s="168">
        <v>210.9</v>
      </c>
      <c r="D994">
        <v>26.08</v>
      </c>
    </row>
    <row r="995" spans="2:4" x14ac:dyDescent="0.2">
      <c r="B995" s="167">
        <v>44280</v>
      </c>
      <c r="C995" s="168">
        <v>211.6</v>
      </c>
      <c r="D995">
        <v>40.68</v>
      </c>
    </row>
    <row r="996" spans="2:4" x14ac:dyDescent="0.2">
      <c r="B996" s="167">
        <v>44279</v>
      </c>
      <c r="C996" s="168">
        <v>215.95</v>
      </c>
      <c r="D996">
        <v>27.61</v>
      </c>
    </row>
    <row r="997" spans="2:4" x14ac:dyDescent="0.2">
      <c r="B997" s="167">
        <v>44278</v>
      </c>
      <c r="C997" s="168">
        <v>222.2</v>
      </c>
      <c r="D997">
        <v>41.56</v>
      </c>
    </row>
    <row r="998" spans="2:4" x14ac:dyDescent="0.2">
      <c r="B998" s="167">
        <v>44277</v>
      </c>
      <c r="C998" s="168">
        <v>226</v>
      </c>
      <c r="D998">
        <v>46.05</v>
      </c>
    </row>
    <row r="999" spans="2:4" x14ac:dyDescent="0.2">
      <c r="B999" s="167">
        <v>44273</v>
      </c>
      <c r="C999" s="168">
        <v>217.65</v>
      </c>
      <c r="D999">
        <v>91.99</v>
      </c>
    </row>
    <row r="1000" spans="2:4" x14ac:dyDescent="0.2">
      <c r="B1000" s="167">
        <v>44272</v>
      </c>
      <c r="C1000" s="168">
        <v>210.6</v>
      </c>
      <c r="D1000">
        <v>78.58</v>
      </c>
    </row>
    <row r="1001" spans="2:4" x14ac:dyDescent="0.2">
      <c r="B1001" s="167">
        <v>44271</v>
      </c>
      <c r="C1001" s="168">
        <v>207.85</v>
      </c>
      <c r="D1001">
        <v>48.76</v>
      </c>
    </row>
    <row r="1002" spans="2:4" x14ac:dyDescent="0.2">
      <c r="B1002" s="167">
        <v>44270</v>
      </c>
      <c r="C1002" s="168">
        <v>205.45</v>
      </c>
      <c r="D1002">
        <v>41.12</v>
      </c>
    </row>
    <row r="1003" spans="2:4" x14ac:dyDescent="0.2">
      <c r="B1003" s="167">
        <v>44267</v>
      </c>
      <c r="C1003" s="168">
        <v>205.2</v>
      </c>
      <c r="D1003">
        <v>30.79</v>
      </c>
    </row>
    <row r="1004" spans="2:4" x14ac:dyDescent="0.2">
      <c r="B1004" s="167">
        <v>44265</v>
      </c>
      <c r="C1004" s="168">
        <v>206.5</v>
      </c>
      <c r="D1004">
        <v>19.600000000000001</v>
      </c>
    </row>
    <row r="1005" spans="2:4" x14ac:dyDescent="0.2">
      <c r="B1005" s="167">
        <v>44264</v>
      </c>
      <c r="C1005" s="168">
        <v>207.8</v>
      </c>
      <c r="D1005">
        <v>22.59</v>
      </c>
    </row>
    <row r="1006" spans="2:4" x14ac:dyDescent="0.2">
      <c r="B1006" s="167">
        <v>44263</v>
      </c>
      <c r="C1006" s="168">
        <v>208</v>
      </c>
      <c r="D1006">
        <v>22.99</v>
      </c>
    </row>
    <row r="1007" spans="2:4" x14ac:dyDescent="0.2">
      <c r="B1007" s="167">
        <v>44260</v>
      </c>
      <c r="C1007" s="168">
        <v>208.55</v>
      </c>
      <c r="D1007">
        <v>17.32</v>
      </c>
    </row>
    <row r="1008" spans="2:4" x14ac:dyDescent="0.2">
      <c r="B1008" s="167">
        <v>44259</v>
      </c>
      <c r="C1008" s="168">
        <v>209.7</v>
      </c>
      <c r="D1008">
        <v>24.9</v>
      </c>
    </row>
    <row r="1009" spans="2:4" x14ac:dyDescent="0.2">
      <c r="B1009" s="167">
        <v>44258</v>
      </c>
      <c r="C1009" s="168">
        <v>209.95</v>
      </c>
      <c r="D1009">
        <v>20.85</v>
      </c>
    </row>
    <row r="1010" spans="2:4" x14ac:dyDescent="0.2">
      <c r="B1010" s="167">
        <v>44257</v>
      </c>
      <c r="C1010" s="168">
        <v>209.9</v>
      </c>
      <c r="D1010">
        <v>25.6</v>
      </c>
    </row>
    <row r="1011" spans="2:4" x14ac:dyDescent="0.2">
      <c r="B1011" s="167">
        <v>44256</v>
      </c>
      <c r="C1011" s="168">
        <v>206.9</v>
      </c>
      <c r="D1011">
        <v>16.23</v>
      </c>
    </row>
    <row r="1012" spans="2:4" x14ac:dyDescent="0.2">
      <c r="B1012" s="167">
        <v>44253</v>
      </c>
      <c r="C1012" s="168">
        <v>203.85</v>
      </c>
      <c r="D1012">
        <v>43.43</v>
      </c>
    </row>
    <row r="1013" spans="2:4" x14ac:dyDescent="0.2">
      <c r="B1013" s="167">
        <v>44252</v>
      </c>
      <c r="C1013" s="168">
        <v>209.15</v>
      </c>
      <c r="D1013">
        <v>25.95</v>
      </c>
    </row>
    <row r="1014" spans="2:4" x14ac:dyDescent="0.2">
      <c r="B1014" s="167">
        <v>44251</v>
      </c>
      <c r="C1014" s="168">
        <v>208.85</v>
      </c>
      <c r="D1014">
        <v>13.16</v>
      </c>
    </row>
    <row r="1015" spans="2:4" x14ac:dyDescent="0.2">
      <c r="B1015" s="167">
        <v>44250</v>
      </c>
      <c r="C1015" s="168">
        <v>208.5</v>
      </c>
      <c r="D1015">
        <v>26.68</v>
      </c>
    </row>
    <row r="1016" spans="2:4" x14ac:dyDescent="0.2">
      <c r="B1016" s="167">
        <v>44249</v>
      </c>
      <c r="C1016" s="168">
        <v>207.05</v>
      </c>
      <c r="D1016">
        <v>51.55</v>
      </c>
    </row>
    <row r="1017" spans="2:4" x14ac:dyDescent="0.2">
      <c r="B1017" s="167">
        <v>44246</v>
      </c>
      <c r="C1017" s="168">
        <v>215.95</v>
      </c>
      <c r="D1017">
        <v>28.13</v>
      </c>
    </row>
    <row r="1018" spans="2:4" x14ac:dyDescent="0.2">
      <c r="B1018" s="167">
        <v>44245</v>
      </c>
      <c r="C1018" s="168">
        <v>218.85</v>
      </c>
      <c r="D1018">
        <v>24.07</v>
      </c>
    </row>
    <row r="1019" spans="2:4" x14ac:dyDescent="0.2">
      <c r="B1019" s="167">
        <v>44244</v>
      </c>
      <c r="C1019" s="168">
        <v>217.75</v>
      </c>
      <c r="D1019">
        <v>19.850000000000001</v>
      </c>
    </row>
    <row r="1020" spans="2:4" x14ac:dyDescent="0.2">
      <c r="B1020" s="167">
        <v>44243</v>
      </c>
      <c r="C1020" s="168">
        <v>218.25</v>
      </c>
      <c r="D1020">
        <v>29.15</v>
      </c>
    </row>
    <row r="1021" spans="2:4" x14ac:dyDescent="0.2">
      <c r="B1021" s="167">
        <v>44242</v>
      </c>
      <c r="C1021" s="168">
        <v>218.6</v>
      </c>
      <c r="D1021">
        <v>31.78</v>
      </c>
    </row>
    <row r="1022" spans="2:4" x14ac:dyDescent="0.2">
      <c r="B1022" s="167">
        <v>44238</v>
      </c>
      <c r="C1022" s="168">
        <v>226.45</v>
      </c>
      <c r="D1022">
        <v>43.63</v>
      </c>
    </row>
    <row r="1023" spans="2:4" x14ac:dyDescent="0.2">
      <c r="B1023" s="167">
        <v>44237</v>
      </c>
      <c r="C1023" s="168">
        <v>227.55</v>
      </c>
      <c r="D1023">
        <v>47.28</v>
      </c>
    </row>
    <row r="1024" spans="2:4" x14ac:dyDescent="0.2">
      <c r="B1024" s="167">
        <v>44236</v>
      </c>
      <c r="C1024" s="168">
        <v>229</v>
      </c>
      <c r="D1024">
        <v>70.66</v>
      </c>
    </row>
    <row r="1025" spans="2:4" x14ac:dyDescent="0.2">
      <c r="B1025" s="167">
        <v>44235</v>
      </c>
      <c r="C1025" s="168">
        <v>233.1</v>
      </c>
      <c r="D1025">
        <v>41.5</v>
      </c>
    </row>
    <row r="1026" spans="2:4" x14ac:dyDescent="0.2">
      <c r="B1026" s="167">
        <v>44230</v>
      </c>
      <c r="C1026" s="168">
        <v>216.75</v>
      </c>
      <c r="D1026">
        <v>53.64</v>
      </c>
    </row>
    <row r="1027" spans="2:4" x14ac:dyDescent="0.2">
      <c r="B1027" s="167">
        <v>44229</v>
      </c>
      <c r="C1027" s="168">
        <v>218.2</v>
      </c>
      <c r="D1027">
        <v>48.46</v>
      </c>
    </row>
    <row r="1028" spans="2:4" x14ac:dyDescent="0.2">
      <c r="B1028" s="167">
        <v>44228</v>
      </c>
      <c r="C1028" s="168">
        <v>215.95</v>
      </c>
      <c r="D1028">
        <v>57.74</v>
      </c>
    </row>
    <row r="1029" spans="2:4" x14ac:dyDescent="0.2">
      <c r="B1029" s="167">
        <v>44225</v>
      </c>
      <c r="C1029" s="168">
        <v>203.25</v>
      </c>
      <c r="D1029">
        <v>23.76</v>
      </c>
    </row>
    <row r="1030" spans="2:4" x14ac:dyDescent="0.2">
      <c r="B1030" s="167">
        <v>44224</v>
      </c>
      <c r="C1030" s="168">
        <v>206.6</v>
      </c>
      <c r="D1030">
        <v>22.13</v>
      </c>
    </row>
    <row r="1031" spans="2:4" x14ac:dyDescent="0.2">
      <c r="B1031" s="167">
        <v>44223</v>
      </c>
      <c r="C1031" s="168">
        <v>210.65</v>
      </c>
      <c r="D1031">
        <v>48.47</v>
      </c>
    </row>
    <row r="1032" spans="2:4" x14ac:dyDescent="0.2">
      <c r="B1032" s="167">
        <v>44221</v>
      </c>
      <c r="C1032" s="168">
        <v>207.8</v>
      </c>
      <c r="D1032">
        <v>24.97</v>
      </c>
    </row>
    <row r="1033" spans="2:4" x14ac:dyDescent="0.2">
      <c r="B1033" s="167">
        <v>44218</v>
      </c>
      <c r="C1033" s="168">
        <v>210.7</v>
      </c>
      <c r="D1033">
        <v>24.71</v>
      </c>
    </row>
    <row r="1034" spans="2:4" x14ac:dyDescent="0.2">
      <c r="B1034" s="167">
        <v>44217</v>
      </c>
      <c r="C1034" s="168">
        <v>213.7</v>
      </c>
      <c r="D1034">
        <v>29</v>
      </c>
    </row>
    <row r="1035" spans="2:4" x14ac:dyDescent="0.2">
      <c r="B1035" s="167">
        <v>44216</v>
      </c>
      <c r="C1035" s="168">
        <v>217.65</v>
      </c>
      <c r="D1035">
        <v>44.67</v>
      </c>
    </row>
    <row r="1036" spans="2:4" x14ac:dyDescent="0.2">
      <c r="B1036" s="167">
        <v>44215</v>
      </c>
      <c r="C1036" s="168">
        <v>218.85</v>
      </c>
      <c r="D1036">
        <v>31.79</v>
      </c>
    </row>
    <row r="1037" spans="2:4" x14ac:dyDescent="0.2">
      <c r="B1037" s="167">
        <v>44214</v>
      </c>
      <c r="C1037" s="168">
        <v>219.75</v>
      </c>
      <c r="D1037">
        <v>67.61</v>
      </c>
    </row>
    <row r="1038" spans="2:4" x14ac:dyDescent="0.2">
      <c r="B1038" s="167">
        <v>44211</v>
      </c>
      <c r="C1038" s="168">
        <v>217.85</v>
      </c>
      <c r="D1038">
        <v>58.32</v>
      </c>
    </row>
    <row r="1039" spans="2:4" x14ac:dyDescent="0.2">
      <c r="B1039" s="167">
        <v>44210</v>
      </c>
      <c r="C1039" s="168">
        <v>214.15</v>
      </c>
      <c r="D1039">
        <v>48.3</v>
      </c>
    </row>
    <row r="1040" spans="2:4" x14ac:dyDescent="0.2">
      <c r="B1040" s="167">
        <v>44209</v>
      </c>
      <c r="C1040" s="168">
        <v>211.25</v>
      </c>
      <c r="D1040">
        <v>63.93</v>
      </c>
    </row>
    <row r="1041" spans="2:4" x14ac:dyDescent="0.2">
      <c r="B1041" s="167">
        <v>44208</v>
      </c>
      <c r="C1041" s="168">
        <v>206.45</v>
      </c>
      <c r="D1041">
        <v>35.619999999999997</v>
      </c>
    </row>
    <row r="1042" spans="2:4" x14ac:dyDescent="0.2">
      <c r="B1042" s="167">
        <v>44207</v>
      </c>
      <c r="C1042" s="168">
        <v>202.5</v>
      </c>
      <c r="D1042">
        <v>42.97</v>
      </c>
    </row>
    <row r="1043" spans="2:4" x14ac:dyDescent="0.2">
      <c r="B1043" s="167">
        <v>44204</v>
      </c>
      <c r="C1043" s="168">
        <v>201.5</v>
      </c>
      <c r="D1043">
        <v>56.43</v>
      </c>
    </row>
    <row r="1044" spans="2:4" x14ac:dyDescent="0.2">
      <c r="B1044" s="167">
        <v>44203</v>
      </c>
      <c r="C1044" s="168">
        <v>202.8</v>
      </c>
      <c r="D1044">
        <v>34.950000000000003</v>
      </c>
    </row>
    <row r="1045" spans="2:4" x14ac:dyDescent="0.2">
      <c r="B1045" s="167">
        <v>44202</v>
      </c>
      <c r="C1045" s="168">
        <v>205.4</v>
      </c>
      <c r="D1045">
        <v>49.07</v>
      </c>
    </row>
    <row r="1046" spans="2:4" x14ac:dyDescent="0.2">
      <c r="B1046" s="167">
        <v>44201</v>
      </c>
      <c r="C1046" s="168">
        <v>211.45</v>
      </c>
      <c r="D1046">
        <v>18.02</v>
      </c>
    </row>
    <row r="1047" spans="2:4" x14ac:dyDescent="0.2">
      <c r="B1047" s="167">
        <v>44200</v>
      </c>
      <c r="C1047" s="168">
        <v>213.4</v>
      </c>
      <c r="D1047">
        <v>26.89</v>
      </c>
    </row>
    <row r="1048" spans="2:4" x14ac:dyDescent="0.2">
      <c r="B1048" s="167">
        <v>44197</v>
      </c>
      <c r="C1048" s="168">
        <v>213.85</v>
      </c>
      <c r="D1048">
        <v>19.53</v>
      </c>
    </row>
    <row r="1049" spans="2:4" x14ac:dyDescent="0.2">
      <c r="B1049" s="167">
        <v>44196</v>
      </c>
      <c r="C1049" s="168">
        <v>209</v>
      </c>
      <c r="D1049">
        <v>18.25</v>
      </c>
    </row>
    <row r="1050" spans="2:4" x14ac:dyDescent="0.2">
      <c r="B1050" s="167">
        <v>44195</v>
      </c>
      <c r="C1050" s="168">
        <v>211.15</v>
      </c>
      <c r="D1050">
        <v>18.93</v>
      </c>
    </row>
    <row r="1051" spans="2:4" x14ac:dyDescent="0.2">
      <c r="B1051" s="167">
        <v>44194</v>
      </c>
      <c r="C1051" s="168">
        <v>211.55</v>
      </c>
      <c r="D1051">
        <v>26.55</v>
      </c>
    </row>
    <row r="1052" spans="2:4" x14ac:dyDescent="0.2">
      <c r="B1052" s="167">
        <v>44193</v>
      </c>
      <c r="C1052" s="168">
        <v>209.5</v>
      </c>
      <c r="D1052">
        <v>15.74</v>
      </c>
    </row>
    <row r="1053" spans="2:4" x14ac:dyDescent="0.2">
      <c r="B1053" s="167">
        <v>44189</v>
      </c>
      <c r="C1053" s="168">
        <v>208.6</v>
      </c>
      <c r="D1053">
        <v>22.77</v>
      </c>
    </row>
    <row r="1054" spans="2:4" x14ac:dyDescent="0.2">
      <c r="B1054" s="167">
        <v>44188</v>
      </c>
      <c r="C1054" s="168">
        <v>207.75</v>
      </c>
      <c r="D1054">
        <v>23.7</v>
      </c>
    </row>
    <row r="1055" spans="2:4" x14ac:dyDescent="0.2">
      <c r="B1055" s="167">
        <v>44187</v>
      </c>
      <c r="C1055" s="168">
        <v>203.4</v>
      </c>
      <c r="D1055">
        <v>40.99</v>
      </c>
    </row>
    <row r="1056" spans="2:4" x14ac:dyDescent="0.2">
      <c r="B1056" s="167">
        <v>44186</v>
      </c>
      <c r="C1056" s="168">
        <v>202.95</v>
      </c>
      <c r="D1056">
        <v>41.83</v>
      </c>
    </row>
    <row r="1057" spans="2:4" x14ac:dyDescent="0.2">
      <c r="B1057" s="167">
        <v>44183</v>
      </c>
      <c r="C1057" s="168">
        <v>214.5</v>
      </c>
      <c r="D1057">
        <v>23.78</v>
      </c>
    </row>
    <row r="1058" spans="2:4" x14ac:dyDescent="0.2">
      <c r="B1058" s="167">
        <v>44182</v>
      </c>
      <c r="C1058" s="168">
        <v>213.05</v>
      </c>
      <c r="D1058">
        <v>22.39</v>
      </c>
    </row>
    <row r="1059" spans="2:4" x14ac:dyDescent="0.2">
      <c r="B1059" s="167">
        <v>44181</v>
      </c>
      <c r="C1059" s="168">
        <v>214</v>
      </c>
      <c r="D1059">
        <v>19.55</v>
      </c>
    </row>
    <row r="1060" spans="2:4" x14ac:dyDescent="0.2">
      <c r="B1060" s="167">
        <v>44180</v>
      </c>
      <c r="C1060" s="168">
        <v>213.55</v>
      </c>
      <c r="D1060">
        <v>23.26</v>
      </c>
    </row>
    <row r="1061" spans="2:4" x14ac:dyDescent="0.2">
      <c r="B1061" s="167">
        <v>44179</v>
      </c>
      <c r="C1061" s="168">
        <v>215.9</v>
      </c>
      <c r="D1061">
        <v>26.99</v>
      </c>
    </row>
    <row r="1062" spans="2:4" x14ac:dyDescent="0.2">
      <c r="B1062" s="167">
        <v>44176</v>
      </c>
      <c r="C1062" s="168">
        <v>216.3</v>
      </c>
      <c r="D1062">
        <v>60.32</v>
      </c>
    </row>
    <row r="1063" spans="2:4" x14ac:dyDescent="0.2">
      <c r="B1063" s="167">
        <v>44175</v>
      </c>
      <c r="C1063" s="168">
        <v>212.7</v>
      </c>
      <c r="D1063">
        <v>65.23</v>
      </c>
    </row>
    <row r="1064" spans="2:4" x14ac:dyDescent="0.2">
      <c r="B1064" s="167">
        <v>44174</v>
      </c>
      <c r="C1064" s="168">
        <v>205.4</v>
      </c>
      <c r="D1064">
        <v>39.68</v>
      </c>
    </row>
    <row r="1065" spans="2:4" x14ac:dyDescent="0.2">
      <c r="B1065" s="167">
        <v>44173</v>
      </c>
      <c r="C1065" s="168">
        <v>202.45</v>
      </c>
      <c r="D1065">
        <v>30.85</v>
      </c>
    </row>
    <row r="1066" spans="2:4" x14ac:dyDescent="0.2">
      <c r="B1066" s="167">
        <v>44172</v>
      </c>
      <c r="C1066" s="168">
        <v>203.15</v>
      </c>
      <c r="D1066">
        <v>35.69</v>
      </c>
    </row>
    <row r="1067" spans="2:4" x14ac:dyDescent="0.2">
      <c r="B1067" s="167">
        <v>44169</v>
      </c>
      <c r="C1067" s="168">
        <v>198.2</v>
      </c>
      <c r="D1067">
        <v>22.15</v>
      </c>
    </row>
    <row r="1068" spans="2:4" x14ac:dyDescent="0.2">
      <c r="B1068" s="167">
        <v>44168</v>
      </c>
      <c r="C1068" s="168">
        <v>196.2</v>
      </c>
      <c r="D1068">
        <v>28.01</v>
      </c>
    </row>
    <row r="1069" spans="2:4" x14ac:dyDescent="0.2">
      <c r="B1069" s="167">
        <v>44167</v>
      </c>
      <c r="C1069" s="168">
        <v>195.95</v>
      </c>
      <c r="D1069">
        <v>28.43</v>
      </c>
    </row>
    <row r="1070" spans="2:4" x14ac:dyDescent="0.2">
      <c r="B1070" s="167">
        <v>44166</v>
      </c>
      <c r="C1070" s="168">
        <v>194.4</v>
      </c>
      <c r="D1070">
        <v>15.89</v>
      </c>
    </row>
    <row r="1071" spans="2:4" x14ac:dyDescent="0.2">
      <c r="B1071" s="167">
        <v>44162</v>
      </c>
      <c r="C1071" s="168">
        <v>193.65</v>
      </c>
      <c r="D1071">
        <v>31.39</v>
      </c>
    </row>
    <row r="1072" spans="2:4" x14ac:dyDescent="0.2">
      <c r="B1072" s="167">
        <v>44161</v>
      </c>
      <c r="C1072" s="168">
        <v>194.8</v>
      </c>
      <c r="D1072">
        <v>24.22</v>
      </c>
    </row>
    <row r="1073" spans="2:4" x14ac:dyDescent="0.2">
      <c r="B1073" s="167">
        <v>44160</v>
      </c>
      <c r="C1073" s="168">
        <v>193.85</v>
      </c>
      <c r="D1073">
        <v>41.66</v>
      </c>
    </row>
    <row r="1074" spans="2:4" x14ac:dyDescent="0.2">
      <c r="B1074" s="167">
        <v>44159</v>
      </c>
      <c r="C1074" s="168">
        <v>195.55</v>
      </c>
      <c r="D1074">
        <v>45.41</v>
      </c>
    </row>
    <row r="1075" spans="2:4" x14ac:dyDescent="0.2">
      <c r="B1075" s="167">
        <v>44158</v>
      </c>
      <c r="C1075" s="168">
        <v>190.85</v>
      </c>
      <c r="D1075">
        <v>23.18</v>
      </c>
    </row>
    <row r="1076" spans="2:4" x14ac:dyDescent="0.2">
      <c r="B1076" s="167">
        <v>44155</v>
      </c>
      <c r="C1076" s="168">
        <v>191.7</v>
      </c>
      <c r="D1076">
        <v>45.31</v>
      </c>
    </row>
    <row r="1077" spans="2:4" x14ac:dyDescent="0.2">
      <c r="B1077" s="167">
        <v>44154</v>
      </c>
      <c r="C1077" s="168">
        <v>187.9</v>
      </c>
      <c r="D1077">
        <v>48.98</v>
      </c>
    </row>
    <row r="1078" spans="2:4" x14ac:dyDescent="0.2">
      <c r="B1078" s="167">
        <v>44153</v>
      </c>
      <c r="C1078" s="168">
        <v>184.05</v>
      </c>
      <c r="D1078">
        <v>26.6</v>
      </c>
    </row>
    <row r="1079" spans="2:4" x14ac:dyDescent="0.2">
      <c r="B1079" s="167">
        <v>44152</v>
      </c>
      <c r="C1079" s="168">
        <v>187.35</v>
      </c>
      <c r="D1079">
        <v>20.95</v>
      </c>
    </row>
    <row r="1080" spans="2:4" x14ac:dyDescent="0.2">
      <c r="B1080" s="167">
        <v>44149</v>
      </c>
      <c r="C1080" s="168">
        <v>188.6</v>
      </c>
      <c r="D1080">
        <v>7.77</v>
      </c>
    </row>
    <row r="1081" spans="2:4" x14ac:dyDescent="0.2">
      <c r="B1081" s="167">
        <v>44148</v>
      </c>
      <c r="C1081" s="168">
        <v>187.1</v>
      </c>
      <c r="D1081">
        <v>28.2</v>
      </c>
    </row>
    <row r="1082" spans="2:4" x14ac:dyDescent="0.2">
      <c r="B1082" s="167">
        <v>44147</v>
      </c>
      <c r="C1082" s="168">
        <v>188</v>
      </c>
      <c r="D1082">
        <v>46.37</v>
      </c>
    </row>
    <row r="1083" spans="2:4" x14ac:dyDescent="0.2">
      <c r="B1083" s="167">
        <v>44146</v>
      </c>
      <c r="C1083" s="168">
        <v>185.3</v>
      </c>
      <c r="D1083">
        <v>63.32</v>
      </c>
    </row>
    <row r="1084" spans="2:4" x14ac:dyDescent="0.2">
      <c r="B1084" s="167">
        <v>44145</v>
      </c>
      <c r="C1084" s="168">
        <v>178.35</v>
      </c>
      <c r="D1084">
        <v>57.46</v>
      </c>
    </row>
    <row r="1085" spans="2:4" x14ac:dyDescent="0.2">
      <c r="B1085" s="167">
        <v>44144</v>
      </c>
      <c r="C1085" s="168">
        <v>172.8</v>
      </c>
      <c r="D1085">
        <v>35.29</v>
      </c>
    </row>
    <row r="1086" spans="2:4" x14ac:dyDescent="0.2">
      <c r="B1086" s="167">
        <v>44141</v>
      </c>
      <c r="C1086" s="168">
        <v>173.95</v>
      </c>
      <c r="D1086">
        <v>34.25</v>
      </c>
    </row>
    <row r="1087" spans="2:4" x14ac:dyDescent="0.2">
      <c r="B1087" s="167">
        <v>44140</v>
      </c>
      <c r="C1087" s="168">
        <v>174.75</v>
      </c>
      <c r="D1087">
        <v>27</v>
      </c>
    </row>
    <row r="1088" spans="2:4" x14ac:dyDescent="0.2">
      <c r="B1088" s="167">
        <v>44139</v>
      </c>
      <c r="C1088" s="168">
        <v>169.8</v>
      </c>
      <c r="D1088">
        <v>18.809999999999999</v>
      </c>
    </row>
    <row r="1089" spans="2:4" x14ac:dyDescent="0.2">
      <c r="B1089" s="167">
        <v>44138</v>
      </c>
      <c r="C1089" s="168">
        <v>170.1</v>
      </c>
      <c r="D1089">
        <v>22.6</v>
      </c>
    </row>
    <row r="1090" spans="2:4" x14ac:dyDescent="0.2">
      <c r="B1090" s="167">
        <v>44137</v>
      </c>
      <c r="C1090" s="168">
        <v>166.75</v>
      </c>
      <c r="D1090">
        <v>14.37</v>
      </c>
    </row>
    <row r="1091" spans="2:4" x14ac:dyDescent="0.2">
      <c r="B1091" s="167">
        <v>44134</v>
      </c>
      <c r="C1091" s="168">
        <v>165.25</v>
      </c>
      <c r="D1091">
        <v>16.350000000000001</v>
      </c>
    </row>
    <row r="1092" spans="2:4" x14ac:dyDescent="0.2">
      <c r="B1092" s="167">
        <v>44133</v>
      </c>
      <c r="C1092" s="168">
        <v>163.85</v>
      </c>
      <c r="D1092">
        <v>21.01</v>
      </c>
    </row>
    <row r="1093" spans="2:4" x14ac:dyDescent="0.2">
      <c r="B1093" s="167">
        <v>44132</v>
      </c>
      <c r="C1093" s="168">
        <v>165.5</v>
      </c>
      <c r="D1093">
        <v>16.82</v>
      </c>
    </row>
    <row r="1094" spans="2:4" x14ac:dyDescent="0.2">
      <c r="B1094" s="167">
        <v>44131</v>
      </c>
      <c r="C1094" s="168">
        <v>167.2</v>
      </c>
      <c r="D1094">
        <v>45.89</v>
      </c>
    </row>
    <row r="1095" spans="2:4" x14ac:dyDescent="0.2">
      <c r="B1095" s="167">
        <v>44130</v>
      </c>
      <c r="C1095" s="168">
        <v>168.55</v>
      </c>
      <c r="D1095">
        <v>16.079999999999998</v>
      </c>
    </row>
    <row r="1096" spans="2:4" x14ac:dyDescent="0.2">
      <c r="B1096" s="167">
        <v>44127</v>
      </c>
      <c r="C1096" s="168">
        <v>170.75</v>
      </c>
      <c r="D1096">
        <v>20.149999999999999</v>
      </c>
    </row>
    <row r="1097" spans="2:4" x14ac:dyDescent="0.2">
      <c r="B1097" s="167">
        <v>44126</v>
      </c>
      <c r="C1097" s="168">
        <v>168.55</v>
      </c>
      <c r="D1097">
        <v>22.04</v>
      </c>
    </row>
    <row r="1098" spans="2:4" x14ac:dyDescent="0.2">
      <c r="B1098" s="167">
        <v>44125</v>
      </c>
      <c r="C1098" s="168">
        <v>167.65</v>
      </c>
      <c r="D1098">
        <v>16.48</v>
      </c>
    </row>
    <row r="1099" spans="2:4" x14ac:dyDescent="0.2">
      <c r="B1099" s="167">
        <v>44124</v>
      </c>
      <c r="C1099" s="168">
        <v>167.45</v>
      </c>
      <c r="D1099">
        <v>16.149999999999999</v>
      </c>
    </row>
    <row r="1100" spans="2:4" x14ac:dyDescent="0.2">
      <c r="B1100" s="167">
        <v>44123</v>
      </c>
      <c r="C1100" s="168">
        <v>168.25</v>
      </c>
      <c r="D1100">
        <v>19.02</v>
      </c>
    </row>
    <row r="1101" spans="2:4" x14ac:dyDescent="0.2">
      <c r="B1101" s="167">
        <v>44120</v>
      </c>
      <c r="C1101" s="168">
        <v>165.7</v>
      </c>
      <c r="D1101">
        <v>20.23</v>
      </c>
    </row>
    <row r="1102" spans="2:4" x14ac:dyDescent="0.2">
      <c r="B1102" s="167">
        <v>44119</v>
      </c>
      <c r="C1102" s="168">
        <v>165.05</v>
      </c>
      <c r="D1102">
        <v>27.12</v>
      </c>
    </row>
    <row r="1103" spans="2:4" x14ac:dyDescent="0.2">
      <c r="B1103" s="167">
        <v>44118</v>
      </c>
      <c r="C1103" s="168">
        <v>167.8</v>
      </c>
      <c r="D1103">
        <v>38.22</v>
      </c>
    </row>
    <row r="1104" spans="2:4" x14ac:dyDescent="0.2">
      <c r="B1104" s="167">
        <v>44117</v>
      </c>
      <c r="C1104" s="168">
        <v>170.15</v>
      </c>
      <c r="D1104">
        <v>35.69</v>
      </c>
    </row>
    <row r="1105" spans="2:4" x14ac:dyDescent="0.2">
      <c r="B1105" s="167">
        <v>44116</v>
      </c>
      <c r="C1105" s="168">
        <v>172.2</v>
      </c>
      <c r="D1105">
        <v>66.25</v>
      </c>
    </row>
    <row r="1106" spans="2:4" x14ac:dyDescent="0.2">
      <c r="B1106" s="167">
        <v>44113</v>
      </c>
      <c r="C1106" s="168">
        <v>167.85</v>
      </c>
      <c r="D1106">
        <v>22.37</v>
      </c>
    </row>
    <row r="1107" spans="2:4" x14ac:dyDescent="0.2">
      <c r="B1107" s="167">
        <v>44112</v>
      </c>
      <c r="C1107" s="168">
        <v>167.15</v>
      </c>
      <c r="D1107">
        <v>25.5</v>
      </c>
    </row>
    <row r="1108" spans="2:4" x14ac:dyDescent="0.2">
      <c r="B1108" s="167">
        <v>44111</v>
      </c>
      <c r="C1108" s="168">
        <v>169.5</v>
      </c>
      <c r="D1108">
        <v>16.29</v>
      </c>
    </row>
    <row r="1109" spans="2:4" x14ac:dyDescent="0.2">
      <c r="B1109" s="167">
        <v>44110</v>
      </c>
      <c r="C1109" s="168">
        <v>169.9</v>
      </c>
      <c r="D1109">
        <v>21.89</v>
      </c>
    </row>
    <row r="1110" spans="2:4" x14ac:dyDescent="0.2">
      <c r="B1110" s="167">
        <v>44109</v>
      </c>
      <c r="C1110" s="168">
        <v>169.25</v>
      </c>
      <c r="D1110">
        <v>24.3</v>
      </c>
    </row>
    <row r="1111" spans="2:4" x14ac:dyDescent="0.2">
      <c r="B1111" s="167">
        <v>44105</v>
      </c>
      <c r="C1111" s="168">
        <v>170.85</v>
      </c>
      <c r="D1111">
        <v>19.760000000000002</v>
      </c>
    </row>
    <row r="1112" spans="2:4" x14ac:dyDescent="0.2">
      <c r="B1112" s="167">
        <v>44104</v>
      </c>
      <c r="C1112" s="168">
        <v>171.7</v>
      </c>
      <c r="D1112">
        <v>18.48</v>
      </c>
    </row>
    <row r="1113" spans="2:4" x14ac:dyDescent="0.2">
      <c r="B1113" s="167">
        <v>44103</v>
      </c>
      <c r="C1113" s="168">
        <v>169.4</v>
      </c>
      <c r="D1113">
        <v>25.62</v>
      </c>
    </row>
    <row r="1114" spans="2:4" x14ac:dyDescent="0.2">
      <c r="B1114" s="167">
        <v>44102</v>
      </c>
      <c r="C1114" s="168">
        <v>173.3</v>
      </c>
      <c r="D1114">
        <v>23.19</v>
      </c>
    </row>
    <row r="1115" spans="2:4" x14ac:dyDescent="0.2">
      <c r="B1115" s="167">
        <v>44099</v>
      </c>
      <c r="C1115" s="168">
        <v>170.75</v>
      </c>
      <c r="D1115">
        <v>26.63</v>
      </c>
    </row>
    <row r="1116" spans="2:4" x14ac:dyDescent="0.2">
      <c r="B1116" s="167">
        <v>44098</v>
      </c>
      <c r="C1116" s="168">
        <v>166.55</v>
      </c>
      <c r="D1116">
        <v>31.49</v>
      </c>
    </row>
    <row r="1117" spans="2:4" x14ac:dyDescent="0.2">
      <c r="B1117" s="167">
        <v>44097</v>
      </c>
      <c r="C1117" s="168">
        <v>172.5</v>
      </c>
      <c r="D1117">
        <v>61.79</v>
      </c>
    </row>
    <row r="1118" spans="2:4" x14ac:dyDescent="0.2">
      <c r="B1118" s="167">
        <v>44096</v>
      </c>
      <c r="C1118" s="168">
        <v>174.2</v>
      </c>
      <c r="D1118">
        <v>18.53</v>
      </c>
    </row>
    <row r="1119" spans="2:4" x14ac:dyDescent="0.2">
      <c r="B1119" s="167">
        <v>44095</v>
      </c>
      <c r="C1119" s="168">
        <v>175.75</v>
      </c>
      <c r="D1119">
        <v>23.89</v>
      </c>
    </row>
    <row r="1120" spans="2:4" x14ac:dyDescent="0.2">
      <c r="B1120" s="167">
        <v>44092</v>
      </c>
      <c r="C1120" s="168">
        <v>179.1</v>
      </c>
      <c r="D1120">
        <v>29.78</v>
      </c>
    </row>
    <row r="1121" spans="2:4" x14ac:dyDescent="0.2">
      <c r="B1121" s="167">
        <v>44091</v>
      </c>
      <c r="C1121" s="168">
        <v>178.6</v>
      </c>
      <c r="D1121">
        <v>33.94</v>
      </c>
    </row>
    <row r="1122" spans="2:4" x14ac:dyDescent="0.2">
      <c r="B1122" s="167">
        <v>44090</v>
      </c>
      <c r="C1122" s="168">
        <v>180.65</v>
      </c>
      <c r="D1122">
        <v>50.65</v>
      </c>
    </row>
    <row r="1123" spans="2:4" x14ac:dyDescent="0.2">
      <c r="B1123" s="167">
        <v>44089</v>
      </c>
      <c r="C1123" s="168">
        <v>181.8</v>
      </c>
      <c r="D1123">
        <v>30.77</v>
      </c>
    </row>
    <row r="1124" spans="2:4" x14ac:dyDescent="0.2">
      <c r="B1124" s="167">
        <v>44088</v>
      </c>
      <c r="C1124" s="168">
        <v>183.35</v>
      </c>
      <c r="D1124">
        <v>30.99</v>
      </c>
    </row>
    <row r="1125" spans="2:4" x14ac:dyDescent="0.2">
      <c r="B1125" s="167">
        <v>44085</v>
      </c>
      <c r="C1125" s="168">
        <v>183.95</v>
      </c>
      <c r="D1125">
        <v>19.260000000000002</v>
      </c>
    </row>
    <row r="1126" spans="2:4" x14ac:dyDescent="0.2">
      <c r="B1126" s="167">
        <v>44084</v>
      </c>
      <c r="C1126" s="168">
        <v>184.9</v>
      </c>
      <c r="D1126">
        <v>17.79</v>
      </c>
    </row>
    <row r="1127" spans="2:4" x14ac:dyDescent="0.2">
      <c r="B1127" s="167">
        <v>44083</v>
      </c>
      <c r="C1127" s="168">
        <v>183.8</v>
      </c>
      <c r="D1127">
        <v>27.83</v>
      </c>
    </row>
    <row r="1128" spans="2:4" x14ac:dyDescent="0.2">
      <c r="B1128" s="167">
        <v>44082</v>
      </c>
      <c r="C1128" s="168">
        <v>188.15</v>
      </c>
      <c r="D1128">
        <v>25.59</v>
      </c>
    </row>
    <row r="1129" spans="2:4" x14ac:dyDescent="0.2">
      <c r="B1129" s="167">
        <v>44081</v>
      </c>
      <c r="C1129" s="168">
        <v>189.1</v>
      </c>
      <c r="D1129">
        <v>32.659999999999997</v>
      </c>
    </row>
    <row r="1130" spans="2:4" x14ac:dyDescent="0.2">
      <c r="B1130" s="167">
        <v>44078</v>
      </c>
      <c r="C1130" s="168">
        <v>186.7</v>
      </c>
      <c r="D1130">
        <v>41.39</v>
      </c>
    </row>
    <row r="1131" spans="2:4" x14ac:dyDescent="0.2">
      <c r="B1131" s="167">
        <v>44077</v>
      </c>
      <c r="C1131" s="168">
        <v>191.6</v>
      </c>
      <c r="D1131">
        <v>15.69</v>
      </c>
    </row>
    <row r="1132" spans="2:4" x14ac:dyDescent="0.2">
      <c r="B1132" s="167">
        <v>44076</v>
      </c>
      <c r="C1132" s="168">
        <v>191.35</v>
      </c>
      <c r="D1132">
        <v>20.59</v>
      </c>
    </row>
    <row r="1133" spans="2:4" x14ac:dyDescent="0.2">
      <c r="B1133" s="167">
        <v>44075</v>
      </c>
      <c r="C1133" s="168">
        <v>190.2</v>
      </c>
      <c r="D1133">
        <v>39.78</v>
      </c>
    </row>
    <row r="1134" spans="2:4" x14ac:dyDescent="0.2">
      <c r="B1134" s="167">
        <v>44074</v>
      </c>
      <c r="C1134" s="168">
        <v>191.1</v>
      </c>
      <c r="D1134">
        <v>97</v>
      </c>
    </row>
    <row r="1135" spans="2:4" x14ac:dyDescent="0.2">
      <c r="B1135" s="167">
        <v>44071</v>
      </c>
      <c r="C1135" s="168">
        <v>195.55</v>
      </c>
      <c r="D1135">
        <v>34.65</v>
      </c>
    </row>
    <row r="1136" spans="2:4" x14ac:dyDescent="0.2">
      <c r="B1136" s="167">
        <v>44070</v>
      </c>
      <c r="C1136" s="168">
        <v>194.25</v>
      </c>
      <c r="D1136">
        <v>47.21</v>
      </c>
    </row>
    <row r="1137" spans="2:4" x14ac:dyDescent="0.2">
      <c r="B1137" s="167">
        <v>44069</v>
      </c>
      <c r="C1137" s="168">
        <v>194.95</v>
      </c>
      <c r="D1137">
        <v>22.63</v>
      </c>
    </row>
    <row r="1138" spans="2:4" x14ac:dyDescent="0.2">
      <c r="B1138" s="167">
        <v>44068</v>
      </c>
      <c r="C1138" s="168">
        <v>195.4</v>
      </c>
      <c r="D1138">
        <v>15.2</v>
      </c>
    </row>
    <row r="1139" spans="2:4" x14ac:dyDescent="0.2">
      <c r="B1139" s="167">
        <v>44067</v>
      </c>
      <c r="C1139" s="168">
        <v>196.7</v>
      </c>
      <c r="D1139">
        <v>14.74</v>
      </c>
    </row>
    <row r="1140" spans="2:4" x14ac:dyDescent="0.2">
      <c r="B1140" s="167">
        <v>44064</v>
      </c>
      <c r="C1140" s="168">
        <v>196.8</v>
      </c>
      <c r="D1140">
        <v>17.23</v>
      </c>
    </row>
    <row r="1141" spans="2:4" x14ac:dyDescent="0.2">
      <c r="B1141" s="167">
        <v>44063</v>
      </c>
      <c r="C1141" s="168">
        <v>195.8</v>
      </c>
      <c r="D1141">
        <v>16.91</v>
      </c>
    </row>
    <row r="1142" spans="2:4" x14ac:dyDescent="0.2">
      <c r="B1142" s="167">
        <v>44062</v>
      </c>
      <c r="C1142" s="168">
        <v>198.45</v>
      </c>
      <c r="D1142">
        <v>15.47</v>
      </c>
    </row>
    <row r="1143" spans="2:4" x14ac:dyDescent="0.2">
      <c r="B1143" s="167">
        <v>44061</v>
      </c>
      <c r="C1143" s="168">
        <v>198.55</v>
      </c>
      <c r="D1143">
        <v>12.49</v>
      </c>
    </row>
    <row r="1144" spans="2:4" x14ac:dyDescent="0.2">
      <c r="B1144" s="167">
        <v>44060</v>
      </c>
      <c r="C1144" s="168">
        <v>198.75</v>
      </c>
      <c r="D1144">
        <v>11.74</v>
      </c>
    </row>
    <row r="1145" spans="2:4" x14ac:dyDescent="0.2">
      <c r="B1145" s="167">
        <v>44057</v>
      </c>
      <c r="C1145" s="168">
        <v>196.4</v>
      </c>
      <c r="D1145">
        <v>28.75</v>
      </c>
    </row>
    <row r="1146" spans="2:4" x14ac:dyDescent="0.2">
      <c r="B1146" s="167">
        <v>44056</v>
      </c>
      <c r="C1146" s="168">
        <v>201.45</v>
      </c>
      <c r="D1146">
        <v>22.7</v>
      </c>
    </row>
    <row r="1147" spans="2:4" x14ac:dyDescent="0.2">
      <c r="B1147" s="167">
        <v>44055</v>
      </c>
      <c r="C1147" s="168">
        <v>204.2</v>
      </c>
      <c r="D1147">
        <v>21.29</v>
      </c>
    </row>
    <row r="1148" spans="2:4" x14ac:dyDescent="0.2">
      <c r="B1148" s="167">
        <v>44054</v>
      </c>
      <c r="C1148" s="168">
        <v>203.05</v>
      </c>
      <c r="D1148">
        <v>55.14</v>
      </c>
    </row>
    <row r="1149" spans="2:4" x14ac:dyDescent="0.2">
      <c r="B1149" s="167">
        <v>44053</v>
      </c>
      <c r="C1149" s="168">
        <v>198.85</v>
      </c>
      <c r="D1149">
        <v>16.47</v>
      </c>
    </row>
    <row r="1150" spans="2:4" x14ac:dyDescent="0.2">
      <c r="B1150" s="167">
        <v>44050</v>
      </c>
      <c r="C1150" s="168">
        <v>196.05</v>
      </c>
      <c r="D1150">
        <v>20.91</v>
      </c>
    </row>
    <row r="1151" spans="2:4" x14ac:dyDescent="0.2">
      <c r="B1151" s="167">
        <v>44049</v>
      </c>
      <c r="C1151" s="168">
        <v>195.35</v>
      </c>
      <c r="D1151">
        <v>17.89</v>
      </c>
    </row>
    <row r="1152" spans="2:4" x14ac:dyDescent="0.2">
      <c r="B1152" s="167">
        <v>44048</v>
      </c>
      <c r="C1152" s="168">
        <v>192.8</v>
      </c>
      <c r="D1152">
        <v>48.77</v>
      </c>
    </row>
    <row r="1153" spans="2:4" x14ac:dyDescent="0.2">
      <c r="B1153" s="167">
        <v>44047</v>
      </c>
      <c r="C1153" s="168">
        <v>193.65</v>
      </c>
      <c r="D1153">
        <v>17.190000000000001</v>
      </c>
    </row>
    <row r="1154" spans="2:4" x14ac:dyDescent="0.2">
      <c r="B1154" s="167">
        <v>44046</v>
      </c>
      <c r="C1154" s="168">
        <v>192.6</v>
      </c>
      <c r="D1154">
        <v>13.27</v>
      </c>
    </row>
    <row r="1155" spans="2:4" x14ac:dyDescent="0.2">
      <c r="B1155" s="167">
        <v>44043</v>
      </c>
      <c r="C1155" s="168">
        <v>194.15</v>
      </c>
      <c r="D1155">
        <v>16.649999999999999</v>
      </c>
    </row>
    <row r="1156" spans="2:4" x14ac:dyDescent="0.2">
      <c r="B1156" s="167">
        <v>44042</v>
      </c>
      <c r="C1156" s="168">
        <v>193.35</v>
      </c>
      <c r="D1156">
        <v>16.32</v>
      </c>
    </row>
    <row r="1157" spans="2:4" x14ac:dyDescent="0.2">
      <c r="B1157" s="167">
        <v>44041</v>
      </c>
      <c r="C1157" s="168">
        <v>196.7</v>
      </c>
      <c r="D1157">
        <v>14.83</v>
      </c>
    </row>
    <row r="1158" spans="2:4" x14ac:dyDescent="0.2">
      <c r="B1158" s="167">
        <v>44040</v>
      </c>
      <c r="C1158" s="168">
        <v>195.4</v>
      </c>
      <c r="D1158">
        <v>19.29</v>
      </c>
    </row>
    <row r="1159" spans="2:4" x14ac:dyDescent="0.2">
      <c r="B1159" s="167">
        <v>44039</v>
      </c>
      <c r="C1159" s="168">
        <v>196.4</v>
      </c>
      <c r="D1159">
        <v>22.65</v>
      </c>
    </row>
    <row r="1160" spans="2:4" x14ac:dyDescent="0.2">
      <c r="B1160" s="167">
        <v>44036</v>
      </c>
      <c r="C1160" s="168">
        <v>199.6</v>
      </c>
      <c r="D1160">
        <v>60.19</v>
      </c>
    </row>
    <row r="1161" spans="2:4" x14ac:dyDescent="0.2">
      <c r="B1161" s="167">
        <v>44035</v>
      </c>
      <c r="C1161" s="168">
        <v>200.7</v>
      </c>
      <c r="D1161">
        <v>31.49</v>
      </c>
    </row>
    <row r="1162" spans="2:4" x14ac:dyDescent="0.2">
      <c r="B1162" s="167">
        <v>44034</v>
      </c>
      <c r="C1162" s="168">
        <v>196.55</v>
      </c>
      <c r="D1162">
        <v>32.57</v>
      </c>
    </row>
    <row r="1163" spans="2:4" x14ac:dyDescent="0.2">
      <c r="B1163" s="167">
        <v>44033</v>
      </c>
      <c r="C1163" s="168">
        <v>192.25</v>
      </c>
      <c r="D1163">
        <v>28.01</v>
      </c>
    </row>
    <row r="1164" spans="2:4" x14ac:dyDescent="0.2">
      <c r="B1164" s="167">
        <v>44032</v>
      </c>
      <c r="C1164" s="168">
        <v>192.7</v>
      </c>
      <c r="D1164">
        <v>18.920000000000002</v>
      </c>
    </row>
    <row r="1165" spans="2:4" x14ac:dyDescent="0.2">
      <c r="B1165" s="167">
        <v>44029</v>
      </c>
      <c r="C1165" s="168">
        <v>194.05</v>
      </c>
      <c r="D1165">
        <v>14.88</v>
      </c>
    </row>
    <row r="1166" spans="2:4" x14ac:dyDescent="0.2">
      <c r="B1166" s="167">
        <v>44028</v>
      </c>
      <c r="C1166" s="168">
        <v>193.85</v>
      </c>
      <c r="D1166">
        <v>22.14</v>
      </c>
    </row>
    <row r="1167" spans="2:4" x14ac:dyDescent="0.2">
      <c r="B1167" s="167">
        <v>44027</v>
      </c>
      <c r="C1167" s="168">
        <v>198.7</v>
      </c>
      <c r="D1167">
        <v>23.78</v>
      </c>
    </row>
    <row r="1168" spans="2:4" x14ac:dyDescent="0.2">
      <c r="B1168" s="167">
        <v>44026</v>
      </c>
      <c r="C1168" s="168">
        <v>195.9</v>
      </c>
      <c r="D1168">
        <v>18.48</v>
      </c>
    </row>
    <row r="1169" spans="2:4" x14ac:dyDescent="0.2">
      <c r="B1169" s="167">
        <v>44025</v>
      </c>
      <c r="C1169" s="168">
        <v>197.55</v>
      </c>
      <c r="D1169">
        <v>20.3</v>
      </c>
    </row>
    <row r="1170" spans="2:4" x14ac:dyDescent="0.2">
      <c r="B1170" s="167">
        <v>44022</v>
      </c>
      <c r="C1170" s="168">
        <v>194.35</v>
      </c>
      <c r="D1170">
        <v>16.190000000000001</v>
      </c>
    </row>
    <row r="1171" spans="2:4" x14ac:dyDescent="0.2">
      <c r="B1171" s="167">
        <v>44021</v>
      </c>
      <c r="C1171" s="168">
        <v>195.45</v>
      </c>
      <c r="D1171">
        <v>18.77</v>
      </c>
    </row>
    <row r="1172" spans="2:4" x14ac:dyDescent="0.2">
      <c r="B1172" s="167">
        <v>44020</v>
      </c>
      <c r="C1172" s="168">
        <v>196.3</v>
      </c>
      <c r="D1172">
        <v>21.28</v>
      </c>
    </row>
    <row r="1173" spans="2:4" x14ac:dyDescent="0.2">
      <c r="B1173" s="167">
        <v>44019</v>
      </c>
      <c r="C1173" s="168">
        <v>194.25</v>
      </c>
      <c r="D1173">
        <v>31.28</v>
      </c>
    </row>
    <row r="1174" spans="2:4" x14ac:dyDescent="0.2">
      <c r="B1174" s="167">
        <v>44018</v>
      </c>
      <c r="C1174" s="168">
        <v>199.8</v>
      </c>
      <c r="D1174">
        <v>34.71</v>
      </c>
    </row>
    <row r="1175" spans="2:4" x14ac:dyDescent="0.2">
      <c r="B1175" s="167">
        <v>44015</v>
      </c>
      <c r="C1175" s="168">
        <v>207.55</v>
      </c>
      <c r="D1175">
        <v>37.9</v>
      </c>
    </row>
    <row r="1176" spans="2:4" x14ac:dyDescent="0.2">
      <c r="B1176" s="167">
        <v>44014</v>
      </c>
      <c r="C1176" s="168">
        <v>205.85</v>
      </c>
      <c r="D1176">
        <v>39.32</v>
      </c>
    </row>
    <row r="1177" spans="2:4" x14ac:dyDescent="0.2">
      <c r="B1177" s="167">
        <v>44013</v>
      </c>
      <c r="C1177" s="168">
        <v>202.9</v>
      </c>
      <c r="D1177">
        <v>44.3</v>
      </c>
    </row>
    <row r="1178" spans="2:4" x14ac:dyDescent="0.2">
      <c r="B1178" s="167">
        <v>44012</v>
      </c>
      <c r="C1178" s="168">
        <v>194.65</v>
      </c>
      <c r="D1178">
        <v>41.22</v>
      </c>
    </row>
    <row r="1179" spans="2:4" x14ac:dyDescent="0.2">
      <c r="B1179" s="167">
        <v>44011</v>
      </c>
      <c r="C1179" s="168">
        <v>197.25</v>
      </c>
      <c r="D1179">
        <v>91.5</v>
      </c>
    </row>
    <row r="1180" spans="2:4" x14ac:dyDescent="0.2">
      <c r="B1180" s="167">
        <v>44008</v>
      </c>
      <c r="C1180" s="168">
        <v>195.2</v>
      </c>
      <c r="D1180">
        <v>71.959999999999994</v>
      </c>
    </row>
    <row r="1181" spans="2:4" x14ac:dyDescent="0.2">
      <c r="B1181" s="167">
        <v>44007</v>
      </c>
      <c r="C1181" s="168">
        <v>202.1</v>
      </c>
      <c r="D1181">
        <v>75.58</v>
      </c>
    </row>
    <row r="1182" spans="2:4" x14ac:dyDescent="0.2">
      <c r="B1182" s="167">
        <v>44006</v>
      </c>
      <c r="C1182" s="168">
        <v>191.85</v>
      </c>
      <c r="D1182">
        <v>54.65</v>
      </c>
    </row>
    <row r="1183" spans="2:4" x14ac:dyDescent="0.2">
      <c r="B1183" s="167">
        <v>44005</v>
      </c>
      <c r="C1183" s="168">
        <v>185.85</v>
      </c>
      <c r="D1183">
        <v>26.55</v>
      </c>
    </row>
    <row r="1184" spans="2:4" x14ac:dyDescent="0.2">
      <c r="B1184" s="167">
        <v>44004</v>
      </c>
      <c r="C1184" s="168">
        <v>185</v>
      </c>
      <c r="D1184">
        <v>31.4</v>
      </c>
    </row>
    <row r="1185" spans="2:4" x14ac:dyDescent="0.2">
      <c r="B1185" s="167">
        <v>44001</v>
      </c>
      <c r="C1185" s="168">
        <v>184.05</v>
      </c>
      <c r="D1185">
        <v>30.53</v>
      </c>
    </row>
    <row r="1186" spans="2:4" x14ac:dyDescent="0.2">
      <c r="B1186" s="167">
        <v>44000</v>
      </c>
      <c r="C1186" s="168">
        <v>186.6</v>
      </c>
      <c r="D1186">
        <v>28.89</v>
      </c>
    </row>
    <row r="1187" spans="2:4" x14ac:dyDescent="0.2">
      <c r="B1187" s="167">
        <v>43999</v>
      </c>
      <c r="C1187" s="168">
        <v>181.2</v>
      </c>
      <c r="D1187">
        <v>24.03</v>
      </c>
    </row>
    <row r="1188" spans="2:4" x14ac:dyDescent="0.2">
      <c r="B1188" s="167">
        <v>43998</v>
      </c>
      <c r="C1188" s="168">
        <v>185</v>
      </c>
      <c r="D1188">
        <v>27.64</v>
      </c>
    </row>
    <row r="1189" spans="2:4" x14ac:dyDescent="0.2">
      <c r="B1189" s="167">
        <v>43997</v>
      </c>
      <c r="C1189" s="168">
        <v>187.2</v>
      </c>
      <c r="D1189">
        <v>24.46</v>
      </c>
    </row>
    <row r="1190" spans="2:4" x14ac:dyDescent="0.2">
      <c r="B1190" s="167">
        <v>43994</v>
      </c>
      <c r="C1190" s="168">
        <v>193.9</v>
      </c>
      <c r="D1190">
        <v>22.56</v>
      </c>
    </row>
    <row r="1191" spans="2:4" x14ac:dyDescent="0.2">
      <c r="B1191" s="167">
        <v>43993</v>
      </c>
      <c r="C1191" s="168">
        <v>194.25</v>
      </c>
      <c r="D1191">
        <v>19.850000000000001</v>
      </c>
    </row>
    <row r="1192" spans="2:4" x14ac:dyDescent="0.2">
      <c r="B1192" s="167">
        <v>43992</v>
      </c>
      <c r="C1192" s="168">
        <v>199.05</v>
      </c>
      <c r="D1192">
        <v>27.2</v>
      </c>
    </row>
    <row r="1193" spans="2:4" x14ac:dyDescent="0.2">
      <c r="B1193" s="167">
        <v>43991</v>
      </c>
      <c r="C1193" s="168">
        <v>198.5</v>
      </c>
      <c r="D1193">
        <v>39.909999999999997</v>
      </c>
    </row>
    <row r="1194" spans="2:4" x14ac:dyDescent="0.2">
      <c r="B1194" s="167">
        <v>43990</v>
      </c>
      <c r="C1194" s="168">
        <v>197.65</v>
      </c>
      <c r="D1194">
        <v>19.559999999999999</v>
      </c>
    </row>
    <row r="1195" spans="2:4" x14ac:dyDescent="0.2">
      <c r="B1195" s="167">
        <v>43987</v>
      </c>
      <c r="C1195" s="168">
        <v>200</v>
      </c>
      <c r="D1195">
        <v>14.63</v>
      </c>
    </row>
    <row r="1196" spans="2:4" x14ac:dyDescent="0.2">
      <c r="B1196" s="167">
        <v>43986</v>
      </c>
      <c r="C1196" s="168">
        <v>200.15</v>
      </c>
      <c r="D1196">
        <v>22</v>
      </c>
    </row>
    <row r="1197" spans="2:4" x14ac:dyDescent="0.2">
      <c r="B1197" s="167">
        <v>43985</v>
      </c>
      <c r="C1197" s="168">
        <v>196.7</v>
      </c>
      <c r="D1197">
        <v>18.98</v>
      </c>
    </row>
    <row r="1198" spans="2:4" x14ac:dyDescent="0.2">
      <c r="B1198" s="167">
        <v>43984</v>
      </c>
      <c r="C1198" s="168">
        <v>197.25</v>
      </c>
      <c r="D1198">
        <v>22.63</v>
      </c>
    </row>
    <row r="1199" spans="2:4" x14ac:dyDescent="0.2">
      <c r="B1199" s="167">
        <v>43983</v>
      </c>
      <c r="C1199" s="168">
        <v>200.55</v>
      </c>
      <c r="D1199">
        <v>28.51</v>
      </c>
    </row>
    <row r="1200" spans="2:4" x14ac:dyDescent="0.2">
      <c r="B1200" s="167">
        <v>43980</v>
      </c>
      <c r="C1200" s="168">
        <v>197.35</v>
      </c>
      <c r="D1200">
        <v>35.840000000000003</v>
      </c>
    </row>
    <row r="1201" spans="2:4" x14ac:dyDescent="0.2">
      <c r="B1201" s="167">
        <v>43979</v>
      </c>
      <c r="C1201" s="168">
        <v>190.65</v>
      </c>
      <c r="D1201">
        <v>24.58</v>
      </c>
    </row>
    <row r="1202" spans="2:4" x14ac:dyDescent="0.2">
      <c r="B1202" s="167">
        <v>43978</v>
      </c>
      <c r="C1202" s="168">
        <v>192.15</v>
      </c>
      <c r="D1202">
        <v>24.55</v>
      </c>
    </row>
    <row r="1203" spans="2:4" x14ac:dyDescent="0.2">
      <c r="B1203" s="167">
        <v>43977</v>
      </c>
      <c r="C1203" s="168">
        <v>191.7</v>
      </c>
      <c r="D1203">
        <v>53.24</v>
      </c>
    </row>
    <row r="1204" spans="2:4" x14ac:dyDescent="0.2">
      <c r="B1204" s="167">
        <v>43973</v>
      </c>
      <c r="C1204" s="168">
        <v>186.35</v>
      </c>
      <c r="D1204">
        <v>39.01</v>
      </c>
    </row>
    <row r="1205" spans="2:4" x14ac:dyDescent="0.2">
      <c r="B1205" s="167">
        <v>43972</v>
      </c>
      <c r="C1205" s="168">
        <v>188.95</v>
      </c>
      <c r="D1205">
        <v>58.38</v>
      </c>
    </row>
    <row r="1206" spans="2:4" x14ac:dyDescent="0.2">
      <c r="B1206" s="167">
        <v>43971</v>
      </c>
      <c r="C1206" s="168">
        <v>175.75</v>
      </c>
      <c r="D1206">
        <v>25.32</v>
      </c>
    </row>
    <row r="1207" spans="2:4" x14ac:dyDescent="0.2">
      <c r="B1207" s="167">
        <v>43970</v>
      </c>
      <c r="C1207" s="168">
        <v>170.75</v>
      </c>
      <c r="D1207">
        <v>20.14</v>
      </c>
    </row>
    <row r="1208" spans="2:4" x14ac:dyDescent="0.2">
      <c r="B1208" s="167">
        <v>43969</v>
      </c>
      <c r="C1208" s="168">
        <v>164.75</v>
      </c>
      <c r="D1208">
        <v>20.8</v>
      </c>
    </row>
    <row r="1209" spans="2:4" x14ac:dyDescent="0.2">
      <c r="B1209" s="167">
        <v>43966</v>
      </c>
      <c r="C1209" s="168">
        <v>164.65</v>
      </c>
      <c r="D1209">
        <v>14.95</v>
      </c>
    </row>
    <row r="1210" spans="2:4" x14ac:dyDescent="0.2">
      <c r="B1210" s="167">
        <v>43965</v>
      </c>
      <c r="C1210" s="168">
        <v>163.80000000000001</v>
      </c>
      <c r="D1210">
        <v>14.95</v>
      </c>
    </row>
    <row r="1211" spans="2:4" x14ac:dyDescent="0.2">
      <c r="B1211" s="167">
        <v>43964</v>
      </c>
      <c r="C1211" s="168">
        <v>165.4</v>
      </c>
      <c r="D1211">
        <v>20.02</v>
      </c>
    </row>
    <row r="1212" spans="2:4" x14ac:dyDescent="0.2">
      <c r="B1212" s="167">
        <v>43963</v>
      </c>
      <c r="C1212" s="168">
        <v>165.05</v>
      </c>
      <c r="D1212">
        <v>21.39</v>
      </c>
    </row>
    <row r="1213" spans="2:4" x14ac:dyDescent="0.2">
      <c r="B1213" s="167">
        <v>43962</v>
      </c>
      <c r="C1213" s="168">
        <v>158.44999999999999</v>
      </c>
      <c r="D1213">
        <v>18.100000000000001</v>
      </c>
    </row>
    <row r="1214" spans="2:4" x14ac:dyDescent="0.2">
      <c r="B1214" s="167">
        <v>43959</v>
      </c>
      <c r="C1214" s="168">
        <v>158.25</v>
      </c>
      <c r="D1214">
        <v>25.31</v>
      </c>
    </row>
    <row r="1215" spans="2:4" x14ac:dyDescent="0.2">
      <c r="B1215" s="167">
        <v>43958</v>
      </c>
      <c r="C1215" s="168">
        <v>161</v>
      </c>
      <c r="D1215">
        <v>24.25</v>
      </c>
    </row>
    <row r="1216" spans="2:4" x14ac:dyDescent="0.2">
      <c r="B1216" s="167">
        <v>43957</v>
      </c>
      <c r="C1216" s="168">
        <v>163.9</v>
      </c>
      <c r="D1216">
        <v>65.59</v>
      </c>
    </row>
    <row r="1217" spans="2:4" x14ac:dyDescent="0.2">
      <c r="B1217" s="167">
        <v>43956</v>
      </c>
      <c r="C1217" s="168">
        <v>173.9</v>
      </c>
      <c r="D1217">
        <v>17.71</v>
      </c>
    </row>
    <row r="1218" spans="2:4" x14ac:dyDescent="0.2">
      <c r="B1218" s="167">
        <v>43955</v>
      </c>
      <c r="C1218" s="168">
        <v>174.05</v>
      </c>
      <c r="D1218">
        <v>30.3</v>
      </c>
    </row>
    <row r="1219" spans="2:4" x14ac:dyDescent="0.2">
      <c r="B1219" s="167">
        <v>43951</v>
      </c>
      <c r="C1219" s="168">
        <v>182.05</v>
      </c>
      <c r="D1219">
        <v>30.17</v>
      </c>
    </row>
    <row r="1220" spans="2:4" x14ac:dyDescent="0.2">
      <c r="B1220" s="167">
        <v>43950</v>
      </c>
      <c r="C1220" s="168">
        <v>182.15</v>
      </c>
      <c r="D1220">
        <v>21.46</v>
      </c>
    </row>
    <row r="1221" spans="2:4" x14ac:dyDescent="0.2">
      <c r="B1221" s="167">
        <v>43949</v>
      </c>
      <c r="C1221" s="168">
        <v>179.45</v>
      </c>
      <c r="D1221">
        <v>17.8</v>
      </c>
    </row>
    <row r="1222" spans="2:4" x14ac:dyDescent="0.2">
      <c r="B1222" s="167">
        <v>43948</v>
      </c>
      <c r="C1222" s="168">
        <v>179.85</v>
      </c>
      <c r="D1222">
        <v>13.09</v>
      </c>
    </row>
    <row r="1223" spans="2:4" x14ac:dyDescent="0.2">
      <c r="B1223" s="167">
        <v>43945</v>
      </c>
      <c r="C1223" s="168">
        <v>180.05</v>
      </c>
      <c r="D1223">
        <v>18.05</v>
      </c>
    </row>
    <row r="1224" spans="2:4" x14ac:dyDescent="0.2">
      <c r="B1224" s="167">
        <v>43944</v>
      </c>
      <c r="C1224" s="168">
        <v>180.55</v>
      </c>
      <c r="D1224">
        <v>32.97</v>
      </c>
    </row>
    <row r="1225" spans="2:4" x14ac:dyDescent="0.2">
      <c r="B1225" s="167">
        <v>43943</v>
      </c>
      <c r="C1225" s="168">
        <v>182.25</v>
      </c>
      <c r="D1225">
        <v>25.16</v>
      </c>
    </row>
    <row r="1226" spans="2:4" x14ac:dyDescent="0.2">
      <c r="B1226" s="167">
        <v>43942</v>
      </c>
      <c r="C1226" s="168">
        <v>179.6</v>
      </c>
      <c r="D1226">
        <v>23.33</v>
      </c>
    </row>
    <row r="1227" spans="2:4" x14ac:dyDescent="0.2">
      <c r="B1227" s="167">
        <v>43941</v>
      </c>
      <c r="C1227" s="168">
        <v>180.7</v>
      </c>
      <c r="D1227">
        <v>35.770000000000003</v>
      </c>
    </row>
    <row r="1228" spans="2:4" x14ac:dyDescent="0.2">
      <c r="B1228" s="167">
        <v>43938</v>
      </c>
      <c r="C1228" s="168">
        <v>188.1</v>
      </c>
      <c r="D1228">
        <v>26.67</v>
      </c>
    </row>
    <row r="1229" spans="2:4" x14ac:dyDescent="0.2">
      <c r="B1229" s="167">
        <v>43937</v>
      </c>
      <c r="C1229" s="168">
        <v>186.35</v>
      </c>
      <c r="D1229">
        <v>27.08</v>
      </c>
    </row>
    <row r="1230" spans="2:4" x14ac:dyDescent="0.2">
      <c r="B1230" s="167">
        <v>43936</v>
      </c>
      <c r="C1230" s="168">
        <v>189.35</v>
      </c>
      <c r="D1230">
        <v>49.09</v>
      </c>
    </row>
    <row r="1231" spans="2:4" x14ac:dyDescent="0.2">
      <c r="B1231" s="167">
        <v>43934</v>
      </c>
      <c r="C1231" s="168">
        <v>181.6</v>
      </c>
      <c r="D1231">
        <v>17.739999999999998</v>
      </c>
    </row>
    <row r="1232" spans="2:4" x14ac:dyDescent="0.2">
      <c r="B1232" s="167">
        <v>43930</v>
      </c>
      <c r="C1232" s="168">
        <v>185.25</v>
      </c>
      <c r="D1232">
        <v>42.64</v>
      </c>
    </row>
    <row r="1233" spans="2:4" x14ac:dyDescent="0.2">
      <c r="B1233" s="167">
        <v>43929</v>
      </c>
      <c r="C1233" s="168">
        <v>178.65</v>
      </c>
      <c r="D1233">
        <v>37.56</v>
      </c>
    </row>
    <row r="1234" spans="2:4" x14ac:dyDescent="0.2">
      <c r="B1234" s="167">
        <v>43928</v>
      </c>
      <c r="C1234" s="168">
        <v>181.55</v>
      </c>
      <c r="D1234">
        <v>36.119999999999997</v>
      </c>
    </row>
    <row r="1235" spans="2:4" x14ac:dyDescent="0.2">
      <c r="B1235" s="167">
        <v>43924</v>
      </c>
      <c r="C1235" s="168">
        <v>177.9</v>
      </c>
      <c r="D1235">
        <v>62.87</v>
      </c>
    </row>
    <row r="1236" spans="2:4" x14ac:dyDescent="0.2">
      <c r="B1236" s="167">
        <v>43922</v>
      </c>
      <c r="C1236" s="168">
        <v>166.4</v>
      </c>
      <c r="D1236">
        <v>18.14</v>
      </c>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980D6-80E0-4DD2-A8A1-30D01B3B6A1D}">
  <dimension ref="B2:L39"/>
  <sheetViews>
    <sheetView showGridLines="0" topLeftCell="B28" workbookViewId="0">
      <selection activeCell="J41" sqref="J41"/>
    </sheetView>
  </sheetViews>
  <sheetFormatPr defaultRowHeight="15" x14ac:dyDescent="0.2"/>
  <cols>
    <col min="1" max="1" width="1.8828125" customWidth="1"/>
    <col min="2" max="2" width="30.9375" bestFit="1" customWidth="1"/>
    <col min="3" max="3" width="10.76171875" bestFit="1" customWidth="1"/>
    <col min="4" max="4" width="15.46875" bestFit="1" customWidth="1"/>
    <col min="5" max="5" width="13.1796875" bestFit="1" customWidth="1"/>
    <col min="6" max="12" width="10.4921875" bestFit="1" customWidth="1"/>
  </cols>
  <sheetData>
    <row r="2" spans="2:12" ht="71.45" customHeight="1" x14ac:dyDescent="0.2">
      <c r="B2" s="166" t="s">
        <v>8607</v>
      </c>
      <c r="C2" s="245" t="s">
        <v>8606</v>
      </c>
      <c r="D2" s="245"/>
      <c r="E2" s="245"/>
      <c r="F2" s="245"/>
      <c r="G2" s="245"/>
      <c r="H2" s="245"/>
      <c r="I2" s="245"/>
      <c r="J2" s="245"/>
      <c r="K2" s="245"/>
      <c r="L2" s="245"/>
    </row>
    <row r="3" spans="2:12" x14ac:dyDescent="0.2">
      <c r="C3" s="169">
        <f>'Data Sheet'!B81</f>
        <v>42460</v>
      </c>
      <c r="D3" s="169">
        <f>'Data Sheet'!C81</f>
        <v>42825</v>
      </c>
      <c r="E3" s="169">
        <f>'Data Sheet'!D81</f>
        <v>43190</v>
      </c>
      <c r="F3" s="169">
        <f>'Data Sheet'!E81</f>
        <v>43555</v>
      </c>
      <c r="G3" s="169">
        <f>'Data Sheet'!F81</f>
        <v>43921</v>
      </c>
      <c r="H3" s="169">
        <f>'Data Sheet'!G81</f>
        <v>44286</v>
      </c>
      <c r="I3" s="169">
        <f>'Data Sheet'!H81</f>
        <v>44651</v>
      </c>
      <c r="J3" s="169">
        <f>'Data Sheet'!I81</f>
        <v>45016</v>
      </c>
      <c r="K3" s="169">
        <f>'Data Sheet'!J81</f>
        <v>45382</v>
      </c>
      <c r="L3" s="169">
        <f>'Data Sheet'!K81</f>
        <v>45747</v>
      </c>
    </row>
    <row r="4" spans="2:12" x14ac:dyDescent="0.2">
      <c r="B4" s="2" t="s">
        <v>8611</v>
      </c>
      <c r="C4" s="173">
        <f>'Data Sheet'!B90*'Data Sheet'!B93</f>
        <v>247608.32039999997</v>
      </c>
      <c r="D4" s="173">
        <f>'Data Sheet'!C90*'Data Sheet'!C93</f>
        <v>319172.935</v>
      </c>
      <c r="E4" s="173">
        <f>'Data Sheet'!D90*'Data Sheet'!D93</f>
        <v>292292.98500000004</v>
      </c>
      <c r="F4" s="173">
        <f>'Data Sheet'!E90*'Data Sheet'!E93</f>
        <v>341573.63039999997</v>
      </c>
      <c r="G4" s="173">
        <f>'Data Sheet'!F90*'Data Sheet'!F93</f>
        <v>197842.959</v>
      </c>
      <c r="H4" s="173">
        <f>'Data Sheet'!G90*'Data Sheet'!G93</f>
        <v>252108.84160000001</v>
      </c>
      <c r="I4" s="173">
        <f>'Data Sheet'!H90*'Data Sheet'!H93</f>
        <v>289548.25679999997</v>
      </c>
      <c r="J4" s="173">
        <f>'Data Sheet'!I90*'Data Sheet'!I93</f>
        <v>446774.17200000002</v>
      </c>
      <c r="K4" s="173">
        <f>'Data Sheet'!J90*'Data Sheet'!J93</f>
        <v>501298.15909999999</v>
      </c>
      <c r="L4" s="173">
        <f>'Data Sheet'!K90*'Data Sheet'!K93</f>
        <v>512765.24750000006</v>
      </c>
    </row>
    <row r="5" spans="2:12" x14ac:dyDescent="0.2">
      <c r="B5" s="2" t="s">
        <v>165</v>
      </c>
      <c r="C5" s="173">
        <f>'Data Sheet'!B59</f>
        <v>83.78</v>
      </c>
      <c r="D5" s="173">
        <f>'Data Sheet'!C59</f>
        <v>45.72</v>
      </c>
      <c r="E5" s="173">
        <f>'Data Sheet'!D59</f>
        <v>35.92</v>
      </c>
      <c r="F5" s="173">
        <f>'Data Sheet'!E59</f>
        <v>13.44</v>
      </c>
      <c r="G5" s="173">
        <f>'Data Sheet'!F59</f>
        <v>277.45</v>
      </c>
      <c r="H5" s="173">
        <f>'Data Sheet'!G59</f>
        <v>270.83</v>
      </c>
      <c r="I5" s="173">
        <f>'Data Sheet'!H59</f>
        <v>249.44</v>
      </c>
      <c r="J5" s="173">
        <f>'Data Sheet'!I59</f>
        <v>306.04000000000002</v>
      </c>
      <c r="K5" s="173">
        <f>'Data Sheet'!J59</f>
        <v>303.43</v>
      </c>
      <c r="L5" s="173">
        <f>'Data Sheet'!K59</f>
        <v>284.54000000000002</v>
      </c>
    </row>
    <row r="6" spans="2:12" x14ac:dyDescent="0.2">
      <c r="B6" s="2" t="s">
        <v>8612</v>
      </c>
      <c r="C6" s="173">
        <f>'Data Sheet'!B69</f>
        <v>6063.3</v>
      </c>
      <c r="D6" s="173">
        <f>'Data Sheet'!C69</f>
        <v>2967.4</v>
      </c>
      <c r="E6" s="173">
        <f>'Data Sheet'!D69</f>
        <v>2899.6</v>
      </c>
      <c r="F6" s="173">
        <f>'Data Sheet'!E69</f>
        <v>4152.03</v>
      </c>
      <c r="G6" s="173">
        <f>'Data Sheet'!F69</f>
        <v>7277.34</v>
      </c>
      <c r="H6" s="173">
        <f>'Data Sheet'!G69</f>
        <v>4659.0200000000004</v>
      </c>
      <c r="I6" s="173">
        <f>'Data Sheet'!H69</f>
        <v>4654.42</v>
      </c>
      <c r="J6" s="173">
        <f>'Data Sheet'!I69</f>
        <v>4880.1899999999996</v>
      </c>
      <c r="K6" s="173">
        <f>'Data Sheet'!J69</f>
        <v>7217.68</v>
      </c>
      <c r="L6" s="173">
        <f>'Data Sheet'!K69</f>
        <v>4012.36</v>
      </c>
    </row>
    <row r="7" spans="2:12" x14ac:dyDescent="0.2">
      <c r="B7" s="2" t="s">
        <v>8613</v>
      </c>
      <c r="C7" s="173">
        <f>C4+C5-C6</f>
        <v>241628.80039999998</v>
      </c>
      <c r="D7" s="173">
        <f t="shared" ref="D7:L7" si="0">D4+D5-D6</f>
        <v>316251.25499999995</v>
      </c>
      <c r="E7" s="173">
        <f t="shared" si="0"/>
        <v>289429.30500000005</v>
      </c>
      <c r="F7" s="173">
        <f t="shared" si="0"/>
        <v>337435.04039999994</v>
      </c>
      <c r="G7" s="173">
        <f t="shared" si="0"/>
        <v>190843.06900000002</v>
      </c>
      <c r="H7" s="173">
        <f t="shared" si="0"/>
        <v>247720.65160000001</v>
      </c>
      <c r="I7" s="173">
        <f t="shared" si="0"/>
        <v>285143.27679999999</v>
      </c>
      <c r="J7" s="173">
        <f t="shared" si="0"/>
        <v>442200.022</v>
      </c>
      <c r="K7" s="173">
        <f t="shared" si="0"/>
        <v>494383.90909999999</v>
      </c>
      <c r="L7" s="173">
        <f t="shared" si="0"/>
        <v>509037.42750000005</v>
      </c>
    </row>
    <row r="8" spans="2:12" x14ac:dyDescent="0.2">
      <c r="B8" s="2" t="s">
        <v>66</v>
      </c>
      <c r="C8" s="173">
        <f>HistoricalFS!C22</f>
        <v>14531.49</v>
      </c>
      <c r="D8" s="173">
        <f>HistoricalFS!D22</f>
        <v>15469.51</v>
      </c>
      <c r="E8" s="173">
        <f>HistoricalFS!E22</f>
        <v>16520.590000000004</v>
      </c>
      <c r="F8" s="173">
        <f>HistoricalFS!F22</f>
        <v>18537.39</v>
      </c>
      <c r="G8" s="173">
        <f>HistoricalFS!G22</f>
        <v>19343.54</v>
      </c>
      <c r="H8" s="173">
        <f>HistoricalFS!H22</f>
        <v>17064.78</v>
      </c>
      <c r="I8" s="173">
        <f>HistoricalFS!I22</f>
        <v>20623.149999999994</v>
      </c>
      <c r="J8" s="173">
        <f>HistoricalFS!J22</f>
        <v>25704.259999999995</v>
      </c>
      <c r="K8" s="173">
        <f>HistoricalFS!K22</f>
        <v>25187.53</v>
      </c>
      <c r="L8" s="173">
        <f>HistoricalFS!L22</f>
        <v>25839.449999999997</v>
      </c>
    </row>
    <row r="9" spans="2:12" x14ac:dyDescent="0.2">
      <c r="B9" s="2" t="s">
        <v>8614</v>
      </c>
      <c r="C9" s="174">
        <f>C7/C8</f>
        <v>16.62794389288366</v>
      </c>
      <c r="D9" s="174">
        <f t="shared" ref="D9:L9" si="1">D7/D8</f>
        <v>20.443521158718017</v>
      </c>
      <c r="E9" s="174">
        <f t="shared" si="1"/>
        <v>17.519308027134624</v>
      </c>
      <c r="F9" s="174">
        <f t="shared" si="1"/>
        <v>18.202942291228698</v>
      </c>
      <c r="G9" s="174">
        <f t="shared" si="1"/>
        <v>9.8659846646477334</v>
      </c>
      <c r="H9" s="174">
        <f t="shared" si="1"/>
        <v>14.516486681926168</v>
      </c>
      <c r="I9" s="174">
        <f t="shared" si="1"/>
        <v>13.826368755500496</v>
      </c>
      <c r="J9" s="174">
        <f t="shared" si="1"/>
        <v>17.203374926957636</v>
      </c>
      <c r="K9" s="174">
        <f t="shared" si="1"/>
        <v>19.628121896033473</v>
      </c>
      <c r="L9" s="174">
        <f t="shared" si="1"/>
        <v>19.700010158884965</v>
      </c>
    </row>
    <row r="10" spans="2:12" x14ac:dyDescent="0.2">
      <c r="B10" s="2" t="s">
        <v>8615</v>
      </c>
      <c r="C10" s="173">
        <f>C7/'Data Sheet'!B17</f>
        <v>6.1652424952987968</v>
      </c>
      <c r="D10" s="173">
        <f>D7/'Data Sheet'!C17</f>
        <v>7.3946458300208562</v>
      </c>
      <c r="E10" s="173">
        <f>E7/'Data Sheet'!D17</f>
        <v>6.6613663072102574</v>
      </c>
      <c r="F10" s="173">
        <f>F7/'Data Sheet'!E17</f>
        <v>6.9805124579071629</v>
      </c>
      <c r="G10" s="173">
        <f>G7/'Data Sheet'!F17</f>
        <v>3.8641821546660409</v>
      </c>
      <c r="H10" s="173">
        <f>H7/'Data Sheet'!G17</f>
        <v>5.0291001990561837</v>
      </c>
      <c r="I10" s="173">
        <f>I7/'Data Sheet'!H17</f>
        <v>4.7018787973327854</v>
      </c>
      <c r="J10" s="173">
        <f>J7/'Data Sheet'!I17</f>
        <v>6.2352801779719771</v>
      </c>
      <c r="K10" s="173">
        <f>K7/'Data Sheet'!J17</f>
        <v>7.2776356615165119</v>
      </c>
      <c r="L10" s="173">
        <f>L7/'Data Sheet'!K17</f>
        <v>6.7580304789989407</v>
      </c>
    </row>
    <row r="11" spans="2:12" x14ac:dyDescent="0.2">
      <c r="B11" s="2" t="s">
        <v>8616</v>
      </c>
      <c r="C11" s="173">
        <f>SUM('Data Sheet'!B57:B58)</f>
        <v>42679.520000000004</v>
      </c>
      <c r="D11" s="173">
        <f>SUM('Data Sheet'!C57:C58)</f>
        <v>46412.93</v>
      </c>
      <c r="E11" s="173">
        <f>SUM('Data Sheet'!D57:D58)</f>
        <v>52510.11</v>
      </c>
      <c r="F11" s="173">
        <f>SUM('Data Sheet'!E57:E58)</f>
        <v>59140.87</v>
      </c>
      <c r="G11" s="173">
        <f>SUM('Data Sheet'!F57:F58)</f>
        <v>65273.26</v>
      </c>
      <c r="H11" s="173">
        <f>SUM('Data Sheet'!G57:G58)</f>
        <v>60347.34</v>
      </c>
      <c r="I11" s="173">
        <f>SUM('Data Sheet'!H57:H58)</f>
        <v>62455.57</v>
      </c>
      <c r="J11" s="173">
        <f>SUM('Data Sheet'!I57:I58)</f>
        <v>69155.260000000009</v>
      </c>
      <c r="K11" s="173">
        <f>SUM('Data Sheet'!J57:J58)</f>
        <v>74507</v>
      </c>
      <c r="L11" s="173">
        <f>SUM('Data Sheet'!K57:K58)</f>
        <v>70030.05</v>
      </c>
    </row>
    <row r="12" spans="2:12" x14ac:dyDescent="0.2">
      <c r="B12" s="2" t="s">
        <v>8618</v>
      </c>
      <c r="C12" s="173">
        <f>C4/C11</f>
        <v>5.8015722857239247</v>
      </c>
      <c r="D12" s="173">
        <f t="shared" ref="D12:L12" si="2">D4/D11</f>
        <v>6.8768107292515257</v>
      </c>
      <c r="E12" s="173">
        <f t="shared" si="2"/>
        <v>5.5664134963724132</v>
      </c>
      <c r="F12" s="173">
        <f t="shared" si="2"/>
        <v>5.7755936021908356</v>
      </c>
      <c r="G12" s="173">
        <f t="shared" si="2"/>
        <v>3.0309955255796939</v>
      </c>
      <c r="H12" s="173">
        <f t="shared" si="2"/>
        <v>4.177629728170289</v>
      </c>
      <c r="I12" s="173">
        <f t="shared" si="2"/>
        <v>4.6360677966753006</v>
      </c>
      <c r="J12" s="173">
        <f t="shared" si="2"/>
        <v>6.4604510488428497</v>
      </c>
      <c r="K12" s="173">
        <f t="shared" si="2"/>
        <v>6.728202170265881</v>
      </c>
      <c r="L12" s="173">
        <f t="shared" si="2"/>
        <v>7.3220745594212779</v>
      </c>
    </row>
    <row r="13" spans="2:12" x14ac:dyDescent="0.2">
      <c r="B13" s="2" t="str">
        <f>'Ratio Analysis'!B27</f>
        <v>Return on Capital Employed (%)</v>
      </c>
      <c r="C13" s="21">
        <f>'Ratio Analysis'!C27</f>
        <v>0.31461767450126626</v>
      </c>
      <c r="D13" s="21">
        <f>'Ratio Analysis'!D27</f>
        <v>0.30816048249357225</v>
      </c>
      <c r="E13" s="21">
        <f>'Ratio Analysis'!E27</f>
        <v>0.29087468644158282</v>
      </c>
      <c r="F13" s="21">
        <f>'Ratio Analysis'!F27</f>
        <v>0.28976383969316855</v>
      </c>
      <c r="G13" s="21">
        <f>'Ratio Analysis'!G27</f>
        <v>0.26999905874398611</v>
      </c>
      <c r="H13" s="21">
        <f>'Ratio Analysis'!H27</f>
        <v>0.25436581143904541</v>
      </c>
      <c r="I13" s="21">
        <f>'Ratio Analysis'!I27</f>
        <v>0.30126364703553982</v>
      </c>
      <c r="J13" s="21">
        <f>'Ratio Analysis'!J27</f>
        <v>0.34400810235339674</v>
      </c>
      <c r="K13" s="21">
        <f>'Ratio Analysis'!K27</f>
        <v>0.31639278106007412</v>
      </c>
      <c r="L13" s="21">
        <f>'Ratio Analysis'!L27</f>
        <v>0.3440698438261533</v>
      </c>
    </row>
    <row r="14" spans="2:12" x14ac:dyDescent="0.2">
      <c r="B14" s="2" t="s">
        <v>8617</v>
      </c>
      <c r="C14" s="28">
        <f>'Data Sheet'!B90/HistoricalFS!C45</f>
        <v>30.882519459948238</v>
      </c>
      <c r="D14" s="28">
        <f>'Data Sheet'!C90/HistoricalFS!D45</f>
        <v>36.608278278622713</v>
      </c>
      <c r="E14" s="28">
        <f>'Data Sheet'!D90/HistoricalFS!E45</f>
        <v>31.58944035742423</v>
      </c>
      <c r="F14" s="28">
        <f>'Data Sheet'!E90/HistoricalFS!F45</f>
        <v>31.758161008455232</v>
      </c>
      <c r="G14" s="28">
        <f>'Data Sheet'!F90/HistoricalFS!G45</f>
        <v>15.016019099143408</v>
      </c>
      <c r="H14" s="28">
        <f>'Data Sheet'!G90/HistoricalFS!H45</f>
        <v>23.330601031100514</v>
      </c>
      <c r="I14" s="28">
        <f>'Data Sheet'!H90/HistoricalFS!I45</f>
        <v>21.30063441035032</v>
      </c>
      <c r="J14" s="28">
        <f>'Data Sheet'!I90/HistoricalFS!J45</f>
        <v>25.707584751321711</v>
      </c>
      <c r="K14" s="28">
        <f>'Data Sheet'!J90/HistoricalFS!K45</f>
        <v>28.775658625180888</v>
      </c>
      <c r="L14" s="28">
        <f>'Data Sheet'!K90/HistoricalFS!L45</f>
        <v>29.712430900009281</v>
      </c>
    </row>
    <row r="16" spans="2:12" x14ac:dyDescent="0.2">
      <c r="B16" s="2" t="s">
        <v>8625</v>
      </c>
      <c r="C16" s="171" t="s">
        <v>8634</v>
      </c>
      <c r="D16" s="171" t="s">
        <v>8626</v>
      </c>
      <c r="E16" s="171" t="s">
        <v>8635</v>
      </c>
    </row>
    <row r="17" spans="2:6" x14ac:dyDescent="0.2">
      <c r="B17" s="140" t="s">
        <v>8630</v>
      </c>
      <c r="C17" s="28">
        <v>222.8495863</v>
      </c>
      <c r="D17" s="15">
        <v>0.17809999999999998</v>
      </c>
      <c r="E17" s="28">
        <f>C17*'Data Sheet'!$B$8</f>
        <v>91312.617986425001</v>
      </c>
      <c r="F17">
        <v>10000000</v>
      </c>
    </row>
    <row r="18" spans="2:6" x14ac:dyDescent="0.2">
      <c r="B18" s="140" t="s">
        <v>8529</v>
      </c>
      <c r="C18" s="28">
        <v>197.70108769999999</v>
      </c>
      <c r="D18" s="15">
        <v>0.158</v>
      </c>
      <c r="E18" s="28">
        <f>C18*'Data Sheet'!$B$8</f>
        <v>81008.020685074996</v>
      </c>
      <c r="F18">
        <v>100</v>
      </c>
    </row>
    <row r="19" spans="2:6" ht="15.6" customHeight="1" x14ac:dyDescent="0.2">
      <c r="B19" s="140" t="s">
        <v>8640</v>
      </c>
      <c r="C19" s="28">
        <v>97.453142700000001</v>
      </c>
      <c r="D19" s="15">
        <v>7.7899999999999997E-2</v>
      </c>
      <c r="E19" s="28">
        <f>C19*'Data Sheet'!$B$8</f>
        <v>39931.425221325</v>
      </c>
    </row>
    <row r="20" spans="2:6" x14ac:dyDescent="0.2">
      <c r="B20" s="140" t="s">
        <v>8631</v>
      </c>
      <c r="C20" s="28">
        <v>48.631194000000001</v>
      </c>
      <c r="D20" s="15">
        <v>3.8900000000000004E-2</v>
      </c>
      <c r="E20" s="28">
        <f>C20*'Data Sheet'!$B$8</f>
        <v>19926.631741500001</v>
      </c>
    </row>
    <row r="21" spans="2:6" x14ac:dyDescent="0.2">
      <c r="B21" s="140" t="s">
        <v>8627</v>
      </c>
      <c r="C21" s="28">
        <v>43.517441400000003</v>
      </c>
      <c r="D21" s="15">
        <v>3.4799999999999998E-2</v>
      </c>
      <c r="E21" s="28">
        <f>C21*'Data Sheet'!$B$8</f>
        <v>17831.271613650002</v>
      </c>
    </row>
    <row r="22" spans="2:6" x14ac:dyDescent="0.2">
      <c r="B22" s="140" t="s">
        <v>8628</v>
      </c>
      <c r="C22" s="28">
        <v>27.619721200000001</v>
      </c>
      <c r="D22" s="15">
        <v>2.2099999999999998E-2</v>
      </c>
      <c r="E22" s="28">
        <f>C22*'Data Sheet'!$B$8</f>
        <v>11317.180761699999</v>
      </c>
    </row>
    <row r="23" spans="2:6" x14ac:dyDescent="0.2">
      <c r="B23" s="140" t="s">
        <v>8639</v>
      </c>
      <c r="C23" s="28">
        <v>26.390174099999999</v>
      </c>
      <c r="D23" s="15">
        <v>2.1099999999999997E-2</v>
      </c>
      <c r="E23" s="28">
        <f>C23*'Data Sheet'!$B$8</f>
        <v>10813.373837474999</v>
      </c>
    </row>
    <row r="24" spans="2:6" x14ac:dyDescent="0.2">
      <c r="B24" s="140" t="s">
        <v>8633</v>
      </c>
      <c r="C24" s="28">
        <v>21.708550800000001</v>
      </c>
      <c r="D24" s="15">
        <v>1.7299999999999999E-2</v>
      </c>
      <c r="E24" s="28">
        <f>C24*'Data Sheet'!$B$8</f>
        <v>8895.0786903000007</v>
      </c>
    </row>
    <row r="25" spans="2:6" x14ac:dyDescent="0.2">
      <c r="B25" s="140" t="s">
        <v>8632</v>
      </c>
      <c r="C25" s="28">
        <v>20.709179500000001</v>
      </c>
      <c r="D25" s="15">
        <v>1.6500000000000001E-2</v>
      </c>
      <c r="E25" s="28">
        <f>C25*'Data Sheet'!$B$8</f>
        <v>8485.586300125</v>
      </c>
    </row>
    <row r="26" spans="2:6" x14ac:dyDescent="0.2">
      <c r="B26" s="140" t="s">
        <v>8629</v>
      </c>
      <c r="C26" s="28">
        <v>19.633872199999999</v>
      </c>
      <c r="D26" s="15">
        <v>1.5700000000000002E-2</v>
      </c>
      <c r="E26" s="28">
        <f>C26*'Data Sheet'!$B$8</f>
        <v>8044.9791339499998</v>
      </c>
    </row>
    <row r="28" spans="2:6" x14ac:dyDescent="0.2">
      <c r="B28" s="175" t="s">
        <v>8641</v>
      </c>
      <c r="C28" s="176" t="s">
        <v>8642</v>
      </c>
    </row>
    <row r="29" spans="2:6" x14ac:dyDescent="0.2">
      <c r="B29" s="140" t="s">
        <v>8643</v>
      </c>
      <c r="C29" s="21">
        <v>0.37980000000000003</v>
      </c>
    </row>
    <row r="30" spans="2:6" x14ac:dyDescent="0.2">
      <c r="B30" s="140" t="s">
        <v>8644</v>
      </c>
      <c r="C30" s="21">
        <v>0.46910000000000002</v>
      </c>
    </row>
    <row r="31" spans="2:6" x14ac:dyDescent="0.2">
      <c r="B31" s="140" t="s">
        <v>8645</v>
      </c>
      <c r="C31" s="21">
        <v>4.0000000000000002E-4</v>
      </c>
    </row>
    <row r="32" spans="2:6" x14ac:dyDescent="0.2">
      <c r="B32" s="140" t="s">
        <v>8646</v>
      </c>
      <c r="C32" s="21">
        <v>0.1507</v>
      </c>
    </row>
    <row r="39" spans="2:2" x14ac:dyDescent="0.2">
      <c r="B39" t="s">
        <v>8673</v>
      </c>
    </row>
  </sheetData>
  <mergeCells count="1">
    <mergeCell ref="C2:L2"/>
  </mergeCells>
  <pageMargins left="0.7" right="0.7" top="0.75" bottom="0.75" header="0.3" footer="0.3"/>
  <pageSetup orientation="portrait" r:id="rId1"/>
  <ignoredErrors>
    <ignoredError sqref="C11:L11" formulaRange="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817B-A275-480C-9929-27665A63A3DA}">
  <dimension ref="B1:N32"/>
  <sheetViews>
    <sheetView showGridLines="0" zoomScaleNormal="100" workbookViewId="0">
      <selection activeCell="B2" sqref="B2:N2"/>
    </sheetView>
  </sheetViews>
  <sheetFormatPr defaultRowHeight="15" x14ac:dyDescent="0.2"/>
  <cols>
    <col min="1" max="1" width="1.8828125" customWidth="1"/>
    <col min="2" max="2" width="26.6328125" bestFit="1" customWidth="1"/>
    <col min="3" max="4" width="7.12890625" bestFit="1" customWidth="1"/>
    <col min="5" max="5" width="8.609375" bestFit="1" customWidth="1"/>
    <col min="6" max="8" width="7.12890625" bestFit="1" customWidth="1"/>
    <col min="9" max="9" width="7.12890625" customWidth="1"/>
    <col min="10" max="14" width="7.12890625" bestFit="1" customWidth="1"/>
  </cols>
  <sheetData>
    <row r="1" spans="2:14" ht="18.75" x14ac:dyDescent="0.25">
      <c r="B1" s="25" t="str">
        <f>'Data Sheet'!B1</f>
        <v>ITC LTD</v>
      </c>
    </row>
    <row r="2" spans="2:14" x14ac:dyDescent="0.2">
      <c r="B2" s="91" t="s">
        <v>154</v>
      </c>
      <c r="C2" s="92">
        <v>41699</v>
      </c>
      <c r="D2" s="92">
        <v>42064</v>
      </c>
      <c r="E2" s="92">
        <v>42430</v>
      </c>
      <c r="F2" s="92">
        <v>42795</v>
      </c>
      <c r="G2" s="92">
        <v>43160</v>
      </c>
      <c r="H2" s="92">
        <v>43525</v>
      </c>
      <c r="I2" s="92">
        <v>43891</v>
      </c>
      <c r="J2" s="92">
        <v>44256</v>
      </c>
      <c r="K2" s="92">
        <v>44621</v>
      </c>
      <c r="L2" s="92">
        <v>44986</v>
      </c>
      <c r="M2" s="92">
        <v>45352</v>
      </c>
      <c r="N2" s="92">
        <v>45717</v>
      </c>
    </row>
    <row r="3" spans="2:14" x14ac:dyDescent="0.2">
      <c r="B3" s="2" t="s">
        <v>86</v>
      </c>
      <c r="C3" s="26">
        <v>7344</v>
      </c>
      <c r="D3" s="26">
        <v>9843</v>
      </c>
      <c r="E3" s="26">
        <v>9799</v>
      </c>
      <c r="F3" s="26">
        <v>10627</v>
      </c>
      <c r="G3" s="26">
        <v>13169</v>
      </c>
      <c r="H3" s="26">
        <v>12583</v>
      </c>
      <c r="I3" s="26">
        <v>14690</v>
      </c>
      <c r="J3" s="26">
        <v>12527</v>
      </c>
      <c r="K3" s="26">
        <v>15776</v>
      </c>
      <c r="L3" s="26">
        <v>18878</v>
      </c>
      <c r="M3" s="26">
        <v>17179</v>
      </c>
      <c r="N3" s="26">
        <v>17627</v>
      </c>
    </row>
    <row r="4" spans="2:14" x14ac:dyDescent="0.2">
      <c r="B4" t="s">
        <v>87</v>
      </c>
      <c r="C4" s="18">
        <v>13172</v>
      </c>
      <c r="D4" s="18">
        <v>14261</v>
      </c>
      <c r="E4" s="18">
        <v>15154</v>
      </c>
      <c r="F4" s="18">
        <v>16075</v>
      </c>
      <c r="G4" s="18">
        <v>17433</v>
      </c>
      <c r="H4" s="18">
        <v>18862</v>
      </c>
      <c r="I4" s="18">
        <v>19416</v>
      </c>
      <c r="J4" s="18">
        <v>17326</v>
      </c>
      <c r="K4" s="18">
        <v>20857</v>
      </c>
      <c r="L4" s="18">
        <v>26052</v>
      </c>
      <c r="M4" s="18">
        <v>26635</v>
      </c>
      <c r="N4" s="18">
        <v>26719</v>
      </c>
    </row>
    <row r="5" spans="2:14" x14ac:dyDescent="0.2">
      <c r="B5" t="s">
        <v>43</v>
      </c>
      <c r="C5">
        <v>-1546</v>
      </c>
      <c r="D5" s="18">
        <v>558</v>
      </c>
      <c r="E5" s="18">
        <v>-207</v>
      </c>
      <c r="F5" s="18">
        <v>-870</v>
      </c>
      <c r="G5" s="18">
        <v>-964</v>
      </c>
      <c r="H5" s="18">
        <v>-755</v>
      </c>
      <c r="I5" s="18">
        <v>1411</v>
      </c>
      <c r="J5" s="18">
        <v>-66</v>
      </c>
      <c r="K5">
        <v>-732</v>
      </c>
      <c r="L5" s="18">
        <v>-884</v>
      </c>
      <c r="M5" s="18">
        <v>-934</v>
      </c>
      <c r="N5" s="18">
        <v>-1023</v>
      </c>
    </row>
    <row r="6" spans="2:14" x14ac:dyDescent="0.2">
      <c r="B6" t="s">
        <v>29</v>
      </c>
      <c r="C6" s="18">
        <v>-755</v>
      </c>
      <c r="D6" s="18">
        <v>-505</v>
      </c>
      <c r="E6" s="18">
        <v>-693</v>
      </c>
      <c r="F6" s="18">
        <v>593</v>
      </c>
      <c r="G6" s="18">
        <v>602</v>
      </c>
      <c r="H6" s="18">
        <v>-359</v>
      </c>
      <c r="I6" s="18">
        <v>-508</v>
      </c>
      <c r="J6" s="18">
        <v>-1460</v>
      </c>
      <c r="K6" s="18">
        <v>-466</v>
      </c>
      <c r="L6" s="18">
        <v>-1098</v>
      </c>
      <c r="M6" s="18">
        <v>-2545</v>
      </c>
      <c r="N6" s="18">
        <v>-2975</v>
      </c>
    </row>
    <row r="7" spans="2:14" x14ac:dyDescent="0.2">
      <c r="B7" t="s">
        <v>88</v>
      </c>
      <c r="C7" s="18">
        <v>456</v>
      </c>
      <c r="D7" s="18">
        <v>-23</v>
      </c>
      <c r="E7" s="18">
        <v>622</v>
      </c>
      <c r="F7" s="18">
        <v>321</v>
      </c>
      <c r="G7" s="18">
        <v>2098</v>
      </c>
      <c r="H7" s="18">
        <v>639</v>
      </c>
      <c r="I7" s="18">
        <v>-607</v>
      </c>
      <c r="J7" s="18">
        <v>1112</v>
      </c>
      <c r="K7" s="18">
        <v>1099</v>
      </c>
      <c r="L7" s="18">
        <v>1058</v>
      </c>
      <c r="M7" s="18">
        <v>141</v>
      </c>
      <c r="N7" s="18">
        <v>1256</v>
      </c>
    </row>
    <row r="8" spans="2:14" x14ac:dyDescent="0.2">
      <c r="B8" t="s">
        <v>89</v>
      </c>
      <c r="C8">
        <v>-1844</v>
      </c>
      <c r="D8">
        <v>31</v>
      </c>
      <c r="E8">
        <v>-277</v>
      </c>
      <c r="F8">
        <v>44</v>
      </c>
      <c r="G8">
        <v>1736</v>
      </c>
      <c r="H8">
        <v>-476</v>
      </c>
      <c r="I8">
        <v>296</v>
      </c>
      <c r="J8">
        <v>-413</v>
      </c>
      <c r="K8">
        <v>-100</v>
      </c>
      <c r="L8" s="18">
        <v>-924</v>
      </c>
      <c r="M8">
        <v>-3337</v>
      </c>
      <c r="N8" s="18">
        <v>-2742</v>
      </c>
    </row>
    <row r="9" spans="2:14" x14ac:dyDescent="0.2">
      <c r="B9" t="s">
        <v>90</v>
      </c>
      <c r="C9" s="18">
        <v>-3984</v>
      </c>
      <c r="D9">
        <v>-4449</v>
      </c>
      <c r="E9" s="18">
        <v>-5078</v>
      </c>
      <c r="F9" s="18">
        <v>-5492</v>
      </c>
      <c r="G9">
        <v>-6000</v>
      </c>
      <c r="H9" s="18">
        <v>-5803</v>
      </c>
      <c r="I9">
        <v>-5023</v>
      </c>
      <c r="J9" s="18">
        <v>-4387</v>
      </c>
      <c r="K9" s="18">
        <v>-4982</v>
      </c>
      <c r="L9" s="18">
        <v>-6250</v>
      </c>
      <c r="M9" s="18">
        <v>-6120</v>
      </c>
      <c r="N9" s="18">
        <v>-6350</v>
      </c>
    </row>
    <row r="10" spans="2:14" x14ac:dyDescent="0.2">
      <c r="B10" s="2" t="s">
        <v>91</v>
      </c>
      <c r="C10" s="26">
        <v>-3254</v>
      </c>
      <c r="D10" s="26">
        <v>-5275</v>
      </c>
      <c r="E10" s="26">
        <v>-3921</v>
      </c>
      <c r="F10" s="26">
        <v>-3251</v>
      </c>
      <c r="G10" s="26">
        <v>-7114</v>
      </c>
      <c r="H10" s="26">
        <v>-5546</v>
      </c>
      <c r="I10" s="26">
        <v>-6174</v>
      </c>
      <c r="J10" s="26">
        <v>5740</v>
      </c>
      <c r="K10" s="26">
        <v>-2238</v>
      </c>
      <c r="L10" s="26">
        <v>-5732</v>
      </c>
      <c r="M10" s="26">
        <v>1563</v>
      </c>
      <c r="N10" s="26">
        <v>-564</v>
      </c>
    </row>
    <row r="11" spans="2:14" x14ac:dyDescent="0.2">
      <c r="B11" t="s">
        <v>92</v>
      </c>
      <c r="C11" s="18">
        <v>-2887</v>
      </c>
      <c r="D11" s="18">
        <v>-3300</v>
      </c>
      <c r="E11" s="18">
        <v>-2348</v>
      </c>
      <c r="F11" s="18">
        <v>-3122</v>
      </c>
      <c r="G11" s="18">
        <v>-2878</v>
      </c>
      <c r="H11" s="18">
        <v>-3169</v>
      </c>
      <c r="I11" s="18">
        <v>-2441</v>
      </c>
      <c r="J11" s="18">
        <v>-1837</v>
      </c>
      <c r="K11" s="18">
        <v>-2142</v>
      </c>
      <c r="L11" s="18">
        <v>-2743</v>
      </c>
      <c r="M11" s="18">
        <v>-3563</v>
      </c>
      <c r="N11" s="18">
        <v>-2279</v>
      </c>
    </row>
    <row r="12" spans="2:14" x14ac:dyDescent="0.2">
      <c r="B12" t="s">
        <v>93</v>
      </c>
      <c r="C12" s="18">
        <v>38</v>
      </c>
      <c r="D12" s="18">
        <v>9</v>
      </c>
      <c r="E12" s="18">
        <v>8</v>
      </c>
      <c r="F12" s="18">
        <v>50</v>
      </c>
      <c r="G12" s="18">
        <v>80</v>
      </c>
      <c r="H12" s="18">
        <v>28</v>
      </c>
      <c r="I12" s="18">
        <v>27</v>
      </c>
      <c r="J12" s="18">
        <v>3</v>
      </c>
      <c r="K12" s="18">
        <v>133</v>
      </c>
      <c r="L12" s="18">
        <v>49</v>
      </c>
      <c r="M12" s="18">
        <v>107</v>
      </c>
      <c r="N12" s="18">
        <v>175</v>
      </c>
    </row>
    <row r="13" spans="2:14" x14ac:dyDescent="0.2">
      <c r="B13" t="s">
        <v>94</v>
      </c>
      <c r="C13" s="18">
        <v>-94242</v>
      </c>
      <c r="D13" s="18">
        <v>-98742</v>
      </c>
      <c r="E13" s="18">
        <v>-154081</v>
      </c>
      <c r="F13" s="18">
        <v>-85683</v>
      </c>
      <c r="G13" s="18">
        <v>-98330</v>
      </c>
      <c r="H13" s="18">
        <v>-94187</v>
      </c>
      <c r="I13" s="18">
        <v>-79835</v>
      </c>
      <c r="J13" s="18">
        <v>-57553</v>
      </c>
      <c r="K13" s="18">
        <v>-69776</v>
      </c>
      <c r="L13" s="18">
        <v>-80932</v>
      </c>
      <c r="M13" s="18">
        <v>-75107</v>
      </c>
      <c r="N13" s="18">
        <v>-66373</v>
      </c>
    </row>
    <row r="14" spans="2:14" x14ac:dyDescent="0.2">
      <c r="B14" t="s">
        <v>95</v>
      </c>
      <c r="C14">
        <v>93293</v>
      </c>
      <c r="D14">
        <v>99658</v>
      </c>
      <c r="E14">
        <v>150651</v>
      </c>
      <c r="F14">
        <v>81034</v>
      </c>
      <c r="G14">
        <v>95017</v>
      </c>
      <c r="H14">
        <v>92454</v>
      </c>
      <c r="I14">
        <v>75835</v>
      </c>
      <c r="J14">
        <v>62797</v>
      </c>
      <c r="K14">
        <v>70992</v>
      </c>
      <c r="L14">
        <v>77230</v>
      </c>
      <c r="M14">
        <v>77830</v>
      </c>
      <c r="N14" s="18">
        <v>67311</v>
      </c>
    </row>
    <row r="15" spans="2:14" x14ac:dyDescent="0.2">
      <c r="B15" t="s">
        <v>96</v>
      </c>
      <c r="C15">
        <v>374</v>
      </c>
      <c r="D15" s="18">
        <v>559</v>
      </c>
      <c r="E15" s="18">
        <v>741</v>
      </c>
      <c r="F15">
        <v>756</v>
      </c>
      <c r="G15">
        <v>736</v>
      </c>
      <c r="H15">
        <v>1184</v>
      </c>
      <c r="I15" s="18">
        <v>1513</v>
      </c>
      <c r="J15" s="18">
        <v>1275</v>
      </c>
      <c r="K15" s="18">
        <v>1035</v>
      </c>
      <c r="L15">
        <v>1324</v>
      </c>
      <c r="M15">
        <v>1138</v>
      </c>
      <c r="N15" s="18">
        <v>1072</v>
      </c>
    </row>
    <row r="16" spans="2:14" x14ac:dyDescent="0.2">
      <c r="B16" t="s">
        <v>97</v>
      </c>
      <c r="C16">
        <v>192</v>
      </c>
      <c r="D16">
        <v>268</v>
      </c>
      <c r="E16">
        <v>64</v>
      </c>
      <c r="F16" s="18">
        <v>4</v>
      </c>
      <c r="G16" s="18">
        <v>13</v>
      </c>
      <c r="H16" s="18">
        <v>13</v>
      </c>
      <c r="I16">
        <v>17</v>
      </c>
      <c r="J16">
        <v>7</v>
      </c>
      <c r="K16">
        <v>16</v>
      </c>
      <c r="L16" s="18">
        <v>19</v>
      </c>
      <c r="M16" s="18">
        <v>36</v>
      </c>
      <c r="N16">
        <v>38</v>
      </c>
    </row>
    <row r="17" spans="2:14" x14ac:dyDescent="0.2">
      <c r="B17" t="s">
        <v>300</v>
      </c>
      <c r="C17">
        <v>0</v>
      </c>
      <c r="D17">
        <v>0</v>
      </c>
      <c r="E17">
        <v>-8</v>
      </c>
      <c r="F17">
        <v>0</v>
      </c>
      <c r="G17">
        <v>0</v>
      </c>
      <c r="H17">
        <v>0</v>
      </c>
      <c r="I17" s="18">
        <v>0</v>
      </c>
      <c r="J17">
        <v>0</v>
      </c>
      <c r="K17">
        <v>0</v>
      </c>
      <c r="L17">
        <v>0</v>
      </c>
      <c r="M17" s="18">
        <v>0</v>
      </c>
      <c r="N17" s="18">
        <v>0</v>
      </c>
    </row>
    <row r="18" spans="2:14" x14ac:dyDescent="0.2">
      <c r="B18" t="s">
        <v>301</v>
      </c>
      <c r="C18">
        <v>0</v>
      </c>
      <c r="D18">
        <v>0</v>
      </c>
      <c r="E18">
        <v>0</v>
      </c>
      <c r="F18">
        <v>0</v>
      </c>
      <c r="G18" s="18">
        <v>0</v>
      </c>
      <c r="H18">
        <v>0</v>
      </c>
      <c r="I18">
        <v>0</v>
      </c>
      <c r="J18">
        <v>-2</v>
      </c>
      <c r="K18">
        <v>-2</v>
      </c>
      <c r="L18">
        <v>-2</v>
      </c>
      <c r="M18">
        <v>-65</v>
      </c>
      <c r="N18">
        <v>-30</v>
      </c>
    </row>
    <row r="19" spans="2:14" x14ac:dyDescent="0.2">
      <c r="B19" t="s">
        <v>98</v>
      </c>
      <c r="C19">
        <v>0</v>
      </c>
      <c r="D19">
        <v>0</v>
      </c>
      <c r="E19">
        <v>0</v>
      </c>
      <c r="F19">
        <v>129</v>
      </c>
      <c r="G19">
        <v>18</v>
      </c>
      <c r="H19">
        <v>18</v>
      </c>
      <c r="I19">
        <v>0</v>
      </c>
      <c r="J19">
        <v>0</v>
      </c>
      <c r="K19">
        <v>0</v>
      </c>
      <c r="L19">
        <v>56</v>
      </c>
      <c r="M19" s="18">
        <v>0</v>
      </c>
      <c r="N19" s="18">
        <v>0</v>
      </c>
    </row>
    <row r="20" spans="2:14" x14ac:dyDescent="0.2">
      <c r="B20" t="s">
        <v>99</v>
      </c>
      <c r="C20">
        <v>-21</v>
      </c>
      <c r="D20">
        <v>-3728</v>
      </c>
      <c r="E20">
        <v>1052</v>
      </c>
      <c r="F20">
        <v>3579</v>
      </c>
      <c r="G20">
        <v>-1769</v>
      </c>
      <c r="H20">
        <v>-1887</v>
      </c>
      <c r="I20">
        <v>-1290</v>
      </c>
      <c r="J20">
        <v>1051</v>
      </c>
      <c r="K20">
        <v>-2494</v>
      </c>
      <c r="L20">
        <v>-733</v>
      </c>
      <c r="M20" s="18">
        <v>1187</v>
      </c>
      <c r="N20">
        <v>-478</v>
      </c>
    </row>
    <row r="21" spans="2:14" x14ac:dyDescent="0.2">
      <c r="B21" s="2" t="s">
        <v>100</v>
      </c>
      <c r="C21" s="2">
        <v>-4122</v>
      </c>
      <c r="D21" s="2">
        <v>-4661</v>
      </c>
      <c r="E21" s="2">
        <v>-5613</v>
      </c>
      <c r="F21" s="26">
        <v>-7301</v>
      </c>
      <c r="G21" s="2">
        <v>-6221</v>
      </c>
      <c r="H21" s="2">
        <v>-6869</v>
      </c>
      <c r="I21" s="2">
        <v>-8181</v>
      </c>
      <c r="J21" s="2">
        <v>-18634</v>
      </c>
      <c r="K21" s="2">
        <v>-13580</v>
      </c>
      <c r="L21" s="26">
        <v>-13006</v>
      </c>
      <c r="M21" s="2">
        <v>-18551</v>
      </c>
      <c r="N21" s="26">
        <v>-17037</v>
      </c>
    </row>
    <row r="22" spans="2:14" x14ac:dyDescent="0.2">
      <c r="B22" t="s">
        <v>101</v>
      </c>
      <c r="C22">
        <v>691</v>
      </c>
      <c r="D22">
        <v>979</v>
      </c>
      <c r="E22">
        <v>532</v>
      </c>
      <c r="F22">
        <v>1067</v>
      </c>
      <c r="G22" s="18">
        <v>913</v>
      </c>
      <c r="H22">
        <v>969</v>
      </c>
      <c r="I22">
        <v>625</v>
      </c>
      <c r="J22" s="18">
        <v>291</v>
      </c>
      <c r="K22">
        <v>292</v>
      </c>
      <c r="L22" s="18">
        <v>2477</v>
      </c>
      <c r="M22" s="18">
        <v>1443</v>
      </c>
      <c r="N22" s="18">
        <v>797</v>
      </c>
    </row>
    <row r="23" spans="2:14" x14ac:dyDescent="0.2">
      <c r="B23" t="s">
        <v>102</v>
      </c>
      <c r="C23" s="18">
        <v>156</v>
      </c>
      <c r="D23">
        <v>7</v>
      </c>
      <c r="E23" s="18">
        <v>0</v>
      </c>
      <c r="F23" s="18">
        <v>0</v>
      </c>
      <c r="G23" s="18">
        <v>11</v>
      </c>
      <c r="H23" s="18">
        <v>0</v>
      </c>
      <c r="I23" s="18">
        <v>0</v>
      </c>
      <c r="J23" s="18">
        <v>0</v>
      </c>
      <c r="K23" s="18">
        <v>0</v>
      </c>
      <c r="L23" s="18">
        <v>0</v>
      </c>
      <c r="M23" s="18">
        <v>8</v>
      </c>
      <c r="N23" s="18">
        <v>90</v>
      </c>
    </row>
    <row r="24" spans="2:14" x14ac:dyDescent="0.2">
      <c r="B24" t="s">
        <v>103</v>
      </c>
      <c r="C24" s="18">
        <v>-15</v>
      </c>
      <c r="D24" s="18">
        <v>-20</v>
      </c>
      <c r="E24" s="18">
        <v>-13</v>
      </c>
      <c r="F24" s="18">
        <v>-13</v>
      </c>
      <c r="G24" s="18">
        <v>-8</v>
      </c>
      <c r="H24" s="18">
        <v>-18</v>
      </c>
      <c r="I24" s="18">
        <v>-3</v>
      </c>
      <c r="J24" s="18">
        <v>-2</v>
      </c>
      <c r="K24" s="18">
        <v>-1</v>
      </c>
      <c r="L24" s="18">
        <v>-1</v>
      </c>
      <c r="M24" s="18">
        <v>-2</v>
      </c>
      <c r="N24" s="18">
        <v>-54</v>
      </c>
    </row>
    <row r="25" spans="2:14" x14ac:dyDescent="0.2">
      <c r="B25" t="s">
        <v>104</v>
      </c>
      <c r="C25">
        <v>-48</v>
      </c>
      <c r="D25">
        <v>-16</v>
      </c>
      <c r="E25" s="18">
        <v>-28</v>
      </c>
      <c r="F25">
        <v>-25</v>
      </c>
      <c r="G25">
        <v>-49</v>
      </c>
      <c r="H25">
        <v>-98</v>
      </c>
      <c r="I25" s="18">
        <v>-44</v>
      </c>
      <c r="J25" s="18">
        <v>-41</v>
      </c>
      <c r="K25">
        <v>-40</v>
      </c>
      <c r="L25">
        <v>-41</v>
      </c>
      <c r="M25">
        <v>-46</v>
      </c>
      <c r="N25" s="18">
        <v>-50</v>
      </c>
    </row>
    <row r="26" spans="2:14" x14ac:dyDescent="0.2">
      <c r="B26" t="s">
        <v>105</v>
      </c>
      <c r="C26">
        <v>-4239</v>
      </c>
      <c r="D26">
        <v>-4876</v>
      </c>
      <c r="E26">
        <v>-5133</v>
      </c>
      <c r="F26">
        <v>-6994</v>
      </c>
      <c r="G26">
        <v>-5952</v>
      </c>
      <c r="H26">
        <v>-6519</v>
      </c>
      <c r="I26">
        <v>-7302</v>
      </c>
      <c r="J26">
        <v>-18881</v>
      </c>
      <c r="K26">
        <v>-13788</v>
      </c>
      <c r="L26">
        <v>-15418</v>
      </c>
      <c r="M26">
        <v>-19899</v>
      </c>
      <c r="N26">
        <v>-17782</v>
      </c>
    </row>
    <row r="27" spans="2:14" x14ac:dyDescent="0.2">
      <c r="B27" t="s">
        <v>106</v>
      </c>
      <c r="C27" s="18">
        <v>0</v>
      </c>
      <c r="D27" s="18">
        <v>0</v>
      </c>
      <c r="E27" s="18">
        <v>0</v>
      </c>
      <c r="F27" s="18">
        <v>0</v>
      </c>
      <c r="G27" s="18">
        <v>0</v>
      </c>
      <c r="H27" s="18">
        <v>0</v>
      </c>
      <c r="I27" s="18">
        <v>-49</v>
      </c>
      <c r="J27" s="18">
        <v>-55</v>
      </c>
      <c r="K27" s="18">
        <v>-59</v>
      </c>
      <c r="L27" s="18">
        <v>-59</v>
      </c>
      <c r="M27" s="18">
        <v>-67</v>
      </c>
      <c r="N27" s="18">
        <v>-66</v>
      </c>
    </row>
    <row r="28" spans="2:14" x14ac:dyDescent="0.2">
      <c r="B28" t="s">
        <v>107</v>
      </c>
      <c r="C28" s="18">
        <v>-667</v>
      </c>
      <c r="D28" s="18">
        <v>-734</v>
      </c>
      <c r="E28" s="18">
        <v>-971</v>
      </c>
      <c r="F28" s="18">
        <v>-1335</v>
      </c>
      <c r="G28" s="18">
        <v>-1136</v>
      </c>
      <c r="H28" s="18">
        <v>-1203</v>
      </c>
      <c r="I28" s="18">
        <v>-1409</v>
      </c>
      <c r="J28" s="18">
        <v>55</v>
      </c>
      <c r="K28" s="18">
        <v>15</v>
      </c>
      <c r="L28" s="18">
        <v>35</v>
      </c>
      <c r="M28" s="18">
        <v>12</v>
      </c>
      <c r="N28" s="18">
        <v>28</v>
      </c>
    </row>
    <row r="29" spans="2:14" x14ac:dyDescent="0.2">
      <c r="B29" t="s">
        <v>20</v>
      </c>
      <c r="C29" s="18">
        <v>-32</v>
      </c>
      <c r="D29" s="18">
        <v>-93</v>
      </c>
      <c r="E29" s="18">
        <v>266</v>
      </c>
      <c r="F29" s="18">
        <v>75</v>
      </c>
      <c r="G29" s="18">
        <v>-166</v>
      </c>
      <c r="H29" s="18">
        <v>169</v>
      </c>
      <c r="I29" s="18">
        <v>334</v>
      </c>
      <c r="J29" s="18">
        <v>-367</v>
      </c>
      <c r="K29" s="18">
        <v>-43</v>
      </c>
      <c r="L29" s="18">
        <v>139</v>
      </c>
      <c r="M29" s="18">
        <v>191</v>
      </c>
      <c r="N29" s="18">
        <v>26</v>
      </c>
    </row>
    <row r="30" spans="2:14" x14ac:dyDescent="0.2">
      <c r="I30" s="18"/>
      <c r="J30" s="18"/>
      <c r="K30" s="18"/>
      <c r="L30" s="18"/>
      <c r="M30" s="18"/>
      <c r="N30" s="18"/>
    </row>
    <row r="31" spans="2:14" x14ac:dyDescent="0.2">
      <c r="K31" s="18"/>
      <c r="L31" s="18"/>
      <c r="M31" s="18"/>
      <c r="N31" s="18"/>
    </row>
    <row r="32" spans="2:14" x14ac:dyDescent="0.2">
      <c r="C32" s="18"/>
      <c r="D32" s="18"/>
      <c r="E32" s="18"/>
      <c r="F32" s="18"/>
      <c r="H32" s="18"/>
      <c r="I32" s="18"/>
      <c r="J32" s="18"/>
      <c r="K32" s="18"/>
      <c r="L32" s="18"/>
      <c r="M32" s="18"/>
      <c r="N32" s="18"/>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90E46-5645-4E1C-BDBE-089FF2B746B7}">
  <dimension ref="B2:X41"/>
  <sheetViews>
    <sheetView showGridLines="0" workbookViewId="0">
      <pane ySplit="2" topLeftCell="A3" activePane="bottomLeft" state="frozen"/>
      <selection pane="bottomLeft" activeCell="L12" sqref="L12"/>
    </sheetView>
  </sheetViews>
  <sheetFormatPr defaultRowHeight="15" x14ac:dyDescent="0.2"/>
  <cols>
    <col min="1" max="1" width="1.8828125" customWidth="1"/>
    <col min="2" max="2" width="22.734375" bestFit="1" customWidth="1"/>
    <col min="14" max="14" width="22.734375" bestFit="1" customWidth="1"/>
  </cols>
  <sheetData>
    <row r="2" spans="2:24" x14ac:dyDescent="0.2">
      <c r="B2" s="91" t="s">
        <v>154</v>
      </c>
      <c r="C2" s="92">
        <v>42430</v>
      </c>
      <c r="D2" s="92">
        <v>42795</v>
      </c>
      <c r="E2" s="92">
        <v>43160</v>
      </c>
      <c r="F2" s="92">
        <v>43525</v>
      </c>
      <c r="G2" s="92">
        <v>43891</v>
      </c>
      <c r="H2" s="92">
        <v>44256</v>
      </c>
      <c r="I2" s="92">
        <v>44621</v>
      </c>
      <c r="J2" s="92">
        <v>44986</v>
      </c>
      <c r="K2" s="92">
        <v>45352</v>
      </c>
      <c r="L2" s="92">
        <v>45717</v>
      </c>
    </row>
    <row r="3" spans="2:24" ht="3.6" customHeight="1" x14ac:dyDescent="0.2">
      <c r="B3" s="65"/>
      <c r="C3" s="69"/>
      <c r="D3" s="69"/>
      <c r="E3" s="69"/>
      <c r="F3" s="69"/>
      <c r="G3" s="69"/>
      <c r="H3" s="69"/>
      <c r="I3" s="69"/>
      <c r="J3" s="69"/>
      <c r="K3" s="69"/>
      <c r="L3" s="69"/>
    </row>
    <row r="4" spans="2:24" x14ac:dyDescent="0.2">
      <c r="B4" s="2" t="s">
        <v>231</v>
      </c>
      <c r="C4">
        <v>805</v>
      </c>
      <c r="D4" s="18">
        <v>1215</v>
      </c>
      <c r="E4" s="18">
        <v>1220</v>
      </c>
      <c r="F4" s="18">
        <v>1226</v>
      </c>
      <c r="G4" s="18">
        <v>1229</v>
      </c>
      <c r="H4" s="18">
        <v>1231</v>
      </c>
      <c r="I4" s="18">
        <v>1232</v>
      </c>
      <c r="J4" s="18">
        <v>1243</v>
      </c>
      <c r="K4" s="18">
        <v>1248</v>
      </c>
      <c r="L4" s="18">
        <v>1251</v>
      </c>
      <c r="O4" s="9"/>
      <c r="P4" s="9"/>
      <c r="Q4" s="9"/>
      <c r="R4" s="9"/>
      <c r="S4" s="9"/>
      <c r="T4" s="9"/>
      <c r="U4" s="9"/>
      <c r="V4" s="9"/>
      <c r="W4" s="9"/>
      <c r="X4" s="9"/>
    </row>
    <row r="5" spans="2:24" x14ac:dyDescent="0.2">
      <c r="B5" s="2" t="s">
        <v>11</v>
      </c>
      <c r="C5" s="18">
        <v>41875</v>
      </c>
      <c r="D5" s="18">
        <v>45198</v>
      </c>
      <c r="E5" s="18">
        <v>51290</v>
      </c>
      <c r="F5" s="18">
        <v>57915</v>
      </c>
      <c r="G5" s="18">
        <v>64044</v>
      </c>
      <c r="H5" s="18">
        <v>59116</v>
      </c>
      <c r="I5" s="18">
        <v>61223</v>
      </c>
      <c r="J5" s="18">
        <v>67912</v>
      </c>
      <c r="K5" s="18">
        <v>73259</v>
      </c>
      <c r="L5" s="18">
        <v>68779</v>
      </c>
      <c r="P5" s="18"/>
      <c r="Q5" s="18"/>
      <c r="R5" s="18"/>
      <c r="S5" s="18"/>
      <c r="T5" s="18"/>
      <c r="U5" s="18"/>
      <c r="V5" s="18"/>
      <c r="W5" s="18"/>
      <c r="X5" s="18"/>
    </row>
    <row r="6" spans="2:24" x14ac:dyDescent="0.2">
      <c r="B6" s="2" t="s">
        <v>232</v>
      </c>
      <c r="O6" s="18"/>
      <c r="P6" s="18"/>
      <c r="Q6" s="18"/>
      <c r="R6" s="18"/>
      <c r="S6" s="18"/>
      <c r="T6" s="18"/>
      <c r="U6" s="18"/>
      <c r="V6" s="18"/>
      <c r="W6" s="18"/>
      <c r="X6" s="18"/>
    </row>
    <row r="7" spans="2:24" x14ac:dyDescent="0.2">
      <c r="B7" t="s">
        <v>233</v>
      </c>
      <c r="C7">
        <v>27</v>
      </c>
      <c r="D7">
        <v>18</v>
      </c>
      <c r="E7">
        <v>12</v>
      </c>
      <c r="F7">
        <v>8</v>
      </c>
      <c r="G7">
        <v>6</v>
      </c>
      <c r="H7">
        <v>6</v>
      </c>
      <c r="I7">
        <v>5</v>
      </c>
      <c r="J7">
        <v>3</v>
      </c>
      <c r="K7">
        <v>2</v>
      </c>
      <c r="L7">
        <v>0</v>
      </c>
    </row>
    <row r="8" spans="2:24" x14ac:dyDescent="0.2">
      <c r="B8" t="s">
        <v>234</v>
      </c>
      <c r="C8">
        <v>44</v>
      </c>
      <c r="D8">
        <v>19</v>
      </c>
      <c r="E8">
        <v>17</v>
      </c>
      <c r="F8">
        <v>2</v>
      </c>
      <c r="G8">
        <v>1</v>
      </c>
      <c r="H8">
        <v>4</v>
      </c>
      <c r="I8">
        <v>1</v>
      </c>
      <c r="J8">
        <v>35</v>
      </c>
      <c r="K8">
        <v>10</v>
      </c>
      <c r="L8">
        <v>91</v>
      </c>
    </row>
    <row r="9" spans="2:24" x14ac:dyDescent="0.2">
      <c r="B9" t="s">
        <v>235</v>
      </c>
      <c r="C9">
        <v>0</v>
      </c>
      <c r="D9">
        <v>0</v>
      </c>
      <c r="E9">
        <v>0</v>
      </c>
      <c r="F9">
        <v>0</v>
      </c>
      <c r="G9">
        <v>268</v>
      </c>
      <c r="H9">
        <v>261</v>
      </c>
      <c r="I9">
        <v>244</v>
      </c>
      <c r="J9">
        <v>267</v>
      </c>
      <c r="K9">
        <v>292</v>
      </c>
      <c r="L9">
        <v>193</v>
      </c>
    </row>
    <row r="10" spans="2:24" x14ac:dyDescent="0.2">
      <c r="B10" t="s">
        <v>236</v>
      </c>
      <c r="C10">
        <v>13</v>
      </c>
      <c r="D10">
        <v>8</v>
      </c>
      <c r="E10">
        <v>7</v>
      </c>
      <c r="F10">
        <v>3</v>
      </c>
      <c r="G10">
        <v>2</v>
      </c>
      <c r="H10">
        <v>0</v>
      </c>
      <c r="I10">
        <v>0</v>
      </c>
      <c r="J10">
        <v>0</v>
      </c>
      <c r="K10">
        <v>0</v>
      </c>
      <c r="L10">
        <v>0</v>
      </c>
    </row>
    <row r="11" spans="2:24" x14ac:dyDescent="0.2">
      <c r="B11" s="2" t="s">
        <v>237</v>
      </c>
      <c r="C11" s="18">
        <v>8888</v>
      </c>
      <c r="D11" s="18">
        <v>9440</v>
      </c>
      <c r="E11" s="18">
        <v>11695</v>
      </c>
      <c r="F11" s="18">
        <v>12585</v>
      </c>
      <c r="G11" s="18">
        <v>11760</v>
      </c>
      <c r="H11" s="18">
        <v>13143</v>
      </c>
      <c r="I11" s="18">
        <v>14491</v>
      </c>
      <c r="J11" s="18">
        <v>16370</v>
      </c>
      <c r="K11" s="18">
        <v>16944</v>
      </c>
      <c r="L11" s="18">
        <v>17688</v>
      </c>
    </row>
    <row r="12" spans="2:24" x14ac:dyDescent="0.2">
      <c r="B12" t="s">
        <v>238</v>
      </c>
      <c r="C12">
        <v>261</v>
      </c>
      <c r="D12" s="18">
        <v>295</v>
      </c>
      <c r="E12" s="18">
        <v>334</v>
      </c>
      <c r="F12" s="18">
        <v>343</v>
      </c>
      <c r="G12" s="18">
        <v>377</v>
      </c>
      <c r="H12" s="18">
        <v>347</v>
      </c>
      <c r="I12" s="18">
        <v>366</v>
      </c>
      <c r="J12" s="18">
        <v>384</v>
      </c>
      <c r="K12" s="18">
        <v>383</v>
      </c>
      <c r="L12" s="18">
        <v>368</v>
      </c>
      <c r="O12" s="18"/>
      <c r="P12" s="18"/>
      <c r="Q12" s="18"/>
      <c r="R12" s="18"/>
      <c r="S12" s="18"/>
      <c r="T12" s="18"/>
      <c r="U12" s="18"/>
      <c r="V12" s="18"/>
      <c r="W12" s="18"/>
      <c r="X12" s="18"/>
    </row>
    <row r="13" spans="2:24" x14ac:dyDescent="0.2">
      <c r="B13" t="s">
        <v>239</v>
      </c>
      <c r="C13">
        <v>2339</v>
      </c>
      <c r="D13" s="18">
        <v>2659</v>
      </c>
      <c r="E13" s="18">
        <v>3496</v>
      </c>
      <c r="F13" s="18">
        <v>3510</v>
      </c>
      <c r="G13" s="18">
        <v>3630</v>
      </c>
      <c r="H13" s="18">
        <v>4319</v>
      </c>
      <c r="I13" s="18">
        <v>4417</v>
      </c>
      <c r="J13" s="18">
        <v>4659</v>
      </c>
      <c r="K13" s="18">
        <v>4798</v>
      </c>
      <c r="L13" s="18">
        <v>4807</v>
      </c>
    </row>
    <row r="14" spans="2:24" x14ac:dyDescent="0.2">
      <c r="B14" t="s">
        <v>240</v>
      </c>
      <c r="C14">
        <v>805</v>
      </c>
      <c r="D14">
        <v>495</v>
      </c>
      <c r="E14">
        <v>461</v>
      </c>
      <c r="F14">
        <v>430</v>
      </c>
      <c r="G14">
        <v>703</v>
      </c>
      <c r="H14">
        <v>811</v>
      </c>
      <c r="I14">
        <v>1278</v>
      </c>
      <c r="J14">
        <v>1295</v>
      </c>
      <c r="K14">
        <v>886</v>
      </c>
      <c r="L14">
        <v>1264</v>
      </c>
      <c r="O14" s="18"/>
      <c r="P14" s="18"/>
      <c r="Q14" s="18"/>
      <c r="R14" s="18"/>
      <c r="S14" s="18"/>
      <c r="T14" s="18"/>
      <c r="U14" s="18"/>
      <c r="V14" s="18"/>
      <c r="W14" s="18"/>
      <c r="X14" s="18"/>
    </row>
    <row r="15" spans="2:24" x14ac:dyDescent="0.2">
      <c r="B15" t="s">
        <v>241</v>
      </c>
      <c r="C15" s="18">
        <v>5483</v>
      </c>
      <c r="D15" s="18">
        <v>5991</v>
      </c>
      <c r="E15" s="18">
        <v>7404</v>
      </c>
      <c r="F15" s="18">
        <v>8301</v>
      </c>
      <c r="G15" s="18">
        <v>7050</v>
      </c>
      <c r="H15" s="18">
        <v>7666</v>
      </c>
      <c r="I15" s="18">
        <v>8429</v>
      </c>
      <c r="J15" s="18">
        <v>10032</v>
      </c>
      <c r="K15" s="18">
        <v>10877</v>
      </c>
      <c r="L15" s="18">
        <v>11249</v>
      </c>
      <c r="U15" s="18"/>
      <c r="V15" s="18"/>
      <c r="X15" s="18"/>
    </row>
    <row r="16" spans="2:24" x14ac:dyDescent="0.2">
      <c r="B16" s="70" t="s">
        <v>81</v>
      </c>
      <c r="C16" s="71">
        <v>51651</v>
      </c>
      <c r="D16" s="71">
        <v>55898</v>
      </c>
      <c r="E16" s="71">
        <v>64241</v>
      </c>
      <c r="F16" s="71">
        <v>71739</v>
      </c>
      <c r="G16" s="71">
        <v>77311</v>
      </c>
      <c r="H16" s="71">
        <v>73761</v>
      </c>
      <c r="I16" s="71">
        <v>77196</v>
      </c>
      <c r="J16" s="71">
        <v>85831</v>
      </c>
      <c r="K16" s="71">
        <v>91754</v>
      </c>
      <c r="L16" s="71">
        <v>88003</v>
      </c>
      <c r="O16" s="18"/>
      <c r="P16" s="18"/>
      <c r="Q16" s="18"/>
      <c r="R16" s="18"/>
      <c r="S16" s="18"/>
      <c r="T16" s="18"/>
      <c r="U16" s="18"/>
      <c r="V16" s="18"/>
      <c r="W16" s="18"/>
      <c r="X16" s="18"/>
    </row>
    <row r="17" spans="2:24" x14ac:dyDescent="0.2">
      <c r="C17" s="18"/>
      <c r="D17" s="18"/>
      <c r="E17" s="18"/>
      <c r="F17" s="18"/>
      <c r="G17" s="18"/>
      <c r="H17" s="18"/>
      <c r="I17" s="18"/>
      <c r="J17" s="18"/>
      <c r="K17" s="18"/>
      <c r="L17" s="18"/>
      <c r="O17" s="18"/>
      <c r="P17" s="18"/>
      <c r="Q17" s="18"/>
      <c r="R17" s="18"/>
      <c r="S17" s="18"/>
      <c r="T17" s="18"/>
      <c r="U17" s="18"/>
      <c r="V17" s="18"/>
      <c r="W17" s="18"/>
      <c r="X17" s="18"/>
    </row>
    <row r="18" spans="2:24" x14ac:dyDescent="0.2">
      <c r="B18" s="2" t="s">
        <v>242</v>
      </c>
      <c r="C18" s="18"/>
      <c r="D18" s="18"/>
      <c r="E18" s="18"/>
      <c r="F18" s="18"/>
      <c r="G18" s="18"/>
      <c r="H18" s="18"/>
      <c r="I18" s="18"/>
      <c r="J18" s="18"/>
      <c r="K18" s="18"/>
      <c r="L18" s="18"/>
      <c r="O18" s="18"/>
      <c r="P18" s="18"/>
      <c r="Q18" s="18"/>
      <c r="R18" s="18"/>
      <c r="S18" s="18"/>
      <c r="T18" s="18"/>
      <c r="U18" s="18"/>
      <c r="V18" s="18"/>
      <c r="W18" s="18"/>
      <c r="X18" s="18"/>
    </row>
    <row r="19" spans="2:24" x14ac:dyDescent="0.2">
      <c r="B19" t="s">
        <v>243</v>
      </c>
      <c r="C19">
        <v>1615</v>
      </c>
      <c r="D19" s="18">
        <v>1673</v>
      </c>
      <c r="E19" s="18">
        <v>1685</v>
      </c>
      <c r="F19" s="18">
        <v>2021</v>
      </c>
      <c r="G19" s="18">
        <v>2797</v>
      </c>
      <c r="H19" s="18">
        <v>2889</v>
      </c>
      <c r="I19" s="18">
        <v>2829</v>
      </c>
      <c r="J19" s="18">
        <v>2830</v>
      </c>
      <c r="K19" s="18">
        <v>2865</v>
      </c>
      <c r="L19" s="18">
        <v>1588</v>
      </c>
      <c r="O19" s="18"/>
      <c r="P19" s="18"/>
      <c r="Q19" s="18"/>
      <c r="R19" s="18"/>
      <c r="S19" s="18"/>
      <c r="T19" s="18"/>
      <c r="U19" s="18"/>
      <c r="V19" s="18"/>
      <c r="W19" s="18"/>
      <c r="X19" s="18"/>
    </row>
    <row r="20" spans="2:24" x14ac:dyDescent="0.2">
      <c r="B20" t="s">
        <v>244</v>
      </c>
      <c r="C20" s="18">
        <v>4219</v>
      </c>
      <c r="D20" s="18">
        <v>4716</v>
      </c>
      <c r="E20" s="18">
        <v>5331</v>
      </c>
      <c r="F20" s="18">
        <v>6996</v>
      </c>
      <c r="G20" s="18">
        <v>8161</v>
      </c>
      <c r="H20" s="18">
        <v>8387</v>
      </c>
      <c r="I20" s="18">
        <v>9100</v>
      </c>
      <c r="J20" s="18">
        <v>9789</v>
      </c>
      <c r="K20" s="18">
        <v>10944</v>
      </c>
      <c r="L20" s="18">
        <v>7550</v>
      </c>
      <c r="O20" s="18"/>
      <c r="P20" s="18"/>
      <c r="Q20" s="18"/>
      <c r="R20" s="18"/>
      <c r="S20" s="18"/>
      <c r="T20" s="18"/>
      <c r="U20" s="18"/>
      <c r="V20" s="18"/>
      <c r="W20" s="18"/>
      <c r="X20" s="18"/>
    </row>
    <row r="21" spans="2:24" x14ac:dyDescent="0.2">
      <c r="B21" t="s">
        <v>245</v>
      </c>
      <c r="C21" s="18">
        <v>9112</v>
      </c>
      <c r="D21">
        <v>10384</v>
      </c>
      <c r="E21" s="18">
        <v>11453</v>
      </c>
      <c r="F21" s="18">
        <v>13316</v>
      </c>
      <c r="G21" s="18">
        <v>14625</v>
      </c>
      <c r="H21" s="18">
        <v>15307</v>
      </c>
      <c r="I21" s="18">
        <v>16912</v>
      </c>
      <c r="J21" s="18">
        <v>18480</v>
      </c>
      <c r="K21" s="18">
        <v>20718</v>
      </c>
      <c r="L21" s="18">
        <v>19423</v>
      </c>
      <c r="O21" s="18"/>
      <c r="P21" s="18"/>
      <c r="Q21" s="18"/>
      <c r="R21" s="18"/>
      <c r="S21" s="18"/>
      <c r="T21" s="18"/>
      <c r="U21" s="18"/>
      <c r="V21" s="18"/>
      <c r="W21" s="18"/>
      <c r="X21" s="18"/>
    </row>
    <row r="22" spans="2:24" x14ac:dyDescent="0.2">
      <c r="B22" t="s">
        <v>246</v>
      </c>
      <c r="C22">
        <v>27</v>
      </c>
      <c r="D22" s="18">
        <v>32</v>
      </c>
      <c r="E22">
        <v>32</v>
      </c>
      <c r="F22">
        <v>34</v>
      </c>
      <c r="G22">
        <v>40</v>
      </c>
      <c r="H22">
        <v>41</v>
      </c>
      <c r="I22">
        <v>44</v>
      </c>
      <c r="J22">
        <v>44</v>
      </c>
      <c r="K22">
        <v>53</v>
      </c>
      <c r="L22">
        <v>63</v>
      </c>
    </row>
    <row r="23" spans="2:24" x14ac:dyDescent="0.2">
      <c r="B23" t="s">
        <v>247</v>
      </c>
      <c r="C23">
        <v>413</v>
      </c>
      <c r="D23">
        <v>459</v>
      </c>
      <c r="E23">
        <v>497</v>
      </c>
      <c r="F23">
        <v>644</v>
      </c>
      <c r="G23">
        <v>810</v>
      </c>
      <c r="H23">
        <v>833</v>
      </c>
      <c r="I23">
        <v>907</v>
      </c>
      <c r="J23">
        <v>1000</v>
      </c>
      <c r="K23">
        <v>1068</v>
      </c>
      <c r="L23">
        <v>282</v>
      </c>
      <c r="V23" s="18"/>
      <c r="W23" s="18"/>
    </row>
    <row r="24" spans="2:24" x14ac:dyDescent="0.2">
      <c r="B24" t="s">
        <v>248</v>
      </c>
      <c r="C24">
        <v>2</v>
      </c>
      <c r="D24">
        <v>2</v>
      </c>
      <c r="E24">
        <v>2</v>
      </c>
      <c r="F24">
        <v>2</v>
      </c>
      <c r="G24">
        <v>2</v>
      </c>
      <c r="H24">
        <v>2</v>
      </c>
      <c r="I24">
        <v>2</v>
      </c>
      <c r="J24">
        <v>2</v>
      </c>
      <c r="K24">
        <v>2</v>
      </c>
      <c r="L24" s="18">
        <v>2</v>
      </c>
    </row>
    <row r="25" spans="2:24" x14ac:dyDescent="0.2">
      <c r="B25" t="s">
        <v>249</v>
      </c>
      <c r="C25">
        <v>107</v>
      </c>
      <c r="D25">
        <v>128</v>
      </c>
      <c r="E25">
        <v>140</v>
      </c>
      <c r="F25">
        <v>161</v>
      </c>
      <c r="G25">
        <v>184</v>
      </c>
      <c r="H25">
        <v>180</v>
      </c>
      <c r="I25">
        <v>179</v>
      </c>
      <c r="J25">
        <v>189</v>
      </c>
      <c r="K25">
        <v>192</v>
      </c>
      <c r="L25">
        <v>141</v>
      </c>
    </row>
    <row r="26" spans="2:24" x14ac:dyDescent="0.2">
      <c r="B26" t="s">
        <v>250</v>
      </c>
      <c r="C26">
        <v>563</v>
      </c>
      <c r="D26" s="18">
        <v>563</v>
      </c>
      <c r="E26" s="18">
        <v>570</v>
      </c>
      <c r="F26" s="18">
        <v>684</v>
      </c>
      <c r="G26" s="18">
        <v>684</v>
      </c>
      <c r="H26" s="18">
        <v>2734</v>
      </c>
      <c r="I26" s="18">
        <v>2744</v>
      </c>
      <c r="J26" s="18">
        <v>3490</v>
      </c>
      <c r="K26" s="18">
        <v>3505</v>
      </c>
      <c r="L26" s="18">
        <v>3622</v>
      </c>
      <c r="T26" s="18"/>
      <c r="U26" s="18"/>
      <c r="V26" s="18"/>
      <c r="W26" s="18"/>
      <c r="X26" s="18"/>
    </row>
    <row r="27" spans="2:24" x14ac:dyDescent="0.2">
      <c r="B27" t="s">
        <v>251</v>
      </c>
      <c r="C27">
        <v>117</v>
      </c>
      <c r="D27">
        <v>138</v>
      </c>
      <c r="E27">
        <v>212</v>
      </c>
      <c r="F27">
        <v>234</v>
      </c>
      <c r="G27">
        <v>663</v>
      </c>
      <c r="H27">
        <v>716</v>
      </c>
      <c r="I27">
        <v>719</v>
      </c>
      <c r="J27">
        <v>786</v>
      </c>
      <c r="K27" s="18">
        <v>841</v>
      </c>
      <c r="L27" s="18">
        <v>967</v>
      </c>
    </row>
    <row r="28" spans="2:24" x14ac:dyDescent="0.2">
      <c r="B28" s="2" t="s">
        <v>252</v>
      </c>
      <c r="C28" s="18">
        <v>16176</v>
      </c>
      <c r="D28" s="18">
        <v>18094</v>
      </c>
      <c r="E28" s="18">
        <v>19920</v>
      </c>
      <c r="F28" s="18">
        <v>24090</v>
      </c>
      <c r="G28" s="18">
        <v>27965</v>
      </c>
      <c r="H28" s="18">
        <v>31088</v>
      </c>
      <c r="I28" s="18">
        <v>33435</v>
      </c>
      <c r="J28" s="18">
        <v>36608</v>
      </c>
      <c r="K28" s="18">
        <v>40189</v>
      </c>
      <c r="L28" s="18">
        <v>33638</v>
      </c>
      <c r="O28" s="18"/>
      <c r="P28" s="18"/>
      <c r="Q28" s="18"/>
      <c r="R28" s="18"/>
      <c r="S28" s="18"/>
      <c r="T28" s="18"/>
      <c r="U28" s="18"/>
      <c r="V28" s="18"/>
      <c r="W28" s="18"/>
      <c r="X28" s="18"/>
    </row>
    <row r="29" spans="2:24" x14ac:dyDescent="0.2">
      <c r="B29" s="2" t="s">
        <v>253</v>
      </c>
      <c r="C29" s="18">
        <v>1069</v>
      </c>
      <c r="D29" s="18">
        <v>2201</v>
      </c>
      <c r="E29" s="18">
        <v>3396</v>
      </c>
      <c r="F29" s="18">
        <v>4716</v>
      </c>
      <c r="G29" s="18">
        <v>6252</v>
      </c>
      <c r="H29" s="18">
        <v>7790</v>
      </c>
      <c r="I29" s="18">
        <v>9204</v>
      </c>
      <c r="J29" s="18">
        <v>10757</v>
      </c>
      <c r="K29" s="18">
        <v>12368</v>
      </c>
      <c r="L29" s="18">
        <v>11683</v>
      </c>
      <c r="O29" s="18"/>
      <c r="P29" s="18"/>
      <c r="Q29" s="18"/>
      <c r="R29" s="18"/>
      <c r="S29" s="18"/>
      <c r="T29" s="18"/>
      <c r="U29" s="18"/>
      <c r="V29" s="18"/>
      <c r="W29" s="18"/>
      <c r="X29" s="18"/>
    </row>
    <row r="30" spans="2:24" x14ac:dyDescent="0.2">
      <c r="B30" s="72" t="s">
        <v>13</v>
      </c>
      <c r="C30" s="73">
        <f>C28-C29</f>
        <v>15107</v>
      </c>
      <c r="D30" s="73">
        <f t="shared" ref="D30:L30" si="0">D28-D29</f>
        <v>15893</v>
      </c>
      <c r="E30" s="73">
        <f t="shared" si="0"/>
        <v>16524</v>
      </c>
      <c r="F30" s="73">
        <f t="shared" si="0"/>
        <v>19374</v>
      </c>
      <c r="G30" s="73">
        <f t="shared" si="0"/>
        <v>21713</v>
      </c>
      <c r="H30" s="73">
        <f t="shared" si="0"/>
        <v>23298</v>
      </c>
      <c r="I30" s="73">
        <f t="shared" si="0"/>
        <v>24231</v>
      </c>
      <c r="J30" s="73">
        <f t="shared" si="0"/>
        <v>25851</v>
      </c>
      <c r="K30" s="73">
        <f t="shared" si="0"/>
        <v>27821</v>
      </c>
      <c r="L30" s="73">
        <f t="shared" si="0"/>
        <v>21955</v>
      </c>
      <c r="O30" s="18"/>
      <c r="P30" s="18"/>
      <c r="Q30" s="18"/>
      <c r="R30" s="18"/>
      <c r="S30" s="18"/>
      <c r="T30" s="18"/>
      <c r="U30" s="18"/>
      <c r="V30" s="18"/>
      <c r="W30" s="18"/>
      <c r="X30" s="18"/>
    </row>
    <row r="31" spans="2:24" x14ac:dyDescent="0.2">
      <c r="B31" s="2"/>
      <c r="C31" s="18"/>
      <c r="D31" s="18"/>
      <c r="E31" s="18"/>
      <c r="F31" s="18"/>
      <c r="G31" s="18"/>
      <c r="H31" s="18"/>
      <c r="I31" s="18"/>
      <c r="J31" s="18"/>
      <c r="K31" s="18"/>
      <c r="L31" s="18"/>
      <c r="O31" s="18"/>
      <c r="P31" s="18"/>
      <c r="Q31" s="18"/>
      <c r="R31" s="18"/>
      <c r="S31" s="18"/>
      <c r="T31" s="18"/>
      <c r="U31" s="18"/>
      <c r="V31" s="18"/>
      <c r="W31" s="18"/>
      <c r="X31" s="18"/>
    </row>
    <row r="32" spans="2:24" x14ac:dyDescent="0.2">
      <c r="B32" s="2" t="s">
        <v>254</v>
      </c>
      <c r="C32" s="18">
        <v>2560</v>
      </c>
      <c r="D32" s="18">
        <v>3730</v>
      </c>
      <c r="E32" s="18">
        <v>5508</v>
      </c>
      <c r="F32" s="18">
        <v>4136</v>
      </c>
      <c r="G32" s="18">
        <v>3256</v>
      </c>
      <c r="H32" s="18">
        <v>4011</v>
      </c>
      <c r="I32" s="18">
        <v>3226</v>
      </c>
      <c r="J32" s="18">
        <v>3003</v>
      </c>
      <c r="K32" s="18">
        <v>2861</v>
      </c>
      <c r="L32" s="18">
        <v>1091</v>
      </c>
      <c r="O32" s="18"/>
      <c r="P32" s="18"/>
      <c r="Q32" s="18"/>
      <c r="R32" s="18"/>
      <c r="S32" s="18"/>
      <c r="T32" s="18"/>
      <c r="U32" s="18"/>
      <c r="V32" s="18"/>
      <c r="W32" s="18"/>
      <c r="X32" s="18"/>
    </row>
    <row r="33" spans="2:24" x14ac:dyDescent="0.2">
      <c r="B33" s="2" t="s">
        <v>15</v>
      </c>
      <c r="C33" s="18">
        <v>11748</v>
      </c>
      <c r="D33" s="18">
        <v>17581</v>
      </c>
      <c r="E33" s="18">
        <v>22053</v>
      </c>
      <c r="F33" s="18">
        <v>25043</v>
      </c>
      <c r="G33" s="18">
        <v>28663</v>
      </c>
      <c r="H33" s="18">
        <v>24871</v>
      </c>
      <c r="I33" s="18">
        <v>24841</v>
      </c>
      <c r="J33" s="18">
        <v>29415</v>
      </c>
      <c r="K33" s="18">
        <v>31114</v>
      </c>
      <c r="L33" s="18">
        <v>34720</v>
      </c>
      <c r="O33" s="18"/>
      <c r="P33" s="18"/>
      <c r="Q33" s="18"/>
      <c r="R33" s="18"/>
      <c r="S33" s="18"/>
      <c r="T33" s="18"/>
      <c r="U33" s="18"/>
      <c r="V33" s="18"/>
      <c r="W33" s="18"/>
      <c r="X33" s="18"/>
    </row>
    <row r="34" spans="2:24" x14ac:dyDescent="0.2">
      <c r="B34" s="2"/>
      <c r="C34" s="18"/>
      <c r="L34" s="18"/>
      <c r="O34" s="18"/>
      <c r="P34" s="18"/>
      <c r="Q34" s="18"/>
      <c r="R34" s="18"/>
      <c r="S34" s="18"/>
      <c r="T34" s="18"/>
      <c r="U34" s="18"/>
      <c r="V34" s="18"/>
      <c r="W34" s="18"/>
      <c r="X34" s="18"/>
    </row>
    <row r="35" spans="2:24" x14ac:dyDescent="0.2">
      <c r="B35" s="2" t="s">
        <v>255</v>
      </c>
      <c r="C35" s="18"/>
      <c r="D35" s="18"/>
      <c r="E35" s="18"/>
      <c r="F35" s="18"/>
      <c r="G35" s="18"/>
      <c r="H35" s="18"/>
      <c r="I35" s="18"/>
      <c r="J35" s="18"/>
      <c r="K35" s="18"/>
      <c r="L35" s="18"/>
      <c r="O35" s="18"/>
      <c r="P35" s="18"/>
      <c r="Q35" s="18"/>
      <c r="R35" s="18"/>
      <c r="S35" s="18"/>
      <c r="T35" s="18"/>
      <c r="U35" s="18"/>
      <c r="V35" s="18"/>
      <c r="W35" s="18"/>
      <c r="X35" s="18"/>
    </row>
    <row r="36" spans="2:24" x14ac:dyDescent="0.2">
      <c r="B36" t="s">
        <v>256</v>
      </c>
      <c r="C36" s="18">
        <v>9062</v>
      </c>
      <c r="D36" s="18">
        <v>8116</v>
      </c>
      <c r="E36" s="18">
        <v>7495</v>
      </c>
      <c r="F36" s="18">
        <v>7860</v>
      </c>
      <c r="G36" s="18">
        <v>8879</v>
      </c>
      <c r="H36" s="18">
        <v>10397</v>
      </c>
      <c r="I36" s="18">
        <v>10864</v>
      </c>
      <c r="J36" s="18">
        <v>11771</v>
      </c>
      <c r="K36" s="18">
        <v>14153</v>
      </c>
      <c r="L36" s="18">
        <v>15638</v>
      </c>
    </row>
    <row r="37" spans="2:24" x14ac:dyDescent="0.2">
      <c r="B37" t="s">
        <v>277</v>
      </c>
      <c r="C37" s="18">
        <v>1917</v>
      </c>
      <c r="D37" s="18">
        <v>2474</v>
      </c>
      <c r="E37" s="18">
        <v>2682</v>
      </c>
      <c r="F37" s="18">
        <v>4035</v>
      </c>
      <c r="G37" s="18">
        <v>2562</v>
      </c>
      <c r="H37" s="18">
        <v>2502</v>
      </c>
      <c r="I37" s="18">
        <v>2462</v>
      </c>
      <c r="J37" s="18">
        <v>2956</v>
      </c>
      <c r="K37" s="18">
        <v>4026</v>
      </c>
      <c r="L37" s="18">
        <v>4720</v>
      </c>
      <c r="O37" s="18"/>
      <c r="P37" s="18"/>
      <c r="Q37" s="18"/>
      <c r="R37" s="18"/>
      <c r="S37" s="18"/>
      <c r="T37" s="18"/>
      <c r="U37" s="18"/>
      <c r="V37" s="18"/>
      <c r="W37" s="18"/>
      <c r="X37" s="18"/>
    </row>
    <row r="38" spans="2:24" x14ac:dyDescent="0.2">
      <c r="B38" t="s">
        <v>257</v>
      </c>
      <c r="C38" s="18">
        <v>6063</v>
      </c>
      <c r="D38" s="18">
        <v>2967</v>
      </c>
      <c r="E38" s="18">
        <v>2900</v>
      </c>
      <c r="F38" s="18">
        <v>4152</v>
      </c>
      <c r="G38" s="18">
        <v>7277</v>
      </c>
      <c r="H38" s="18">
        <v>4659</v>
      </c>
      <c r="I38" s="18">
        <v>4654</v>
      </c>
      <c r="J38" s="18">
        <v>4880</v>
      </c>
      <c r="K38" s="18">
        <v>7218</v>
      </c>
      <c r="L38" s="18">
        <v>4012</v>
      </c>
      <c r="O38" s="18"/>
      <c r="P38" s="18"/>
      <c r="Q38" s="18"/>
      <c r="R38" s="18"/>
      <c r="S38" s="18"/>
      <c r="T38" s="18"/>
      <c r="U38" s="18"/>
      <c r="V38" s="18"/>
      <c r="W38" s="18"/>
      <c r="X38" s="18"/>
    </row>
    <row r="39" spans="2:24" x14ac:dyDescent="0.2">
      <c r="B39" t="s">
        <v>258</v>
      </c>
      <c r="C39">
        <v>14</v>
      </c>
      <c r="D39">
        <v>7</v>
      </c>
      <c r="E39">
        <v>74</v>
      </c>
      <c r="F39">
        <v>67</v>
      </c>
      <c r="G39">
        <v>6</v>
      </c>
      <c r="H39">
        <v>7</v>
      </c>
      <c r="I39">
        <v>11</v>
      </c>
      <c r="J39">
        <v>13</v>
      </c>
      <c r="K39">
        <v>31</v>
      </c>
      <c r="L39">
        <v>10</v>
      </c>
    </row>
    <row r="40" spans="2:24" x14ac:dyDescent="0.2">
      <c r="B40" t="s">
        <v>259</v>
      </c>
      <c r="C40" s="18">
        <v>5180</v>
      </c>
      <c r="D40" s="18">
        <v>5129</v>
      </c>
      <c r="E40" s="18">
        <v>7004</v>
      </c>
      <c r="F40" s="18">
        <v>7071</v>
      </c>
      <c r="G40" s="18">
        <v>4952</v>
      </c>
      <c r="H40" s="18">
        <v>4015</v>
      </c>
      <c r="I40" s="18">
        <v>6906</v>
      </c>
      <c r="J40" s="18">
        <v>7941</v>
      </c>
      <c r="K40" s="18">
        <v>4531</v>
      </c>
      <c r="L40" s="18">
        <v>5858</v>
      </c>
    </row>
    <row r="41" spans="2:24" x14ac:dyDescent="0.2">
      <c r="B41" s="70" t="s">
        <v>84</v>
      </c>
      <c r="C41" s="71">
        <v>51651</v>
      </c>
      <c r="D41" s="71">
        <v>55898</v>
      </c>
      <c r="E41" s="71">
        <v>64241</v>
      </c>
      <c r="F41" s="71">
        <v>71739</v>
      </c>
      <c r="G41" s="71">
        <v>77311</v>
      </c>
      <c r="H41" s="71">
        <v>73761</v>
      </c>
      <c r="I41" s="71">
        <v>77196</v>
      </c>
      <c r="J41" s="71">
        <v>85831</v>
      </c>
      <c r="K41" s="71">
        <v>91754</v>
      </c>
      <c r="L41" s="71">
        <v>88003</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68C5D-B2AE-442B-9188-FEF13FD682D4}">
  <dimension ref="B2:E5442"/>
  <sheetViews>
    <sheetView topLeftCell="A2" workbookViewId="0">
      <selection activeCell="B2" sqref="B2"/>
    </sheetView>
  </sheetViews>
  <sheetFormatPr defaultRowHeight="15" x14ac:dyDescent="0.2"/>
  <cols>
    <col min="2" max="2" width="51.1171875" customWidth="1"/>
    <col min="3" max="3" width="9.28125" bestFit="1" customWidth="1"/>
    <col min="4" max="4" width="15.06640625" bestFit="1" customWidth="1"/>
    <col min="5" max="5" width="36.72265625" customWidth="1"/>
  </cols>
  <sheetData>
    <row r="2" spans="2:5" x14ac:dyDescent="0.2">
      <c r="B2" t="s">
        <v>340</v>
      </c>
      <c r="C2" t="s">
        <v>341</v>
      </c>
      <c r="D2" t="s">
        <v>342</v>
      </c>
      <c r="E2" t="s">
        <v>343</v>
      </c>
    </row>
    <row r="3" spans="2:5" x14ac:dyDescent="0.2">
      <c r="B3" t="s">
        <v>344</v>
      </c>
      <c r="C3">
        <v>533022</v>
      </c>
      <c r="D3" t="s">
        <v>345</v>
      </c>
      <c r="E3" t="s">
        <v>346</v>
      </c>
    </row>
    <row r="4" spans="2:5" x14ac:dyDescent="0.2">
      <c r="B4" t="s">
        <v>347</v>
      </c>
      <c r="C4">
        <v>526921</v>
      </c>
      <c r="D4" t="s">
        <v>348</v>
      </c>
      <c r="E4" t="s">
        <v>349</v>
      </c>
    </row>
    <row r="5" spans="2:5" x14ac:dyDescent="0.2">
      <c r="B5" t="s">
        <v>350</v>
      </c>
      <c r="C5">
        <v>532628</v>
      </c>
      <c r="D5" t="s">
        <v>351</v>
      </c>
      <c r="E5" t="s">
        <v>352</v>
      </c>
    </row>
    <row r="6" spans="2:5" x14ac:dyDescent="0.2">
      <c r="B6" t="s">
        <v>353</v>
      </c>
      <c r="C6">
        <v>523395</v>
      </c>
      <c r="D6" t="s">
        <v>354</v>
      </c>
      <c r="E6" t="s">
        <v>355</v>
      </c>
    </row>
    <row r="7" spans="2:5" x14ac:dyDescent="0.2">
      <c r="B7" t="s">
        <v>356</v>
      </c>
      <c r="C7">
        <v>523395</v>
      </c>
      <c r="D7" t="s">
        <v>357</v>
      </c>
      <c r="E7" t="s">
        <v>355</v>
      </c>
    </row>
    <row r="8" spans="2:5" x14ac:dyDescent="0.2">
      <c r="B8" t="s">
        <v>358</v>
      </c>
      <c r="C8">
        <v>516092</v>
      </c>
      <c r="D8" t="s">
        <v>359</v>
      </c>
      <c r="E8" t="s">
        <v>360</v>
      </c>
    </row>
    <row r="9" spans="2:5" x14ac:dyDescent="0.2">
      <c r="B9" t="s">
        <v>361</v>
      </c>
      <c r="C9">
        <v>540776</v>
      </c>
      <c r="D9" t="s">
        <v>362</v>
      </c>
      <c r="E9" t="s">
        <v>349</v>
      </c>
    </row>
    <row r="10" spans="2:5" x14ac:dyDescent="0.2">
      <c r="B10" t="s">
        <v>363</v>
      </c>
      <c r="C10">
        <v>526881</v>
      </c>
      <c r="D10" t="s">
        <v>364</v>
      </c>
      <c r="E10" t="s">
        <v>352</v>
      </c>
    </row>
    <row r="11" spans="2:5" x14ac:dyDescent="0.2">
      <c r="B11" t="s">
        <v>365</v>
      </c>
      <c r="C11">
        <v>540615</v>
      </c>
      <c r="D11" t="s">
        <v>366</v>
      </c>
      <c r="E11" t="s">
        <v>367</v>
      </c>
    </row>
    <row r="12" spans="2:5" x14ac:dyDescent="0.2">
      <c r="B12" t="s">
        <v>368</v>
      </c>
      <c r="C12">
        <v>540874</v>
      </c>
      <c r="D12" t="s">
        <v>366</v>
      </c>
      <c r="E12" t="s">
        <v>369</v>
      </c>
    </row>
    <row r="13" spans="2:5" x14ac:dyDescent="0.2">
      <c r="B13" t="s">
        <v>370</v>
      </c>
      <c r="C13">
        <v>512161</v>
      </c>
      <c r="D13" t="s">
        <v>371</v>
      </c>
      <c r="E13" t="s">
        <v>372</v>
      </c>
    </row>
    <row r="14" spans="2:5" x14ac:dyDescent="0.2">
      <c r="B14" t="s">
        <v>373</v>
      </c>
      <c r="C14">
        <v>540697</v>
      </c>
      <c r="D14" t="s">
        <v>366</v>
      </c>
      <c r="E14" t="s">
        <v>374</v>
      </c>
    </row>
    <row r="15" spans="2:5" x14ac:dyDescent="0.2">
      <c r="B15" t="s">
        <v>375</v>
      </c>
      <c r="C15" t="s">
        <v>366</v>
      </c>
      <c r="D15" t="s">
        <v>376</v>
      </c>
      <c r="E15" t="s">
        <v>377</v>
      </c>
    </row>
    <row r="16" spans="2:5" x14ac:dyDescent="0.2">
      <c r="B16" t="s">
        <v>378</v>
      </c>
      <c r="C16">
        <v>539620</v>
      </c>
      <c r="D16" t="s">
        <v>366</v>
      </c>
      <c r="E16" t="s">
        <v>379</v>
      </c>
    </row>
    <row r="17" spans="2:5" x14ac:dyDescent="0.2">
      <c r="B17" t="s">
        <v>380</v>
      </c>
      <c r="C17">
        <v>539300</v>
      </c>
      <c r="D17" t="s">
        <v>366</v>
      </c>
      <c r="E17" t="s">
        <v>381</v>
      </c>
    </row>
    <row r="18" spans="2:5" x14ac:dyDescent="0.2">
      <c r="B18" t="s">
        <v>382</v>
      </c>
      <c r="C18">
        <v>530499</v>
      </c>
      <c r="D18" t="s">
        <v>366</v>
      </c>
      <c r="E18" t="s">
        <v>383</v>
      </c>
    </row>
    <row r="19" spans="2:5" x14ac:dyDescent="0.2">
      <c r="B19" t="s">
        <v>384</v>
      </c>
      <c r="C19">
        <v>538351</v>
      </c>
      <c r="D19" t="s">
        <v>385</v>
      </c>
      <c r="E19" t="s">
        <v>386</v>
      </c>
    </row>
    <row r="20" spans="2:5" x14ac:dyDescent="0.2">
      <c r="B20" t="s">
        <v>387</v>
      </c>
      <c r="C20">
        <v>542012</v>
      </c>
      <c r="D20" t="s">
        <v>366</v>
      </c>
      <c r="E20" t="s">
        <v>388</v>
      </c>
    </row>
    <row r="21" spans="2:5" x14ac:dyDescent="0.2">
      <c r="B21" t="s">
        <v>389</v>
      </c>
      <c r="C21">
        <v>533292</v>
      </c>
      <c r="D21" t="s">
        <v>390</v>
      </c>
      <c r="E21" t="s">
        <v>391</v>
      </c>
    </row>
    <row r="22" spans="2:5" x14ac:dyDescent="0.2">
      <c r="B22" t="s">
        <v>392</v>
      </c>
      <c r="C22">
        <v>531611</v>
      </c>
      <c r="D22" t="s">
        <v>366</v>
      </c>
      <c r="E22" t="s">
        <v>383</v>
      </c>
    </row>
    <row r="23" spans="2:5" x14ac:dyDescent="0.2">
      <c r="B23" t="s">
        <v>393</v>
      </c>
      <c r="C23">
        <v>531611</v>
      </c>
      <c r="D23" t="s">
        <v>366</v>
      </c>
      <c r="E23" t="s">
        <v>383</v>
      </c>
    </row>
    <row r="24" spans="2:5" x14ac:dyDescent="0.2">
      <c r="B24" t="s">
        <v>394</v>
      </c>
      <c r="C24" t="s">
        <v>366</v>
      </c>
      <c r="D24" t="s">
        <v>395</v>
      </c>
      <c r="E24" t="s">
        <v>377</v>
      </c>
    </row>
    <row r="25" spans="2:5" x14ac:dyDescent="0.2">
      <c r="B25" t="s">
        <v>396</v>
      </c>
      <c r="C25">
        <v>539096</v>
      </c>
      <c r="D25" t="s">
        <v>366</v>
      </c>
      <c r="E25" t="s">
        <v>381</v>
      </c>
    </row>
    <row r="26" spans="2:5" x14ac:dyDescent="0.2">
      <c r="B26" t="s">
        <v>397</v>
      </c>
      <c r="C26">
        <v>538812</v>
      </c>
      <c r="D26" t="s">
        <v>366</v>
      </c>
      <c r="E26" t="s">
        <v>398</v>
      </c>
    </row>
    <row r="27" spans="2:5" x14ac:dyDescent="0.2">
      <c r="B27" t="s">
        <v>399</v>
      </c>
      <c r="C27">
        <v>539632</v>
      </c>
      <c r="D27" t="s">
        <v>366</v>
      </c>
      <c r="E27" t="s">
        <v>400</v>
      </c>
    </row>
    <row r="28" spans="2:5" x14ac:dyDescent="0.2">
      <c r="B28" t="s">
        <v>401</v>
      </c>
      <c r="C28">
        <v>542377</v>
      </c>
      <c r="D28" t="s">
        <v>402</v>
      </c>
      <c r="E28" t="s">
        <v>383</v>
      </c>
    </row>
    <row r="29" spans="2:5" x14ac:dyDescent="0.2">
      <c r="B29" t="s">
        <v>403</v>
      </c>
      <c r="C29">
        <v>524412</v>
      </c>
      <c r="D29" t="s">
        <v>366</v>
      </c>
      <c r="E29" t="s">
        <v>404</v>
      </c>
    </row>
    <row r="30" spans="2:5" x14ac:dyDescent="0.2">
      <c r="B30" t="s">
        <v>405</v>
      </c>
      <c r="C30" t="s">
        <v>366</v>
      </c>
      <c r="D30" t="s">
        <v>406</v>
      </c>
      <c r="E30" t="s">
        <v>377</v>
      </c>
    </row>
    <row r="31" spans="2:5" x14ac:dyDescent="0.2">
      <c r="B31" t="s">
        <v>407</v>
      </c>
      <c r="C31">
        <v>542580</v>
      </c>
      <c r="D31" t="s">
        <v>408</v>
      </c>
      <c r="E31" t="s">
        <v>409</v>
      </c>
    </row>
    <row r="32" spans="2:5" x14ac:dyDescent="0.2">
      <c r="B32" t="s">
        <v>410</v>
      </c>
      <c r="C32">
        <v>524348</v>
      </c>
      <c r="D32" t="s">
        <v>411</v>
      </c>
      <c r="E32" t="s">
        <v>404</v>
      </c>
    </row>
    <row r="33" spans="2:5" x14ac:dyDescent="0.2">
      <c r="B33" t="s">
        <v>412</v>
      </c>
      <c r="C33">
        <v>524208</v>
      </c>
      <c r="D33" t="s">
        <v>413</v>
      </c>
      <c r="E33" t="s">
        <v>414</v>
      </c>
    </row>
    <row r="34" spans="2:5" x14ac:dyDescent="0.2">
      <c r="B34" t="s">
        <v>415</v>
      </c>
      <c r="C34">
        <v>526488</v>
      </c>
      <c r="D34" t="s">
        <v>366</v>
      </c>
      <c r="E34" t="s">
        <v>381</v>
      </c>
    </row>
    <row r="35" spans="2:5" x14ac:dyDescent="0.2">
      <c r="B35" t="s">
        <v>416</v>
      </c>
      <c r="C35">
        <v>514274</v>
      </c>
      <c r="D35" t="s">
        <v>417</v>
      </c>
      <c r="E35" t="s">
        <v>381</v>
      </c>
    </row>
    <row r="36" spans="2:5" x14ac:dyDescent="0.2">
      <c r="B36" t="s">
        <v>418</v>
      </c>
      <c r="C36" t="s">
        <v>366</v>
      </c>
      <c r="D36" t="s">
        <v>419</v>
      </c>
      <c r="E36" t="s">
        <v>377</v>
      </c>
    </row>
    <row r="37" spans="2:5" x14ac:dyDescent="0.2">
      <c r="B37" t="s">
        <v>420</v>
      </c>
      <c r="C37">
        <v>519319</v>
      </c>
      <c r="D37" t="s">
        <v>366</v>
      </c>
      <c r="E37" t="s">
        <v>372</v>
      </c>
    </row>
    <row r="38" spans="2:5" x14ac:dyDescent="0.2">
      <c r="B38" t="s">
        <v>421</v>
      </c>
      <c r="C38">
        <v>512038</v>
      </c>
      <c r="D38" t="s">
        <v>366</v>
      </c>
      <c r="E38" t="s">
        <v>388</v>
      </c>
    </row>
    <row r="39" spans="2:5" x14ac:dyDescent="0.2">
      <c r="B39" t="s">
        <v>422</v>
      </c>
      <c r="C39">
        <v>541988</v>
      </c>
      <c r="D39" t="s">
        <v>423</v>
      </c>
      <c r="E39" t="s">
        <v>424</v>
      </c>
    </row>
    <row r="40" spans="2:5" x14ac:dyDescent="0.2">
      <c r="B40" t="s">
        <v>425</v>
      </c>
      <c r="C40">
        <v>539528</v>
      </c>
      <c r="D40" t="s">
        <v>366</v>
      </c>
      <c r="E40" t="s">
        <v>426</v>
      </c>
    </row>
    <row r="41" spans="2:5" x14ac:dyDescent="0.2">
      <c r="B41" t="s">
        <v>427</v>
      </c>
      <c r="C41">
        <v>523204</v>
      </c>
      <c r="D41" t="s">
        <v>428</v>
      </c>
      <c r="E41" t="s">
        <v>429</v>
      </c>
    </row>
    <row r="42" spans="2:5" x14ac:dyDescent="0.2">
      <c r="B42" t="s">
        <v>430</v>
      </c>
      <c r="C42">
        <v>512165</v>
      </c>
      <c r="D42" t="s">
        <v>366</v>
      </c>
      <c r="E42" t="s">
        <v>388</v>
      </c>
    </row>
    <row r="43" spans="2:5" x14ac:dyDescent="0.2">
      <c r="B43" t="s">
        <v>431</v>
      </c>
      <c r="C43">
        <v>500002</v>
      </c>
      <c r="D43" t="s">
        <v>432</v>
      </c>
      <c r="E43" t="s">
        <v>409</v>
      </c>
    </row>
    <row r="44" spans="2:5" x14ac:dyDescent="0.2">
      <c r="B44" t="s">
        <v>433</v>
      </c>
      <c r="C44">
        <v>500488</v>
      </c>
      <c r="D44" t="s">
        <v>434</v>
      </c>
      <c r="E44" t="s">
        <v>404</v>
      </c>
    </row>
    <row r="45" spans="2:5" x14ac:dyDescent="0.2">
      <c r="B45" t="s">
        <v>435</v>
      </c>
      <c r="C45">
        <v>500488</v>
      </c>
      <c r="D45" t="s">
        <v>436</v>
      </c>
      <c r="E45" t="s">
        <v>404</v>
      </c>
    </row>
    <row r="46" spans="2:5" x14ac:dyDescent="0.2">
      <c r="B46" t="s">
        <v>437</v>
      </c>
      <c r="C46">
        <v>520123</v>
      </c>
      <c r="D46" t="s">
        <v>366</v>
      </c>
      <c r="E46" t="s">
        <v>438</v>
      </c>
    </row>
    <row r="47" spans="2:5" x14ac:dyDescent="0.2">
      <c r="B47" t="s">
        <v>439</v>
      </c>
      <c r="C47">
        <v>513119</v>
      </c>
      <c r="D47" t="s">
        <v>366</v>
      </c>
      <c r="E47" t="s">
        <v>440</v>
      </c>
    </row>
    <row r="48" spans="2:5" x14ac:dyDescent="0.2">
      <c r="B48" t="s">
        <v>441</v>
      </c>
      <c r="C48">
        <v>520123</v>
      </c>
      <c r="D48" t="s">
        <v>366</v>
      </c>
      <c r="E48" t="s">
        <v>438</v>
      </c>
    </row>
    <row r="49" spans="2:5" x14ac:dyDescent="0.2">
      <c r="B49" t="s">
        <v>442</v>
      </c>
      <c r="C49">
        <v>532682</v>
      </c>
      <c r="D49" t="s">
        <v>443</v>
      </c>
      <c r="E49" t="s">
        <v>444</v>
      </c>
    </row>
    <row r="50" spans="2:5" x14ac:dyDescent="0.2">
      <c r="B50" t="s">
        <v>445</v>
      </c>
      <c r="C50">
        <v>539560</v>
      </c>
      <c r="D50" t="s">
        <v>366</v>
      </c>
      <c r="E50" t="s">
        <v>446</v>
      </c>
    </row>
    <row r="51" spans="2:5" x14ac:dyDescent="0.2">
      <c r="B51" t="s">
        <v>447</v>
      </c>
      <c r="C51">
        <v>532057</v>
      </c>
      <c r="D51" t="s">
        <v>366</v>
      </c>
      <c r="E51" t="s">
        <v>383</v>
      </c>
    </row>
    <row r="52" spans="2:5" x14ac:dyDescent="0.2">
      <c r="B52" t="s">
        <v>448</v>
      </c>
      <c r="C52">
        <v>538952</v>
      </c>
      <c r="D52" t="s">
        <v>366</v>
      </c>
      <c r="E52" t="s">
        <v>383</v>
      </c>
    </row>
    <row r="53" spans="2:5" x14ac:dyDescent="0.2">
      <c r="B53" t="s">
        <v>449</v>
      </c>
      <c r="C53">
        <v>538935</v>
      </c>
      <c r="D53" t="s">
        <v>366</v>
      </c>
      <c r="E53" t="s">
        <v>450</v>
      </c>
    </row>
    <row r="54" spans="2:5" x14ac:dyDescent="0.2">
      <c r="B54" t="s">
        <v>451</v>
      </c>
      <c r="C54">
        <v>539544</v>
      </c>
      <c r="D54" t="s">
        <v>366</v>
      </c>
      <c r="E54" t="s">
        <v>452</v>
      </c>
    </row>
    <row r="55" spans="2:5" x14ac:dyDescent="0.2">
      <c r="B55" t="s">
        <v>453</v>
      </c>
      <c r="C55">
        <v>511756</v>
      </c>
      <c r="D55" t="s">
        <v>366</v>
      </c>
      <c r="E55" t="s">
        <v>383</v>
      </c>
    </row>
    <row r="56" spans="2:5" x14ac:dyDescent="0.2">
      <c r="B56" t="s">
        <v>454</v>
      </c>
      <c r="C56">
        <v>511756</v>
      </c>
      <c r="D56" t="s">
        <v>366</v>
      </c>
      <c r="E56" t="s">
        <v>383</v>
      </c>
    </row>
    <row r="57" spans="2:5" x14ac:dyDescent="0.2">
      <c r="B57" t="s">
        <v>455</v>
      </c>
      <c r="C57" t="s">
        <v>366</v>
      </c>
      <c r="D57" t="s">
        <v>456</v>
      </c>
      <c r="E57" t="s">
        <v>457</v>
      </c>
    </row>
    <row r="58" spans="2:5" x14ac:dyDescent="0.2">
      <c r="B58" t="s">
        <v>458</v>
      </c>
      <c r="C58">
        <v>531161</v>
      </c>
      <c r="D58" t="s">
        <v>366</v>
      </c>
      <c r="E58" t="s">
        <v>459</v>
      </c>
    </row>
    <row r="59" spans="2:5" x14ac:dyDescent="0.2">
      <c r="B59" t="s">
        <v>460</v>
      </c>
      <c r="C59">
        <v>500410</v>
      </c>
      <c r="D59" t="s">
        <v>461</v>
      </c>
      <c r="E59" t="s">
        <v>379</v>
      </c>
    </row>
    <row r="60" spans="2:5" x14ac:dyDescent="0.2">
      <c r="B60" t="s">
        <v>462</v>
      </c>
      <c r="C60">
        <v>517494</v>
      </c>
      <c r="D60" t="s">
        <v>366</v>
      </c>
      <c r="E60" t="s">
        <v>463</v>
      </c>
    </row>
    <row r="61" spans="2:5" x14ac:dyDescent="0.2">
      <c r="B61" t="s">
        <v>464</v>
      </c>
      <c r="C61">
        <v>532268</v>
      </c>
      <c r="D61" t="s">
        <v>465</v>
      </c>
      <c r="E61" t="s">
        <v>352</v>
      </c>
    </row>
    <row r="62" spans="2:5" x14ac:dyDescent="0.2">
      <c r="B62" t="s">
        <v>466</v>
      </c>
      <c r="C62" t="s">
        <v>366</v>
      </c>
      <c r="D62" t="s">
        <v>467</v>
      </c>
      <c r="E62" t="s">
        <v>377</v>
      </c>
    </row>
    <row r="63" spans="2:5" x14ac:dyDescent="0.2">
      <c r="B63" t="s">
        <v>468</v>
      </c>
      <c r="C63" t="s">
        <v>366</v>
      </c>
      <c r="D63" t="s">
        <v>469</v>
      </c>
      <c r="E63" t="s">
        <v>377</v>
      </c>
    </row>
    <row r="64" spans="2:5" x14ac:dyDescent="0.2">
      <c r="B64" t="s">
        <v>470</v>
      </c>
      <c r="C64">
        <v>530093</v>
      </c>
      <c r="D64" t="s">
        <v>366</v>
      </c>
      <c r="E64" t="s">
        <v>471</v>
      </c>
    </row>
    <row r="65" spans="2:5" x14ac:dyDescent="0.2">
      <c r="B65" t="s">
        <v>472</v>
      </c>
      <c r="C65" t="s">
        <v>366</v>
      </c>
      <c r="D65" t="s">
        <v>473</v>
      </c>
      <c r="E65" t="s">
        <v>377</v>
      </c>
    </row>
    <row r="66" spans="2:5" x14ac:dyDescent="0.2">
      <c r="B66" t="s">
        <v>474</v>
      </c>
      <c r="C66">
        <v>539661</v>
      </c>
      <c r="D66" t="s">
        <v>366</v>
      </c>
      <c r="E66" t="s">
        <v>400</v>
      </c>
    </row>
    <row r="67" spans="2:5" x14ac:dyDescent="0.2">
      <c r="B67" t="s">
        <v>475</v>
      </c>
      <c r="C67">
        <v>531525</v>
      </c>
      <c r="D67" t="s">
        <v>366</v>
      </c>
      <c r="E67" t="s">
        <v>459</v>
      </c>
    </row>
    <row r="68" spans="2:5" x14ac:dyDescent="0.2">
      <c r="B68" t="s">
        <v>476</v>
      </c>
      <c r="C68">
        <v>538570</v>
      </c>
      <c r="D68" t="s">
        <v>477</v>
      </c>
      <c r="E68" t="s">
        <v>349</v>
      </c>
    </row>
    <row r="69" spans="2:5" x14ac:dyDescent="0.2">
      <c r="B69" t="s">
        <v>478</v>
      </c>
      <c r="C69">
        <v>517356</v>
      </c>
      <c r="D69" t="s">
        <v>366</v>
      </c>
      <c r="E69" t="s">
        <v>463</v>
      </c>
    </row>
    <row r="70" spans="2:5" x14ac:dyDescent="0.2">
      <c r="B70" t="s">
        <v>479</v>
      </c>
      <c r="C70">
        <v>530043</v>
      </c>
      <c r="D70" t="s">
        <v>366</v>
      </c>
      <c r="E70" t="s">
        <v>480</v>
      </c>
    </row>
    <row r="71" spans="2:5" x14ac:dyDescent="0.2">
      <c r="B71" t="s">
        <v>481</v>
      </c>
      <c r="C71">
        <v>539391</v>
      </c>
      <c r="D71" t="s">
        <v>366</v>
      </c>
      <c r="E71" t="s">
        <v>383</v>
      </c>
    </row>
    <row r="72" spans="2:5" x14ac:dyDescent="0.2">
      <c r="B72" t="s">
        <v>482</v>
      </c>
      <c r="C72">
        <v>513149</v>
      </c>
      <c r="D72" t="s">
        <v>483</v>
      </c>
      <c r="E72" t="s">
        <v>484</v>
      </c>
    </row>
    <row r="73" spans="2:5" x14ac:dyDescent="0.2">
      <c r="B73" t="s">
        <v>485</v>
      </c>
      <c r="C73">
        <v>524091</v>
      </c>
      <c r="D73" t="s">
        <v>366</v>
      </c>
      <c r="E73" t="s">
        <v>486</v>
      </c>
    </row>
    <row r="74" spans="2:5" x14ac:dyDescent="0.2">
      <c r="B74" t="s">
        <v>487</v>
      </c>
      <c r="C74">
        <v>532762</v>
      </c>
      <c r="D74" t="s">
        <v>488</v>
      </c>
      <c r="E74" t="s">
        <v>489</v>
      </c>
    </row>
    <row r="75" spans="2:5" x14ac:dyDescent="0.2">
      <c r="B75" t="s">
        <v>490</v>
      </c>
      <c r="C75">
        <v>511706</v>
      </c>
      <c r="D75" t="s">
        <v>366</v>
      </c>
      <c r="E75" t="s">
        <v>349</v>
      </c>
    </row>
    <row r="76" spans="2:5" x14ac:dyDescent="0.2">
      <c r="B76" t="s">
        <v>491</v>
      </c>
      <c r="C76">
        <v>511706</v>
      </c>
      <c r="D76" t="s">
        <v>366</v>
      </c>
      <c r="E76" t="s">
        <v>349</v>
      </c>
    </row>
    <row r="77" spans="2:5" x14ac:dyDescent="0.2">
      <c r="B77" t="s">
        <v>492</v>
      </c>
      <c r="C77">
        <v>541144</v>
      </c>
      <c r="D77" t="s">
        <v>366</v>
      </c>
      <c r="E77" t="s">
        <v>480</v>
      </c>
    </row>
    <row r="78" spans="2:5" x14ac:dyDescent="0.2">
      <c r="B78" t="s">
        <v>493</v>
      </c>
      <c r="C78">
        <v>512599</v>
      </c>
      <c r="D78" t="s">
        <v>494</v>
      </c>
      <c r="E78" t="s">
        <v>388</v>
      </c>
    </row>
    <row r="79" spans="2:5" x14ac:dyDescent="0.2">
      <c r="B79" t="s">
        <v>495</v>
      </c>
      <c r="C79">
        <v>542066</v>
      </c>
      <c r="D79" t="s">
        <v>496</v>
      </c>
      <c r="E79" t="s">
        <v>497</v>
      </c>
    </row>
    <row r="80" spans="2:5" x14ac:dyDescent="0.2">
      <c r="B80" t="s">
        <v>498</v>
      </c>
      <c r="C80">
        <v>541450</v>
      </c>
      <c r="D80" t="s">
        <v>499</v>
      </c>
      <c r="E80" t="s">
        <v>409</v>
      </c>
    </row>
    <row r="81" spans="2:5" x14ac:dyDescent="0.2">
      <c r="B81" t="s">
        <v>500</v>
      </c>
      <c r="C81">
        <v>532921</v>
      </c>
      <c r="D81" t="s">
        <v>501</v>
      </c>
      <c r="E81" t="s">
        <v>502</v>
      </c>
    </row>
    <row r="82" spans="2:5" x14ac:dyDescent="0.2">
      <c r="B82" t="s">
        <v>503</v>
      </c>
      <c r="C82">
        <v>533096</v>
      </c>
      <c r="D82" t="s">
        <v>504</v>
      </c>
      <c r="E82" t="s">
        <v>505</v>
      </c>
    </row>
    <row r="83" spans="2:5" x14ac:dyDescent="0.2">
      <c r="B83" t="s">
        <v>506</v>
      </c>
      <c r="C83">
        <v>539254</v>
      </c>
      <c r="D83" t="s">
        <v>507</v>
      </c>
      <c r="E83" t="s">
        <v>505</v>
      </c>
    </row>
    <row r="84" spans="2:5" x14ac:dyDescent="0.2">
      <c r="B84" t="s">
        <v>508</v>
      </c>
      <c r="C84">
        <v>538563</v>
      </c>
      <c r="D84" t="s">
        <v>366</v>
      </c>
      <c r="E84" t="s">
        <v>388</v>
      </c>
    </row>
    <row r="85" spans="2:5" x14ac:dyDescent="0.2">
      <c r="B85" t="s">
        <v>509</v>
      </c>
      <c r="C85">
        <v>526711</v>
      </c>
      <c r="D85" t="s">
        <v>366</v>
      </c>
      <c r="E85" t="s">
        <v>510</v>
      </c>
    </row>
    <row r="86" spans="2:5" x14ac:dyDescent="0.2">
      <c r="B86" t="s">
        <v>511</v>
      </c>
      <c r="C86">
        <v>523411</v>
      </c>
      <c r="D86" t="s">
        <v>366</v>
      </c>
      <c r="E86" t="s">
        <v>512</v>
      </c>
    </row>
    <row r="87" spans="2:5" x14ac:dyDescent="0.2">
      <c r="B87" t="s">
        <v>513</v>
      </c>
      <c r="C87">
        <v>539506</v>
      </c>
      <c r="D87" t="s">
        <v>366</v>
      </c>
      <c r="E87" t="s">
        <v>383</v>
      </c>
    </row>
    <row r="88" spans="2:5" x14ac:dyDescent="0.2">
      <c r="B88" t="s">
        <v>514</v>
      </c>
      <c r="C88">
        <v>507852</v>
      </c>
      <c r="D88" t="s">
        <v>366</v>
      </c>
      <c r="E88" t="s">
        <v>480</v>
      </c>
    </row>
    <row r="89" spans="2:5" x14ac:dyDescent="0.2">
      <c r="B89" t="s">
        <v>515</v>
      </c>
      <c r="C89">
        <v>541865</v>
      </c>
      <c r="D89" t="s">
        <v>366</v>
      </c>
      <c r="E89" t="s">
        <v>400</v>
      </c>
    </row>
    <row r="90" spans="2:5" x14ac:dyDescent="0.2">
      <c r="B90" t="s">
        <v>516</v>
      </c>
      <c r="C90">
        <v>519183</v>
      </c>
      <c r="D90" t="s">
        <v>517</v>
      </c>
      <c r="E90" t="s">
        <v>426</v>
      </c>
    </row>
    <row r="91" spans="2:5" x14ac:dyDescent="0.2">
      <c r="B91" t="s">
        <v>518</v>
      </c>
      <c r="C91">
        <v>539493</v>
      </c>
      <c r="D91" t="s">
        <v>366</v>
      </c>
      <c r="E91" t="s">
        <v>383</v>
      </c>
    </row>
    <row r="92" spans="2:5" x14ac:dyDescent="0.2">
      <c r="B92" t="s">
        <v>519</v>
      </c>
      <c r="C92">
        <v>539189</v>
      </c>
      <c r="D92" t="s">
        <v>366</v>
      </c>
      <c r="E92" t="s">
        <v>452</v>
      </c>
    </row>
    <row r="93" spans="2:5" x14ac:dyDescent="0.2">
      <c r="B93" t="s">
        <v>520</v>
      </c>
      <c r="C93">
        <v>780018</v>
      </c>
      <c r="D93" t="s">
        <v>366</v>
      </c>
      <c r="E93" t="s">
        <v>457</v>
      </c>
    </row>
    <row r="94" spans="2:5" x14ac:dyDescent="0.2">
      <c r="B94" t="s">
        <v>521</v>
      </c>
      <c r="C94">
        <v>538365</v>
      </c>
      <c r="D94" t="s">
        <v>522</v>
      </c>
      <c r="E94" t="s">
        <v>398</v>
      </c>
    </row>
    <row r="95" spans="2:5" x14ac:dyDescent="0.2">
      <c r="B95" t="s">
        <v>523</v>
      </c>
      <c r="C95">
        <v>532727</v>
      </c>
      <c r="D95" t="s">
        <v>524</v>
      </c>
      <c r="E95" t="s">
        <v>398</v>
      </c>
    </row>
    <row r="96" spans="2:5" x14ac:dyDescent="0.2">
      <c r="B96" t="s">
        <v>525</v>
      </c>
      <c r="C96">
        <v>531592</v>
      </c>
      <c r="D96" t="s">
        <v>366</v>
      </c>
      <c r="E96" t="s">
        <v>526</v>
      </c>
    </row>
    <row r="97" spans="2:5" x14ac:dyDescent="0.2">
      <c r="B97" t="s">
        <v>527</v>
      </c>
      <c r="C97">
        <v>532056</v>
      </c>
      <c r="D97" t="s">
        <v>366</v>
      </c>
      <c r="E97" t="s">
        <v>386</v>
      </c>
    </row>
    <row r="98" spans="2:5" x14ac:dyDescent="0.2">
      <c r="B98" t="s">
        <v>528</v>
      </c>
      <c r="C98">
        <v>514113</v>
      </c>
      <c r="D98" t="s">
        <v>366</v>
      </c>
      <c r="E98" t="s">
        <v>381</v>
      </c>
    </row>
    <row r="99" spans="2:5" x14ac:dyDescent="0.2">
      <c r="B99" t="s">
        <v>529</v>
      </c>
      <c r="C99">
        <v>534707</v>
      </c>
      <c r="D99" t="s">
        <v>366</v>
      </c>
      <c r="E99" t="s">
        <v>480</v>
      </c>
    </row>
    <row r="100" spans="2:5" x14ac:dyDescent="0.2">
      <c r="B100" t="s">
        <v>530</v>
      </c>
      <c r="C100">
        <v>540691</v>
      </c>
      <c r="D100" t="s">
        <v>531</v>
      </c>
      <c r="E100" t="s">
        <v>532</v>
      </c>
    </row>
    <row r="101" spans="2:5" x14ac:dyDescent="0.2">
      <c r="B101" t="s">
        <v>533</v>
      </c>
      <c r="C101">
        <v>535755</v>
      </c>
      <c r="D101" t="s">
        <v>534</v>
      </c>
      <c r="E101" t="s">
        <v>535</v>
      </c>
    </row>
    <row r="102" spans="2:5" x14ac:dyDescent="0.2">
      <c r="B102" t="s">
        <v>536</v>
      </c>
      <c r="C102">
        <v>532974</v>
      </c>
      <c r="D102" t="s">
        <v>537</v>
      </c>
      <c r="E102" t="s">
        <v>349</v>
      </c>
    </row>
    <row r="103" spans="2:5" x14ac:dyDescent="0.2">
      <c r="B103" t="s">
        <v>538</v>
      </c>
      <c r="C103">
        <v>540146</v>
      </c>
      <c r="D103" t="s">
        <v>366</v>
      </c>
      <c r="E103" t="s">
        <v>400</v>
      </c>
    </row>
    <row r="104" spans="2:5" x14ac:dyDescent="0.2">
      <c r="B104" t="s">
        <v>539</v>
      </c>
      <c r="C104">
        <v>513513</v>
      </c>
      <c r="D104" t="s">
        <v>366</v>
      </c>
      <c r="E104" t="s">
        <v>398</v>
      </c>
    </row>
    <row r="105" spans="2:5" x14ac:dyDescent="0.2">
      <c r="B105" t="s">
        <v>540</v>
      </c>
      <c r="C105">
        <v>521141</v>
      </c>
      <c r="D105" t="s">
        <v>366</v>
      </c>
      <c r="E105" t="s">
        <v>381</v>
      </c>
    </row>
    <row r="106" spans="2:5" x14ac:dyDescent="0.2">
      <c r="B106" t="s">
        <v>541</v>
      </c>
      <c r="C106">
        <v>540205</v>
      </c>
      <c r="D106" t="s">
        <v>366</v>
      </c>
      <c r="E106" t="s">
        <v>388</v>
      </c>
    </row>
    <row r="107" spans="2:5" x14ac:dyDescent="0.2">
      <c r="B107" t="s">
        <v>542</v>
      </c>
      <c r="C107">
        <v>539056</v>
      </c>
      <c r="D107" t="s">
        <v>543</v>
      </c>
      <c r="E107" t="s">
        <v>544</v>
      </c>
    </row>
    <row r="108" spans="2:5" x14ac:dyDescent="0.2">
      <c r="B108" t="s">
        <v>545</v>
      </c>
      <c r="C108">
        <v>511359</v>
      </c>
      <c r="D108" t="s">
        <v>366</v>
      </c>
      <c r="E108" t="s">
        <v>383</v>
      </c>
    </row>
    <row r="109" spans="2:5" x14ac:dyDescent="0.2">
      <c r="B109" t="s">
        <v>546</v>
      </c>
      <c r="C109">
        <v>530431</v>
      </c>
      <c r="D109" t="s">
        <v>366</v>
      </c>
      <c r="E109" t="s">
        <v>388</v>
      </c>
    </row>
    <row r="110" spans="2:5" x14ac:dyDescent="0.2">
      <c r="B110" t="s">
        <v>547</v>
      </c>
      <c r="C110">
        <v>523120</v>
      </c>
      <c r="D110" t="s">
        <v>366</v>
      </c>
      <c r="E110" t="s">
        <v>548</v>
      </c>
    </row>
    <row r="111" spans="2:5" x14ac:dyDescent="0.2">
      <c r="B111" t="s">
        <v>549</v>
      </c>
      <c r="C111">
        <v>517041</v>
      </c>
      <c r="D111" t="s">
        <v>550</v>
      </c>
      <c r="E111" t="s">
        <v>551</v>
      </c>
    </row>
    <row r="112" spans="2:5" x14ac:dyDescent="0.2">
      <c r="B112" t="s">
        <v>552</v>
      </c>
      <c r="C112">
        <v>532172</v>
      </c>
      <c r="D112" t="s">
        <v>553</v>
      </c>
      <c r="E112" t="s">
        <v>352</v>
      </c>
    </row>
    <row r="113" spans="2:5" x14ac:dyDescent="0.2">
      <c r="B113" t="s">
        <v>554</v>
      </c>
      <c r="C113">
        <v>523031</v>
      </c>
      <c r="D113" t="s">
        <v>366</v>
      </c>
      <c r="E113" t="s">
        <v>555</v>
      </c>
    </row>
    <row r="114" spans="2:5" x14ac:dyDescent="0.2">
      <c r="B114" t="s">
        <v>556</v>
      </c>
      <c r="C114">
        <v>521048</v>
      </c>
      <c r="D114" t="s">
        <v>366</v>
      </c>
      <c r="E114" t="s">
        <v>381</v>
      </c>
    </row>
    <row r="115" spans="2:5" x14ac:dyDescent="0.2">
      <c r="B115" t="s">
        <v>557</v>
      </c>
      <c r="C115">
        <v>534612</v>
      </c>
      <c r="D115" t="s">
        <v>366</v>
      </c>
      <c r="E115" t="s">
        <v>505</v>
      </c>
    </row>
    <row r="116" spans="2:5" x14ac:dyDescent="0.2">
      <c r="B116" t="s">
        <v>558</v>
      </c>
      <c r="C116">
        <v>506947</v>
      </c>
      <c r="D116" t="s">
        <v>366</v>
      </c>
      <c r="E116" t="s">
        <v>414</v>
      </c>
    </row>
    <row r="117" spans="2:5" x14ac:dyDescent="0.2">
      <c r="B117" t="s">
        <v>559</v>
      </c>
      <c r="C117">
        <v>531047</v>
      </c>
      <c r="D117" t="s">
        <v>366</v>
      </c>
      <c r="E117" t="s">
        <v>383</v>
      </c>
    </row>
    <row r="118" spans="2:5" x14ac:dyDescent="0.2">
      <c r="B118" t="s">
        <v>560</v>
      </c>
      <c r="C118">
        <v>539982</v>
      </c>
      <c r="D118" t="s">
        <v>366</v>
      </c>
      <c r="E118" t="s">
        <v>561</v>
      </c>
    </row>
    <row r="119" spans="2:5" x14ac:dyDescent="0.2">
      <c r="B119" t="s">
        <v>562</v>
      </c>
      <c r="C119">
        <v>540025</v>
      </c>
      <c r="D119" t="s">
        <v>563</v>
      </c>
      <c r="E119" t="s">
        <v>564</v>
      </c>
    </row>
    <row r="120" spans="2:5" x14ac:dyDescent="0.2">
      <c r="B120" t="s">
        <v>565</v>
      </c>
      <c r="C120">
        <v>523269</v>
      </c>
      <c r="D120" t="s">
        <v>566</v>
      </c>
      <c r="E120" t="s">
        <v>567</v>
      </c>
    </row>
    <row r="121" spans="2:5" x14ac:dyDescent="0.2">
      <c r="B121" t="s">
        <v>568</v>
      </c>
      <c r="C121">
        <v>523269</v>
      </c>
      <c r="D121" t="s">
        <v>566</v>
      </c>
      <c r="E121" t="s">
        <v>567</v>
      </c>
    </row>
    <row r="122" spans="2:5" x14ac:dyDescent="0.2">
      <c r="B122" t="s">
        <v>569</v>
      </c>
      <c r="C122">
        <v>531429</v>
      </c>
      <c r="D122" t="s">
        <v>366</v>
      </c>
      <c r="E122" t="s">
        <v>459</v>
      </c>
    </row>
    <row r="123" spans="2:5" x14ac:dyDescent="0.2">
      <c r="B123" t="s">
        <v>570</v>
      </c>
      <c r="C123">
        <v>539773</v>
      </c>
      <c r="D123" t="s">
        <v>366</v>
      </c>
      <c r="E123" t="s">
        <v>383</v>
      </c>
    </row>
    <row r="124" spans="2:5" x14ac:dyDescent="0.2">
      <c r="B124" t="s">
        <v>571</v>
      </c>
      <c r="C124">
        <v>531686</v>
      </c>
      <c r="D124" t="s">
        <v>366</v>
      </c>
      <c r="E124" t="s">
        <v>404</v>
      </c>
    </row>
    <row r="125" spans="2:5" x14ac:dyDescent="0.2">
      <c r="B125" t="s">
        <v>572</v>
      </c>
      <c r="C125">
        <v>541152</v>
      </c>
      <c r="D125" t="s">
        <v>366</v>
      </c>
      <c r="E125" t="s">
        <v>388</v>
      </c>
    </row>
    <row r="126" spans="2:5" x14ac:dyDescent="0.2">
      <c r="B126" t="s">
        <v>573</v>
      </c>
      <c r="C126">
        <v>541152</v>
      </c>
      <c r="D126" t="s">
        <v>366</v>
      </c>
      <c r="E126" t="s">
        <v>388</v>
      </c>
    </row>
    <row r="127" spans="2:5" x14ac:dyDescent="0.2">
      <c r="B127" t="s">
        <v>574</v>
      </c>
      <c r="C127">
        <v>500003</v>
      </c>
      <c r="D127" t="s">
        <v>575</v>
      </c>
      <c r="E127" t="s">
        <v>576</v>
      </c>
    </row>
    <row r="128" spans="2:5" x14ac:dyDescent="0.2">
      <c r="B128" t="s">
        <v>577</v>
      </c>
      <c r="C128">
        <v>541402</v>
      </c>
      <c r="D128" t="s">
        <v>366</v>
      </c>
      <c r="E128" t="s">
        <v>374</v>
      </c>
    </row>
    <row r="129" spans="2:5" x14ac:dyDescent="0.2">
      <c r="B129" t="s">
        <v>578</v>
      </c>
      <c r="C129">
        <v>531921</v>
      </c>
      <c r="D129" t="s">
        <v>579</v>
      </c>
      <c r="E129" t="s">
        <v>580</v>
      </c>
    </row>
    <row r="130" spans="2:5" x14ac:dyDescent="0.2">
      <c r="B130" t="s">
        <v>581</v>
      </c>
      <c r="C130">
        <v>500463</v>
      </c>
      <c r="D130" t="s">
        <v>582</v>
      </c>
      <c r="E130" t="s">
        <v>352</v>
      </c>
    </row>
    <row r="131" spans="2:5" x14ac:dyDescent="0.2">
      <c r="B131" t="s">
        <v>583</v>
      </c>
      <c r="C131">
        <v>539042</v>
      </c>
      <c r="D131" t="s">
        <v>366</v>
      </c>
      <c r="E131" t="s">
        <v>452</v>
      </c>
    </row>
    <row r="132" spans="2:5" x14ac:dyDescent="0.2">
      <c r="B132" t="s">
        <v>584</v>
      </c>
      <c r="C132">
        <v>516020</v>
      </c>
      <c r="D132" t="s">
        <v>366</v>
      </c>
      <c r="E132" t="s">
        <v>360</v>
      </c>
    </row>
    <row r="133" spans="2:5" x14ac:dyDescent="0.2">
      <c r="B133" t="s">
        <v>585</v>
      </c>
      <c r="C133">
        <v>537492</v>
      </c>
      <c r="D133" t="s">
        <v>366</v>
      </c>
      <c r="E133" t="s">
        <v>388</v>
      </c>
    </row>
    <row r="134" spans="2:5" x14ac:dyDescent="0.2">
      <c r="B134" t="s">
        <v>586</v>
      </c>
      <c r="C134">
        <v>537292</v>
      </c>
      <c r="D134" t="s">
        <v>587</v>
      </c>
      <c r="E134" t="s">
        <v>564</v>
      </c>
    </row>
    <row r="135" spans="2:5" x14ac:dyDescent="0.2">
      <c r="B135" t="s">
        <v>588</v>
      </c>
      <c r="C135">
        <v>537292</v>
      </c>
      <c r="D135" t="s">
        <v>587</v>
      </c>
      <c r="E135" t="s">
        <v>564</v>
      </c>
    </row>
    <row r="136" spans="2:5" x14ac:dyDescent="0.2">
      <c r="B136" t="s">
        <v>589</v>
      </c>
      <c r="C136" t="s">
        <v>366</v>
      </c>
      <c r="D136" t="s">
        <v>590</v>
      </c>
      <c r="E136" t="s">
        <v>377</v>
      </c>
    </row>
    <row r="137" spans="2:5" x14ac:dyDescent="0.2">
      <c r="B137" t="s">
        <v>591</v>
      </c>
      <c r="C137" t="s">
        <v>366</v>
      </c>
      <c r="D137" t="s">
        <v>590</v>
      </c>
      <c r="E137" t="s">
        <v>377</v>
      </c>
    </row>
    <row r="138" spans="2:5" x14ac:dyDescent="0.2">
      <c r="B138" t="s">
        <v>592</v>
      </c>
      <c r="C138">
        <v>500215</v>
      </c>
      <c r="D138" t="s">
        <v>593</v>
      </c>
      <c r="E138" t="s">
        <v>564</v>
      </c>
    </row>
    <row r="139" spans="2:5" x14ac:dyDescent="0.2">
      <c r="B139" t="s">
        <v>594</v>
      </c>
      <c r="C139" t="s">
        <v>366</v>
      </c>
      <c r="D139" t="s">
        <v>595</v>
      </c>
      <c r="E139" t="s">
        <v>377</v>
      </c>
    </row>
    <row r="140" spans="2:5" x14ac:dyDescent="0.2">
      <c r="B140" t="s">
        <v>596</v>
      </c>
      <c r="C140" t="s">
        <v>366</v>
      </c>
      <c r="D140" t="s">
        <v>597</v>
      </c>
      <c r="E140" t="s">
        <v>377</v>
      </c>
    </row>
    <row r="141" spans="2:5" x14ac:dyDescent="0.2">
      <c r="B141" t="s">
        <v>598</v>
      </c>
      <c r="C141">
        <v>532811</v>
      </c>
      <c r="D141" t="s">
        <v>599</v>
      </c>
      <c r="E141" t="s">
        <v>452</v>
      </c>
    </row>
    <row r="142" spans="2:5" x14ac:dyDescent="0.2">
      <c r="B142" t="s">
        <v>600</v>
      </c>
      <c r="C142">
        <v>532811</v>
      </c>
      <c r="D142" t="s">
        <v>599</v>
      </c>
      <c r="E142" t="s">
        <v>452</v>
      </c>
    </row>
    <row r="143" spans="2:5" x14ac:dyDescent="0.2">
      <c r="B143" t="s">
        <v>601</v>
      </c>
      <c r="C143">
        <v>522273</v>
      </c>
      <c r="D143" t="s">
        <v>366</v>
      </c>
      <c r="E143" t="s">
        <v>398</v>
      </c>
    </row>
    <row r="144" spans="2:5" x14ac:dyDescent="0.2">
      <c r="B144" t="s">
        <v>602</v>
      </c>
      <c r="C144">
        <v>532806</v>
      </c>
      <c r="D144" t="s">
        <v>366</v>
      </c>
      <c r="E144" t="s">
        <v>603</v>
      </c>
    </row>
    <row r="145" spans="2:5" x14ac:dyDescent="0.2">
      <c r="B145" t="s">
        <v>604</v>
      </c>
      <c r="C145">
        <v>532683</v>
      </c>
      <c r="D145" t="s">
        <v>605</v>
      </c>
      <c r="E145" t="s">
        <v>551</v>
      </c>
    </row>
    <row r="146" spans="2:5" x14ac:dyDescent="0.2">
      <c r="B146" t="s">
        <v>606</v>
      </c>
      <c r="C146">
        <v>524288</v>
      </c>
      <c r="D146" t="s">
        <v>366</v>
      </c>
      <c r="E146" t="s">
        <v>510</v>
      </c>
    </row>
    <row r="147" spans="2:5" x14ac:dyDescent="0.2">
      <c r="B147" t="s">
        <v>607</v>
      </c>
      <c r="C147" t="s">
        <v>366</v>
      </c>
      <c r="D147" t="s">
        <v>608</v>
      </c>
      <c r="E147" t="s">
        <v>377</v>
      </c>
    </row>
    <row r="148" spans="2:5" x14ac:dyDescent="0.2">
      <c r="B148" t="s">
        <v>609</v>
      </c>
      <c r="C148" t="s">
        <v>366</v>
      </c>
      <c r="D148" t="s">
        <v>610</v>
      </c>
      <c r="E148" t="s">
        <v>377</v>
      </c>
    </row>
    <row r="149" spans="2:5" x14ac:dyDescent="0.2">
      <c r="B149" t="s">
        <v>611</v>
      </c>
      <c r="C149">
        <v>532975</v>
      </c>
      <c r="D149" t="s">
        <v>366</v>
      </c>
      <c r="E149" t="s">
        <v>512</v>
      </c>
    </row>
    <row r="150" spans="2:5" x14ac:dyDescent="0.2">
      <c r="B150" t="s">
        <v>612</v>
      </c>
      <c r="C150">
        <v>532331</v>
      </c>
      <c r="D150" t="s">
        <v>613</v>
      </c>
      <c r="E150" t="s">
        <v>404</v>
      </c>
    </row>
    <row r="151" spans="2:5" x14ac:dyDescent="0.2">
      <c r="B151" t="s">
        <v>614</v>
      </c>
      <c r="C151">
        <v>519216</v>
      </c>
      <c r="D151" t="s">
        <v>366</v>
      </c>
      <c r="E151" t="s">
        <v>615</v>
      </c>
    </row>
    <row r="152" spans="2:5" x14ac:dyDescent="0.2">
      <c r="B152" t="s">
        <v>616</v>
      </c>
      <c r="C152">
        <v>511692</v>
      </c>
      <c r="D152" t="s">
        <v>366</v>
      </c>
      <c r="E152" t="s">
        <v>349</v>
      </c>
    </row>
    <row r="153" spans="2:5" x14ac:dyDescent="0.2">
      <c r="B153" t="s">
        <v>617</v>
      </c>
      <c r="C153">
        <v>530713</v>
      </c>
      <c r="D153" t="s">
        <v>366</v>
      </c>
      <c r="E153" t="s">
        <v>352</v>
      </c>
    </row>
    <row r="154" spans="2:5" x14ac:dyDescent="0.2">
      <c r="B154" t="s">
        <v>618</v>
      </c>
      <c r="C154">
        <v>513349</v>
      </c>
      <c r="D154" t="s">
        <v>619</v>
      </c>
      <c r="E154" t="s">
        <v>452</v>
      </c>
    </row>
    <row r="155" spans="2:5" x14ac:dyDescent="0.2">
      <c r="B155" t="s">
        <v>620</v>
      </c>
      <c r="C155">
        <v>513349</v>
      </c>
      <c r="D155" t="s">
        <v>619</v>
      </c>
      <c r="E155" t="s">
        <v>452</v>
      </c>
    </row>
    <row r="156" spans="2:5" x14ac:dyDescent="0.2">
      <c r="B156" t="s">
        <v>621</v>
      </c>
      <c r="C156" t="s">
        <v>366</v>
      </c>
      <c r="D156" t="s">
        <v>622</v>
      </c>
      <c r="E156" t="s">
        <v>377</v>
      </c>
    </row>
    <row r="157" spans="2:5" x14ac:dyDescent="0.2">
      <c r="B157" t="s">
        <v>623</v>
      </c>
      <c r="C157">
        <v>526628</v>
      </c>
      <c r="D157" t="s">
        <v>366</v>
      </c>
      <c r="E157" t="s">
        <v>544</v>
      </c>
    </row>
    <row r="158" spans="2:5" x14ac:dyDescent="0.2">
      <c r="B158" t="s">
        <v>624</v>
      </c>
      <c r="C158">
        <v>530621</v>
      </c>
      <c r="D158" t="s">
        <v>366</v>
      </c>
      <c r="E158" t="s">
        <v>374</v>
      </c>
    </row>
    <row r="159" spans="2:5" x14ac:dyDescent="0.2">
      <c r="B159" t="s">
        <v>625</v>
      </c>
      <c r="C159" t="s">
        <v>366</v>
      </c>
      <c r="D159" t="s">
        <v>626</v>
      </c>
      <c r="E159" t="s">
        <v>377</v>
      </c>
    </row>
    <row r="160" spans="2:5" x14ac:dyDescent="0.2">
      <c r="B160" t="s">
        <v>627</v>
      </c>
      <c r="C160">
        <v>538778</v>
      </c>
      <c r="D160" t="s">
        <v>366</v>
      </c>
      <c r="E160" t="s">
        <v>383</v>
      </c>
    </row>
    <row r="161" spans="2:5" x14ac:dyDescent="0.2">
      <c r="B161" t="s">
        <v>628</v>
      </c>
      <c r="C161" t="s">
        <v>366</v>
      </c>
      <c r="D161" t="s">
        <v>629</v>
      </c>
      <c r="E161" t="s">
        <v>377</v>
      </c>
    </row>
    <row r="162" spans="2:5" x14ac:dyDescent="0.2">
      <c r="B162" t="s">
        <v>630</v>
      </c>
      <c r="C162">
        <v>542020</v>
      </c>
      <c r="D162" t="s">
        <v>366</v>
      </c>
      <c r="E162" t="s">
        <v>480</v>
      </c>
    </row>
    <row r="163" spans="2:5" x14ac:dyDescent="0.2">
      <c r="B163" t="s">
        <v>631</v>
      </c>
      <c r="C163">
        <v>542020</v>
      </c>
      <c r="D163" t="s">
        <v>366</v>
      </c>
      <c r="E163" t="s">
        <v>480</v>
      </c>
    </row>
    <row r="164" spans="2:5" x14ac:dyDescent="0.2">
      <c r="B164" t="s">
        <v>632</v>
      </c>
      <c r="C164">
        <v>540718</v>
      </c>
      <c r="D164" t="s">
        <v>366</v>
      </c>
      <c r="E164" t="s">
        <v>381</v>
      </c>
    </row>
    <row r="165" spans="2:5" x14ac:dyDescent="0.2">
      <c r="B165" t="s">
        <v>633</v>
      </c>
      <c r="C165">
        <v>539017</v>
      </c>
      <c r="D165" t="s">
        <v>366</v>
      </c>
      <c r="E165" t="s">
        <v>424</v>
      </c>
    </row>
    <row r="166" spans="2:5" x14ac:dyDescent="0.2">
      <c r="B166" t="s">
        <v>634</v>
      </c>
      <c r="C166">
        <v>532351</v>
      </c>
      <c r="D166" t="s">
        <v>635</v>
      </c>
      <c r="E166" t="s">
        <v>636</v>
      </c>
    </row>
    <row r="167" spans="2:5" x14ac:dyDescent="0.2">
      <c r="B167" t="s">
        <v>637</v>
      </c>
      <c r="C167">
        <v>541303</v>
      </c>
      <c r="D167" t="s">
        <v>366</v>
      </c>
      <c r="E167" t="s">
        <v>381</v>
      </c>
    </row>
    <row r="168" spans="2:5" x14ac:dyDescent="0.2">
      <c r="B168" t="s">
        <v>638</v>
      </c>
      <c r="C168">
        <v>524598</v>
      </c>
      <c r="D168" t="s">
        <v>639</v>
      </c>
      <c r="E168" t="s">
        <v>526</v>
      </c>
    </row>
    <row r="169" spans="2:5" x14ac:dyDescent="0.2">
      <c r="B169" t="s">
        <v>640</v>
      </c>
      <c r="C169">
        <v>524598</v>
      </c>
      <c r="D169" t="s">
        <v>639</v>
      </c>
      <c r="E169" t="s">
        <v>526</v>
      </c>
    </row>
    <row r="170" spans="2:5" x14ac:dyDescent="0.2">
      <c r="B170" t="s">
        <v>641</v>
      </c>
      <c r="C170">
        <v>500710</v>
      </c>
      <c r="D170" t="s">
        <v>642</v>
      </c>
      <c r="E170" t="s">
        <v>643</v>
      </c>
    </row>
    <row r="171" spans="2:5" x14ac:dyDescent="0.2">
      <c r="B171" t="s">
        <v>644</v>
      </c>
      <c r="C171">
        <v>500710</v>
      </c>
      <c r="D171" t="s">
        <v>645</v>
      </c>
      <c r="E171" t="s">
        <v>643</v>
      </c>
    </row>
    <row r="172" spans="2:5" x14ac:dyDescent="0.2">
      <c r="B172" t="s">
        <v>646</v>
      </c>
      <c r="C172">
        <v>535916</v>
      </c>
      <c r="D172" t="s">
        <v>366</v>
      </c>
      <c r="E172" t="s">
        <v>349</v>
      </c>
    </row>
    <row r="173" spans="2:5" x14ac:dyDescent="0.2">
      <c r="B173" t="s">
        <v>647</v>
      </c>
      <c r="C173">
        <v>539115</v>
      </c>
      <c r="D173" t="s">
        <v>366</v>
      </c>
      <c r="E173" t="s">
        <v>369</v>
      </c>
    </row>
    <row r="174" spans="2:5" x14ac:dyDescent="0.2">
      <c r="B174" t="s">
        <v>648</v>
      </c>
      <c r="C174">
        <v>531082</v>
      </c>
      <c r="D174" t="s">
        <v>649</v>
      </c>
      <c r="E174" t="s">
        <v>349</v>
      </c>
    </row>
    <row r="175" spans="2:5" x14ac:dyDescent="0.2">
      <c r="B175" t="s">
        <v>650</v>
      </c>
      <c r="C175">
        <v>524075</v>
      </c>
      <c r="D175" t="s">
        <v>651</v>
      </c>
      <c r="E175" t="s">
        <v>404</v>
      </c>
    </row>
    <row r="176" spans="2:5" x14ac:dyDescent="0.2">
      <c r="B176" t="s">
        <v>652</v>
      </c>
      <c r="C176">
        <v>531409</v>
      </c>
      <c r="D176" t="s">
        <v>366</v>
      </c>
      <c r="E176" t="s">
        <v>414</v>
      </c>
    </row>
    <row r="177" spans="2:5" x14ac:dyDescent="0.2">
      <c r="B177" t="s">
        <v>653</v>
      </c>
      <c r="C177">
        <v>526707</v>
      </c>
      <c r="D177" t="s">
        <v>654</v>
      </c>
      <c r="E177" t="s">
        <v>388</v>
      </c>
    </row>
    <row r="178" spans="2:5" x14ac:dyDescent="0.2">
      <c r="B178" t="s">
        <v>655</v>
      </c>
      <c r="C178">
        <v>532114</v>
      </c>
      <c r="D178" t="s">
        <v>366</v>
      </c>
      <c r="E178" t="s">
        <v>452</v>
      </c>
    </row>
    <row r="179" spans="2:5" x14ac:dyDescent="0.2">
      <c r="B179" t="s">
        <v>656</v>
      </c>
      <c r="C179">
        <v>506235</v>
      </c>
      <c r="D179" t="s">
        <v>657</v>
      </c>
      <c r="E179" t="s">
        <v>404</v>
      </c>
    </row>
    <row r="180" spans="2:5" x14ac:dyDescent="0.2">
      <c r="B180" t="s">
        <v>658</v>
      </c>
      <c r="C180">
        <v>533573</v>
      </c>
      <c r="D180" t="s">
        <v>659</v>
      </c>
      <c r="E180" t="s">
        <v>404</v>
      </c>
    </row>
    <row r="181" spans="2:5" x14ac:dyDescent="0.2">
      <c r="B181" t="s">
        <v>660</v>
      </c>
      <c r="C181">
        <v>511463</v>
      </c>
      <c r="D181" t="s">
        <v>366</v>
      </c>
      <c r="E181" t="s">
        <v>355</v>
      </c>
    </row>
    <row r="182" spans="2:5" x14ac:dyDescent="0.2">
      <c r="B182" t="s">
        <v>661</v>
      </c>
      <c r="C182">
        <v>530973</v>
      </c>
      <c r="D182" t="s">
        <v>366</v>
      </c>
      <c r="E182" t="s">
        <v>486</v>
      </c>
    </row>
    <row r="183" spans="2:5" x14ac:dyDescent="0.2">
      <c r="B183" t="s">
        <v>662</v>
      </c>
      <c r="C183">
        <v>530973</v>
      </c>
      <c r="D183" t="s">
        <v>366</v>
      </c>
      <c r="E183" t="s">
        <v>486</v>
      </c>
    </row>
    <row r="184" spans="2:5" x14ac:dyDescent="0.2">
      <c r="B184" t="s">
        <v>663</v>
      </c>
      <c r="C184">
        <v>517546</v>
      </c>
      <c r="D184" t="s">
        <v>366</v>
      </c>
      <c r="E184" t="s">
        <v>664</v>
      </c>
    </row>
    <row r="185" spans="2:5" x14ac:dyDescent="0.2">
      <c r="B185" t="s">
        <v>665</v>
      </c>
      <c r="C185">
        <v>531156</v>
      </c>
      <c r="D185" t="s">
        <v>366</v>
      </c>
      <c r="E185" t="s">
        <v>383</v>
      </c>
    </row>
    <row r="186" spans="2:5" x14ac:dyDescent="0.2">
      <c r="B186" t="s">
        <v>666</v>
      </c>
      <c r="C186">
        <v>531156</v>
      </c>
      <c r="D186" t="s">
        <v>366</v>
      </c>
      <c r="E186" t="s">
        <v>383</v>
      </c>
    </row>
    <row r="187" spans="2:5" x14ac:dyDescent="0.2">
      <c r="B187" t="s">
        <v>667</v>
      </c>
      <c r="C187">
        <v>505216</v>
      </c>
      <c r="D187" t="s">
        <v>366</v>
      </c>
      <c r="E187" t="s">
        <v>383</v>
      </c>
    </row>
    <row r="188" spans="2:5" x14ac:dyDescent="0.2">
      <c r="B188" t="s">
        <v>668</v>
      </c>
      <c r="C188">
        <v>505216</v>
      </c>
      <c r="D188" t="s">
        <v>366</v>
      </c>
      <c r="E188" t="s">
        <v>383</v>
      </c>
    </row>
    <row r="189" spans="2:5" x14ac:dyDescent="0.2">
      <c r="B189" t="s">
        <v>669</v>
      </c>
      <c r="C189">
        <v>531147</v>
      </c>
      <c r="D189" t="s">
        <v>670</v>
      </c>
      <c r="E189" t="s">
        <v>671</v>
      </c>
    </row>
    <row r="190" spans="2:5" x14ac:dyDescent="0.2">
      <c r="B190" t="s">
        <v>672</v>
      </c>
      <c r="C190">
        <v>530889</v>
      </c>
      <c r="D190" t="s">
        <v>366</v>
      </c>
      <c r="E190" t="s">
        <v>381</v>
      </c>
    </row>
    <row r="191" spans="2:5" x14ac:dyDescent="0.2">
      <c r="B191" t="s">
        <v>673</v>
      </c>
      <c r="C191">
        <v>531581</v>
      </c>
      <c r="D191" t="s">
        <v>366</v>
      </c>
      <c r="E191" t="s">
        <v>480</v>
      </c>
    </row>
    <row r="192" spans="2:5" x14ac:dyDescent="0.2">
      <c r="B192" t="s">
        <v>674</v>
      </c>
      <c r="C192">
        <v>530889</v>
      </c>
      <c r="D192" t="s">
        <v>366</v>
      </c>
      <c r="E192" t="s">
        <v>381</v>
      </c>
    </row>
    <row r="193" spans="2:5" x14ac:dyDescent="0.2">
      <c r="B193" t="s">
        <v>675</v>
      </c>
      <c r="C193">
        <v>532166</v>
      </c>
      <c r="D193" t="s">
        <v>366</v>
      </c>
      <c r="E193" t="s">
        <v>383</v>
      </c>
    </row>
    <row r="194" spans="2:5" x14ac:dyDescent="0.2">
      <c r="B194" t="s">
        <v>676</v>
      </c>
      <c r="C194">
        <v>533029</v>
      </c>
      <c r="D194" t="s">
        <v>677</v>
      </c>
      <c r="E194" t="s">
        <v>526</v>
      </c>
    </row>
    <row r="195" spans="2:5" x14ac:dyDescent="0.2">
      <c r="B195" t="s">
        <v>678</v>
      </c>
      <c r="C195">
        <v>539523</v>
      </c>
      <c r="D195" t="s">
        <v>679</v>
      </c>
      <c r="E195" t="s">
        <v>404</v>
      </c>
    </row>
    <row r="196" spans="2:5" x14ac:dyDescent="0.2">
      <c r="B196" t="s">
        <v>680</v>
      </c>
      <c r="C196">
        <v>506767</v>
      </c>
      <c r="D196" t="s">
        <v>681</v>
      </c>
      <c r="E196" t="s">
        <v>526</v>
      </c>
    </row>
    <row r="197" spans="2:5" x14ac:dyDescent="0.2">
      <c r="B197" t="s">
        <v>682</v>
      </c>
      <c r="C197">
        <v>532480</v>
      </c>
      <c r="D197" t="s">
        <v>683</v>
      </c>
      <c r="E197" t="s">
        <v>684</v>
      </c>
    </row>
    <row r="198" spans="2:5" x14ac:dyDescent="0.2">
      <c r="B198" t="s">
        <v>685</v>
      </c>
      <c r="C198">
        <v>532749</v>
      </c>
      <c r="D198" t="s">
        <v>686</v>
      </c>
      <c r="E198" t="s">
        <v>687</v>
      </c>
    </row>
    <row r="199" spans="2:5" x14ac:dyDescent="0.2">
      <c r="B199" t="s">
        <v>688</v>
      </c>
      <c r="C199">
        <v>534064</v>
      </c>
      <c r="D199" t="s">
        <v>366</v>
      </c>
      <c r="E199" t="s">
        <v>689</v>
      </c>
    </row>
    <row r="200" spans="2:5" x14ac:dyDescent="0.2">
      <c r="B200" t="s">
        <v>690</v>
      </c>
      <c r="C200">
        <v>532919</v>
      </c>
      <c r="D200" t="s">
        <v>366</v>
      </c>
      <c r="E200" t="s">
        <v>691</v>
      </c>
    </row>
    <row r="201" spans="2:5" x14ac:dyDescent="0.2">
      <c r="B201" t="s">
        <v>692</v>
      </c>
      <c r="C201">
        <v>532875</v>
      </c>
      <c r="D201" t="s">
        <v>693</v>
      </c>
      <c r="E201" t="s">
        <v>352</v>
      </c>
    </row>
    <row r="202" spans="2:5" x14ac:dyDescent="0.2">
      <c r="B202" t="s">
        <v>694</v>
      </c>
      <c r="C202">
        <v>532633</v>
      </c>
      <c r="D202" t="s">
        <v>695</v>
      </c>
      <c r="E202" t="s">
        <v>696</v>
      </c>
    </row>
    <row r="203" spans="2:5" x14ac:dyDescent="0.2">
      <c r="B203" t="s">
        <v>697</v>
      </c>
      <c r="C203">
        <v>531400</v>
      </c>
      <c r="D203" t="s">
        <v>698</v>
      </c>
      <c r="E203" t="s">
        <v>349</v>
      </c>
    </row>
    <row r="204" spans="2:5" x14ac:dyDescent="0.2">
      <c r="B204" t="s">
        <v>699</v>
      </c>
      <c r="C204">
        <v>506120</v>
      </c>
      <c r="D204" t="s">
        <v>366</v>
      </c>
      <c r="E204" t="s">
        <v>388</v>
      </c>
    </row>
    <row r="205" spans="2:5" x14ac:dyDescent="0.2">
      <c r="B205" t="s">
        <v>700</v>
      </c>
      <c r="C205">
        <v>521070</v>
      </c>
      <c r="D205" t="s">
        <v>701</v>
      </c>
      <c r="E205" t="s">
        <v>381</v>
      </c>
    </row>
    <row r="206" spans="2:5" x14ac:dyDescent="0.2">
      <c r="B206" t="s">
        <v>702</v>
      </c>
      <c r="C206">
        <v>532878</v>
      </c>
      <c r="D206" t="s">
        <v>703</v>
      </c>
      <c r="E206" t="s">
        <v>704</v>
      </c>
    </row>
    <row r="207" spans="2:5" x14ac:dyDescent="0.2">
      <c r="B207" t="s">
        <v>705</v>
      </c>
      <c r="C207">
        <v>526397</v>
      </c>
      <c r="D207" t="s">
        <v>706</v>
      </c>
      <c r="E207" t="s">
        <v>707</v>
      </c>
    </row>
    <row r="208" spans="2:5" x14ac:dyDescent="0.2">
      <c r="B208" t="s">
        <v>708</v>
      </c>
      <c r="C208">
        <v>526397</v>
      </c>
      <c r="D208" t="s">
        <v>706</v>
      </c>
      <c r="E208" t="s">
        <v>707</v>
      </c>
    </row>
    <row r="209" spans="2:5" x14ac:dyDescent="0.2">
      <c r="B209" t="s">
        <v>709</v>
      </c>
      <c r="C209">
        <v>526519</v>
      </c>
      <c r="D209" t="s">
        <v>366</v>
      </c>
      <c r="E209" t="s">
        <v>452</v>
      </c>
    </row>
    <row r="210" spans="2:5" x14ac:dyDescent="0.2">
      <c r="B210" t="s">
        <v>710</v>
      </c>
      <c r="C210">
        <v>530715</v>
      </c>
      <c r="D210" t="s">
        <v>711</v>
      </c>
      <c r="E210" t="s">
        <v>381</v>
      </c>
    </row>
    <row r="211" spans="2:5" x14ac:dyDescent="0.2">
      <c r="B211" t="s">
        <v>712</v>
      </c>
      <c r="C211">
        <v>538423</v>
      </c>
      <c r="D211" t="s">
        <v>713</v>
      </c>
      <c r="E211" t="s">
        <v>349</v>
      </c>
    </row>
    <row r="212" spans="2:5" x14ac:dyDescent="0.2">
      <c r="B212" t="s">
        <v>714</v>
      </c>
      <c r="C212">
        <v>539277</v>
      </c>
      <c r="D212" t="s">
        <v>366</v>
      </c>
      <c r="E212" t="s">
        <v>400</v>
      </c>
    </row>
    <row r="213" spans="2:5" x14ac:dyDescent="0.2">
      <c r="B213" t="s">
        <v>715</v>
      </c>
      <c r="C213">
        <v>539277</v>
      </c>
      <c r="D213" t="s">
        <v>366</v>
      </c>
      <c r="E213" t="s">
        <v>400</v>
      </c>
    </row>
    <row r="214" spans="2:5" x14ac:dyDescent="0.2">
      <c r="B214" t="s">
        <v>716</v>
      </c>
      <c r="C214">
        <v>524634</v>
      </c>
      <c r="D214" t="s">
        <v>366</v>
      </c>
      <c r="E214" t="s">
        <v>414</v>
      </c>
    </row>
    <row r="215" spans="2:5" x14ac:dyDescent="0.2">
      <c r="B215" t="s">
        <v>717</v>
      </c>
      <c r="C215">
        <v>506597</v>
      </c>
      <c r="D215" t="s">
        <v>366</v>
      </c>
      <c r="E215" t="s">
        <v>526</v>
      </c>
    </row>
    <row r="216" spans="2:5" x14ac:dyDescent="0.2">
      <c r="B216" t="s">
        <v>718</v>
      </c>
      <c r="C216">
        <v>512008</v>
      </c>
      <c r="D216" t="s">
        <v>366</v>
      </c>
      <c r="E216" t="s">
        <v>388</v>
      </c>
    </row>
    <row r="217" spans="2:5" x14ac:dyDescent="0.2">
      <c r="B217" t="s">
        <v>719</v>
      </c>
      <c r="C217">
        <v>500008</v>
      </c>
      <c r="D217" t="s">
        <v>720</v>
      </c>
      <c r="E217" t="s">
        <v>721</v>
      </c>
    </row>
    <row r="218" spans="2:5" x14ac:dyDescent="0.2">
      <c r="B218" t="s">
        <v>722</v>
      </c>
      <c r="C218">
        <v>521097</v>
      </c>
      <c r="D218" t="s">
        <v>366</v>
      </c>
      <c r="E218" t="s">
        <v>381</v>
      </c>
    </row>
    <row r="219" spans="2:5" x14ac:dyDescent="0.2">
      <c r="B219" t="s">
        <v>723</v>
      </c>
      <c r="C219">
        <v>538465</v>
      </c>
      <c r="D219" t="s">
        <v>366</v>
      </c>
      <c r="E219" t="s">
        <v>383</v>
      </c>
    </row>
    <row r="220" spans="2:5" x14ac:dyDescent="0.2">
      <c r="B220" t="s">
        <v>724</v>
      </c>
      <c r="C220">
        <v>531112</v>
      </c>
      <c r="D220" t="s">
        <v>366</v>
      </c>
      <c r="E220" t="s">
        <v>374</v>
      </c>
    </row>
    <row r="221" spans="2:5" x14ac:dyDescent="0.2">
      <c r="B221" t="s">
        <v>725</v>
      </c>
      <c r="C221">
        <v>539196</v>
      </c>
      <c r="D221" t="s">
        <v>366</v>
      </c>
      <c r="E221" t="s">
        <v>664</v>
      </c>
    </row>
    <row r="222" spans="2:5" x14ac:dyDescent="0.2">
      <c r="B222" t="s">
        <v>726</v>
      </c>
      <c r="C222">
        <v>500009</v>
      </c>
      <c r="D222" t="s">
        <v>366</v>
      </c>
      <c r="E222" t="s">
        <v>404</v>
      </c>
    </row>
    <row r="223" spans="2:5" x14ac:dyDescent="0.2">
      <c r="B223" t="s">
        <v>727</v>
      </c>
      <c r="C223" t="s">
        <v>366</v>
      </c>
      <c r="D223" t="s">
        <v>728</v>
      </c>
      <c r="E223" t="s">
        <v>377</v>
      </c>
    </row>
    <row r="224" spans="2:5" x14ac:dyDescent="0.2">
      <c r="B224" t="s">
        <v>729</v>
      </c>
      <c r="C224">
        <v>519471</v>
      </c>
      <c r="D224" t="s">
        <v>366</v>
      </c>
      <c r="E224" t="s">
        <v>615</v>
      </c>
    </row>
    <row r="225" spans="2:5" x14ac:dyDescent="0.2">
      <c r="B225" t="s">
        <v>730</v>
      </c>
      <c r="C225">
        <v>542524</v>
      </c>
      <c r="D225" t="s">
        <v>731</v>
      </c>
      <c r="E225" t="s">
        <v>732</v>
      </c>
    </row>
    <row r="226" spans="2:5" x14ac:dyDescent="0.2">
      <c r="B226" t="s">
        <v>733</v>
      </c>
      <c r="C226">
        <v>540902</v>
      </c>
      <c r="D226" t="s">
        <v>734</v>
      </c>
      <c r="E226" t="s">
        <v>735</v>
      </c>
    </row>
    <row r="227" spans="2:5" x14ac:dyDescent="0.2">
      <c r="B227" t="s">
        <v>736</v>
      </c>
      <c r="C227">
        <v>540902</v>
      </c>
      <c r="D227" t="s">
        <v>734</v>
      </c>
      <c r="E227" t="s">
        <v>735</v>
      </c>
    </row>
    <row r="228" spans="2:5" x14ac:dyDescent="0.2">
      <c r="B228" t="s">
        <v>737</v>
      </c>
      <c r="C228">
        <v>531978</v>
      </c>
      <c r="D228" t="s">
        <v>738</v>
      </c>
      <c r="E228" t="s">
        <v>381</v>
      </c>
    </row>
    <row r="229" spans="2:5" x14ac:dyDescent="0.2">
      <c r="B229" t="s">
        <v>739</v>
      </c>
      <c r="C229">
        <v>539223</v>
      </c>
      <c r="D229" t="s">
        <v>366</v>
      </c>
      <c r="E229" t="s">
        <v>360</v>
      </c>
    </row>
    <row r="230" spans="2:5" x14ac:dyDescent="0.2">
      <c r="B230" t="s">
        <v>740</v>
      </c>
      <c r="C230">
        <v>500425</v>
      </c>
      <c r="D230" t="s">
        <v>741</v>
      </c>
      <c r="E230" t="s">
        <v>379</v>
      </c>
    </row>
    <row r="231" spans="2:5" x14ac:dyDescent="0.2">
      <c r="B231" t="s">
        <v>742</v>
      </c>
      <c r="C231">
        <v>530133</v>
      </c>
      <c r="D231" t="s">
        <v>366</v>
      </c>
      <c r="E231" t="s">
        <v>743</v>
      </c>
    </row>
    <row r="232" spans="2:5" x14ac:dyDescent="0.2">
      <c r="B232" t="s">
        <v>744</v>
      </c>
      <c r="C232">
        <v>530133</v>
      </c>
      <c r="D232" t="s">
        <v>366</v>
      </c>
      <c r="E232" t="s">
        <v>743</v>
      </c>
    </row>
    <row r="233" spans="2:5" x14ac:dyDescent="0.2">
      <c r="B233" t="s">
        <v>745</v>
      </c>
      <c r="C233">
        <v>532828</v>
      </c>
      <c r="D233" t="s">
        <v>746</v>
      </c>
      <c r="E233" t="s">
        <v>551</v>
      </c>
    </row>
    <row r="234" spans="2:5" x14ac:dyDescent="0.2">
      <c r="B234" t="s">
        <v>747</v>
      </c>
      <c r="C234">
        <v>513117</v>
      </c>
      <c r="D234" t="s">
        <v>366</v>
      </c>
      <c r="E234" t="s">
        <v>721</v>
      </c>
    </row>
    <row r="235" spans="2:5" x14ac:dyDescent="0.2">
      <c r="B235" t="s">
        <v>748</v>
      </c>
      <c r="C235">
        <v>541771</v>
      </c>
      <c r="D235" t="s">
        <v>366</v>
      </c>
      <c r="E235" t="s">
        <v>480</v>
      </c>
    </row>
    <row r="236" spans="2:5" x14ac:dyDescent="0.2">
      <c r="B236" t="s">
        <v>749</v>
      </c>
      <c r="C236">
        <v>506248</v>
      </c>
      <c r="D236" t="s">
        <v>366</v>
      </c>
      <c r="E236" t="s">
        <v>414</v>
      </c>
    </row>
    <row r="237" spans="2:5" x14ac:dyDescent="0.2">
      <c r="B237" t="s">
        <v>750</v>
      </c>
      <c r="C237">
        <v>531300</v>
      </c>
      <c r="D237" t="s">
        <v>366</v>
      </c>
      <c r="E237" t="s">
        <v>381</v>
      </c>
    </row>
    <row r="238" spans="2:5" x14ac:dyDescent="0.2">
      <c r="B238" t="s">
        <v>751</v>
      </c>
      <c r="C238">
        <v>531557</v>
      </c>
      <c r="D238" t="s">
        <v>366</v>
      </c>
      <c r="E238" t="s">
        <v>383</v>
      </c>
    </row>
    <row r="239" spans="2:5" x14ac:dyDescent="0.2">
      <c r="B239" t="s">
        <v>752</v>
      </c>
      <c r="C239">
        <v>500343</v>
      </c>
      <c r="D239" t="s">
        <v>753</v>
      </c>
      <c r="E239" t="s">
        <v>452</v>
      </c>
    </row>
    <row r="240" spans="2:5" x14ac:dyDescent="0.2">
      <c r="B240" t="s">
        <v>754</v>
      </c>
      <c r="C240">
        <v>531681</v>
      </c>
      <c r="D240" t="s">
        <v>366</v>
      </c>
      <c r="E240" t="s">
        <v>486</v>
      </c>
    </row>
    <row r="241" spans="2:5" x14ac:dyDescent="0.2">
      <c r="B241" t="s">
        <v>755</v>
      </c>
      <c r="C241">
        <v>536737</v>
      </c>
      <c r="D241" t="s">
        <v>366</v>
      </c>
      <c r="E241" t="s">
        <v>383</v>
      </c>
    </row>
    <row r="242" spans="2:5" x14ac:dyDescent="0.2">
      <c r="B242" t="s">
        <v>756</v>
      </c>
      <c r="C242">
        <v>539265</v>
      </c>
      <c r="D242" t="s">
        <v>366</v>
      </c>
      <c r="E242" t="s">
        <v>383</v>
      </c>
    </row>
    <row r="243" spans="2:5" x14ac:dyDescent="0.2">
      <c r="B243" t="s">
        <v>757</v>
      </c>
      <c r="C243">
        <v>526241</v>
      </c>
      <c r="D243" t="s">
        <v>366</v>
      </c>
      <c r="E243" t="s">
        <v>388</v>
      </c>
    </row>
    <row r="244" spans="2:5" x14ac:dyDescent="0.2">
      <c r="B244" t="s">
        <v>758</v>
      </c>
      <c r="C244">
        <v>531991</v>
      </c>
      <c r="D244" t="s">
        <v>366</v>
      </c>
      <c r="E244" t="s">
        <v>381</v>
      </c>
    </row>
    <row r="245" spans="2:5" x14ac:dyDescent="0.2">
      <c r="B245" t="s">
        <v>759</v>
      </c>
      <c r="C245">
        <v>507525</v>
      </c>
      <c r="D245" t="s">
        <v>366</v>
      </c>
      <c r="E245" t="s">
        <v>426</v>
      </c>
    </row>
    <row r="246" spans="2:5" x14ac:dyDescent="0.2">
      <c r="B246" t="s">
        <v>760</v>
      </c>
      <c r="C246">
        <v>590006</v>
      </c>
      <c r="D246" t="s">
        <v>761</v>
      </c>
      <c r="E246" t="s">
        <v>404</v>
      </c>
    </row>
    <row r="247" spans="2:5" x14ac:dyDescent="0.2">
      <c r="B247" t="s">
        <v>762</v>
      </c>
      <c r="C247">
        <v>538861</v>
      </c>
      <c r="D247" t="s">
        <v>366</v>
      </c>
      <c r="E247" t="s">
        <v>388</v>
      </c>
    </row>
    <row r="248" spans="2:5" x14ac:dyDescent="0.2">
      <c r="B248" t="s">
        <v>763</v>
      </c>
      <c r="C248">
        <v>501630</v>
      </c>
      <c r="D248" t="s">
        <v>366</v>
      </c>
      <c r="E248" t="s">
        <v>764</v>
      </c>
    </row>
    <row r="249" spans="2:5" x14ac:dyDescent="0.2">
      <c r="B249" t="s">
        <v>765</v>
      </c>
      <c r="C249">
        <v>515055</v>
      </c>
      <c r="D249" t="s">
        <v>766</v>
      </c>
      <c r="E249" t="s">
        <v>452</v>
      </c>
    </row>
    <row r="250" spans="2:5" x14ac:dyDescent="0.2">
      <c r="B250" t="s">
        <v>767</v>
      </c>
      <c r="C250">
        <v>532418</v>
      </c>
      <c r="D250" t="s">
        <v>768</v>
      </c>
      <c r="E250" t="s">
        <v>684</v>
      </c>
    </row>
    <row r="251" spans="2:5" x14ac:dyDescent="0.2">
      <c r="B251" t="s">
        <v>769</v>
      </c>
      <c r="C251">
        <v>532141</v>
      </c>
      <c r="D251" t="s">
        <v>770</v>
      </c>
      <c r="E251" t="s">
        <v>379</v>
      </c>
    </row>
    <row r="252" spans="2:5" x14ac:dyDescent="0.2">
      <c r="B252" t="s">
        <v>771</v>
      </c>
      <c r="C252">
        <v>500012</v>
      </c>
      <c r="D252" t="s">
        <v>366</v>
      </c>
      <c r="E252" t="s">
        <v>414</v>
      </c>
    </row>
    <row r="253" spans="2:5" x14ac:dyDescent="0.2">
      <c r="B253" t="s">
        <v>772</v>
      </c>
      <c r="C253">
        <v>526173</v>
      </c>
      <c r="D253" t="s">
        <v>366</v>
      </c>
      <c r="E253" t="s">
        <v>773</v>
      </c>
    </row>
    <row r="254" spans="2:5" x14ac:dyDescent="0.2">
      <c r="B254" t="s">
        <v>774</v>
      </c>
      <c r="C254">
        <v>531252</v>
      </c>
      <c r="D254" t="s">
        <v>366</v>
      </c>
      <c r="E254" t="s">
        <v>383</v>
      </c>
    </row>
    <row r="255" spans="2:5" x14ac:dyDescent="0.2">
      <c r="B255" t="s">
        <v>775</v>
      </c>
      <c r="C255">
        <v>530721</v>
      </c>
      <c r="D255" t="s">
        <v>776</v>
      </c>
      <c r="E255" t="s">
        <v>721</v>
      </c>
    </row>
    <row r="256" spans="2:5" x14ac:dyDescent="0.2">
      <c r="B256" t="s">
        <v>777</v>
      </c>
      <c r="C256">
        <v>540694</v>
      </c>
      <c r="D256" t="s">
        <v>366</v>
      </c>
      <c r="E256" t="s">
        <v>555</v>
      </c>
    </row>
    <row r="257" spans="2:5" x14ac:dyDescent="0.2">
      <c r="B257" t="s">
        <v>778</v>
      </c>
      <c r="C257">
        <v>540694</v>
      </c>
      <c r="D257" t="s">
        <v>366</v>
      </c>
      <c r="E257" t="s">
        <v>555</v>
      </c>
    </row>
    <row r="258" spans="2:5" x14ac:dyDescent="0.2">
      <c r="B258" t="s">
        <v>779</v>
      </c>
      <c r="C258">
        <v>541006</v>
      </c>
      <c r="D258" t="s">
        <v>366</v>
      </c>
      <c r="E258" t="s">
        <v>381</v>
      </c>
    </row>
    <row r="259" spans="2:5" x14ac:dyDescent="0.2">
      <c r="B259" t="s">
        <v>780</v>
      </c>
      <c r="C259" t="s">
        <v>366</v>
      </c>
      <c r="D259" t="s">
        <v>781</v>
      </c>
      <c r="E259" t="s">
        <v>377</v>
      </c>
    </row>
    <row r="260" spans="2:5" x14ac:dyDescent="0.2">
      <c r="B260" t="s">
        <v>782</v>
      </c>
      <c r="C260">
        <v>519383</v>
      </c>
      <c r="D260" t="s">
        <v>783</v>
      </c>
      <c r="E260" t="s">
        <v>564</v>
      </c>
    </row>
    <row r="261" spans="2:5" x14ac:dyDescent="0.2">
      <c r="B261" t="s">
        <v>784</v>
      </c>
      <c r="C261">
        <v>537785</v>
      </c>
      <c r="D261" t="s">
        <v>366</v>
      </c>
      <c r="E261" t="s">
        <v>400</v>
      </c>
    </row>
    <row r="262" spans="2:5" x14ac:dyDescent="0.2">
      <c r="B262" t="s">
        <v>785</v>
      </c>
      <c r="C262">
        <v>531878</v>
      </c>
      <c r="D262" t="s">
        <v>366</v>
      </c>
      <c r="E262" t="s">
        <v>383</v>
      </c>
    </row>
    <row r="263" spans="2:5" x14ac:dyDescent="0.2">
      <c r="B263" t="s">
        <v>786</v>
      </c>
      <c r="C263">
        <v>511153</v>
      </c>
      <c r="D263" t="s">
        <v>366</v>
      </c>
      <c r="E263" t="s">
        <v>787</v>
      </c>
    </row>
    <row r="264" spans="2:5" x14ac:dyDescent="0.2">
      <c r="B264" t="s">
        <v>788</v>
      </c>
      <c r="C264">
        <v>518091</v>
      </c>
      <c r="D264" t="s">
        <v>789</v>
      </c>
      <c r="E264" t="s">
        <v>379</v>
      </c>
    </row>
    <row r="265" spans="2:5" x14ac:dyDescent="0.2">
      <c r="B265" t="s">
        <v>790</v>
      </c>
      <c r="C265">
        <v>531223</v>
      </c>
      <c r="D265" t="s">
        <v>366</v>
      </c>
      <c r="E265" t="s">
        <v>381</v>
      </c>
    </row>
    <row r="266" spans="2:5" x14ac:dyDescent="0.2">
      <c r="B266" t="s">
        <v>791</v>
      </c>
      <c r="C266">
        <v>531673</v>
      </c>
      <c r="D266" t="s">
        <v>366</v>
      </c>
      <c r="E266" t="s">
        <v>792</v>
      </c>
    </row>
    <row r="267" spans="2:5" x14ac:dyDescent="0.2">
      <c r="B267" t="s">
        <v>793</v>
      </c>
      <c r="C267">
        <v>531673</v>
      </c>
      <c r="D267" t="s">
        <v>366</v>
      </c>
      <c r="E267" t="s">
        <v>792</v>
      </c>
    </row>
    <row r="268" spans="2:5" x14ac:dyDescent="0.2">
      <c r="B268" t="s">
        <v>794</v>
      </c>
      <c r="C268">
        <v>532870</v>
      </c>
      <c r="D268" t="s">
        <v>795</v>
      </c>
      <c r="E268" t="s">
        <v>398</v>
      </c>
    </row>
    <row r="269" spans="2:5" x14ac:dyDescent="0.2">
      <c r="B269" t="s">
        <v>796</v>
      </c>
      <c r="C269">
        <v>531519</v>
      </c>
      <c r="D269" t="s">
        <v>366</v>
      </c>
      <c r="E269" t="s">
        <v>349</v>
      </c>
    </row>
    <row r="270" spans="2:5" x14ac:dyDescent="0.2">
      <c r="B270" t="s">
        <v>797</v>
      </c>
      <c r="C270">
        <v>542437</v>
      </c>
      <c r="D270" t="s">
        <v>798</v>
      </c>
      <c r="E270" t="s">
        <v>400</v>
      </c>
    </row>
    <row r="271" spans="2:5" x14ac:dyDescent="0.2">
      <c r="B271" t="s">
        <v>799</v>
      </c>
      <c r="C271">
        <v>530799</v>
      </c>
      <c r="D271" t="s">
        <v>366</v>
      </c>
      <c r="E271" t="s">
        <v>383</v>
      </c>
    </row>
    <row r="272" spans="2:5" x14ac:dyDescent="0.2">
      <c r="B272" t="s">
        <v>800</v>
      </c>
      <c r="C272">
        <v>531406</v>
      </c>
      <c r="D272" t="s">
        <v>366</v>
      </c>
      <c r="E272" t="s">
        <v>801</v>
      </c>
    </row>
    <row r="273" spans="2:5" x14ac:dyDescent="0.2">
      <c r="B273" t="s">
        <v>802</v>
      </c>
      <c r="C273">
        <v>523007</v>
      </c>
      <c r="D273" t="s">
        <v>366</v>
      </c>
      <c r="E273" t="s">
        <v>452</v>
      </c>
    </row>
    <row r="274" spans="2:5" x14ac:dyDescent="0.2">
      <c r="B274" t="s">
        <v>803</v>
      </c>
      <c r="C274">
        <v>507828</v>
      </c>
      <c r="D274" t="s">
        <v>804</v>
      </c>
      <c r="E274" t="s">
        <v>452</v>
      </c>
    </row>
    <row r="275" spans="2:5" x14ac:dyDescent="0.2">
      <c r="B275" t="s">
        <v>805</v>
      </c>
      <c r="C275">
        <v>500013</v>
      </c>
      <c r="D275" t="s">
        <v>806</v>
      </c>
      <c r="E275" t="s">
        <v>452</v>
      </c>
    </row>
    <row r="276" spans="2:5" x14ac:dyDescent="0.2">
      <c r="B276" t="s">
        <v>807</v>
      </c>
      <c r="C276">
        <v>512091</v>
      </c>
      <c r="D276" t="s">
        <v>366</v>
      </c>
      <c r="E276" t="s">
        <v>480</v>
      </c>
    </row>
    <row r="277" spans="2:5" x14ac:dyDescent="0.2">
      <c r="B277" t="s">
        <v>808</v>
      </c>
      <c r="C277" t="s">
        <v>366</v>
      </c>
      <c r="D277" t="s">
        <v>809</v>
      </c>
      <c r="E277" t="s">
        <v>457</v>
      </c>
    </row>
    <row r="278" spans="2:5" x14ac:dyDescent="0.2">
      <c r="B278" t="s">
        <v>810</v>
      </c>
      <c r="C278">
        <v>501270</v>
      </c>
      <c r="D278" t="s">
        <v>366</v>
      </c>
      <c r="E278" t="s">
        <v>452</v>
      </c>
    </row>
    <row r="279" spans="2:5" x14ac:dyDescent="0.2">
      <c r="B279" t="s">
        <v>811</v>
      </c>
      <c r="C279">
        <v>539697</v>
      </c>
      <c r="D279" t="s">
        <v>366</v>
      </c>
      <c r="E279" t="s">
        <v>812</v>
      </c>
    </row>
    <row r="280" spans="2:5" x14ac:dyDescent="0.2">
      <c r="B280" t="s">
        <v>813</v>
      </c>
      <c r="C280">
        <v>538833</v>
      </c>
      <c r="D280" t="s">
        <v>366</v>
      </c>
      <c r="E280" t="s">
        <v>764</v>
      </c>
    </row>
    <row r="281" spans="2:5" x14ac:dyDescent="0.2">
      <c r="B281" t="s">
        <v>814</v>
      </c>
      <c r="C281">
        <v>506260</v>
      </c>
      <c r="D281" t="s">
        <v>366</v>
      </c>
      <c r="E281" t="s">
        <v>404</v>
      </c>
    </row>
    <row r="282" spans="2:5" x14ac:dyDescent="0.2">
      <c r="B282" t="s">
        <v>815</v>
      </c>
      <c r="C282">
        <v>506087</v>
      </c>
      <c r="D282" t="s">
        <v>366</v>
      </c>
      <c r="E282" t="s">
        <v>689</v>
      </c>
    </row>
    <row r="283" spans="2:5" x14ac:dyDescent="0.2">
      <c r="B283" t="s">
        <v>816</v>
      </c>
      <c r="C283">
        <v>530109</v>
      </c>
      <c r="D283" t="s">
        <v>366</v>
      </c>
      <c r="E283" t="s">
        <v>383</v>
      </c>
    </row>
    <row r="284" spans="2:5" x14ac:dyDescent="0.2">
      <c r="B284" t="s">
        <v>817</v>
      </c>
      <c r="C284">
        <v>532259</v>
      </c>
      <c r="D284" t="s">
        <v>818</v>
      </c>
      <c r="E284" t="s">
        <v>664</v>
      </c>
    </row>
    <row r="285" spans="2:5" x14ac:dyDescent="0.2">
      <c r="B285" t="s">
        <v>819</v>
      </c>
      <c r="C285">
        <v>523694</v>
      </c>
      <c r="D285" t="s">
        <v>820</v>
      </c>
      <c r="E285" t="s">
        <v>551</v>
      </c>
    </row>
    <row r="286" spans="2:5" x14ac:dyDescent="0.2">
      <c r="B286" t="s">
        <v>821</v>
      </c>
      <c r="C286">
        <v>540692</v>
      </c>
      <c r="D286" t="s">
        <v>822</v>
      </c>
      <c r="E286" t="s">
        <v>426</v>
      </c>
    </row>
    <row r="287" spans="2:5" x14ac:dyDescent="0.2">
      <c r="B287" t="s">
        <v>823</v>
      </c>
      <c r="C287">
        <v>541133</v>
      </c>
      <c r="D287" t="s">
        <v>366</v>
      </c>
      <c r="E287" t="s">
        <v>383</v>
      </c>
    </row>
    <row r="288" spans="2:5" x14ac:dyDescent="0.2">
      <c r="B288" t="s">
        <v>824</v>
      </c>
      <c r="C288">
        <v>506166</v>
      </c>
      <c r="D288" t="s">
        <v>366</v>
      </c>
      <c r="E288" t="s">
        <v>446</v>
      </c>
    </row>
    <row r="289" spans="2:5" x14ac:dyDescent="0.2">
      <c r="B289" t="s">
        <v>825</v>
      </c>
      <c r="C289">
        <v>506166</v>
      </c>
      <c r="D289" t="s">
        <v>366</v>
      </c>
      <c r="E289" t="s">
        <v>446</v>
      </c>
    </row>
    <row r="290" spans="2:5" x14ac:dyDescent="0.2">
      <c r="B290" t="s">
        <v>826</v>
      </c>
      <c r="C290">
        <v>533758</v>
      </c>
      <c r="D290" t="s">
        <v>827</v>
      </c>
      <c r="E290" t="s">
        <v>689</v>
      </c>
    </row>
    <row r="291" spans="2:5" x14ac:dyDescent="0.2">
      <c r="B291" t="s">
        <v>828</v>
      </c>
      <c r="C291">
        <v>517096</v>
      </c>
      <c r="D291" t="s">
        <v>366</v>
      </c>
      <c r="E291" t="s">
        <v>664</v>
      </c>
    </row>
    <row r="292" spans="2:5" x14ac:dyDescent="0.2">
      <c r="B292" t="s">
        <v>829</v>
      </c>
      <c r="C292">
        <v>511064</v>
      </c>
      <c r="D292" t="s">
        <v>830</v>
      </c>
      <c r="E292" t="s">
        <v>732</v>
      </c>
    </row>
    <row r="293" spans="2:5" x14ac:dyDescent="0.2">
      <c r="B293" t="s">
        <v>831</v>
      </c>
      <c r="C293">
        <v>523537</v>
      </c>
      <c r="D293" t="s">
        <v>366</v>
      </c>
      <c r="E293" t="s">
        <v>381</v>
      </c>
    </row>
    <row r="294" spans="2:5" x14ac:dyDescent="0.2">
      <c r="B294" t="s">
        <v>832</v>
      </c>
      <c r="C294">
        <v>512437</v>
      </c>
      <c r="D294" t="s">
        <v>366</v>
      </c>
      <c r="E294" t="s">
        <v>349</v>
      </c>
    </row>
    <row r="295" spans="2:5" x14ac:dyDescent="0.2">
      <c r="B295" t="s">
        <v>833</v>
      </c>
      <c r="C295">
        <v>512437</v>
      </c>
      <c r="D295" t="s">
        <v>366</v>
      </c>
      <c r="E295" t="s">
        <v>349</v>
      </c>
    </row>
    <row r="296" spans="2:5" x14ac:dyDescent="0.2">
      <c r="B296" t="s">
        <v>834</v>
      </c>
      <c r="C296">
        <v>508869</v>
      </c>
      <c r="D296" t="s">
        <v>835</v>
      </c>
      <c r="E296" t="s">
        <v>836</v>
      </c>
    </row>
    <row r="297" spans="2:5" x14ac:dyDescent="0.2">
      <c r="B297" t="s">
        <v>837</v>
      </c>
      <c r="C297">
        <v>540879</v>
      </c>
      <c r="D297" t="s">
        <v>838</v>
      </c>
      <c r="E297" t="s">
        <v>839</v>
      </c>
    </row>
    <row r="298" spans="2:5" x14ac:dyDescent="0.2">
      <c r="B298" t="s">
        <v>840</v>
      </c>
      <c r="C298">
        <v>531761</v>
      </c>
      <c r="D298" t="s">
        <v>366</v>
      </c>
      <c r="E298" t="s">
        <v>486</v>
      </c>
    </row>
    <row r="299" spans="2:5" x14ac:dyDescent="0.2">
      <c r="B299" t="s">
        <v>841</v>
      </c>
      <c r="C299" t="s">
        <v>366</v>
      </c>
      <c r="D299" t="s">
        <v>842</v>
      </c>
      <c r="E299" t="s">
        <v>457</v>
      </c>
    </row>
    <row r="300" spans="2:5" x14ac:dyDescent="0.2">
      <c r="B300" t="s">
        <v>843</v>
      </c>
      <c r="C300">
        <v>538566</v>
      </c>
      <c r="D300" t="s">
        <v>366</v>
      </c>
      <c r="E300" t="s">
        <v>388</v>
      </c>
    </row>
    <row r="301" spans="2:5" x14ac:dyDescent="0.2">
      <c r="B301" t="s">
        <v>844</v>
      </c>
      <c r="C301">
        <v>500877</v>
      </c>
      <c r="D301" t="s">
        <v>845</v>
      </c>
      <c r="E301" t="s">
        <v>846</v>
      </c>
    </row>
    <row r="302" spans="2:5" x14ac:dyDescent="0.2">
      <c r="B302" t="s">
        <v>847</v>
      </c>
      <c r="C302">
        <v>539545</v>
      </c>
      <c r="D302" t="s">
        <v>366</v>
      </c>
      <c r="E302" t="s">
        <v>386</v>
      </c>
    </row>
    <row r="303" spans="2:5" x14ac:dyDescent="0.2">
      <c r="B303" t="s">
        <v>848</v>
      </c>
      <c r="C303">
        <v>500014</v>
      </c>
      <c r="D303" t="s">
        <v>366</v>
      </c>
      <c r="E303" t="s">
        <v>383</v>
      </c>
    </row>
    <row r="304" spans="2:5" x14ac:dyDescent="0.2">
      <c r="B304" t="s">
        <v>849</v>
      </c>
      <c r="C304">
        <v>532475</v>
      </c>
      <c r="D304" t="s">
        <v>850</v>
      </c>
      <c r="E304" t="s">
        <v>851</v>
      </c>
    </row>
    <row r="305" spans="2:5" x14ac:dyDescent="0.2">
      <c r="B305" t="s">
        <v>852</v>
      </c>
      <c r="C305">
        <v>539469</v>
      </c>
      <c r="D305" t="s">
        <v>366</v>
      </c>
      <c r="E305" t="s">
        <v>388</v>
      </c>
    </row>
    <row r="306" spans="2:5" x14ac:dyDescent="0.2">
      <c r="B306" t="s">
        <v>853</v>
      </c>
      <c r="C306">
        <v>531364</v>
      </c>
      <c r="D306" t="s">
        <v>366</v>
      </c>
      <c r="E306" t="s">
        <v>764</v>
      </c>
    </row>
    <row r="307" spans="2:5" x14ac:dyDescent="0.2">
      <c r="B307" t="s">
        <v>854</v>
      </c>
      <c r="C307">
        <v>539403</v>
      </c>
      <c r="D307" t="s">
        <v>366</v>
      </c>
      <c r="E307" t="s">
        <v>855</v>
      </c>
    </row>
    <row r="308" spans="2:5" x14ac:dyDescent="0.2">
      <c r="B308" t="s">
        <v>856</v>
      </c>
      <c r="C308">
        <v>540135</v>
      </c>
      <c r="D308" t="s">
        <v>366</v>
      </c>
      <c r="E308" t="s">
        <v>349</v>
      </c>
    </row>
    <row r="309" spans="2:5" x14ac:dyDescent="0.2">
      <c r="B309" t="s">
        <v>857</v>
      </c>
      <c r="C309">
        <v>520121</v>
      </c>
      <c r="D309" t="s">
        <v>366</v>
      </c>
      <c r="E309" t="s">
        <v>486</v>
      </c>
    </row>
    <row r="310" spans="2:5" x14ac:dyDescent="0.2">
      <c r="B310" t="s">
        <v>858</v>
      </c>
      <c r="C310">
        <v>530565</v>
      </c>
      <c r="D310" t="s">
        <v>366</v>
      </c>
      <c r="E310" t="s">
        <v>459</v>
      </c>
    </row>
    <row r="311" spans="2:5" x14ac:dyDescent="0.2">
      <c r="B311" t="s">
        <v>859</v>
      </c>
      <c r="C311">
        <v>532994</v>
      </c>
      <c r="D311" t="s">
        <v>860</v>
      </c>
      <c r="E311" t="s">
        <v>861</v>
      </c>
    </row>
    <row r="312" spans="2:5" x14ac:dyDescent="0.2">
      <c r="B312" t="s">
        <v>862</v>
      </c>
      <c r="C312">
        <v>532212</v>
      </c>
      <c r="D312" t="s">
        <v>863</v>
      </c>
      <c r="E312" t="s">
        <v>864</v>
      </c>
    </row>
    <row r="313" spans="2:5" x14ac:dyDescent="0.2">
      <c r="B313" t="s">
        <v>865</v>
      </c>
      <c r="C313">
        <v>524640</v>
      </c>
      <c r="D313" t="s">
        <v>366</v>
      </c>
      <c r="E313" t="s">
        <v>414</v>
      </c>
    </row>
    <row r="314" spans="2:5" x14ac:dyDescent="0.2">
      <c r="B314" t="s">
        <v>866</v>
      </c>
      <c r="C314">
        <v>532914</v>
      </c>
      <c r="D314" t="s">
        <v>867</v>
      </c>
      <c r="E314" t="s">
        <v>440</v>
      </c>
    </row>
    <row r="315" spans="2:5" x14ac:dyDescent="0.2">
      <c r="B315" t="s">
        <v>868</v>
      </c>
      <c r="C315">
        <v>504370</v>
      </c>
      <c r="D315" t="s">
        <v>366</v>
      </c>
      <c r="E315" t="s">
        <v>787</v>
      </c>
    </row>
    <row r="316" spans="2:5" x14ac:dyDescent="0.2">
      <c r="B316" t="s">
        <v>869</v>
      </c>
      <c r="C316">
        <v>526851</v>
      </c>
      <c r="D316" t="s">
        <v>366</v>
      </c>
      <c r="E316" t="s">
        <v>381</v>
      </c>
    </row>
    <row r="317" spans="2:5" x14ac:dyDescent="0.2">
      <c r="B317" t="s">
        <v>870</v>
      </c>
      <c r="C317">
        <v>539151</v>
      </c>
      <c r="D317" t="s">
        <v>366</v>
      </c>
      <c r="E317" t="s">
        <v>671</v>
      </c>
    </row>
    <row r="318" spans="2:5" x14ac:dyDescent="0.2">
      <c r="B318" t="s">
        <v>871</v>
      </c>
      <c r="C318">
        <v>539151</v>
      </c>
      <c r="D318" t="s">
        <v>366</v>
      </c>
      <c r="E318" t="s">
        <v>671</v>
      </c>
    </row>
    <row r="319" spans="2:5" x14ac:dyDescent="0.2">
      <c r="B319" t="s">
        <v>872</v>
      </c>
      <c r="C319">
        <v>532935</v>
      </c>
      <c r="D319" t="s">
        <v>873</v>
      </c>
      <c r="E319" t="s">
        <v>874</v>
      </c>
    </row>
    <row r="320" spans="2:5" x14ac:dyDescent="0.2">
      <c r="B320" t="s">
        <v>875</v>
      </c>
      <c r="C320">
        <v>511605</v>
      </c>
      <c r="D320" t="s">
        <v>366</v>
      </c>
      <c r="E320" t="s">
        <v>349</v>
      </c>
    </row>
    <row r="321" spans="2:5" x14ac:dyDescent="0.2">
      <c r="B321" t="s">
        <v>876</v>
      </c>
      <c r="C321">
        <v>531381</v>
      </c>
      <c r="D321" t="s">
        <v>877</v>
      </c>
      <c r="E321" t="s">
        <v>452</v>
      </c>
    </row>
    <row r="322" spans="2:5" x14ac:dyDescent="0.2">
      <c r="B322" t="s">
        <v>878</v>
      </c>
      <c r="C322">
        <v>541401</v>
      </c>
      <c r="D322" t="s">
        <v>366</v>
      </c>
      <c r="E322" t="s">
        <v>471</v>
      </c>
    </row>
    <row r="323" spans="2:5" x14ac:dyDescent="0.2">
      <c r="B323" t="s">
        <v>879</v>
      </c>
      <c r="C323">
        <v>506194</v>
      </c>
      <c r="D323" t="s">
        <v>880</v>
      </c>
      <c r="E323" t="s">
        <v>452</v>
      </c>
    </row>
    <row r="324" spans="2:5" x14ac:dyDescent="0.2">
      <c r="B324" t="s">
        <v>881</v>
      </c>
      <c r="C324">
        <v>526125</v>
      </c>
      <c r="D324" t="s">
        <v>366</v>
      </c>
      <c r="E324" t="s">
        <v>388</v>
      </c>
    </row>
    <row r="325" spans="2:5" x14ac:dyDescent="0.2">
      <c r="B325" t="s">
        <v>882</v>
      </c>
      <c r="C325">
        <v>531017</v>
      </c>
      <c r="D325" t="s">
        <v>366</v>
      </c>
      <c r="E325" t="s">
        <v>787</v>
      </c>
    </row>
    <row r="326" spans="2:5" x14ac:dyDescent="0.2">
      <c r="B326" t="s">
        <v>883</v>
      </c>
      <c r="C326">
        <v>531677</v>
      </c>
      <c r="D326" t="s">
        <v>366</v>
      </c>
      <c r="E326" t="s">
        <v>352</v>
      </c>
    </row>
    <row r="327" spans="2:5" x14ac:dyDescent="0.2">
      <c r="B327" t="s">
        <v>884</v>
      </c>
      <c r="C327">
        <v>531179</v>
      </c>
      <c r="D327" t="s">
        <v>885</v>
      </c>
      <c r="E327" t="s">
        <v>383</v>
      </c>
    </row>
    <row r="328" spans="2:5" x14ac:dyDescent="0.2">
      <c r="B328" t="s">
        <v>886</v>
      </c>
      <c r="C328">
        <v>538556</v>
      </c>
      <c r="D328" t="s">
        <v>887</v>
      </c>
      <c r="E328" t="s">
        <v>386</v>
      </c>
    </row>
    <row r="329" spans="2:5" x14ac:dyDescent="0.2">
      <c r="B329" t="s">
        <v>888</v>
      </c>
      <c r="C329">
        <v>532397</v>
      </c>
      <c r="D329" t="s">
        <v>366</v>
      </c>
      <c r="E329" t="s">
        <v>360</v>
      </c>
    </row>
    <row r="330" spans="2:5" x14ac:dyDescent="0.2">
      <c r="B330" t="s">
        <v>889</v>
      </c>
      <c r="C330">
        <v>531467</v>
      </c>
      <c r="D330" t="s">
        <v>366</v>
      </c>
      <c r="E330" t="s">
        <v>890</v>
      </c>
    </row>
    <row r="331" spans="2:5" x14ac:dyDescent="0.2">
      <c r="B331" t="s">
        <v>891</v>
      </c>
      <c r="C331">
        <v>537069</v>
      </c>
      <c r="D331" t="s">
        <v>366</v>
      </c>
      <c r="E331" t="s">
        <v>383</v>
      </c>
    </row>
    <row r="332" spans="2:5" x14ac:dyDescent="0.2">
      <c r="B332" t="s">
        <v>892</v>
      </c>
      <c r="C332">
        <v>513729</v>
      </c>
      <c r="D332" t="s">
        <v>893</v>
      </c>
      <c r="E332" t="s">
        <v>894</v>
      </c>
    </row>
    <row r="333" spans="2:5" x14ac:dyDescent="0.2">
      <c r="B333" t="s">
        <v>895</v>
      </c>
      <c r="C333">
        <v>531560</v>
      </c>
      <c r="D333" t="s">
        <v>366</v>
      </c>
      <c r="E333" t="s">
        <v>787</v>
      </c>
    </row>
    <row r="334" spans="2:5" x14ac:dyDescent="0.2">
      <c r="B334" t="s">
        <v>896</v>
      </c>
      <c r="C334">
        <v>531560</v>
      </c>
      <c r="D334" t="s">
        <v>366</v>
      </c>
      <c r="E334" t="s">
        <v>787</v>
      </c>
    </row>
    <row r="335" spans="2:5" x14ac:dyDescent="0.2">
      <c r="B335" t="s">
        <v>897</v>
      </c>
      <c r="C335">
        <v>516064</v>
      </c>
      <c r="D335" t="s">
        <v>898</v>
      </c>
      <c r="E335" t="s">
        <v>486</v>
      </c>
    </row>
    <row r="336" spans="2:5" x14ac:dyDescent="0.2">
      <c r="B336" t="s">
        <v>899</v>
      </c>
      <c r="C336">
        <v>533068</v>
      </c>
      <c r="D336" t="s">
        <v>900</v>
      </c>
      <c r="E336" t="s">
        <v>480</v>
      </c>
    </row>
    <row r="337" spans="2:5" x14ac:dyDescent="0.2">
      <c r="B337" t="s">
        <v>901</v>
      </c>
      <c r="C337">
        <v>506074</v>
      </c>
      <c r="D337" t="s">
        <v>902</v>
      </c>
      <c r="E337" t="s">
        <v>687</v>
      </c>
    </row>
    <row r="338" spans="2:5" x14ac:dyDescent="0.2">
      <c r="B338" t="s">
        <v>903</v>
      </c>
      <c r="C338">
        <v>533163</v>
      </c>
      <c r="D338" t="s">
        <v>904</v>
      </c>
      <c r="E338" t="s">
        <v>764</v>
      </c>
    </row>
    <row r="339" spans="2:5" x14ac:dyDescent="0.2">
      <c r="B339" t="s">
        <v>905</v>
      </c>
      <c r="C339" t="s">
        <v>366</v>
      </c>
      <c r="D339" t="s">
        <v>906</v>
      </c>
      <c r="E339" t="s">
        <v>377</v>
      </c>
    </row>
    <row r="340" spans="2:5" x14ac:dyDescent="0.2">
      <c r="B340" t="s">
        <v>907</v>
      </c>
      <c r="C340">
        <v>517481</v>
      </c>
      <c r="D340" t="s">
        <v>366</v>
      </c>
      <c r="E340" t="s">
        <v>908</v>
      </c>
    </row>
    <row r="341" spans="2:5" x14ac:dyDescent="0.2">
      <c r="B341" t="s">
        <v>909</v>
      </c>
      <c r="C341">
        <v>531297</v>
      </c>
      <c r="D341" t="s">
        <v>366</v>
      </c>
      <c r="E341" t="s">
        <v>450</v>
      </c>
    </row>
    <row r="342" spans="2:5" x14ac:dyDescent="0.2">
      <c r="B342" t="s">
        <v>910</v>
      </c>
      <c r="C342">
        <v>542670</v>
      </c>
      <c r="D342" t="s">
        <v>911</v>
      </c>
      <c r="E342" t="s">
        <v>912</v>
      </c>
    </row>
    <row r="343" spans="2:5" x14ac:dyDescent="0.2">
      <c r="B343" t="s">
        <v>913</v>
      </c>
      <c r="C343">
        <v>540616</v>
      </c>
      <c r="D343" t="s">
        <v>914</v>
      </c>
      <c r="E343" t="s">
        <v>836</v>
      </c>
    </row>
    <row r="344" spans="2:5" x14ac:dyDescent="0.2">
      <c r="B344" t="s">
        <v>915</v>
      </c>
      <c r="C344">
        <v>522134</v>
      </c>
      <c r="D344" t="s">
        <v>366</v>
      </c>
      <c r="E344" t="s">
        <v>374</v>
      </c>
    </row>
    <row r="345" spans="2:5" x14ac:dyDescent="0.2">
      <c r="B345" t="s">
        <v>916</v>
      </c>
      <c r="C345">
        <v>500016</v>
      </c>
      <c r="D345" t="s">
        <v>366</v>
      </c>
      <c r="E345" t="s">
        <v>567</v>
      </c>
    </row>
    <row r="346" spans="2:5" x14ac:dyDescent="0.2">
      <c r="B346" t="s">
        <v>917</v>
      </c>
      <c r="C346" t="s">
        <v>366</v>
      </c>
      <c r="D346" t="s">
        <v>918</v>
      </c>
      <c r="E346" t="s">
        <v>377</v>
      </c>
    </row>
    <row r="347" spans="2:5" x14ac:dyDescent="0.2">
      <c r="B347" t="s">
        <v>919</v>
      </c>
      <c r="C347" t="s">
        <v>366</v>
      </c>
      <c r="D347" t="s">
        <v>918</v>
      </c>
      <c r="E347" t="s">
        <v>377</v>
      </c>
    </row>
    <row r="348" spans="2:5" x14ac:dyDescent="0.2">
      <c r="B348" t="s">
        <v>920</v>
      </c>
      <c r="C348">
        <v>542484</v>
      </c>
      <c r="D348" t="s">
        <v>921</v>
      </c>
      <c r="E348" t="s">
        <v>922</v>
      </c>
    </row>
    <row r="349" spans="2:5" x14ac:dyDescent="0.2">
      <c r="B349" t="s">
        <v>923</v>
      </c>
      <c r="C349">
        <v>500101</v>
      </c>
      <c r="D349" t="s">
        <v>924</v>
      </c>
      <c r="E349" t="s">
        <v>381</v>
      </c>
    </row>
    <row r="350" spans="2:5" x14ac:dyDescent="0.2">
      <c r="B350" t="s">
        <v>925</v>
      </c>
      <c r="C350">
        <v>539301</v>
      </c>
      <c r="D350" t="s">
        <v>926</v>
      </c>
      <c r="E350" t="s">
        <v>452</v>
      </c>
    </row>
    <row r="351" spans="2:5" x14ac:dyDescent="0.2">
      <c r="B351" t="s">
        <v>927</v>
      </c>
      <c r="C351">
        <v>538716</v>
      </c>
      <c r="D351" t="s">
        <v>366</v>
      </c>
      <c r="E351" t="s">
        <v>349</v>
      </c>
    </row>
    <row r="352" spans="2:5" x14ac:dyDescent="0.2">
      <c r="B352" t="s">
        <v>928</v>
      </c>
      <c r="C352">
        <v>530245</v>
      </c>
      <c r="D352" t="s">
        <v>366</v>
      </c>
      <c r="E352" t="s">
        <v>383</v>
      </c>
    </row>
    <row r="353" spans="2:5" x14ac:dyDescent="0.2">
      <c r="B353" t="s">
        <v>929</v>
      </c>
      <c r="C353">
        <v>542176</v>
      </c>
      <c r="D353" t="s">
        <v>930</v>
      </c>
      <c r="E353" t="s">
        <v>349</v>
      </c>
    </row>
    <row r="354" spans="2:5" x14ac:dyDescent="0.2">
      <c r="B354" t="s">
        <v>931</v>
      </c>
      <c r="C354">
        <v>515030</v>
      </c>
      <c r="D354" t="s">
        <v>932</v>
      </c>
      <c r="E354" t="s">
        <v>721</v>
      </c>
    </row>
    <row r="355" spans="2:5" x14ac:dyDescent="0.2">
      <c r="B355" t="s">
        <v>933</v>
      </c>
      <c r="C355">
        <v>514482</v>
      </c>
      <c r="D355" t="s">
        <v>366</v>
      </c>
      <c r="E355" t="s">
        <v>381</v>
      </c>
    </row>
    <row r="356" spans="2:5" x14ac:dyDescent="0.2">
      <c r="B356" t="s">
        <v>934</v>
      </c>
      <c r="C356">
        <v>532853</v>
      </c>
      <c r="D356" t="s">
        <v>935</v>
      </c>
      <c r="E356" t="s">
        <v>526</v>
      </c>
    </row>
    <row r="357" spans="2:5" x14ac:dyDescent="0.2">
      <c r="B357" t="s">
        <v>936</v>
      </c>
      <c r="C357">
        <v>535467</v>
      </c>
      <c r="D357" t="s">
        <v>937</v>
      </c>
      <c r="E357" t="s">
        <v>480</v>
      </c>
    </row>
    <row r="358" spans="2:5" x14ac:dyDescent="0.2">
      <c r="B358" t="s">
        <v>938</v>
      </c>
      <c r="C358">
        <v>527001</v>
      </c>
      <c r="D358" t="s">
        <v>939</v>
      </c>
      <c r="E358" t="s">
        <v>346</v>
      </c>
    </row>
    <row r="359" spans="2:5" x14ac:dyDescent="0.2">
      <c r="B359" t="s">
        <v>940</v>
      </c>
      <c r="C359">
        <v>542579</v>
      </c>
      <c r="D359" t="s">
        <v>941</v>
      </c>
      <c r="E359" t="s">
        <v>922</v>
      </c>
    </row>
    <row r="360" spans="2:5" x14ac:dyDescent="0.2">
      <c r="B360" t="s">
        <v>942</v>
      </c>
      <c r="C360">
        <v>540024</v>
      </c>
      <c r="D360" t="s">
        <v>366</v>
      </c>
      <c r="E360" t="s">
        <v>349</v>
      </c>
    </row>
    <row r="361" spans="2:5" x14ac:dyDescent="0.2">
      <c r="B361" t="s">
        <v>943</v>
      </c>
      <c r="C361">
        <v>519174</v>
      </c>
      <c r="D361" t="s">
        <v>366</v>
      </c>
      <c r="E361" t="s">
        <v>615</v>
      </c>
    </row>
    <row r="362" spans="2:5" x14ac:dyDescent="0.2">
      <c r="B362" t="s">
        <v>944</v>
      </c>
      <c r="C362">
        <v>523716</v>
      </c>
      <c r="D362" t="s">
        <v>945</v>
      </c>
      <c r="E362" t="s">
        <v>452</v>
      </c>
    </row>
    <row r="363" spans="2:5" x14ac:dyDescent="0.2">
      <c r="B363" t="s">
        <v>946</v>
      </c>
      <c r="C363">
        <v>513401</v>
      </c>
      <c r="D363" t="s">
        <v>366</v>
      </c>
      <c r="E363" t="s">
        <v>398</v>
      </c>
    </row>
    <row r="364" spans="2:5" x14ac:dyDescent="0.2">
      <c r="B364" t="s">
        <v>947</v>
      </c>
      <c r="C364">
        <v>590122</v>
      </c>
      <c r="D364" t="s">
        <v>948</v>
      </c>
      <c r="E364" t="s">
        <v>383</v>
      </c>
    </row>
    <row r="365" spans="2:5" x14ac:dyDescent="0.2">
      <c r="B365" t="s">
        <v>949</v>
      </c>
      <c r="C365">
        <v>514286</v>
      </c>
      <c r="D365" t="s">
        <v>950</v>
      </c>
      <c r="E365" t="s">
        <v>381</v>
      </c>
    </row>
    <row r="366" spans="2:5" x14ac:dyDescent="0.2">
      <c r="B366" t="s">
        <v>951</v>
      </c>
      <c r="C366">
        <v>512247</v>
      </c>
      <c r="D366" t="s">
        <v>366</v>
      </c>
      <c r="E366" t="s">
        <v>349</v>
      </c>
    </row>
    <row r="367" spans="2:5" x14ac:dyDescent="0.2">
      <c r="B367" t="s">
        <v>952</v>
      </c>
      <c r="C367">
        <v>526847</v>
      </c>
      <c r="D367" t="s">
        <v>366</v>
      </c>
      <c r="E367" t="s">
        <v>398</v>
      </c>
    </row>
    <row r="368" spans="2:5" x14ac:dyDescent="0.2">
      <c r="B368" t="s">
        <v>953</v>
      </c>
      <c r="C368">
        <v>530429</v>
      </c>
      <c r="D368" t="s">
        <v>366</v>
      </c>
      <c r="E368" t="s">
        <v>486</v>
      </c>
    </row>
    <row r="369" spans="2:5" x14ac:dyDescent="0.2">
      <c r="B369" t="s">
        <v>954</v>
      </c>
      <c r="C369">
        <v>541702</v>
      </c>
      <c r="D369" t="s">
        <v>366</v>
      </c>
      <c r="E369" t="s">
        <v>388</v>
      </c>
    </row>
    <row r="370" spans="2:5" x14ac:dyDescent="0.2">
      <c r="B370" t="s">
        <v>955</v>
      </c>
      <c r="C370">
        <v>507872</v>
      </c>
      <c r="D370" t="s">
        <v>366</v>
      </c>
      <c r="E370" t="s">
        <v>381</v>
      </c>
    </row>
    <row r="371" spans="2:5" x14ac:dyDescent="0.2">
      <c r="B371" t="s">
        <v>956</v>
      </c>
      <c r="C371">
        <v>524594</v>
      </c>
      <c r="D371" t="s">
        <v>366</v>
      </c>
      <c r="E371" t="s">
        <v>414</v>
      </c>
    </row>
    <row r="372" spans="2:5" x14ac:dyDescent="0.2">
      <c r="B372" t="s">
        <v>957</v>
      </c>
      <c r="C372">
        <v>500477</v>
      </c>
      <c r="D372" t="s">
        <v>958</v>
      </c>
      <c r="E372" t="s">
        <v>444</v>
      </c>
    </row>
    <row r="373" spans="2:5" x14ac:dyDescent="0.2">
      <c r="B373" t="s">
        <v>959</v>
      </c>
      <c r="C373">
        <v>533271</v>
      </c>
      <c r="D373" t="s">
        <v>960</v>
      </c>
      <c r="E373" t="s">
        <v>961</v>
      </c>
    </row>
    <row r="374" spans="2:5" x14ac:dyDescent="0.2">
      <c r="B374" t="s">
        <v>962</v>
      </c>
      <c r="C374">
        <v>540923</v>
      </c>
      <c r="D374" t="s">
        <v>366</v>
      </c>
      <c r="E374" t="s">
        <v>764</v>
      </c>
    </row>
    <row r="375" spans="2:5" x14ac:dyDescent="0.2">
      <c r="B375" t="s">
        <v>963</v>
      </c>
      <c r="C375">
        <v>526983</v>
      </c>
      <c r="D375" t="s">
        <v>366</v>
      </c>
      <c r="E375" t="s">
        <v>564</v>
      </c>
    </row>
    <row r="376" spans="2:5" x14ac:dyDescent="0.2">
      <c r="B376" t="s">
        <v>964</v>
      </c>
      <c r="C376">
        <v>526187</v>
      </c>
      <c r="D376" t="s">
        <v>366</v>
      </c>
      <c r="E376" t="s">
        <v>555</v>
      </c>
    </row>
    <row r="377" spans="2:5" x14ac:dyDescent="0.2">
      <c r="B377" t="s">
        <v>965</v>
      </c>
      <c r="C377">
        <v>531568</v>
      </c>
      <c r="D377" t="s">
        <v>366</v>
      </c>
      <c r="E377" t="s">
        <v>360</v>
      </c>
    </row>
    <row r="378" spans="2:5" x14ac:dyDescent="0.2">
      <c r="B378" t="s">
        <v>966</v>
      </c>
      <c r="C378">
        <v>502015</v>
      </c>
      <c r="D378" t="s">
        <v>366</v>
      </c>
      <c r="E378" t="s">
        <v>346</v>
      </c>
    </row>
    <row r="379" spans="2:5" x14ac:dyDescent="0.2">
      <c r="B379" t="s">
        <v>967</v>
      </c>
      <c r="C379">
        <v>538777</v>
      </c>
      <c r="D379" t="s">
        <v>366</v>
      </c>
      <c r="E379" t="s">
        <v>383</v>
      </c>
    </row>
    <row r="380" spans="2:5" x14ac:dyDescent="0.2">
      <c r="B380" t="s">
        <v>968</v>
      </c>
      <c r="C380">
        <v>530899</v>
      </c>
      <c r="D380" t="s">
        <v>366</v>
      </c>
      <c r="E380" t="s">
        <v>381</v>
      </c>
    </row>
    <row r="381" spans="2:5" x14ac:dyDescent="0.2">
      <c r="B381" t="s">
        <v>969</v>
      </c>
      <c r="C381">
        <v>531392</v>
      </c>
      <c r="D381" t="s">
        <v>366</v>
      </c>
      <c r="E381" t="s">
        <v>564</v>
      </c>
    </row>
    <row r="382" spans="2:5" x14ac:dyDescent="0.2">
      <c r="B382" t="s">
        <v>970</v>
      </c>
      <c r="C382">
        <v>532888</v>
      </c>
      <c r="D382" t="s">
        <v>971</v>
      </c>
      <c r="E382" t="s">
        <v>643</v>
      </c>
    </row>
    <row r="383" spans="2:5" x14ac:dyDescent="0.2">
      <c r="B383" t="s">
        <v>972</v>
      </c>
      <c r="C383">
        <v>532888</v>
      </c>
      <c r="D383" t="s">
        <v>971</v>
      </c>
      <c r="E383" t="s">
        <v>643</v>
      </c>
    </row>
    <row r="384" spans="2:5" x14ac:dyDescent="0.2">
      <c r="B384" t="s">
        <v>973</v>
      </c>
      <c r="C384">
        <v>533227</v>
      </c>
      <c r="D384" t="s">
        <v>974</v>
      </c>
      <c r="E384" t="s">
        <v>567</v>
      </c>
    </row>
    <row r="385" spans="2:5" x14ac:dyDescent="0.2">
      <c r="B385" t="s">
        <v>975</v>
      </c>
      <c r="C385">
        <v>500023</v>
      </c>
      <c r="D385" t="s">
        <v>976</v>
      </c>
      <c r="E385" t="s">
        <v>567</v>
      </c>
    </row>
    <row r="386" spans="2:5" x14ac:dyDescent="0.2">
      <c r="B386" t="s">
        <v>977</v>
      </c>
      <c r="C386">
        <v>533221</v>
      </c>
      <c r="D386" t="s">
        <v>978</v>
      </c>
      <c r="E386" t="s">
        <v>567</v>
      </c>
    </row>
    <row r="387" spans="2:5" x14ac:dyDescent="0.2">
      <c r="B387" t="s">
        <v>979</v>
      </c>
      <c r="C387">
        <v>530355</v>
      </c>
      <c r="D387" t="s">
        <v>366</v>
      </c>
      <c r="E387" t="s">
        <v>707</v>
      </c>
    </row>
    <row r="388" spans="2:5" x14ac:dyDescent="0.2">
      <c r="B388" t="s">
        <v>980</v>
      </c>
      <c r="C388">
        <v>500820</v>
      </c>
      <c r="D388" t="s">
        <v>981</v>
      </c>
      <c r="E388" t="s">
        <v>643</v>
      </c>
    </row>
    <row r="389" spans="2:5" x14ac:dyDescent="0.2">
      <c r="B389" t="s">
        <v>982</v>
      </c>
      <c r="C389">
        <v>524434</v>
      </c>
      <c r="D389" t="s">
        <v>366</v>
      </c>
      <c r="E389" t="s">
        <v>414</v>
      </c>
    </row>
    <row r="390" spans="2:5" x14ac:dyDescent="0.2">
      <c r="B390" t="s">
        <v>983</v>
      </c>
      <c r="C390">
        <v>531847</v>
      </c>
      <c r="D390" t="s">
        <v>366</v>
      </c>
      <c r="E390" t="s">
        <v>480</v>
      </c>
    </row>
    <row r="391" spans="2:5" x14ac:dyDescent="0.2">
      <c r="B391" t="s">
        <v>984</v>
      </c>
      <c r="C391">
        <v>519532</v>
      </c>
      <c r="D391" t="s">
        <v>366</v>
      </c>
      <c r="E391" t="s">
        <v>388</v>
      </c>
    </row>
    <row r="392" spans="2:5" x14ac:dyDescent="0.2">
      <c r="B392" t="s">
        <v>985</v>
      </c>
      <c r="C392">
        <v>506159</v>
      </c>
      <c r="D392" t="s">
        <v>986</v>
      </c>
      <c r="E392" t="s">
        <v>687</v>
      </c>
    </row>
    <row r="393" spans="2:5" x14ac:dyDescent="0.2">
      <c r="B393" t="s">
        <v>987</v>
      </c>
      <c r="C393">
        <v>530723</v>
      </c>
      <c r="D393" t="s">
        <v>366</v>
      </c>
      <c r="E393" t="s">
        <v>349</v>
      </c>
    </row>
    <row r="394" spans="2:5" x14ac:dyDescent="0.2">
      <c r="B394" t="s">
        <v>988</v>
      </c>
      <c r="C394" t="s">
        <v>366</v>
      </c>
      <c r="D394" t="s">
        <v>989</v>
      </c>
      <c r="E394" t="s">
        <v>377</v>
      </c>
    </row>
    <row r="395" spans="2:5" x14ac:dyDescent="0.2">
      <c r="B395" t="s">
        <v>990</v>
      </c>
      <c r="C395">
        <v>526433</v>
      </c>
      <c r="D395" t="s">
        <v>366</v>
      </c>
      <c r="E395" t="s">
        <v>352</v>
      </c>
    </row>
    <row r="396" spans="2:5" x14ac:dyDescent="0.2">
      <c r="B396" t="s">
        <v>991</v>
      </c>
      <c r="C396" t="s">
        <v>366</v>
      </c>
      <c r="D396" t="s">
        <v>992</v>
      </c>
      <c r="E396" t="s">
        <v>457</v>
      </c>
    </row>
    <row r="397" spans="2:5" x14ac:dyDescent="0.2">
      <c r="B397" t="s">
        <v>993</v>
      </c>
      <c r="C397">
        <v>540788</v>
      </c>
      <c r="D397" t="s">
        <v>366</v>
      </c>
      <c r="E397" t="s">
        <v>555</v>
      </c>
    </row>
    <row r="398" spans="2:5" x14ac:dyDescent="0.2">
      <c r="B398" t="s">
        <v>994</v>
      </c>
      <c r="C398">
        <v>500024</v>
      </c>
      <c r="D398" t="s">
        <v>995</v>
      </c>
      <c r="E398" t="s">
        <v>773</v>
      </c>
    </row>
    <row r="399" spans="2:5" x14ac:dyDescent="0.2">
      <c r="B399" t="s">
        <v>996</v>
      </c>
      <c r="C399">
        <v>500024</v>
      </c>
      <c r="D399" t="s">
        <v>995</v>
      </c>
      <c r="E399" t="s">
        <v>773</v>
      </c>
    </row>
    <row r="400" spans="2:5" x14ac:dyDescent="0.2">
      <c r="B400" t="s">
        <v>997</v>
      </c>
      <c r="C400">
        <v>507526</v>
      </c>
      <c r="D400" t="s">
        <v>366</v>
      </c>
      <c r="E400" t="s">
        <v>998</v>
      </c>
    </row>
    <row r="401" spans="2:5" x14ac:dyDescent="0.2">
      <c r="B401" t="s">
        <v>999</v>
      </c>
      <c r="C401">
        <v>533138</v>
      </c>
      <c r="D401" t="s">
        <v>1000</v>
      </c>
      <c r="E401" t="s">
        <v>510</v>
      </c>
    </row>
    <row r="402" spans="2:5" x14ac:dyDescent="0.2">
      <c r="B402" t="s">
        <v>1001</v>
      </c>
      <c r="C402">
        <v>540975</v>
      </c>
      <c r="D402" t="s">
        <v>1002</v>
      </c>
      <c r="E402" t="s">
        <v>555</v>
      </c>
    </row>
    <row r="403" spans="2:5" x14ac:dyDescent="0.2">
      <c r="B403" t="s">
        <v>1003</v>
      </c>
      <c r="C403">
        <v>532493</v>
      </c>
      <c r="D403" t="s">
        <v>1004</v>
      </c>
      <c r="E403" t="s">
        <v>839</v>
      </c>
    </row>
    <row r="404" spans="2:5" x14ac:dyDescent="0.2">
      <c r="B404" t="s">
        <v>1005</v>
      </c>
      <c r="C404">
        <v>532830</v>
      </c>
      <c r="D404" t="s">
        <v>1006</v>
      </c>
      <c r="E404" t="s">
        <v>486</v>
      </c>
    </row>
    <row r="405" spans="2:5" x14ac:dyDescent="0.2">
      <c r="B405" t="s">
        <v>1007</v>
      </c>
      <c r="C405">
        <v>506820</v>
      </c>
      <c r="D405" t="s">
        <v>1008</v>
      </c>
      <c r="E405" t="s">
        <v>404</v>
      </c>
    </row>
    <row r="406" spans="2:5" x14ac:dyDescent="0.2">
      <c r="B406" t="s">
        <v>1009</v>
      </c>
      <c r="C406">
        <v>506820</v>
      </c>
      <c r="D406" t="s">
        <v>1008</v>
      </c>
      <c r="E406" t="s">
        <v>404</v>
      </c>
    </row>
    <row r="407" spans="2:5" x14ac:dyDescent="0.2">
      <c r="B407" t="s">
        <v>1010</v>
      </c>
      <c r="C407">
        <v>540824</v>
      </c>
      <c r="D407" t="s">
        <v>1011</v>
      </c>
      <c r="E407" t="s">
        <v>360</v>
      </c>
    </row>
    <row r="408" spans="2:5" x14ac:dyDescent="0.2">
      <c r="B408" t="s">
        <v>1012</v>
      </c>
      <c r="C408">
        <v>512433</v>
      </c>
      <c r="D408" t="s">
        <v>366</v>
      </c>
      <c r="E408" t="s">
        <v>388</v>
      </c>
    </row>
    <row r="409" spans="2:5" x14ac:dyDescent="0.2">
      <c r="B409" t="s">
        <v>1013</v>
      </c>
      <c r="C409">
        <v>511144</v>
      </c>
      <c r="D409" t="s">
        <v>366</v>
      </c>
      <c r="E409" t="s">
        <v>352</v>
      </c>
    </row>
    <row r="410" spans="2:5" x14ac:dyDescent="0.2">
      <c r="B410" t="s">
        <v>1014</v>
      </c>
      <c r="C410">
        <v>530187</v>
      </c>
      <c r="D410" t="s">
        <v>366</v>
      </c>
      <c r="E410" t="s">
        <v>383</v>
      </c>
    </row>
    <row r="411" spans="2:5" x14ac:dyDescent="0.2">
      <c r="B411" t="s">
        <v>1015</v>
      </c>
      <c r="C411">
        <v>539099</v>
      </c>
      <c r="D411" t="s">
        <v>366</v>
      </c>
      <c r="E411" t="s">
        <v>452</v>
      </c>
    </row>
    <row r="412" spans="2:5" x14ac:dyDescent="0.2">
      <c r="B412" t="s">
        <v>1016</v>
      </c>
      <c r="C412">
        <v>517429</v>
      </c>
      <c r="D412" t="s">
        <v>1017</v>
      </c>
      <c r="E412" t="s">
        <v>459</v>
      </c>
    </row>
    <row r="413" spans="2:5" x14ac:dyDescent="0.2">
      <c r="B413" t="s">
        <v>1018</v>
      </c>
      <c r="C413">
        <v>538713</v>
      </c>
      <c r="D413" t="s">
        <v>366</v>
      </c>
      <c r="E413" t="s">
        <v>459</v>
      </c>
    </row>
    <row r="414" spans="2:5" x14ac:dyDescent="0.2">
      <c r="B414" t="s">
        <v>1019</v>
      </c>
      <c r="C414">
        <v>526843</v>
      </c>
      <c r="D414" t="s">
        <v>366</v>
      </c>
      <c r="E414" t="s">
        <v>388</v>
      </c>
    </row>
    <row r="415" spans="2:5" x14ac:dyDescent="0.2">
      <c r="B415" t="s">
        <v>1020</v>
      </c>
      <c r="C415">
        <v>532759</v>
      </c>
      <c r="D415" t="s">
        <v>1021</v>
      </c>
      <c r="E415" t="s">
        <v>764</v>
      </c>
    </row>
    <row r="416" spans="2:5" x14ac:dyDescent="0.2">
      <c r="B416" t="s">
        <v>1022</v>
      </c>
      <c r="C416">
        <v>505029</v>
      </c>
      <c r="D416" t="s">
        <v>1023</v>
      </c>
      <c r="E416" t="s">
        <v>1024</v>
      </c>
    </row>
    <row r="417" spans="2:5" x14ac:dyDescent="0.2">
      <c r="B417" t="s">
        <v>1025</v>
      </c>
      <c r="C417">
        <v>514394</v>
      </c>
      <c r="D417" t="s">
        <v>366</v>
      </c>
      <c r="E417" t="s">
        <v>480</v>
      </c>
    </row>
    <row r="418" spans="2:5" x14ac:dyDescent="0.2">
      <c r="B418" t="s">
        <v>1026</v>
      </c>
      <c r="C418">
        <v>514394</v>
      </c>
      <c r="D418" t="s">
        <v>366</v>
      </c>
      <c r="E418" t="s">
        <v>480</v>
      </c>
    </row>
    <row r="419" spans="2:5" x14ac:dyDescent="0.2">
      <c r="B419" t="s">
        <v>1027</v>
      </c>
      <c r="C419">
        <v>531795</v>
      </c>
      <c r="D419" t="s">
        <v>1028</v>
      </c>
      <c r="E419" t="s">
        <v>1024</v>
      </c>
    </row>
    <row r="420" spans="2:5" x14ac:dyDescent="0.2">
      <c r="B420" t="s">
        <v>1029</v>
      </c>
      <c r="C420">
        <v>500027</v>
      </c>
      <c r="D420" t="s">
        <v>1030</v>
      </c>
      <c r="E420" t="s">
        <v>510</v>
      </c>
    </row>
    <row r="421" spans="2:5" x14ac:dyDescent="0.2">
      <c r="B421" t="s">
        <v>1031</v>
      </c>
      <c r="C421">
        <v>500028</v>
      </c>
      <c r="D421" t="s">
        <v>366</v>
      </c>
      <c r="E421" t="s">
        <v>764</v>
      </c>
    </row>
    <row r="422" spans="2:5" x14ac:dyDescent="0.2">
      <c r="B422" t="s">
        <v>1032</v>
      </c>
      <c r="C422">
        <v>500028</v>
      </c>
      <c r="D422" t="s">
        <v>366</v>
      </c>
      <c r="E422" t="s">
        <v>764</v>
      </c>
    </row>
    <row r="423" spans="2:5" x14ac:dyDescent="0.2">
      <c r="B423" t="s">
        <v>1033</v>
      </c>
      <c r="C423">
        <v>540611</v>
      </c>
      <c r="D423" t="s">
        <v>1034</v>
      </c>
      <c r="E423" t="s">
        <v>684</v>
      </c>
    </row>
    <row r="424" spans="2:5" x14ac:dyDescent="0.2">
      <c r="B424" t="s">
        <v>1035</v>
      </c>
      <c r="C424">
        <v>532459</v>
      </c>
      <c r="D424" t="s">
        <v>366</v>
      </c>
      <c r="E424" t="s">
        <v>381</v>
      </c>
    </row>
    <row r="425" spans="2:5" x14ac:dyDescent="0.2">
      <c r="B425" t="s">
        <v>1036</v>
      </c>
      <c r="C425" t="s">
        <v>366</v>
      </c>
      <c r="D425" t="s">
        <v>1037</v>
      </c>
      <c r="E425" t="s">
        <v>377</v>
      </c>
    </row>
    <row r="426" spans="2:5" x14ac:dyDescent="0.2">
      <c r="B426" t="s">
        <v>1038</v>
      </c>
      <c r="C426">
        <v>532668</v>
      </c>
      <c r="D426" t="s">
        <v>1039</v>
      </c>
      <c r="E426" t="s">
        <v>459</v>
      </c>
    </row>
    <row r="427" spans="2:5" x14ac:dyDescent="0.2">
      <c r="B427" t="s">
        <v>1040</v>
      </c>
      <c r="C427">
        <v>530233</v>
      </c>
      <c r="D427" t="s">
        <v>366</v>
      </c>
      <c r="E427" t="s">
        <v>404</v>
      </c>
    </row>
    <row r="428" spans="2:5" x14ac:dyDescent="0.2">
      <c r="B428" t="s">
        <v>1041</v>
      </c>
      <c r="C428">
        <v>524804</v>
      </c>
      <c r="D428" t="s">
        <v>1042</v>
      </c>
      <c r="E428" t="s">
        <v>404</v>
      </c>
    </row>
    <row r="429" spans="2:5" x14ac:dyDescent="0.2">
      <c r="B429" t="s">
        <v>1043</v>
      </c>
      <c r="C429">
        <v>531336</v>
      </c>
      <c r="D429" t="s">
        <v>366</v>
      </c>
      <c r="E429" t="s">
        <v>1044</v>
      </c>
    </row>
    <row r="430" spans="2:5" x14ac:dyDescent="0.2">
      <c r="B430" t="s">
        <v>1045</v>
      </c>
      <c r="C430">
        <v>509009</v>
      </c>
      <c r="D430" t="s">
        <v>1046</v>
      </c>
      <c r="E430" t="s">
        <v>388</v>
      </c>
    </row>
    <row r="431" spans="2:5" x14ac:dyDescent="0.2">
      <c r="B431" t="s">
        <v>1047</v>
      </c>
      <c r="C431">
        <v>522005</v>
      </c>
      <c r="D431" t="s">
        <v>366</v>
      </c>
      <c r="E431" t="s">
        <v>374</v>
      </c>
    </row>
    <row r="432" spans="2:5" x14ac:dyDescent="0.2">
      <c r="B432" t="s">
        <v>1048</v>
      </c>
      <c r="C432">
        <v>539177</v>
      </c>
      <c r="D432" t="s">
        <v>366</v>
      </c>
      <c r="E432" t="s">
        <v>383</v>
      </c>
    </row>
    <row r="433" spans="2:5" x14ac:dyDescent="0.2">
      <c r="B433" t="s">
        <v>1049</v>
      </c>
      <c r="C433">
        <v>531994</v>
      </c>
      <c r="D433" t="s">
        <v>366</v>
      </c>
      <c r="E433" t="s">
        <v>721</v>
      </c>
    </row>
    <row r="434" spans="2:5" x14ac:dyDescent="0.2">
      <c r="B434" t="s">
        <v>1050</v>
      </c>
      <c r="C434">
        <v>531994</v>
      </c>
      <c r="D434" t="s">
        <v>366</v>
      </c>
      <c r="E434" t="s">
        <v>721</v>
      </c>
    </row>
    <row r="435" spans="2:5" x14ac:dyDescent="0.2">
      <c r="B435" t="s">
        <v>1051</v>
      </c>
      <c r="C435">
        <v>532797</v>
      </c>
      <c r="D435" t="s">
        <v>1052</v>
      </c>
      <c r="E435" t="s">
        <v>721</v>
      </c>
    </row>
    <row r="436" spans="2:5" x14ac:dyDescent="0.2">
      <c r="B436" t="s">
        <v>1053</v>
      </c>
      <c r="C436">
        <v>500029</v>
      </c>
      <c r="D436" t="s">
        <v>1054</v>
      </c>
      <c r="E436" t="s">
        <v>721</v>
      </c>
    </row>
    <row r="437" spans="2:5" x14ac:dyDescent="0.2">
      <c r="B437" t="s">
        <v>1055</v>
      </c>
      <c r="C437">
        <v>500029</v>
      </c>
      <c r="D437" t="s">
        <v>1054</v>
      </c>
      <c r="E437" t="s">
        <v>721</v>
      </c>
    </row>
    <row r="438" spans="2:5" x14ac:dyDescent="0.2">
      <c r="B438" t="s">
        <v>1056</v>
      </c>
      <c r="C438">
        <v>505036</v>
      </c>
      <c r="D438" t="s">
        <v>366</v>
      </c>
      <c r="E438" t="s">
        <v>721</v>
      </c>
    </row>
    <row r="439" spans="2:5" x14ac:dyDescent="0.2">
      <c r="B439" t="s">
        <v>1057</v>
      </c>
      <c r="C439">
        <v>505010</v>
      </c>
      <c r="D439" t="s">
        <v>1058</v>
      </c>
      <c r="E439" t="s">
        <v>721</v>
      </c>
    </row>
    <row r="440" spans="2:5" x14ac:dyDescent="0.2">
      <c r="B440" t="s">
        <v>1059</v>
      </c>
      <c r="C440">
        <v>520119</v>
      </c>
      <c r="D440" t="s">
        <v>1060</v>
      </c>
      <c r="E440" t="s">
        <v>721</v>
      </c>
    </row>
    <row r="441" spans="2:5" x14ac:dyDescent="0.2">
      <c r="B441" t="s">
        <v>1061</v>
      </c>
      <c r="C441">
        <v>512277</v>
      </c>
      <c r="D441" t="s">
        <v>366</v>
      </c>
      <c r="E441" t="s">
        <v>687</v>
      </c>
    </row>
    <row r="442" spans="2:5" x14ac:dyDescent="0.2">
      <c r="B442" t="s">
        <v>1062</v>
      </c>
      <c r="C442">
        <v>780004</v>
      </c>
      <c r="D442" t="s">
        <v>366</v>
      </c>
      <c r="E442" t="s">
        <v>457</v>
      </c>
    </row>
    <row r="443" spans="2:5" x14ac:dyDescent="0.2">
      <c r="B443" t="s">
        <v>1063</v>
      </c>
      <c r="C443">
        <v>540649</v>
      </c>
      <c r="D443" t="s">
        <v>1064</v>
      </c>
      <c r="E443" t="s">
        <v>1065</v>
      </c>
    </row>
    <row r="444" spans="2:5" x14ac:dyDescent="0.2">
      <c r="B444" t="s">
        <v>1066</v>
      </c>
      <c r="C444">
        <v>531310</v>
      </c>
      <c r="D444" t="s">
        <v>366</v>
      </c>
      <c r="E444" t="s">
        <v>349</v>
      </c>
    </row>
    <row r="445" spans="2:5" x14ac:dyDescent="0.2">
      <c r="B445" t="s">
        <v>1067</v>
      </c>
      <c r="C445">
        <v>512149</v>
      </c>
      <c r="D445" t="s">
        <v>366</v>
      </c>
      <c r="E445" t="s">
        <v>459</v>
      </c>
    </row>
    <row r="446" spans="2:5" x14ac:dyDescent="0.2">
      <c r="B446" t="s">
        <v>1068</v>
      </c>
      <c r="C446">
        <v>532406</v>
      </c>
      <c r="D446" t="s">
        <v>366</v>
      </c>
      <c r="E446" t="s">
        <v>512</v>
      </c>
    </row>
    <row r="447" spans="2:5" x14ac:dyDescent="0.2">
      <c r="B447" t="s">
        <v>1069</v>
      </c>
      <c r="C447">
        <v>512573</v>
      </c>
      <c r="D447" t="s">
        <v>1070</v>
      </c>
      <c r="E447" t="s">
        <v>446</v>
      </c>
    </row>
    <row r="448" spans="2:5" x14ac:dyDescent="0.2">
      <c r="B448" t="s">
        <v>33</v>
      </c>
      <c r="C448">
        <v>540376</v>
      </c>
      <c r="D448" t="s">
        <v>303</v>
      </c>
      <c r="E448" t="s">
        <v>535</v>
      </c>
    </row>
    <row r="449" spans="2:5" x14ac:dyDescent="0.2">
      <c r="B449" t="s">
        <v>1071</v>
      </c>
      <c r="C449" t="s">
        <v>366</v>
      </c>
      <c r="D449" t="s">
        <v>1072</v>
      </c>
      <c r="E449" t="s">
        <v>377</v>
      </c>
    </row>
    <row r="450" spans="2:5" x14ac:dyDescent="0.2">
      <c r="B450" t="s">
        <v>1073</v>
      </c>
      <c r="C450">
        <v>539288</v>
      </c>
      <c r="D450" t="s">
        <v>366</v>
      </c>
      <c r="E450" t="s">
        <v>526</v>
      </c>
    </row>
    <row r="451" spans="2:5" x14ac:dyDescent="0.2">
      <c r="B451" t="s">
        <v>1074</v>
      </c>
      <c r="C451">
        <v>523896</v>
      </c>
      <c r="D451" t="s">
        <v>366</v>
      </c>
      <c r="E451" t="s">
        <v>388</v>
      </c>
    </row>
    <row r="452" spans="2:5" x14ac:dyDescent="0.2">
      <c r="B452" t="s">
        <v>1075</v>
      </c>
      <c r="C452">
        <v>523896</v>
      </c>
      <c r="D452" t="s">
        <v>366</v>
      </c>
      <c r="E452" t="s">
        <v>388</v>
      </c>
    </row>
    <row r="453" spans="2:5" x14ac:dyDescent="0.2">
      <c r="B453" t="s">
        <v>1076</v>
      </c>
      <c r="C453">
        <v>512109</v>
      </c>
      <c r="D453" t="s">
        <v>366</v>
      </c>
      <c r="E453" t="s">
        <v>388</v>
      </c>
    </row>
    <row r="454" spans="2:5" x14ac:dyDescent="0.2">
      <c r="B454" t="s">
        <v>1077</v>
      </c>
      <c r="C454">
        <v>531541</v>
      </c>
      <c r="D454" t="s">
        <v>366</v>
      </c>
      <c r="E454" t="s">
        <v>414</v>
      </c>
    </row>
    <row r="455" spans="2:5" x14ac:dyDescent="0.2">
      <c r="B455" t="s">
        <v>1078</v>
      </c>
      <c r="C455" t="s">
        <v>366</v>
      </c>
      <c r="D455" t="s">
        <v>1079</v>
      </c>
      <c r="E455" t="s">
        <v>377</v>
      </c>
    </row>
    <row r="456" spans="2:5" x14ac:dyDescent="0.2">
      <c r="B456" t="s">
        <v>1080</v>
      </c>
      <c r="C456">
        <v>511589</v>
      </c>
      <c r="D456" t="s">
        <v>366</v>
      </c>
      <c r="E456" t="s">
        <v>383</v>
      </c>
    </row>
    <row r="457" spans="2:5" x14ac:dyDescent="0.2">
      <c r="B457" t="s">
        <v>1081</v>
      </c>
      <c r="C457" t="s">
        <v>366</v>
      </c>
      <c r="D457" t="s">
        <v>1082</v>
      </c>
      <c r="E457" t="s">
        <v>377</v>
      </c>
    </row>
    <row r="458" spans="2:5" x14ac:dyDescent="0.2">
      <c r="B458" t="s">
        <v>1083</v>
      </c>
      <c r="C458">
        <v>519105</v>
      </c>
      <c r="D458" t="s">
        <v>1084</v>
      </c>
      <c r="E458" t="s">
        <v>564</v>
      </c>
    </row>
    <row r="459" spans="2:5" x14ac:dyDescent="0.2">
      <c r="B459" t="s">
        <v>1085</v>
      </c>
      <c r="C459">
        <v>504390</v>
      </c>
      <c r="D459" t="s">
        <v>366</v>
      </c>
      <c r="E459" t="s">
        <v>349</v>
      </c>
    </row>
    <row r="460" spans="2:5" x14ac:dyDescent="0.2">
      <c r="B460" t="s">
        <v>1086</v>
      </c>
      <c r="C460">
        <v>513642</v>
      </c>
      <c r="D460" t="s">
        <v>366</v>
      </c>
      <c r="E460" t="s">
        <v>486</v>
      </c>
    </row>
    <row r="461" spans="2:5" x14ac:dyDescent="0.2">
      <c r="B461" t="s">
        <v>1087</v>
      </c>
      <c r="C461">
        <v>532215</v>
      </c>
      <c r="D461" t="s">
        <v>1088</v>
      </c>
      <c r="E461" t="s">
        <v>684</v>
      </c>
    </row>
    <row r="462" spans="2:5" x14ac:dyDescent="0.2">
      <c r="B462" t="s">
        <v>1089</v>
      </c>
      <c r="C462">
        <v>532395</v>
      </c>
      <c r="D462" t="s">
        <v>1090</v>
      </c>
      <c r="E462" t="s">
        <v>696</v>
      </c>
    </row>
    <row r="463" spans="2:5" x14ac:dyDescent="0.2">
      <c r="B463" t="s">
        <v>1091</v>
      </c>
      <c r="C463">
        <v>542285</v>
      </c>
      <c r="D463" t="s">
        <v>1092</v>
      </c>
      <c r="E463" t="s">
        <v>381</v>
      </c>
    </row>
    <row r="464" spans="2:5" x14ac:dyDescent="0.2">
      <c r="B464" t="s">
        <v>1093</v>
      </c>
      <c r="C464">
        <v>505506</v>
      </c>
      <c r="D464" t="s">
        <v>366</v>
      </c>
      <c r="E464" t="s">
        <v>459</v>
      </c>
    </row>
    <row r="465" spans="2:5" x14ac:dyDescent="0.2">
      <c r="B465" t="s">
        <v>1094</v>
      </c>
      <c r="C465">
        <v>523850</v>
      </c>
      <c r="D465" t="s">
        <v>366</v>
      </c>
      <c r="E465" t="s">
        <v>374</v>
      </c>
    </row>
    <row r="466" spans="2:5" x14ac:dyDescent="0.2">
      <c r="B466" t="s">
        <v>1095</v>
      </c>
      <c r="C466">
        <v>523168</v>
      </c>
      <c r="D466" t="s">
        <v>366</v>
      </c>
      <c r="E466" t="s">
        <v>580</v>
      </c>
    </row>
    <row r="467" spans="2:5" x14ac:dyDescent="0.2">
      <c r="B467" t="s">
        <v>1096</v>
      </c>
      <c r="C467">
        <v>508933</v>
      </c>
      <c r="D467" t="s">
        <v>1097</v>
      </c>
      <c r="E467" t="s">
        <v>381</v>
      </c>
    </row>
    <row r="468" spans="2:5" x14ac:dyDescent="0.2">
      <c r="B468" t="s">
        <v>1098</v>
      </c>
      <c r="C468">
        <v>512063</v>
      </c>
      <c r="D468" t="s">
        <v>366</v>
      </c>
      <c r="E468" t="s">
        <v>388</v>
      </c>
    </row>
    <row r="469" spans="2:5" x14ac:dyDescent="0.2">
      <c r="B469" t="s">
        <v>1099</v>
      </c>
      <c r="C469">
        <v>536965</v>
      </c>
      <c r="D469" t="s">
        <v>366</v>
      </c>
      <c r="E469" t="s">
        <v>383</v>
      </c>
    </row>
    <row r="470" spans="2:5" x14ac:dyDescent="0.2">
      <c r="B470" t="s">
        <v>1100</v>
      </c>
      <c r="C470">
        <v>508136</v>
      </c>
      <c r="D470" t="s">
        <v>366</v>
      </c>
      <c r="E470" t="s">
        <v>773</v>
      </c>
    </row>
    <row r="471" spans="2:5" x14ac:dyDescent="0.2">
      <c r="B471" t="s">
        <v>1101</v>
      </c>
      <c r="C471">
        <v>532507</v>
      </c>
      <c r="D471" t="s">
        <v>1102</v>
      </c>
      <c r="E471" t="s">
        <v>1103</v>
      </c>
    </row>
    <row r="472" spans="2:5" x14ac:dyDescent="0.2">
      <c r="B472" t="s">
        <v>1104</v>
      </c>
      <c r="C472">
        <v>537766</v>
      </c>
      <c r="D472" t="s">
        <v>366</v>
      </c>
      <c r="E472" t="s">
        <v>664</v>
      </c>
    </row>
    <row r="473" spans="2:5" x14ac:dyDescent="0.2">
      <c r="B473" t="s">
        <v>1105</v>
      </c>
      <c r="C473">
        <v>532719</v>
      </c>
      <c r="D473" t="s">
        <v>1106</v>
      </c>
      <c r="E473" t="s">
        <v>452</v>
      </c>
    </row>
    <row r="474" spans="2:5" x14ac:dyDescent="0.2">
      <c r="B474" t="s">
        <v>1107</v>
      </c>
      <c r="C474">
        <v>523019</v>
      </c>
      <c r="D474" t="s">
        <v>366</v>
      </c>
      <c r="E474" t="s">
        <v>349</v>
      </c>
    </row>
    <row r="475" spans="2:5" x14ac:dyDescent="0.2">
      <c r="B475" t="s">
        <v>1108</v>
      </c>
      <c r="C475">
        <v>523186</v>
      </c>
      <c r="D475" t="s">
        <v>366</v>
      </c>
      <c r="E475" t="s">
        <v>360</v>
      </c>
    </row>
    <row r="476" spans="2:5" x14ac:dyDescent="0.2">
      <c r="B476" t="s">
        <v>1109</v>
      </c>
      <c r="C476">
        <v>523186</v>
      </c>
      <c r="D476" t="s">
        <v>366</v>
      </c>
      <c r="E476" t="s">
        <v>360</v>
      </c>
    </row>
    <row r="477" spans="2:5" x14ac:dyDescent="0.2">
      <c r="B477" t="s">
        <v>1110</v>
      </c>
      <c r="C477" t="s">
        <v>366</v>
      </c>
      <c r="D477" t="s">
        <v>1111</v>
      </c>
      <c r="E477" t="s">
        <v>377</v>
      </c>
    </row>
    <row r="478" spans="2:5" x14ac:dyDescent="0.2">
      <c r="B478" t="s">
        <v>1112</v>
      </c>
      <c r="C478">
        <v>542206</v>
      </c>
      <c r="D478" t="s">
        <v>1113</v>
      </c>
      <c r="E478" t="s">
        <v>732</v>
      </c>
    </row>
    <row r="479" spans="2:5" x14ac:dyDescent="0.2">
      <c r="B479" t="s">
        <v>1114</v>
      </c>
      <c r="C479">
        <v>531268</v>
      </c>
      <c r="D479" t="s">
        <v>366</v>
      </c>
      <c r="E479" t="s">
        <v>459</v>
      </c>
    </row>
    <row r="480" spans="2:5" x14ac:dyDescent="0.2">
      <c r="B480" t="s">
        <v>1115</v>
      </c>
      <c r="C480">
        <v>532380</v>
      </c>
      <c r="D480" t="s">
        <v>366</v>
      </c>
      <c r="E480" t="s">
        <v>369</v>
      </c>
    </row>
    <row r="481" spans="2:5" x14ac:dyDescent="0.2">
      <c r="B481" t="s">
        <v>1116</v>
      </c>
      <c r="C481">
        <v>524516</v>
      </c>
      <c r="D481" t="s">
        <v>366</v>
      </c>
      <c r="E481" t="s">
        <v>404</v>
      </c>
    </row>
    <row r="482" spans="2:5" x14ac:dyDescent="0.2">
      <c r="B482" t="s">
        <v>1117</v>
      </c>
      <c r="C482">
        <v>532989</v>
      </c>
      <c r="D482" t="s">
        <v>1118</v>
      </c>
      <c r="E482" t="s">
        <v>404</v>
      </c>
    </row>
    <row r="483" spans="2:5" x14ac:dyDescent="0.2">
      <c r="B483" t="s">
        <v>1119</v>
      </c>
      <c r="C483">
        <v>530197</v>
      </c>
      <c r="D483" t="s">
        <v>366</v>
      </c>
      <c r="E483" t="s">
        <v>526</v>
      </c>
    </row>
    <row r="484" spans="2:5" x14ac:dyDescent="0.2">
      <c r="B484" t="s">
        <v>1120</v>
      </c>
      <c r="C484">
        <v>511724</v>
      </c>
      <c r="D484" t="s">
        <v>366</v>
      </c>
      <c r="E484" t="s">
        <v>383</v>
      </c>
    </row>
    <row r="485" spans="2:5" x14ac:dyDescent="0.2">
      <c r="B485" t="s">
        <v>1121</v>
      </c>
      <c r="C485">
        <v>532977</v>
      </c>
      <c r="D485" t="s">
        <v>1122</v>
      </c>
      <c r="E485" t="s">
        <v>1024</v>
      </c>
    </row>
    <row r="486" spans="2:5" x14ac:dyDescent="0.2">
      <c r="B486" t="s">
        <v>1123</v>
      </c>
      <c r="C486" t="s">
        <v>366</v>
      </c>
      <c r="D486" t="s">
        <v>1124</v>
      </c>
      <c r="E486" t="s">
        <v>548</v>
      </c>
    </row>
    <row r="487" spans="2:5" x14ac:dyDescent="0.2">
      <c r="B487" t="s">
        <v>1125</v>
      </c>
      <c r="C487">
        <v>533229</v>
      </c>
      <c r="D487" t="s">
        <v>1126</v>
      </c>
      <c r="E487" t="s">
        <v>548</v>
      </c>
    </row>
    <row r="488" spans="2:5" x14ac:dyDescent="0.2">
      <c r="B488" t="s">
        <v>1127</v>
      </c>
      <c r="C488">
        <v>500031</v>
      </c>
      <c r="D488" t="s">
        <v>1128</v>
      </c>
      <c r="E488" t="s">
        <v>1129</v>
      </c>
    </row>
    <row r="489" spans="2:5" x14ac:dyDescent="0.2">
      <c r="B489" t="s">
        <v>1130</v>
      </c>
      <c r="C489">
        <v>500034</v>
      </c>
      <c r="D489" t="s">
        <v>1131</v>
      </c>
      <c r="E489" t="s">
        <v>383</v>
      </c>
    </row>
    <row r="490" spans="2:5" x14ac:dyDescent="0.2">
      <c r="B490" t="s">
        <v>1132</v>
      </c>
      <c r="C490">
        <v>532978</v>
      </c>
      <c r="D490" t="s">
        <v>1133</v>
      </c>
      <c r="E490" t="s">
        <v>532</v>
      </c>
    </row>
    <row r="491" spans="2:5" x14ac:dyDescent="0.2">
      <c r="B491" t="s">
        <v>1134</v>
      </c>
      <c r="C491">
        <v>512261</v>
      </c>
      <c r="D491" t="s">
        <v>366</v>
      </c>
      <c r="E491" t="s">
        <v>388</v>
      </c>
    </row>
    <row r="492" spans="2:5" x14ac:dyDescent="0.2">
      <c r="B492" t="s">
        <v>1135</v>
      </c>
      <c r="C492">
        <v>539872</v>
      </c>
      <c r="D492" t="s">
        <v>366</v>
      </c>
      <c r="E492" t="s">
        <v>404</v>
      </c>
    </row>
    <row r="493" spans="2:5" x14ac:dyDescent="0.2">
      <c r="B493" t="s">
        <v>1136</v>
      </c>
      <c r="C493">
        <v>500032</v>
      </c>
      <c r="D493" t="s">
        <v>1137</v>
      </c>
      <c r="E493" t="s">
        <v>1065</v>
      </c>
    </row>
    <row r="494" spans="2:5" x14ac:dyDescent="0.2">
      <c r="B494" t="s">
        <v>1138</v>
      </c>
      <c r="C494">
        <v>500490</v>
      </c>
      <c r="D494" t="s">
        <v>1139</v>
      </c>
      <c r="E494" t="s">
        <v>532</v>
      </c>
    </row>
    <row r="495" spans="2:5" x14ac:dyDescent="0.2">
      <c r="B495" t="s">
        <v>1140</v>
      </c>
      <c r="C495">
        <v>507944</v>
      </c>
      <c r="D495" t="s">
        <v>366</v>
      </c>
      <c r="E495" t="s">
        <v>374</v>
      </c>
    </row>
    <row r="496" spans="2:5" x14ac:dyDescent="0.2">
      <c r="B496" t="s">
        <v>1141</v>
      </c>
      <c r="C496">
        <v>511139</v>
      </c>
      <c r="D496" t="s">
        <v>366</v>
      </c>
      <c r="E496" t="s">
        <v>787</v>
      </c>
    </row>
    <row r="497" spans="2:5" x14ac:dyDescent="0.2">
      <c r="B497" t="s">
        <v>1142</v>
      </c>
      <c r="C497">
        <v>524824</v>
      </c>
      <c r="D497" t="s">
        <v>1143</v>
      </c>
      <c r="E497" t="s">
        <v>404</v>
      </c>
    </row>
    <row r="498" spans="2:5" x14ac:dyDescent="0.2">
      <c r="B498" t="s">
        <v>1144</v>
      </c>
      <c r="C498">
        <v>530999</v>
      </c>
      <c r="D498" t="s">
        <v>1145</v>
      </c>
      <c r="E498" t="s">
        <v>414</v>
      </c>
    </row>
    <row r="499" spans="2:5" x14ac:dyDescent="0.2">
      <c r="B499" t="s">
        <v>1146</v>
      </c>
      <c r="C499">
        <v>532382</v>
      </c>
      <c r="D499" t="s">
        <v>1147</v>
      </c>
      <c r="E499" t="s">
        <v>1103</v>
      </c>
    </row>
    <row r="500" spans="2:5" x14ac:dyDescent="0.2">
      <c r="B500" t="s">
        <v>1148</v>
      </c>
      <c r="C500">
        <v>513142</v>
      </c>
      <c r="D500" t="s">
        <v>366</v>
      </c>
      <c r="E500" t="s">
        <v>398</v>
      </c>
    </row>
    <row r="501" spans="2:5" x14ac:dyDescent="0.2">
      <c r="B501" t="s">
        <v>1149</v>
      </c>
      <c r="C501" t="s">
        <v>366</v>
      </c>
      <c r="D501" t="s">
        <v>1150</v>
      </c>
      <c r="E501" t="s">
        <v>1151</v>
      </c>
    </row>
    <row r="502" spans="2:5" x14ac:dyDescent="0.2">
      <c r="B502" t="s">
        <v>1152</v>
      </c>
      <c r="C502">
        <v>539834</v>
      </c>
      <c r="D502" t="s">
        <v>366</v>
      </c>
      <c r="E502" t="s">
        <v>388</v>
      </c>
    </row>
    <row r="503" spans="2:5" x14ac:dyDescent="0.2">
      <c r="B503" t="s">
        <v>1153</v>
      </c>
      <c r="C503">
        <v>502355</v>
      </c>
      <c r="D503" t="s">
        <v>1154</v>
      </c>
      <c r="E503" t="s">
        <v>846</v>
      </c>
    </row>
    <row r="504" spans="2:5" x14ac:dyDescent="0.2">
      <c r="B504" t="s">
        <v>1155</v>
      </c>
      <c r="C504">
        <v>539251</v>
      </c>
      <c r="D504" t="s">
        <v>1156</v>
      </c>
      <c r="E504" t="s">
        <v>561</v>
      </c>
    </row>
    <row r="505" spans="2:5" x14ac:dyDescent="0.2">
      <c r="B505" t="s">
        <v>1157</v>
      </c>
      <c r="C505">
        <v>500102</v>
      </c>
      <c r="D505" t="s">
        <v>1158</v>
      </c>
      <c r="E505" t="s">
        <v>360</v>
      </c>
    </row>
    <row r="506" spans="2:5" x14ac:dyDescent="0.2">
      <c r="B506" t="s">
        <v>1159</v>
      </c>
      <c r="C506">
        <v>523319</v>
      </c>
      <c r="D506" t="s">
        <v>1160</v>
      </c>
      <c r="E506" t="s">
        <v>355</v>
      </c>
    </row>
    <row r="507" spans="2:5" x14ac:dyDescent="0.2">
      <c r="B507" t="s">
        <v>1161</v>
      </c>
      <c r="C507">
        <v>532485</v>
      </c>
      <c r="D507" t="s">
        <v>366</v>
      </c>
      <c r="E507" t="s">
        <v>383</v>
      </c>
    </row>
    <row r="508" spans="2:5" x14ac:dyDescent="0.2">
      <c r="B508" t="s">
        <v>1162</v>
      </c>
      <c r="C508">
        <v>500038</v>
      </c>
      <c r="D508" t="s">
        <v>1163</v>
      </c>
      <c r="E508" t="s">
        <v>1065</v>
      </c>
    </row>
    <row r="509" spans="2:5" x14ac:dyDescent="0.2">
      <c r="B509" t="s">
        <v>1164</v>
      </c>
      <c r="C509">
        <v>520127</v>
      </c>
      <c r="D509" t="s">
        <v>366</v>
      </c>
      <c r="E509" t="s">
        <v>438</v>
      </c>
    </row>
    <row r="510" spans="2:5" x14ac:dyDescent="0.2">
      <c r="B510" t="s">
        <v>1165</v>
      </c>
      <c r="C510">
        <v>519295</v>
      </c>
      <c r="D510" t="s">
        <v>366</v>
      </c>
      <c r="E510" t="s">
        <v>426</v>
      </c>
    </row>
    <row r="511" spans="2:5" x14ac:dyDescent="0.2">
      <c r="B511" t="s">
        <v>1166</v>
      </c>
      <c r="C511">
        <v>531591</v>
      </c>
      <c r="D511" t="s">
        <v>366</v>
      </c>
      <c r="E511" t="s">
        <v>383</v>
      </c>
    </row>
    <row r="512" spans="2:5" x14ac:dyDescent="0.2">
      <c r="B512" t="s">
        <v>1167</v>
      </c>
      <c r="C512">
        <v>526849</v>
      </c>
      <c r="D512" t="s">
        <v>1168</v>
      </c>
      <c r="E512" t="s">
        <v>480</v>
      </c>
    </row>
    <row r="513" spans="2:5" x14ac:dyDescent="0.2">
      <c r="B513" t="s">
        <v>1169</v>
      </c>
      <c r="C513">
        <v>509053</v>
      </c>
      <c r="D513" t="s">
        <v>366</v>
      </c>
      <c r="E513" t="s">
        <v>787</v>
      </c>
    </row>
    <row r="514" spans="2:5" x14ac:dyDescent="0.2">
      <c r="B514" t="s">
        <v>1170</v>
      </c>
      <c r="C514">
        <v>500039</v>
      </c>
      <c r="D514" t="s">
        <v>1171</v>
      </c>
      <c r="E514" t="s">
        <v>721</v>
      </c>
    </row>
    <row r="515" spans="2:5" x14ac:dyDescent="0.2">
      <c r="B515" t="s">
        <v>1172</v>
      </c>
      <c r="C515">
        <v>541153</v>
      </c>
      <c r="D515" t="s">
        <v>1173</v>
      </c>
      <c r="E515" t="s">
        <v>684</v>
      </c>
    </row>
    <row r="516" spans="2:5" x14ac:dyDescent="0.2">
      <c r="B516" t="s">
        <v>1174</v>
      </c>
      <c r="C516">
        <v>532946</v>
      </c>
      <c r="D516" t="s">
        <v>1175</v>
      </c>
      <c r="E516" t="s">
        <v>480</v>
      </c>
    </row>
    <row r="517" spans="2:5" x14ac:dyDescent="0.2">
      <c r="B517" t="s">
        <v>1176</v>
      </c>
      <c r="C517">
        <v>539120</v>
      </c>
      <c r="D517" t="s">
        <v>366</v>
      </c>
      <c r="E517" t="s">
        <v>603</v>
      </c>
    </row>
    <row r="518" spans="2:5" x14ac:dyDescent="0.2">
      <c r="B518" t="s">
        <v>1177</v>
      </c>
      <c r="C518">
        <v>532134</v>
      </c>
      <c r="D518" t="s">
        <v>1178</v>
      </c>
      <c r="E518" t="s">
        <v>684</v>
      </c>
    </row>
    <row r="519" spans="2:5" x14ac:dyDescent="0.2">
      <c r="B519" t="s">
        <v>1179</v>
      </c>
      <c r="C519">
        <v>532149</v>
      </c>
      <c r="D519" t="s">
        <v>1180</v>
      </c>
      <c r="E519" t="s">
        <v>684</v>
      </c>
    </row>
    <row r="520" spans="2:5" x14ac:dyDescent="0.2">
      <c r="B520" t="s">
        <v>1181</v>
      </c>
      <c r="C520">
        <v>532525</v>
      </c>
      <c r="D520" t="s">
        <v>1182</v>
      </c>
      <c r="E520" t="s">
        <v>684</v>
      </c>
    </row>
    <row r="521" spans="2:5" x14ac:dyDescent="0.2">
      <c r="B521" t="s">
        <v>1183</v>
      </c>
      <c r="C521" t="s">
        <v>366</v>
      </c>
      <c r="D521" t="s">
        <v>1184</v>
      </c>
      <c r="E521" t="s">
        <v>377</v>
      </c>
    </row>
    <row r="522" spans="2:5" x14ac:dyDescent="0.2">
      <c r="B522" t="s">
        <v>1185</v>
      </c>
      <c r="C522">
        <v>532674</v>
      </c>
      <c r="D522" t="s">
        <v>1186</v>
      </c>
      <c r="E522" t="s">
        <v>381</v>
      </c>
    </row>
    <row r="523" spans="2:5" x14ac:dyDescent="0.2">
      <c r="B523" t="s">
        <v>1187</v>
      </c>
      <c r="C523">
        <v>500041</v>
      </c>
      <c r="D523" t="s">
        <v>1188</v>
      </c>
      <c r="E523" t="s">
        <v>1065</v>
      </c>
    </row>
    <row r="524" spans="2:5" x14ac:dyDescent="0.2">
      <c r="B524" t="s">
        <v>1189</v>
      </c>
      <c r="C524" t="s">
        <v>366</v>
      </c>
      <c r="D524" t="s">
        <v>1190</v>
      </c>
      <c r="E524" t="s">
        <v>377</v>
      </c>
    </row>
    <row r="525" spans="2:5" x14ac:dyDescent="0.2">
      <c r="B525" t="s">
        <v>1191</v>
      </c>
      <c r="C525">
        <v>538546</v>
      </c>
      <c r="D525" t="s">
        <v>366</v>
      </c>
      <c r="E525" t="s">
        <v>689</v>
      </c>
    </row>
    <row r="526" spans="2:5" x14ac:dyDescent="0.2">
      <c r="B526" t="s">
        <v>1192</v>
      </c>
      <c r="C526">
        <v>519353</v>
      </c>
      <c r="D526" t="s">
        <v>366</v>
      </c>
      <c r="E526" t="s">
        <v>773</v>
      </c>
    </row>
    <row r="527" spans="2:5" x14ac:dyDescent="0.2">
      <c r="B527" t="s">
        <v>1193</v>
      </c>
      <c r="C527">
        <v>503722</v>
      </c>
      <c r="D527" t="s">
        <v>1194</v>
      </c>
      <c r="E527" t="s">
        <v>381</v>
      </c>
    </row>
    <row r="528" spans="2:5" x14ac:dyDescent="0.2">
      <c r="B528" t="s">
        <v>1195</v>
      </c>
      <c r="C528">
        <v>532916</v>
      </c>
      <c r="D528" t="s">
        <v>1196</v>
      </c>
      <c r="E528" t="s">
        <v>379</v>
      </c>
    </row>
    <row r="529" spans="2:5" x14ac:dyDescent="0.2">
      <c r="B529" t="s">
        <v>1197</v>
      </c>
      <c r="C529">
        <v>513502</v>
      </c>
      <c r="D529" t="s">
        <v>366</v>
      </c>
      <c r="E529" t="s">
        <v>440</v>
      </c>
    </row>
    <row r="530" spans="2:5" x14ac:dyDescent="0.2">
      <c r="B530" t="s">
        <v>1198</v>
      </c>
      <c r="C530">
        <v>532336</v>
      </c>
      <c r="D530" t="s">
        <v>366</v>
      </c>
      <c r="E530" t="s">
        <v>459</v>
      </c>
    </row>
    <row r="531" spans="2:5" x14ac:dyDescent="0.2">
      <c r="B531" t="s">
        <v>1199</v>
      </c>
      <c r="C531">
        <v>532694</v>
      </c>
      <c r="D531" t="s">
        <v>1200</v>
      </c>
      <c r="E531" t="s">
        <v>787</v>
      </c>
    </row>
    <row r="532" spans="2:5" x14ac:dyDescent="0.2">
      <c r="B532" t="s">
        <v>1201</v>
      </c>
      <c r="C532">
        <v>532694</v>
      </c>
      <c r="D532" t="s">
        <v>1200</v>
      </c>
      <c r="E532" t="s">
        <v>787</v>
      </c>
    </row>
    <row r="533" spans="2:5" x14ac:dyDescent="0.2">
      <c r="B533" t="s">
        <v>1202</v>
      </c>
      <c r="C533">
        <v>524687</v>
      </c>
      <c r="D533" t="s">
        <v>366</v>
      </c>
      <c r="E533" t="s">
        <v>874</v>
      </c>
    </row>
    <row r="534" spans="2:5" x14ac:dyDescent="0.2">
      <c r="B534" t="s">
        <v>1203</v>
      </c>
      <c r="C534">
        <v>524687</v>
      </c>
      <c r="D534" t="s">
        <v>366</v>
      </c>
      <c r="E534" t="s">
        <v>874</v>
      </c>
    </row>
    <row r="535" spans="2:5" x14ac:dyDescent="0.2">
      <c r="B535" t="s">
        <v>1204</v>
      </c>
      <c r="C535">
        <v>500042</v>
      </c>
      <c r="D535" t="s">
        <v>1205</v>
      </c>
      <c r="E535" t="s">
        <v>526</v>
      </c>
    </row>
    <row r="536" spans="2:5" x14ac:dyDescent="0.2">
      <c r="B536" t="s">
        <v>1206</v>
      </c>
      <c r="C536">
        <v>500042</v>
      </c>
      <c r="D536" t="s">
        <v>1205</v>
      </c>
      <c r="E536" t="s">
        <v>526</v>
      </c>
    </row>
    <row r="537" spans="2:5" x14ac:dyDescent="0.2">
      <c r="B537" t="s">
        <v>1207</v>
      </c>
      <c r="C537">
        <v>500043</v>
      </c>
      <c r="D537" t="s">
        <v>1208</v>
      </c>
      <c r="E537" t="s">
        <v>792</v>
      </c>
    </row>
    <row r="538" spans="2:5" x14ac:dyDescent="0.2">
      <c r="B538" t="s">
        <v>1209</v>
      </c>
      <c r="C538">
        <v>500043</v>
      </c>
      <c r="D538" t="s">
        <v>1210</v>
      </c>
      <c r="E538" t="s">
        <v>792</v>
      </c>
    </row>
    <row r="539" spans="2:5" x14ac:dyDescent="0.2">
      <c r="B539" t="s">
        <v>1211</v>
      </c>
      <c r="C539">
        <v>522004</v>
      </c>
      <c r="D539" t="s">
        <v>366</v>
      </c>
      <c r="E539" t="s">
        <v>374</v>
      </c>
    </row>
    <row r="540" spans="2:5" x14ac:dyDescent="0.2">
      <c r="B540" t="s">
        <v>1212</v>
      </c>
      <c r="C540">
        <v>506285</v>
      </c>
      <c r="D540" t="s">
        <v>1213</v>
      </c>
      <c r="E540" t="s">
        <v>510</v>
      </c>
    </row>
    <row r="541" spans="2:5" x14ac:dyDescent="0.2">
      <c r="B541" t="s">
        <v>1214</v>
      </c>
      <c r="C541">
        <v>539946</v>
      </c>
      <c r="D541" t="s">
        <v>366</v>
      </c>
      <c r="E541" t="s">
        <v>383</v>
      </c>
    </row>
    <row r="542" spans="2:5" x14ac:dyDescent="0.2">
      <c r="B542" t="s">
        <v>1215</v>
      </c>
      <c r="C542">
        <v>517246</v>
      </c>
      <c r="D542" t="s">
        <v>366</v>
      </c>
      <c r="E542" t="s">
        <v>908</v>
      </c>
    </row>
    <row r="543" spans="2:5" x14ac:dyDescent="0.2">
      <c r="B543" t="s">
        <v>1216</v>
      </c>
      <c r="C543">
        <v>517246</v>
      </c>
      <c r="D543" t="s">
        <v>366</v>
      </c>
      <c r="E543" t="s">
        <v>908</v>
      </c>
    </row>
    <row r="544" spans="2:5" x14ac:dyDescent="0.2">
      <c r="B544" t="s">
        <v>1217</v>
      </c>
      <c r="C544">
        <v>539621</v>
      </c>
      <c r="D544" t="s">
        <v>366</v>
      </c>
      <c r="E544" t="s">
        <v>383</v>
      </c>
    </row>
    <row r="545" spans="2:5" x14ac:dyDescent="0.2">
      <c r="B545" t="s">
        <v>1218</v>
      </c>
      <c r="C545">
        <v>524332</v>
      </c>
      <c r="D545" t="s">
        <v>366</v>
      </c>
      <c r="E545" t="s">
        <v>615</v>
      </c>
    </row>
    <row r="546" spans="2:5" x14ac:dyDescent="0.2">
      <c r="B546" t="s">
        <v>1219</v>
      </c>
      <c r="C546">
        <v>542057</v>
      </c>
      <c r="D546" t="s">
        <v>366</v>
      </c>
      <c r="E546" t="s">
        <v>764</v>
      </c>
    </row>
    <row r="547" spans="2:5" x14ac:dyDescent="0.2">
      <c r="B547" t="s">
        <v>1220</v>
      </c>
      <c r="C547">
        <v>524828</v>
      </c>
      <c r="D547" t="s">
        <v>366</v>
      </c>
      <c r="E547" t="s">
        <v>404</v>
      </c>
    </row>
    <row r="548" spans="2:5" x14ac:dyDescent="0.2">
      <c r="B548" t="s">
        <v>1221</v>
      </c>
      <c r="C548">
        <v>539447</v>
      </c>
      <c r="D548" t="s">
        <v>1222</v>
      </c>
      <c r="E548" t="s">
        <v>561</v>
      </c>
    </row>
    <row r="549" spans="2:5" x14ac:dyDescent="0.2">
      <c r="B549" t="s">
        <v>1223</v>
      </c>
      <c r="C549">
        <v>533270</v>
      </c>
      <c r="D549" t="s">
        <v>1224</v>
      </c>
      <c r="E549" t="s">
        <v>689</v>
      </c>
    </row>
    <row r="550" spans="2:5" x14ac:dyDescent="0.2">
      <c r="B550" t="s">
        <v>1225</v>
      </c>
      <c r="C550">
        <v>539546</v>
      </c>
      <c r="D550" t="s">
        <v>366</v>
      </c>
      <c r="E550" t="s">
        <v>388</v>
      </c>
    </row>
    <row r="551" spans="2:5" x14ac:dyDescent="0.2">
      <c r="B551" t="s">
        <v>1226</v>
      </c>
      <c r="C551">
        <v>539018</v>
      </c>
      <c r="D551" t="s">
        <v>366</v>
      </c>
      <c r="E551" t="s">
        <v>398</v>
      </c>
    </row>
    <row r="552" spans="2:5" x14ac:dyDescent="0.2">
      <c r="B552" t="s">
        <v>1227</v>
      </c>
      <c r="C552">
        <v>532645</v>
      </c>
      <c r="D552" t="s">
        <v>366</v>
      </c>
      <c r="E552" t="s">
        <v>388</v>
      </c>
    </row>
    <row r="553" spans="2:5" x14ac:dyDescent="0.2">
      <c r="B553" t="s">
        <v>1228</v>
      </c>
      <c r="C553">
        <v>539399</v>
      </c>
      <c r="D553" t="s">
        <v>366</v>
      </c>
      <c r="E553" t="s">
        <v>381</v>
      </c>
    </row>
    <row r="554" spans="2:5" x14ac:dyDescent="0.2">
      <c r="B554" t="s">
        <v>1229</v>
      </c>
      <c r="C554">
        <v>522650</v>
      </c>
      <c r="D554" t="s">
        <v>366</v>
      </c>
      <c r="E554" t="s">
        <v>551</v>
      </c>
    </row>
    <row r="555" spans="2:5" x14ac:dyDescent="0.2">
      <c r="B555" t="s">
        <v>1230</v>
      </c>
      <c r="C555">
        <v>500048</v>
      </c>
      <c r="D555" t="s">
        <v>1231</v>
      </c>
      <c r="E555" t="s">
        <v>444</v>
      </c>
    </row>
    <row r="556" spans="2:5" x14ac:dyDescent="0.2">
      <c r="B556" t="s">
        <v>1232</v>
      </c>
      <c r="C556">
        <v>541178</v>
      </c>
      <c r="D556" t="s">
        <v>366</v>
      </c>
      <c r="E556" t="s">
        <v>551</v>
      </c>
    </row>
    <row r="557" spans="2:5" x14ac:dyDescent="0.2">
      <c r="B557" t="s">
        <v>1233</v>
      </c>
      <c r="C557">
        <v>509438</v>
      </c>
      <c r="D557" t="s">
        <v>366</v>
      </c>
      <c r="E557" t="s">
        <v>567</v>
      </c>
    </row>
    <row r="558" spans="2:5" x14ac:dyDescent="0.2">
      <c r="B558" t="s">
        <v>1234</v>
      </c>
      <c r="C558">
        <v>533095</v>
      </c>
      <c r="D558" t="s">
        <v>366</v>
      </c>
      <c r="E558" t="s">
        <v>383</v>
      </c>
    </row>
    <row r="559" spans="2:5" x14ac:dyDescent="0.2">
      <c r="B559" t="s">
        <v>1235</v>
      </c>
      <c r="C559">
        <v>512404</v>
      </c>
      <c r="D559" t="s">
        <v>366</v>
      </c>
      <c r="E559" t="s">
        <v>398</v>
      </c>
    </row>
    <row r="560" spans="2:5" x14ac:dyDescent="0.2">
      <c r="B560" t="s">
        <v>1236</v>
      </c>
      <c r="C560">
        <v>532230</v>
      </c>
      <c r="D560" t="s">
        <v>366</v>
      </c>
      <c r="E560" t="s">
        <v>381</v>
      </c>
    </row>
    <row r="561" spans="2:5" x14ac:dyDescent="0.2">
      <c r="B561" t="s">
        <v>1237</v>
      </c>
      <c r="C561">
        <v>512195</v>
      </c>
      <c r="D561" t="s">
        <v>366</v>
      </c>
      <c r="E561" t="s">
        <v>787</v>
      </c>
    </row>
    <row r="562" spans="2:5" x14ac:dyDescent="0.2">
      <c r="B562" t="s">
        <v>1238</v>
      </c>
      <c r="C562">
        <v>509480</v>
      </c>
      <c r="D562" t="s">
        <v>1239</v>
      </c>
      <c r="E562" t="s">
        <v>643</v>
      </c>
    </row>
    <row r="563" spans="2:5" x14ac:dyDescent="0.2">
      <c r="B563" t="s">
        <v>1240</v>
      </c>
      <c r="C563">
        <v>531340</v>
      </c>
      <c r="D563" t="s">
        <v>366</v>
      </c>
      <c r="E563" t="s">
        <v>349</v>
      </c>
    </row>
    <row r="564" spans="2:5" x14ac:dyDescent="0.2">
      <c r="B564" t="s">
        <v>1241</v>
      </c>
      <c r="C564">
        <v>524606</v>
      </c>
      <c r="D564" t="s">
        <v>366</v>
      </c>
      <c r="E564" t="s">
        <v>404</v>
      </c>
    </row>
    <row r="565" spans="2:5" x14ac:dyDescent="0.2">
      <c r="B565" t="s">
        <v>1242</v>
      </c>
      <c r="C565">
        <v>531582</v>
      </c>
      <c r="D565" t="s">
        <v>366</v>
      </c>
      <c r="E565" t="s">
        <v>383</v>
      </c>
    </row>
    <row r="566" spans="2:5" x14ac:dyDescent="0.2">
      <c r="B566" t="s">
        <v>1243</v>
      </c>
      <c r="C566">
        <v>508664</v>
      </c>
      <c r="D566" t="s">
        <v>366</v>
      </c>
      <c r="E566" t="s">
        <v>567</v>
      </c>
    </row>
    <row r="567" spans="2:5" x14ac:dyDescent="0.2">
      <c r="B567" t="s">
        <v>1244</v>
      </c>
      <c r="C567" t="s">
        <v>366</v>
      </c>
      <c r="D567" t="s">
        <v>1245</v>
      </c>
      <c r="E567" t="s">
        <v>377</v>
      </c>
    </row>
    <row r="568" spans="2:5" x14ac:dyDescent="0.2">
      <c r="B568" t="s">
        <v>1246</v>
      </c>
      <c r="C568">
        <v>512477</v>
      </c>
      <c r="D568" t="s">
        <v>366</v>
      </c>
      <c r="E568" t="s">
        <v>381</v>
      </c>
    </row>
    <row r="569" spans="2:5" x14ac:dyDescent="0.2">
      <c r="B569" t="s">
        <v>1247</v>
      </c>
      <c r="C569">
        <v>512477</v>
      </c>
      <c r="D569" t="s">
        <v>366</v>
      </c>
      <c r="E569" t="s">
        <v>381</v>
      </c>
    </row>
    <row r="570" spans="2:5" x14ac:dyDescent="0.2">
      <c r="B570" t="s">
        <v>1248</v>
      </c>
      <c r="C570">
        <v>533303</v>
      </c>
      <c r="D570" t="s">
        <v>1249</v>
      </c>
      <c r="E570" t="s">
        <v>532</v>
      </c>
    </row>
    <row r="571" spans="2:5" x14ac:dyDescent="0.2">
      <c r="B571" t="s">
        <v>1250</v>
      </c>
      <c r="C571">
        <v>532430</v>
      </c>
      <c r="D571" t="s">
        <v>1251</v>
      </c>
      <c r="E571" t="s">
        <v>505</v>
      </c>
    </row>
    <row r="572" spans="2:5" x14ac:dyDescent="0.2">
      <c r="B572" t="s">
        <v>1252</v>
      </c>
      <c r="C572">
        <v>539662</v>
      </c>
      <c r="D572" t="s">
        <v>366</v>
      </c>
      <c r="E572" t="s">
        <v>383</v>
      </c>
    </row>
    <row r="573" spans="2:5" x14ac:dyDescent="0.2">
      <c r="B573" t="s">
        <v>1253</v>
      </c>
      <c r="C573">
        <v>511664</v>
      </c>
      <c r="D573" t="s">
        <v>366</v>
      </c>
      <c r="E573" t="s">
        <v>369</v>
      </c>
    </row>
    <row r="574" spans="2:5" x14ac:dyDescent="0.2">
      <c r="B574" t="s">
        <v>1254</v>
      </c>
      <c r="C574">
        <v>532930</v>
      </c>
      <c r="D574" t="s">
        <v>1255</v>
      </c>
      <c r="E574" t="s">
        <v>409</v>
      </c>
    </row>
    <row r="575" spans="2:5" x14ac:dyDescent="0.2">
      <c r="B575" t="s">
        <v>1256</v>
      </c>
      <c r="C575">
        <v>530803</v>
      </c>
      <c r="D575" t="s">
        <v>1257</v>
      </c>
      <c r="E575" t="s">
        <v>414</v>
      </c>
    </row>
    <row r="576" spans="2:5" x14ac:dyDescent="0.2">
      <c r="B576" t="s">
        <v>1258</v>
      </c>
      <c r="C576">
        <v>531719</v>
      </c>
      <c r="D576" t="s">
        <v>366</v>
      </c>
      <c r="E576" t="s">
        <v>510</v>
      </c>
    </row>
    <row r="577" spans="2:5" x14ac:dyDescent="0.2">
      <c r="B577" t="s">
        <v>1259</v>
      </c>
      <c r="C577">
        <v>504646</v>
      </c>
      <c r="D577" t="s">
        <v>366</v>
      </c>
      <c r="E577" t="s">
        <v>721</v>
      </c>
    </row>
    <row r="578" spans="2:5" x14ac:dyDescent="0.2">
      <c r="B578" t="s">
        <v>1260</v>
      </c>
      <c r="C578">
        <v>509449</v>
      </c>
      <c r="D578" t="s">
        <v>366</v>
      </c>
      <c r="E578" t="s">
        <v>414</v>
      </c>
    </row>
    <row r="579" spans="2:5" x14ac:dyDescent="0.2">
      <c r="B579" t="s">
        <v>1261</v>
      </c>
      <c r="C579">
        <v>512296</v>
      </c>
      <c r="D579" t="s">
        <v>1262</v>
      </c>
      <c r="E579" t="s">
        <v>440</v>
      </c>
    </row>
    <row r="580" spans="2:5" x14ac:dyDescent="0.2">
      <c r="B580" t="s">
        <v>1263</v>
      </c>
      <c r="C580">
        <v>512296</v>
      </c>
      <c r="D580" t="s">
        <v>1262</v>
      </c>
      <c r="E580" t="s">
        <v>440</v>
      </c>
    </row>
    <row r="581" spans="2:5" x14ac:dyDescent="0.2">
      <c r="B581" t="s">
        <v>1264</v>
      </c>
      <c r="C581">
        <v>540621</v>
      </c>
      <c r="D581" t="s">
        <v>1265</v>
      </c>
      <c r="E581" t="s">
        <v>452</v>
      </c>
    </row>
    <row r="582" spans="2:5" x14ac:dyDescent="0.2">
      <c r="B582" t="s">
        <v>1266</v>
      </c>
      <c r="C582">
        <v>540545</v>
      </c>
      <c r="D582" t="s">
        <v>366</v>
      </c>
      <c r="E582" t="s">
        <v>480</v>
      </c>
    </row>
    <row r="583" spans="2:5" x14ac:dyDescent="0.2">
      <c r="B583" t="s">
        <v>1267</v>
      </c>
      <c r="C583">
        <v>512608</v>
      </c>
      <c r="D583" t="s">
        <v>1268</v>
      </c>
      <c r="E583" t="s">
        <v>480</v>
      </c>
    </row>
    <row r="584" spans="2:5" x14ac:dyDescent="0.2">
      <c r="B584" t="s">
        <v>1269</v>
      </c>
      <c r="C584">
        <v>538576</v>
      </c>
      <c r="D584" t="s">
        <v>366</v>
      </c>
      <c r="E584" t="s">
        <v>452</v>
      </c>
    </row>
    <row r="585" spans="2:5" x14ac:dyDescent="0.2">
      <c r="B585" t="s">
        <v>1270</v>
      </c>
      <c r="C585">
        <v>500052</v>
      </c>
      <c r="D585" t="s">
        <v>1271</v>
      </c>
      <c r="E585" t="s">
        <v>526</v>
      </c>
    </row>
    <row r="586" spans="2:5" x14ac:dyDescent="0.2">
      <c r="B586" t="s">
        <v>1272</v>
      </c>
      <c r="C586">
        <v>531862</v>
      </c>
      <c r="D586" t="s">
        <v>366</v>
      </c>
      <c r="E586" t="s">
        <v>874</v>
      </c>
    </row>
    <row r="587" spans="2:5" x14ac:dyDescent="0.2">
      <c r="B587" t="s">
        <v>1273</v>
      </c>
      <c r="C587">
        <v>511501</v>
      </c>
      <c r="D587" t="s">
        <v>366</v>
      </c>
      <c r="E587" t="s">
        <v>349</v>
      </c>
    </row>
    <row r="588" spans="2:5" x14ac:dyDescent="0.2">
      <c r="B588" t="s">
        <v>1274</v>
      </c>
      <c r="C588">
        <v>503960</v>
      </c>
      <c r="D588" t="s">
        <v>1275</v>
      </c>
      <c r="E588" t="s">
        <v>664</v>
      </c>
    </row>
    <row r="589" spans="2:5" x14ac:dyDescent="0.2">
      <c r="B589" t="s">
        <v>1276</v>
      </c>
      <c r="C589">
        <v>541143</v>
      </c>
      <c r="D589" t="s">
        <v>1277</v>
      </c>
      <c r="E589" t="s">
        <v>839</v>
      </c>
    </row>
    <row r="590" spans="2:5" x14ac:dyDescent="0.2">
      <c r="B590" t="s">
        <v>1278</v>
      </c>
      <c r="C590">
        <v>500049</v>
      </c>
      <c r="D590" t="s">
        <v>1279</v>
      </c>
      <c r="E590" t="s">
        <v>839</v>
      </c>
    </row>
    <row r="591" spans="2:5" x14ac:dyDescent="0.2">
      <c r="B591" t="s">
        <v>1280</v>
      </c>
      <c r="C591">
        <v>533228</v>
      </c>
      <c r="D591" t="s">
        <v>1281</v>
      </c>
      <c r="E591" t="s">
        <v>383</v>
      </c>
    </row>
    <row r="592" spans="2:5" x14ac:dyDescent="0.2">
      <c r="B592" t="s">
        <v>1282</v>
      </c>
      <c r="C592">
        <v>500493</v>
      </c>
      <c r="D592" t="s">
        <v>1283</v>
      </c>
      <c r="E592" t="s">
        <v>1284</v>
      </c>
    </row>
    <row r="593" spans="2:5" x14ac:dyDescent="0.2">
      <c r="B593" t="s">
        <v>1285</v>
      </c>
      <c r="C593">
        <v>505688</v>
      </c>
      <c r="D593" t="s">
        <v>1286</v>
      </c>
      <c r="E593" t="s">
        <v>721</v>
      </c>
    </row>
    <row r="594" spans="2:5" x14ac:dyDescent="0.2">
      <c r="B594" t="s">
        <v>1287</v>
      </c>
      <c r="C594">
        <v>500103</v>
      </c>
      <c r="D594" t="s">
        <v>1288</v>
      </c>
      <c r="E594" t="s">
        <v>409</v>
      </c>
    </row>
    <row r="595" spans="2:5" x14ac:dyDescent="0.2">
      <c r="B595" t="s">
        <v>1289</v>
      </c>
      <c r="C595">
        <v>524663</v>
      </c>
      <c r="D595" t="s">
        <v>366</v>
      </c>
      <c r="E595" t="s">
        <v>404</v>
      </c>
    </row>
    <row r="596" spans="2:5" x14ac:dyDescent="0.2">
      <c r="B596" t="s">
        <v>1290</v>
      </c>
      <c r="C596">
        <v>541096</v>
      </c>
      <c r="D596" t="s">
        <v>366</v>
      </c>
      <c r="E596" t="s">
        <v>404</v>
      </c>
    </row>
    <row r="597" spans="2:5" x14ac:dyDescent="0.2">
      <c r="B597" t="s">
        <v>1291</v>
      </c>
      <c r="C597">
        <v>500547</v>
      </c>
      <c r="D597" t="s">
        <v>1292</v>
      </c>
      <c r="E597" t="s">
        <v>1293</v>
      </c>
    </row>
    <row r="598" spans="2:5" x14ac:dyDescent="0.2">
      <c r="B598" t="s">
        <v>1294</v>
      </c>
      <c r="C598">
        <v>590021</v>
      </c>
      <c r="D598" t="s">
        <v>1295</v>
      </c>
      <c r="E598" t="s">
        <v>510</v>
      </c>
    </row>
    <row r="599" spans="2:5" x14ac:dyDescent="0.2">
      <c r="B599" t="s">
        <v>1296</v>
      </c>
      <c r="C599">
        <v>540700</v>
      </c>
      <c r="D599" t="s">
        <v>1297</v>
      </c>
      <c r="E599" t="s">
        <v>961</v>
      </c>
    </row>
    <row r="600" spans="2:5" x14ac:dyDescent="0.2">
      <c r="B600" t="s">
        <v>1298</v>
      </c>
      <c r="C600">
        <v>523229</v>
      </c>
      <c r="D600" t="s">
        <v>366</v>
      </c>
      <c r="E600" t="s">
        <v>721</v>
      </c>
    </row>
    <row r="601" spans="2:5" x14ac:dyDescent="0.2">
      <c r="B601" t="s">
        <v>1299</v>
      </c>
      <c r="C601">
        <v>531029</v>
      </c>
      <c r="D601" t="s">
        <v>366</v>
      </c>
      <c r="E601" t="s">
        <v>388</v>
      </c>
    </row>
    <row r="602" spans="2:5" x14ac:dyDescent="0.2">
      <c r="B602" t="s">
        <v>1300</v>
      </c>
      <c r="C602">
        <v>539799</v>
      </c>
      <c r="D602" t="s">
        <v>1301</v>
      </c>
      <c r="E602" t="s">
        <v>689</v>
      </c>
    </row>
    <row r="603" spans="2:5" x14ac:dyDescent="0.2">
      <c r="B603" t="s">
        <v>1302</v>
      </c>
      <c r="C603">
        <v>532609</v>
      </c>
      <c r="D603" t="s">
        <v>1303</v>
      </c>
      <c r="E603" t="s">
        <v>444</v>
      </c>
    </row>
    <row r="604" spans="2:5" x14ac:dyDescent="0.2">
      <c r="B604" t="s">
        <v>1304</v>
      </c>
      <c r="C604">
        <v>533499</v>
      </c>
      <c r="D604" t="s">
        <v>1305</v>
      </c>
      <c r="E604" t="s">
        <v>352</v>
      </c>
    </row>
    <row r="605" spans="2:5" x14ac:dyDescent="0.2">
      <c r="B605" t="s">
        <v>1306</v>
      </c>
      <c r="C605">
        <v>532454</v>
      </c>
      <c r="D605" t="s">
        <v>1307</v>
      </c>
      <c r="E605" t="s">
        <v>1308</v>
      </c>
    </row>
    <row r="606" spans="2:5" x14ac:dyDescent="0.2">
      <c r="B606" t="s">
        <v>1309</v>
      </c>
      <c r="C606">
        <v>534816</v>
      </c>
      <c r="D606" t="s">
        <v>1310</v>
      </c>
      <c r="E606" t="s">
        <v>1311</v>
      </c>
    </row>
    <row r="607" spans="2:5" x14ac:dyDescent="0.2">
      <c r="B607" t="s">
        <v>1312</v>
      </c>
      <c r="C607">
        <v>526666</v>
      </c>
      <c r="D607" t="s">
        <v>1313</v>
      </c>
      <c r="E607" t="s">
        <v>480</v>
      </c>
    </row>
    <row r="608" spans="2:5" x14ac:dyDescent="0.2">
      <c r="B608" t="s">
        <v>1314</v>
      </c>
      <c r="C608">
        <v>524534</v>
      </c>
      <c r="D608" t="s">
        <v>366</v>
      </c>
      <c r="E608" t="s">
        <v>510</v>
      </c>
    </row>
    <row r="609" spans="2:5" x14ac:dyDescent="0.2">
      <c r="B609" t="s">
        <v>1315</v>
      </c>
      <c r="C609">
        <v>540956</v>
      </c>
      <c r="D609" t="s">
        <v>366</v>
      </c>
      <c r="E609" t="s">
        <v>367</v>
      </c>
    </row>
    <row r="610" spans="2:5" x14ac:dyDescent="0.2">
      <c r="B610" t="s">
        <v>1316</v>
      </c>
      <c r="C610">
        <v>540956</v>
      </c>
      <c r="D610" t="s">
        <v>366</v>
      </c>
      <c r="E610" t="s">
        <v>367</v>
      </c>
    </row>
    <row r="611" spans="2:5" x14ac:dyDescent="0.2">
      <c r="B611" t="s">
        <v>1317</v>
      </c>
      <c r="C611">
        <v>514272</v>
      </c>
      <c r="D611" t="s">
        <v>366</v>
      </c>
      <c r="E611" t="s">
        <v>381</v>
      </c>
    </row>
    <row r="612" spans="2:5" x14ac:dyDescent="0.2">
      <c r="B612" t="s">
        <v>1318</v>
      </c>
      <c r="C612">
        <v>533108</v>
      </c>
      <c r="D612" t="s">
        <v>366</v>
      </c>
      <c r="E612" t="s">
        <v>381</v>
      </c>
    </row>
    <row r="613" spans="2:5" x14ac:dyDescent="0.2">
      <c r="B613" t="s">
        <v>1319</v>
      </c>
      <c r="C613">
        <v>506027</v>
      </c>
      <c r="D613" t="s">
        <v>366</v>
      </c>
      <c r="E613" t="s">
        <v>671</v>
      </c>
    </row>
    <row r="614" spans="2:5" x14ac:dyDescent="0.2">
      <c r="B614" t="s">
        <v>1320</v>
      </c>
      <c r="C614">
        <v>500055</v>
      </c>
      <c r="D614" t="s">
        <v>1321</v>
      </c>
      <c r="E614" t="s">
        <v>398</v>
      </c>
    </row>
    <row r="615" spans="2:5" x14ac:dyDescent="0.2">
      <c r="B615" t="s">
        <v>1322</v>
      </c>
      <c r="C615">
        <v>540061</v>
      </c>
      <c r="D615" t="s">
        <v>1323</v>
      </c>
      <c r="E615" t="s">
        <v>379</v>
      </c>
    </row>
    <row r="616" spans="2:5" x14ac:dyDescent="0.2">
      <c r="B616" t="s">
        <v>1324</v>
      </c>
      <c r="C616">
        <v>500058</v>
      </c>
      <c r="D616" t="s">
        <v>366</v>
      </c>
      <c r="E616" t="s">
        <v>398</v>
      </c>
    </row>
    <row r="617" spans="2:5" x14ac:dyDescent="0.2">
      <c r="B617" t="s">
        <v>1325</v>
      </c>
      <c r="C617">
        <v>524723</v>
      </c>
      <c r="D617" t="s">
        <v>366</v>
      </c>
      <c r="E617" t="s">
        <v>388</v>
      </c>
    </row>
    <row r="618" spans="2:5" x14ac:dyDescent="0.2">
      <c r="B618" t="s">
        <v>1326</v>
      </c>
      <c r="C618">
        <v>533321</v>
      </c>
      <c r="D618" t="s">
        <v>1327</v>
      </c>
      <c r="E618" t="s">
        <v>664</v>
      </c>
    </row>
    <row r="619" spans="2:5" x14ac:dyDescent="0.2">
      <c r="B619" t="s">
        <v>1328</v>
      </c>
      <c r="C619">
        <v>526853</v>
      </c>
      <c r="D619" t="s">
        <v>366</v>
      </c>
      <c r="E619" t="s">
        <v>1329</v>
      </c>
    </row>
    <row r="620" spans="2:5" x14ac:dyDescent="0.2">
      <c r="B620" t="s">
        <v>1330</v>
      </c>
      <c r="C620">
        <v>505681</v>
      </c>
      <c r="D620" t="s">
        <v>366</v>
      </c>
      <c r="E620" t="s">
        <v>721</v>
      </c>
    </row>
    <row r="621" spans="2:5" x14ac:dyDescent="0.2">
      <c r="B621" t="s">
        <v>1331</v>
      </c>
      <c r="C621">
        <v>500059</v>
      </c>
      <c r="D621" t="s">
        <v>1332</v>
      </c>
      <c r="E621" t="s">
        <v>532</v>
      </c>
    </row>
    <row r="622" spans="2:5" x14ac:dyDescent="0.2">
      <c r="B622" t="s">
        <v>1333</v>
      </c>
      <c r="C622">
        <v>523054</v>
      </c>
      <c r="D622" t="s">
        <v>366</v>
      </c>
      <c r="E622" t="s">
        <v>381</v>
      </c>
    </row>
    <row r="623" spans="2:5" x14ac:dyDescent="0.2">
      <c r="B623" t="s">
        <v>1334</v>
      </c>
      <c r="C623">
        <v>540148</v>
      </c>
      <c r="D623" t="s">
        <v>366</v>
      </c>
      <c r="E623" t="s">
        <v>480</v>
      </c>
    </row>
    <row r="624" spans="2:5" x14ac:dyDescent="0.2">
      <c r="B624" t="s">
        <v>1335</v>
      </c>
      <c r="C624">
        <v>514215</v>
      </c>
      <c r="D624" t="s">
        <v>366</v>
      </c>
      <c r="E624" t="s">
        <v>381</v>
      </c>
    </row>
    <row r="625" spans="2:5" x14ac:dyDescent="0.2">
      <c r="B625" t="s">
        <v>1336</v>
      </c>
      <c r="C625">
        <v>535620</v>
      </c>
      <c r="D625" t="s">
        <v>366</v>
      </c>
      <c r="E625" t="s">
        <v>388</v>
      </c>
    </row>
    <row r="626" spans="2:5" x14ac:dyDescent="0.2">
      <c r="B626" t="s">
        <v>1337</v>
      </c>
      <c r="C626">
        <v>534535</v>
      </c>
      <c r="D626" t="s">
        <v>366</v>
      </c>
      <c r="E626" t="s">
        <v>360</v>
      </c>
    </row>
    <row r="627" spans="2:5" x14ac:dyDescent="0.2">
      <c r="B627" t="s">
        <v>1338</v>
      </c>
      <c r="C627">
        <v>532523</v>
      </c>
      <c r="D627" t="s">
        <v>1339</v>
      </c>
      <c r="E627" t="s">
        <v>704</v>
      </c>
    </row>
    <row r="628" spans="2:5" x14ac:dyDescent="0.2">
      <c r="B628" t="s">
        <v>1340</v>
      </c>
      <c r="C628">
        <v>524396</v>
      </c>
      <c r="D628" t="s">
        <v>1341</v>
      </c>
      <c r="E628" t="s">
        <v>404</v>
      </c>
    </row>
    <row r="629" spans="2:5" x14ac:dyDescent="0.2">
      <c r="B629" t="s">
        <v>1342</v>
      </c>
      <c r="C629">
        <v>532330</v>
      </c>
      <c r="D629" t="s">
        <v>366</v>
      </c>
      <c r="E629" t="s">
        <v>486</v>
      </c>
    </row>
    <row r="630" spans="2:5" x14ac:dyDescent="0.2">
      <c r="B630" t="s">
        <v>1343</v>
      </c>
      <c r="C630">
        <v>538364</v>
      </c>
      <c r="D630" t="s">
        <v>366</v>
      </c>
      <c r="E630" t="s">
        <v>381</v>
      </c>
    </row>
    <row r="631" spans="2:5" x14ac:dyDescent="0.2">
      <c r="B631" t="s">
        <v>1344</v>
      </c>
      <c r="C631">
        <v>500060</v>
      </c>
      <c r="D631" t="s">
        <v>1345</v>
      </c>
      <c r="E631" t="s">
        <v>664</v>
      </c>
    </row>
    <row r="632" spans="2:5" x14ac:dyDescent="0.2">
      <c r="B632" t="s">
        <v>1346</v>
      </c>
      <c r="C632">
        <v>500335</v>
      </c>
      <c r="D632" t="s">
        <v>1347</v>
      </c>
      <c r="E632" t="s">
        <v>379</v>
      </c>
    </row>
    <row r="633" spans="2:5" x14ac:dyDescent="0.2">
      <c r="B633" t="s">
        <v>1348</v>
      </c>
      <c r="C633">
        <v>533006</v>
      </c>
      <c r="D633" t="s">
        <v>366</v>
      </c>
      <c r="E633" t="s">
        <v>381</v>
      </c>
    </row>
    <row r="634" spans="2:5" x14ac:dyDescent="0.2">
      <c r="B634" t="s">
        <v>1349</v>
      </c>
      <c r="C634">
        <v>533006</v>
      </c>
      <c r="D634" t="s">
        <v>366</v>
      </c>
      <c r="E634" t="s">
        <v>381</v>
      </c>
    </row>
    <row r="635" spans="2:5" x14ac:dyDescent="0.2">
      <c r="B635" t="s">
        <v>1350</v>
      </c>
      <c r="C635">
        <v>522105</v>
      </c>
      <c r="D635" t="s">
        <v>366</v>
      </c>
      <c r="E635" t="s">
        <v>374</v>
      </c>
    </row>
    <row r="636" spans="2:5" x14ac:dyDescent="0.2">
      <c r="B636" t="s">
        <v>1351</v>
      </c>
      <c r="C636">
        <v>533408</v>
      </c>
      <c r="D636" t="s">
        <v>1352</v>
      </c>
      <c r="E636" t="s">
        <v>349</v>
      </c>
    </row>
    <row r="637" spans="2:5" x14ac:dyDescent="0.2">
      <c r="B637" t="s">
        <v>1353</v>
      </c>
      <c r="C637" t="s">
        <v>366</v>
      </c>
      <c r="D637" t="s">
        <v>1354</v>
      </c>
      <c r="E637" t="s">
        <v>352</v>
      </c>
    </row>
    <row r="638" spans="2:5" x14ac:dyDescent="0.2">
      <c r="B638" t="s">
        <v>1355</v>
      </c>
      <c r="C638">
        <v>539043</v>
      </c>
      <c r="D638" t="s">
        <v>1356</v>
      </c>
      <c r="E638" t="s">
        <v>561</v>
      </c>
    </row>
    <row r="639" spans="2:5" x14ac:dyDescent="0.2">
      <c r="B639" t="s">
        <v>1357</v>
      </c>
      <c r="C639">
        <v>514183</v>
      </c>
      <c r="D639" t="s">
        <v>366</v>
      </c>
      <c r="E639" t="s">
        <v>526</v>
      </c>
    </row>
    <row r="640" spans="2:5" x14ac:dyDescent="0.2">
      <c r="B640" t="s">
        <v>1358</v>
      </c>
      <c r="C640">
        <v>532290</v>
      </c>
      <c r="D640" t="s">
        <v>1359</v>
      </c>
      <c r="E640" t="s">
        <v>349</v>
      </c>
    </row>
    <row r="641" spans="2:5" x14ac:dyDescent="0.2">
      <c r="B641" t="s">
        <v>1360</v>
      </c>
      <c r="C641">
        <v>506197</v>
      </c>
      <c r="D641" t="s">
        <v>1361</v>
      </c>
      <c r="E641" t="s">
        <v>404</v>
      </c>
    </row>
    <row r="642" spans="2:5" x14ac:dyDescent="0.2">
      <c r="B642" t="s">
        <v>1362</v>
      </c>
      <c r="C642">
        <v>526225</v>
      </c>
      <c r="D642" t="s">
        <v>366</v>
      </c>
      <c r="E642" t="s">
        <v>486</v>
      </c>
    </row>
    <row r="643" spans="2:5" x14ac:dyDescent="0.2">
      <c r="B643" t="s">
        <v>1363</v>
      </c>
      <c r="C643">
        <v>513422</v>
      </c>
      <c r="D643" t="s">
        <v>366</v>
      </c>
      <c r="E643" t="s">
        <v>398</v>
      </c>
    </row>
    <row r="644" spans="2:5" x14ac:dyDescent="0.2">
      <c r="B644" t="s">
        <v>1364</v>
      </c>
      <c r="C644">
        <v>531175</v>
      </c>
      <c r="D644" t="s">
        <v>366</v>
      </c>
      <c r="E644" t="s">
        <v>459</v>
      </c>
    </row>
    <row r="645" spans="2:5" x14ac:dyDescent="0.2">
      <c r="B645" t="s">
        <v>1365</v>
      </c>
      <c r="C645">
        <v>540073</v>
      </c>
      <c r="D645" t="s">
        <v>1366</v>
      </c>
      <c r="E645" t="s">
        <v>1367</v>
      </c>
    </row>
    <row r="646" spans="2:5" x14ac:dyDescent="0.2">
      <c r="B646" t="s">
        <v>1368</v>
      </c>
      <c r="C646">
        <v>502761</v>
      </c>
      <c r="D646" t="s">
        <v>366</v>
      </c>
      <c r="E646" t="s">
        <v>381</v>
      </c>
    </row>
    <row r="647" spans="2:5" x14ac:dyDescent="0.2">
      <c r="B647" t="s">
        <v>1369</v>
      </c>
      <c r="C647" t="s">
        <v>366</v>
      </c>
      <c r="D647" t="s">
        <v>1370</v>
      </c>
      <c r="E647" t="s">
        <v>457</v>
      </c>
    </row>
    <row r="648" spans="2:5" x14ac:dyDescent="0.2">
      <c r="B648" t="s">
        <v>1371</v>
      </c>
      <c r="C648">
        <v>502761</v>
      </c>
      <c r="D648" t="s">
        <v>366</v>
      </c>
      <c r="E648" t="s">
        <v>381</v>
      </c>
    </row>
    <row r="649" spans="2:5" x14ac:dyDescent="0.2">
      <c r="B649" t="s">
        <v>1372</v>
      </c>
      <c r="C649">
        <v>506981</v>
      </c>
      <c r="D649" t="s">
        <v>366</v>
      </c>
      <c r="E649" t="s">
        <v>381</v>
      </c>
    </row>
    <row r="650" spans="2:5" x14ac:dyDescent="0.2">
      <c r="B650" t="s">
        <v>1373</v>
      </c>
      <c r="C650">
        <v>508939</v>
      </c>
      <c r="D650" t="s">
        <v>366</v>
      </c>
      <c r="E650" t="s">
        <v>383</v>
      </c>
    </row>
    <row r="651" spans="2:5" x14ac:dyDescent="0.2">
      <c r="B651" t="s">
        <v>1374</v>
      </c>
      <c r="C651">
        <v>539607</v>
      </c>
      <c r="D651" t="s">
        <v>366</v>
      </c>
      <c r="E651" t="s">
        <v>459</v>
      </c>
    </row>
    <row r="652" spans="2:5" x14ac:dyDescent="0.2">
      <c r="B652" t="s">
        <v>1375</v>
      </c>
      <c r="C652">
        <v>531495</v>
      </c>
      <c r="D652" t="s">
        <v>1376</v>
      </c>
      <c r="E652" t="s">
        <v>567</v>
      </c>
    </row>
    <row r="653" spans="2:5" x14ac:dyDescent="0.2">
      <c r="B653" t="s">
        <v>1377</v>
      </c>
      <c r="C653">
        <v>526612</v>
      </c>
      <c r="D653" t="s">
        <v>1378</v>
      </c>
      <c r="E653" t="s">
        <v>687</v>
      </c>
    </row>
    <row r="654" spans="2:5" x14ac:dyDescent="0.2">
      <c r="B654" t="s">
        <v>1379</v>
      </c>
      <c r="C654">
        <v>514440</v>
      </c>
      <c r="D654" t="s">
        <v>366</v>
      </c>
      <c r="E654" t="s">
        <v>414</v>
      </c>
    </row>
    <row r="655" spans="2:5" x14ac:dyDescent="0.2">
      <c r="B655" t="s">
        <v>1380</v>
      </c>
      <c r="C655">
        <v>500067</v>
      </c>
      <c r="D655" t="s">
        <v>1381</v>
      </c>
      <c r="E655" t="s">
        <v>735</v>
      </c>
    </row>
    <row r="656" spans="2:5" x14ac:dyDescent="0.2">
      <c r="B656" t="s">
        <v>1382</v>
      </c>
      <c r="C656">
        <v>539637</v>
      </c>
      <c r="D656" t="s">
        <v>366</v>
      </c>
      <c r="E656" t="s">
        <v>349</v>
      </c>
    </row>
    <row r="657" spans="2:5" x14ac:dyDescent="0.2">
      <c r="B657" t="s">
        <v>1383</v>
      </c>
      <c r="C657">
        <v>531713</v>
      </c>
      <c r="D657" t="s">
        <v>366</v>
      </c>
      <c r="E657" t="s">
        <v>787</v>
      </c>
    </row>
    <row r="658" spans="2:5" x14ac:dyDescent="0.2">
      <c r="B658" t="s">
        <v>1384</v>
      </c>
      <c r="C658">
        <v>531420</v>
      </c>
      <c r="D658" t="s">
        <v>366</v>
      </c>
      <c r="E658" t="s">
        <v>369</v>
      </c>
    </row>
    <row r="659" spans="2:5" x14ac:dyDescent="0.2">
      <c r="B659" t="s">
        <v>1385</v>
      </c>
      <c r="C659">
        <v>542669</v>
      </c>
      <c r="D659" t="s">
        <v>1386</v>
      </c>
      <c r="E659" t="s">
        <v>484</v>
      </c>
    </row>
    <row r="660" spans="2:5" x14ac:dyDescent="0.2">
      <c r="B660" t="s">
        <v>1387</v>
      </c>
      <c r="C660">
        <v>500069</v>
      </c>
      <c r="D660" t="s">
        <v>366</v>
      </c>
      <c r="E660" t="s">
        <v>349</v>
      </c>
    </row>
    <row r="661" spans="2:5" x14ac:dyDescent="0.2">
      <c r="B661" t="s">
        <v>1388</v>
      </c>
      <c r="C661">
        <v>530809</v>
      </c>
      <c r="D661" t="s">
        <v>366</v>
      </c>
      <c r="E661" t="s">
        <v>696</v>
      </c>
    </row>
    <row r="662" spans="2:5" x14ac:dyDescent="0.2">
      <c r="B662" t="s">
        <v>1389</v>
      </c>
      <c r="C662">
        <v>524370</v>
      </c>
      <c r="D662" t="s">
        <v>1390</v>
      </c>
      <c r="E662" t="s">
        <v>526</v>
      </c>
    </row>
    <row r="663" spans="2:5" x14ac:dyDescent="0.2">
      <c r="B663" t="s">
        <v>1391</v>
      </c>
      <c r="C663">
        <v>539122</v>
      </c>
      <c r="D663" t="s">
        <v>366</v>
      </c>
      <c r="E663" t="s">
        <v>352</v>
      </c>
    </row>
    <row r="664" spans="2:5" x14ac:dyDescent="0.2">
      <c r="B664" t="s">
        <v>1392</v>
      </c>
      <c r="C664" t="s">
        <v>366</v>
      </c>
      <c r="D664" t="s">
        <v>1393</v>
      </c>
      <c r="E664" t="s">
        <v>377</v>
      </c>
    </row>
    <row r="665" spans="2:5" x14ac:dyDescent="0.2">
      <c r="B665" t="s">
        <v>1394</v>
      </c>
      <c r="C665">
        <v>501425</v>
      </c>
      <c r="D665" t="s">
        <v>1395</v>
      </c>
      <c r="E665" t="s">
        <v>773</v>
      </c>
    </row>
    <row r="666" spans="2:5" x14ac:dyDescent="0.2">
      <c r="B666" t="s">
        <v>1396</v>
      </c>
      <c r="C666">
        <v>501430</v>
      </c>
      <c r="D666" t="s">
        <v>366</v>
      </c>
      <c r="E666" t="s">
        <v>388</v>
      </c>
    </row>
    <row r="667" spans="2:5" x14ac:dyDescent="0.2">
      <c r="B667" t="s">
        <v>1397</v>
      </c>
      <c r="C667">
        <v>500020</v>
      </c>
      <c r="D667" t="s">
        <v>1398</v>
      </c>
      <c r="E667" t="s">
        <v>381</v>
      </c>
    </row>
    <row r="668" spans="2:5" x14ac:dyDescent="0.2">
      <c r="B668" t="s">
        <v>1399</v>
      </c>
      <c r="C668">
        <v>509470</v>
      </c>
      <c r="D668" t="s">
        <v>366</v>
      </c>
      <c r="E668" t="s">
        <v>1400</v>
      </c>
    </row>
    <row r="669" spans="2:5" x14ac:dyDescent="0.2">
      <c r="B669" t="s">
        <v>1401</v>
      </c>
      <c r="C669">
        <v>502216</v>
      </c>
      <c r="D669" t="s">
        <v>366</v>
      </c>
      <c r="E669" t="s">
        <v>452</v>
      </c>
    </row>
    <row r="670" spans="2:5" x14ac:dyDescent="0.2">
      <c r="B670" t="s">
        <v>1402</v>
      </c>
      <c r="C670">
        <v>532678</v>
      </c>
      <c r="D670" t="s">
        <v>1403</v>
      </c>
      <c r="E670" t="s">
        <v>381</v>
      </c>
    </row>
    <row r="671" spans="2:5" x14ac:dyDescent="0.2">
      <c r="B671" t="s">
        <v>1404</v>
      </c>
      <c r="C671" t="s">
        <v>366</v>
      </c>
      <c r="D671" t="s">
        <v>1405</v>
      </c>
      <c r="E671" t="s">
        <v>377</v>
      </c>
    </row>
    <row r="672" spans="2:5" x14ac:dyDescent="0.2">
      <c r="B672" t="s">
        <v>1406</v>
      </c>
      <c r="C672">
        <v>504648</v>
      </c>
      <c r="D672" t="s">
        <v>366</v>
      </c>
      <c r="E672" t="s">
        <v>689</v>
      </c>
    </row>
    <row r="673" spans="2:5" x14ac:dyDescent="0.2">
      <c r="B673" t="s">
        <v>1407</v>
      </c>
      <c r="C673">
        <v>523133</v>
      </c>
      <c r="D673" t="s">
        <v>366</v>
      </c>
      <c r="E673" t="s">
        <v>381</v>
      </c>
    </row>
    <row r="674" spans="2:5" x14ac:dyDescent="0.2">
      <c r="B674" t="s">
        <v>1408</v>
      </c>
      <c r="C674">
        <v>502219</v>
      </c>
      <c r="D674" t="s">
        <v>1409</v>
      </c>
      <c r="E674" t="s">
        <v>1410</v>
      </c>
    </row>
    <row r="675" spans="2:5" x14ac:dyDescent="0.2">
      <c r="B675" t="s">
        <v>1411</v>
      </c>
      <c r="C675">
        <v>500530</v>
      </c>
      <c r="D675" t="s">
        <v>1412</v>
      </c>
      <c r="E675" t="s">
        <v>721</v>
      </c>
    </row>
    <row r="676" spans="2:5" x14ac:dyDescent="0.2">
      <c r="B676" t="s">
        <v>1413</v>
      </c>
      <c r="C676">
        <v>536820</v>
      </c>
      <c r="D676" t="s">
        <v>366</v>
      </c>
      <c r="E676" t="s">
        <v>459</v>
      </c>
    </row>
    <row r="677" spans="2:5" x14ac:dyDescent="0.2">
      <c r="B677" t="s">
        <v>1414</v>
      </c>
      <c r="C677">
        <v>536820</v>
      </c>
      <c r="D677" t="s">
        <v>366</v>
      </c>
      <c r="E677" t="s">
        <v>459</v>
      </c>
    </row>
    <row r="678" spans="2:5" x14ac:dyDescent="0.2">
      <c r="B678" t="s">
        <v>1415</v>
      </c>
      <c r="C678">
        <v>535279</v>
      </c>
      <c r="D678" t="s">
        <v>366</v>
      </c>
      <c r="E678" t="s">
        <v>671</v>
      </c>
    </row>
    <row r="679" spans="2:5" x14ac:dyDescent="0.2">
      <c r="B679" t="s">
        <v>1416</v>
      </c>
      <c r="C679">
        <v>500074</v>
      </c>
      <c r="D679" t="s">
        <v>1417</v>
      </c>
      <c r="E679" t="s">
        <v>735</v>
      </c>
    </row>
    <row r="680" spans="2:5" x14ac:dyDescent="0.2">
      <c r="B680" t="s">
        <v>1418</v>
      </c>
      <c r="C680">
        <v>505690</v>
      </c>
      <c r="D680" t="s">
        <v>366</v>
      </c>
      <c r="E680" t="s">
        <v>444</v>
      </c>
    </row>
    <row r="681" spans="2:5" x14ac:dyDescent="0.2">
      <c r="B681" t="s">
        <v>1419</v>
      </c>
      <c r="C681">
        <v>535693</v>
      </c>
      <c r="D681" t="s">
        <v>366</v>
      </c>
      <c r="E681" t="s">
        <v>764</v>
      </c>
    </row>
    <row r="682" spans="2:5" x14ac:dyDescent="0.2">
      <c r="B682" t="s">
        <v>1420</v>
      </c>
      <c r="C682" t="s">
        <v>366</v>
      </c>
      <c r="D682" t="s">
        <v>1421</v>
      </c>
      <c r="E682" t="s">
        <v>377</v>
      </c>
    </row>
    <row r="683" spans="2:5" x14ac:dyDescent="0.2">
      <c r="B683" t="s">
        <v>1422</v>
      </c>
      <c r="C683">
        <v>531203</v>
      </c>
      <c r="D683" t="s">
        <v>366</v>
      </c>
      <c r="E683" t="s">
        <v>450</v>
      </c>
    </row>
    <row r="684" spans="2:5" x14ac:dyDescent="0.2">
      <c r="B684" t="s">
        <v>1423</v>
      </c>
      <c r="C684">
        <v>530207</v>
      </c>
      <c r="D684" t="s">
        <v>366</v>
      </c>
      <c r="E684" t="s">
        <v>404</v>
      </c>
    </row>
    <row r="685" spans="2:5" x14ac:dyDescent="0.2">
      <c r="B685" t="s">
        <v>1424</v>
      </c>
      <c r="C685">
        <v>530249</v>
      </c>
      <c r="D685" t="s">
        <v>366</v>
      </c>
      <c r="E685" t="s">
        <v>349</v>
      </c>
    </row>
    <row r="686" spans="2:5" x14ac:dyDescent="0.2">
      <c r="B686" t="s">
        <v>1425</v>
      </c>
      <c r="C686">
        <v>532929</v>
      </c>
      <c r="D686" t="s">
        <v>1426</v>
      </c>
      <c r="E686" t="s">
        <v>452</v>
      </c>
    </row>
    <row r="687" spans="2:5" x14ac:dyDescent="0.2">
      <c r="B687" t="s">
        <v>1427</v>
      </c>
      <c r="C687">
        <v>526731</v>
      </c>
      <c r="D687" t="s">
        <v>366</v>
      </c>
      <c r="E687" t="s">
        <v>561</v>
      </c>
    </row>
    <row r="688" spans="2:5" x14ac:dyDescent="0.2">
      <c r="B688" t="s">
        <v>1428</v>
      </c>
      <c r="C688" t="s">
        <v>366</v>
      </c>
      <c r="D688" t="s">
        <v>1429</v>
      </c>
      <c r="E688" t="s">
        <v>377</v>
      </c>
    </row>
    <row r="689" spans="2:5" x14ac:dyDescent="0.2">
      <c r="B689" t="s">
        <v>1430</v>
      </c>
      <c r="C689">
        <v>532368</v>
      </c>
      <c r="D689" t="s">
        <v>1431</v>
      </c>
      <c r="E689" t="s">
        <v>459</v>
      </c>
    </row>
    <row r="690" spans="2:5" x14ac:dyDescent="0.2">
      <c r="B690" t="s">
        <v>1432</v>
      </c>
      <c r="C690">
        <v>532113</v>
      </c>
      <c r="D690" t="s">
        <v>1433</v>
      </c>
      <c r="E690" t="s">
        <v>383</v>
      </c>
    </row>
    <row r="691" spans="2:5" x14ac:dyDescent="0.2">
      <c r="B691" t="s">
        <v>1434</v>
      </c>
      <c r="C691">
        <v>539434</v>
      </c>
      <c r="D691" t="s">
        <v>366</v>
      </c>
      <c r="E691" t="s">
        <v>383</v>
      </c>
    </row>
    <row r="692" spans="2:5" x14ac:dyDescent="0.2">
      <c r="B692" t="s">
        <v>1435</v>
      </c>
      <c r="C692">
        <v>500825</v>
      </c>
      <c r="D692" t="s">
        <v>315</v>
      </c>
      <c r="E692" t="s">
        <v>426</v>
      </c>
    </row>
    <row r="693" spans="2:5" x14ac:dyDescent="0.2">
      <c r="B693" t="s">
        <v>1436</v>
      </c>
      <c r="C693">
        <v>534731</v>
      </c>
      <c r="D693" t="s">
        <v>366</v>
      </c>
      <c r="E693" t="s">
        <v>764</v>
      </c>
    </row>
    <row r="694" spans="2:5" x14ac:dyDescent="0.2">
      <c r="B694" t="s">
        <v>1437</v>
      </c>
      <c r="C694">
        <v>533543</v>
      </c>
      <c r="D694" t="s">
        <v>1438</v>
      </c>
      <c r="E694" t="s">
        <v>404</v>
      </c>
    </row>
    <row r="695" spans="2:5" x14ac:dyDescent="0.2">
      <c r="B695" t="s">
        <v>1439</v>
      </c>
      <c r="C695" t="s">
        <v>366</v>
      </c>
      <c r="D695" t="s">
        <v>341</v>
      </c>
      <c r="E695" t="s">
        <v>457</v>
      </c>
    </row>
    <row r="696" spans="2:5" x14ac:dyDescent="0.2">
      <c r="B696" t="s">
        <v>1440</v>
      </c>
      <c r="C696">
        <v>532123</v>
      </c>
      <c r="D696" t="s">
        <v>1441</v>
      </c>
      <c r="E696" t="s">
        <v>452</v>
      </c>
    </row>
    <row r="697" spans="2:5" x14ac:dyDescent="0.2">
      <c r="B697" t="s">
        <v>1442</v>
      </c>
      <c r="C697">
        <v>514045</v>
      </c>
      <c r="D697" t="s">
        <v>1443</v>
      </c>
      <c r="E697" t="s">
        <v>381</v>
      </c>
    </row>
    <row r="698" spans="2:5" x14ac:dyDescent="0.2">
      <c r="B698" t="s">
        <v>1444</v>
      </c>
      <c r="C698">
        <v>538789</v>
      </c>
      <c r="D698" t="s">
        <v>366</v>
      </c>
      <c r="E698" t="s">
        <v>603</v>
      </c>
    </row>
    <row r="699" spans="2:5" x14ac:dyDescent="0.2">
      <c r="B699" t="s">
        <v>1445</v>
      </c>
      <c r="C699">
        <v>540006</v>
      </c>
      <c r="D699" t="s">
        <v>366</v>
      </c>
      <c r="E699" t="s">
        <v>349</v>
      </c>
    </row>
    <row r="700" spans="2:5" x14ac:dyDescent="0.2">
      <c r="B700" t="s">
        <v>1446</v>
      </c>
      <c r="C700">
        <v>532931</v>
      </c>
      <c r="D700" t="s">
        <v>1447</v>
      </c>
      <c r="E700" t="s">
        <v>379</v>
      </c>
    </row>
    <row r="701" spans="2:5" x14ac:dyDescent="0.2">
      <c r="B701" t="s">
        <v>1448</v>
      </c>
      <c r="C701">
        <v>517421</v>
      </c>
      <c r="D701" t="s">
        <v>1449</v>
      </c>
      <c r="E701" t="s">
        <v>1129</v>
      </c>
    </row>
    <row r="702" spans="2:5" x14ac:dyDescent="0.2">
      <c r="B702" t="s">
        <v>1450</v>
      </c>
      <c r="C702">
        <v>504643</v>
      </c>
      <c r="D702" t="s">
        <v>366</v>
      </c>
      <c r="E702" t="s">
        <v>689</v>
      </c>
    </row>
    <row r="703" spans="2:5" x14ac:dyDescent="0.2">
      <c r="B703" t="s">
        <v>1451</v>
      </c>
      <c r="C703">
        <v>532813</v>
      </c>
      <c r="D703" t="s">
        <v>1452</v>
      </c>
      <c r="E703" t="s">
        <v>764</v>
      </c>
    </row>
    <row r="704" spans="2:5" x14ac:dyDescent="0.2">
      <c r="B704" t="s">
        <v>1453</v>
      </c>
      <c r="C704">
        <v>507515</v>
      </c>
      <c r="D704" t="s">
        <v>366</v>
      </c>
      <c r="E704" t="s">
        <v>526</v>
      </c>
    </row>
    <row r="705" spans="2:5" x14ac:dyDescent="0.2">
      <c r="B705" t="s">
        <v>1454</v>
      </c>
      <c r="C705">
        <v>532321</v>
      </c>
      <c r="D705" t="s">
        <v>1455</v>
      </c>
      <c r="E705" t="s">
        <v>404</v>
      </c>
    </row>
    <row r="706" spans="2:5" x14ac:dyDescent="0.2">
      <c r="B706" t="s">
        <v>1456</v>
      </c>
      <c r="C706" t="s">
        <v>366</v>
      </c>
      <c r="D706" t="s">
        <v>1457</v>
      </c>
      <c r="E706" t="s">
        <v>377</v>
      </c>
    </row>
    <row r="707" spans="2:5" x14ac:dyDescent="0.2">
      <c r="B707" t="s">
        <v>1458</v>
      </c>
      <c r="C707" t="s">
        <v>366</v>
      </c>
      <c r="D707" t="s">
        <v>1457</v>
      </c>
      <c r="E707" t="s">
        <v>377</v>
      </c>
    </row>
    <row r="708" spans="2:5" x14ac:dyDescent="0.2">
      <c r="B708" t="s">
        <v>1459</v>
      </c>
      <c r="C708">
        <v>517236</v>
      </c>
      <c r="D708" t="s">
        <v>366</v>
      </c>
      <c r="E708" t="s">
        <v>735</v>
      </c>
    </row>
    <row r="709" spans="2:5" x14ac:dyDescent="0.2">
      <c r="B709" t="s">
        <v>1460</v>
      </c>
      <c r="C709">
        <v>532386</v>
      </c>
      <c r="D709" t="s">
        <v>1461</v>
      </c>
      <c r="E709" t="s">
        <v>459</v>
      </c>
    </row>
    <row r="710" spans="2:5" x14ac:dyDescent="0.2">
      <c r="B710" t="s">
        <v>1462</v>
      </c>
      <c r="C710">
        <v>532801</v>
      </c>
      <c r="D710" t="s">
        <v>1463</v>
      </c>
      <c r="E710" t="s">
        <v>459</v>
      </c>
    </row>
    <row r="711" spans="2:5" x14ac:dyDescent="0.2">
      <c r="B711" t="s">
        <v>1464</v>
      </c>
      <c r="C711">
        <v>524440</v>
      </c>
      <c r="D711" t="s">
        <v>366</v>
      </c>
      <c r="E711" t="s">
        <v>414</v>
      </c>
    </row>
    <row r="712" spans="2:5" x14ac:dyDescent="0.2">
      <c r="B712" t="s">
        <v>1465</v>
      </c>
      <c r="C712">
        <v>532834</v>
      </c>
      <c r="D712" t="s">
        <v>1466</v>
      </c>
      <c r="E712" t="s">
        <v>526</v>
      </c>
    </row>
    <row r="713" spans="2:5" x14ac:dyDescent="0.2">
      <c r="B713" t="s">
        <v>1467</v>
      </c>
      <c r="C713">
        <v>538858</v>
      </c>
      <c r="D713" t="s">
        <v>366</v>
      </c>
      <c r="E713" t="s">
        <v>704</v>
      </c>
    </row>
    <row r="714" spans="2:5" x14ac:dyDescent="0.2">
      <c r="B714" t="s">
        <v>1468</v>
      </c>
      <c r="C714">
        <v>540071</v>
      </c>
      <c r="D714" t="s">
        <v>366</v>
      </c>
      <c r="E714" t="s">
        <v>564</v>
      </c>
    </row>
    <row r="715" spans="2:5" x14ac:dyDescent="0.2">
      <c r="B715" t="s">
        <v>1469</v>
      </c>
      <c r="C715">
        <v>511196</v>
      </c>
      <c r="D715" t="s">
        <v>1470</v>
      </c>
      <c r="E715" t="s">
        <v>424</v>
      </c>
    </row>
    <row r="716" spans="2:5" x14ac:dyDescent="0.2">
      <c r="B716" t="s">
        <v>1471</v>
      </c>
      <c r="C716">
        <v>532483</v>
      </c>
      <c r="D716" t="s">
        <v>1472</v>
      </c>
      <c r="E716" t="s">
        <v>684</v>
      </c>
    </row>
    <row r="717" spans="2:5" x14ac:dyDescent="0.2">
      <c r="B717" t="s">
        <v>1473</v>
      </c>
      <c r="C717">
        <v>539304</v>
      </c>
      <c r="D717" t="s">
        <v>366</v>
      </c>
      <c r="E717" t="s">
        <v>349</v>
      </c>
    </row>
    <row r="718" spans="2:5" x14ac:dyDescent="0.2">
      <c r="B718" t="s">
        <v>1474</v>
      </c>
      <c r="C718">
        <v>533267</v>
      </c>
      <c r="D718" t="s">
        <v>1475</v>
      </c>
      <c r="E718" t="s">
        <v>480</v>
      </c>
    </row>
    <row r="719" spans="2:5" x14ac:dyDescent="0.2">
      <c r="B719" t="s">
        <v>1476</v>
      </c>
      <c r="C719">
        <v>533267</v>
      </c>
      <c r="D719" t="s">
        <v>1475</v>
      </c>
      <c r="E719" t="s">
        <v>480</v>
      </c>
    </row>
    <row r="720" spans="2:5" x14ac:dyDescent="0.2">
      <c r="B720" t="s">
        <v>1477</v>
      </c>
      <c r="C720">
        <v>540710</v>
      </c>
      <c r="D720" t="s">
        <v>1478</v>
      </c>
      <c r="E720" t="s">
        <v>452</v>
      </c>
    </row>
    <row r="721" spans="2:5" x14ac:dyDescent="0.2">
      <c r="B721" t="s">
        <v>1479</v>
      </c>
      <c r="C721">
        <v>539198</v>
      </c>
      <c r="D721" t="s">
        <v>366</v>
      </c>
      <c r="E721" t="s">
        <v>349</v>
      </c>
    </row>
    <row r="722" spans="2:5" x14ac:dyDescent="0.2">
      <c r="B722" t="s">
        <v>1480</v>
      </c>
      <c r="C722">
        <v>539198</v>
      </c>
      <c r="D722" t="s">
        <v>366</v>
      </c>
      <c r="E722" t="s">
        <v>349</v>
      </c>
    </row>
    <row r="723" spans="2:5" x14ac:dyDescent="0.2">
      <c r="B723" t="s">
        <v>1481</v>
      </c>
      <c r="C723">
        <v>532938</v>
      </c>
      <c r="D723" t="s">
        <v>1482</v>
      </c>
      <c r="E723" t="s">
        <v>349</v>
      </c>
    </row>
    <row r="724" spans="2:5" x14ac:dyDescent="0.2">
      <c r="B724" t="s">
        <v>1483</v>
      </c>
      <c r="C724">
        <v>530879</v>
      </c>
      <c r="D724" t="s">
        <v>366</v>
      </c>
      <c r="E724" t="s">
        <v>349</v>
      </c>
    </row>
    <row r="725" spans="2:5" x14ac:dyDescent="0.2">
      <c r="B725" t="s">
        <v>1484</v>
      </c>
      <c r="C725">
        <v>538476</v>
      </c>
      <c r="D725" t="s">
        <v>366</v>
      </c>
      <c r="E725" t="s">
        <v>383</v>
      </c>
    </row>
    <row r="726" spans="2:5" x14ac:dyDescent="0.2">
      <c r="B726" t="s">
        <v>1485</v>
      </c>
      <c r="C726">
        <v>511505</v>
      </c>
      <c r="D726" t="s">
        <v>1486</v>
      </c>
      <c r="E726" t="s">
        <v>383</v>
      </c>
    </row>
    <row r="727" spans="2:5" x14ac:dyDescent="0.2">
      <c r="B727" t="s">
        <v>1487</v>
      </c>
      <c r="C727">
        <v>524742</v>
      </c>
      <c r="D727" t="s">
        <v>1488</v>
      </c>
      <c r="E727" t="s">
        <v>404</v>
      </c>
    </row>
    <row r="728" spans="2:5" x14ac:dyDescent="0.2">
      <c r="B728" t="s">
        <v>1489</v>
      </c>
      <c r="C728">
        <v>531595</v>
      </c>
      <c r="D728" t="s">
        <v>1490</v>
      </c>
      <c r="E728" t="s">
        <v>383</v>
      </c>
    </row>
    <row r="729" spans="2:5" x14ac:dyDescent="0.2">
      <c r="B729" t="s">
        <v>1491</v>
      </c>
      <c r="C729">
        <v>512169</v>
      </c>
      <c r="D729" t="s">
        <v>366</v>
      </c>
      <c r="E729" t="s">
        <v>787</v>
      </c>
    </row>
    <row r="730" spans="2:5" x14ac:dyDescent="0.2">
      <c r="B730" t="s">
        <v>1492</v>
      </c>
      <c r="C730">
        <v>509486</v>
      </c>
      <c r="D730" t="s">
        <v>366</v>
      </c>
      <c r="E730" t="s">
        <v>486</v>
      </c>
    </row>
    <row r="731" spans="2:5" x14ac:dyDescent="0.2">
      <c r="B731" t="s">
        <v>1493</v>
      </c>
      <c r="C731">
        <v>509486</v>
      </c>
      <c r="D731" t="s">
        <v>366</v>
      </c>
      <c r="E731" t="s">
        <v>486</v>
      </c>
    </row>
    <row r="732" spans="2:5" x14ac:dyDescent="0.2">
      <c r="B732" t="s">
        <v>1494</v>
      </c>
      <c r="C732">
        <v>507486</v>
      </c>
      <c r="D732" t="s">
        <v>366</v>
      </c>
      <c r="E732" t="s">
        <v>414</v>
      </c>
    </row>
    <row r="733" spans="2:5" x14ac:dyDescent="0.2">
      <c r="B733" t="s">
        <v>1495</v>
      </c>
      <c r="C733">
        <v>538817</v>
      </c>
      <c r="D733" t="s">
        <v>366</v>
      </c>
      <c r="E733" t="s">
        <v>486</v>
      </c>
    </row>
    <row r="734" spans="2:5" x14ac:dyDescent="0.2">
      <c r="B734" t="s">
        <v>1496</v>
      </c>
      <c r="C734">
        <v>536974</v>
      </c>
      <c r="D734" t="s">
        <v>366</v>
      </c>
      <c r="E734" t="s">
        <v>486</v>
      </c>
    </row>
    <row r="735" spans="2:5" x14ac:dyDescent="0.2">
      <c r="B735" t="s">
        <v>1497</v>
      </c>
      <c r="C735">
        <v>540652</v>
      </c>
      <c r="D735" t="s">
        <v>366</v>
      </c>
      <c r="E735" t="s">
        <v>551</v>
      </c>
    </row>
    <row r="736" spans="2:5" x14ac:dyDescent="0.2">
      <c r="B736" t="s">
        <v>1498</v>
      </c>
      <c r="C736">
        <v>513375</v>
      </c>
      <c r="D736" t="s">
        <v>1499</v>
      </c>
      <c r="E736" t="s">
        <v>1284</v>
      </c>
    </row>
    <row r="737" spans="2:5" x14ac:dyDescent="0.2">
      <c r="B737" t="s">
        <v>1500</v>
      </c>
      <c r="C737">
        <v>534804</v>
      </c>
      <c r="D737" t="s">
        <v>1501</v>
      </c>
      <c r="E737" t="s">
        <v>349</v>
      </c>
    </row>
    <row r="738" spans="2:5" x14ac:dyDescent="0.2">
      <c r="B738" t="s">
        <v>1502</v>
      </c>
      <c r="C738">
        <v>533260</v>
      </c>
      <c r="D738" t="s">
        <v>1503</v>
      </c>
      <c r="E738" t="s">
        <v>471</v>
      </c>
    </row>
    <row r="739" spans="2:5" x14ac:dyDescent="0.2">
      <c r="B739" t="s">
        <v>1504</v>
      </c>
      <c r="C739">
        <v>530609</v>
      </c>
      <c r="D739" t="s">
        <v>366</v>
      </c>
      <c r="E739" t="s">
        <v>1284</v>
      </c>
    </row>
    <row r="740" spans="2:5" x14ac:dyDescent="0.2">
      <c r="B740" t="s">
        <v>1505</v>
      </c>
      <c r="C740">
        <v>532282</v>
      </c>
      <c r="D740" t="s">
        <v>1506</v>
      </c>
      <c r="E740" t="s">
        <v>721</v>
      </c>
    </row>
    <row r="741" spans="2:5" x14ac:dyDescent="0.2">
      <c r="B741" t="s">
        <v>1507</v>
      </c>
      <c r="C741">
        <v>500870</v>
      </c>
      <c r="D741" t="s">
        <v>1508</v>
      </c>
      <c r="E741" t="s">
        <v>576</v>
      </c>
    </row>
    <row r="742" spans="2:5" x14ac:dyDescent="0.2">
      <c r="B742" t="s">
        <v>1509</v>
      </c>
      <c r="C742">
        <v>500870</v>
      </c>
      <c r="D742" t="s">
        <v>1508</v>
      </c>
      <c r="E742" t="s">
        <v>576</v>
      </c>
    </row>
    <row r="743" spans="2:5" x14ac:dyDescent="0.2">
      <c r="B743" t="s">
        <v>1510</v>
      </c>
      <c r="C743">
        <v>531682</v>
      </c>
      <c r="D743" t="s">
        <v>366</v>
      </c>
      <c r="E743" t="s">
        <v>352</v>
      </c>
    </row>
    <row r="744" spans="2:5" x14ac:dyDescent="0.2">
      <c r="B744" t="s">
        <v>1511</v>
      </c>
      <c r="C744">
        <v>531158</v>
      </c>
      <c r="D744" t="s">
        <v>366</v>
      </c>
      <c r="E744" t="s">
        <v>388</v>
      </c>
    </row>
    <row r="745" spans="2:5" x14ac:dyDescent="0.2">
      <c r="B745" t="s">
        <v>1512</v>
      </c>
      <c r="C745">
        <v>531900</v>
      </c>
      <c r="D745" t="s">
        <v>366</v>
      </c>
      <c r="E745" t="s">
        <v>388</v>
      </c>
    </row>
    <row r="746" spans="2:5" x14ac:dyDescent="0.2">
      <c r="B746" t="s">
        <v>1513</v>
      </c>
      <c r="C746">
        <v>519600</v>
      </c>
      <c r="D746" t="s">
        <v>1514</v>
      </c>
      <c r="E746" t="s">
        <v>773</v>
      </c>
    </row>
    <row r="747" spans="2:5" x14ac:dyDescent="0.2">
      <c r="B747" t="s">
        <v>1515</v>
      </c>
      <c r="C747">
        <v>519600</v>
      </c>
      <c r="D747" t="s">
        <v>1514</v>
      </c>
      <c r="E747" t="s">
        <v>773</v>
      </c>
    </row>
    <row r="748" spans="2:5" x14ac:dyDescent="0.2">
      <c r="B748" t="s">
        <v>1516</v>
      </c>
      <c r="C748">
        <v>500878</v>
      </c>
      <c r="D748" t="s">
        <v>1517</v>
      </c>
      <c r="E748" t="s">
        <v>846</v>
      </c>
    </row>
    <row r="749" spans="2:5" x14ac:dyDescent="0.2">
      <c r="B749" t="s">
        <v>1518</v>
      </c>
      <c r="C749">
        <v>530789</v>
      </c>
      <c r="D749" t="s">
        <v>366</v>
      </c>
      <c r="E749" t="s">
        <v>486</v>
      </c>
    </row>
    <row r="750" spans="2:5" x14ac:dyDescent="0.2">
      <c r="B750" t="s">
        <v>1519</v>
      </c>
      <c r="C750">
        <v>531119</v>
      </c>
      <c r="D750" t="s">
        <v>366</v>
      </c>
      <c r="E750" t="s">
        <v>480</v>
      </c>
    </row>
    <row r="751" spans="2:5" x14ac:dyDescent="0.2">
      <c r="B751" t="s">
        <v>1520</v>
      </c>
      <c r="C751">
        <v>531119</v>
      </c>
      <c r="D751" t="s">
        <v>366</v>
      </c>
      <c r="E751" t="s">
        <v>480</v>
      </c>
    </row>
    <row r="752" spans="2:5" x14ac:dyDescent="0.2">
      <c r="B752" t="s">
        <v>1521</v>
      </c>
      <c r="C752">
        <v>514171</v>
      </c>
      <c r="D752" t="s">
        <v>366</v>
      </c>
      <c r="E752" t="s">
        <v>894</v>
      </c>
    </row>
    <row r="753" spans="2:5" x14ac:dyDescent="0.2">
      <c r="B753" t="s">
        <v>1522</v>
      </c>
      <c r="C753">
        <v>538734</v>
      </c>
      <c r="D753" t="s">
        <v>366</v>
      </c>
      <c r="E753" t="s">
        <v>352</v>
      </c>
    </row>
    <row r="754" spans="2:5" x14ac:dyDescent="0.2">
      <c r="B754" t="s">
        <v>1523</v>
      </c>
      <c r="C754">
        <v>532695</v>
      </c>
      <c r="D754" t="s">
        <v>1524</v>
      </c>
      <c r="E754" t="s">
        <v>480</v>
      </c>
    </row>
    <row r="755" spans="2:5" x14ac:dyDescent="0.2">
      <c r="B755" t="s">
        <v>1525</v>
      </c>
      <c r="C755">
        <v>532871</v>
      </c>
      <c r="D755" t="s">
        <v>1526</v>
      </c>
      <c r="E755" t="s">
        <v>704</v>
      </c>
    </row>
    <row r="756" spans="2:5" x14ac:dyDescent="0.2">
      <c r="B756" t="s">
        <v>1527</v>
      </c>
      <c r="C756">
        <v>532701</v>
      </c>
      <c r="D756" t="s">
        <v>366</v>
      </c>
      <c r="E756" t="s">
        <v>360</v>
      </c>
    </row>
    <row r="757" spans="2:5" x14ac:dyDescent="0.2">
      <c r="B757" t="s">
        <v>1528</v>
      </c>
      <c r="C757">
        <v>522251</v>
      </c>
      <c r="D757" t="s">
        <v>366</v>
      </c>
      <c r="E757" t="s">
        <v>374</v>
      </c>
    </row>
    <row r="758" spans="2:5" x14ac:dyDescent="0.2">
      <c r="B758" t="s">
        <v>1529</v>
      </c>
      <c r="C758">
        <v>531380</v>
      </c>
      <c r="D758" t="s">
        <v>366</v>
      </c>
      <c r="E758" t="s">
        <v>1530</v>
      </c>
    </row>
    <row r="759" spans="2:5" x14ac:dyDescent="0.2">
      <c r="B759" t="s">
        <v>1531</v>
      </c>
      <c r="C759">
        <v>532885</v>
      </c>
      <c r="D759" t="s">
        <v>1532</v>
      </c>
      <c r="E759" t="s">
        <v>684</v>
      </c>
    </row>
    <row r="760" spans="2:5" x14ac:dyDescent="0.2">
      <c r="B760" t="s">
        <v>1533</v>
      </c>
      <c r="C760" t="s">
        <v>366</v>
      </c>
      <c r="D760" t="s">
        <v>1534</v>
      </c>
      <c r="E760" t="s">
        <v>457</v>
      </c>
    </row>
    <row r="761" spans="2:5" x14ac:dyDescent="0.2">
      <c r="B761" t="s">
        <v>1535</v>
      </c>
      <c r="C761" t="s">
        <v>366</v>
      </c>
      <c r="D761" t="s">
        <v>1534</v>
      </c>
      <c r="E761" t="s">
        <v>457</v>
      </c>
    </row>
    <row r="762" spans="2:5" x14ac:dyDescent="0.2">
      <c r="B762" t="s">
        <v>1536</v>
      </c>
      <c r="C762">
        <v>501827</v>
      </c>
      <c r="D762" t="s">
        <v>366</v>
      </c>
      <c r="E762" t="s">
        <v>438</v>
      </c>
    </row>
    <row r="763" spans="2:5" x14ac:dyDescent="0.2">
      <c r="B763" t="s">
        <v>1537</v>
      </c>
      <c r="C763">
        <v>501150</v>
      </c>
      <c r="D763" t="s">
        <v>1538</v>
      </c>
      <c r="E763" t="s">
        <v>349</v>
      </c>
    </row>
    <row r="764" spans="2:5" x14ac:dyDescent="0.2">
      <c r="B764" t="s">
        <v>1539</v>
      </c>
      <c r="C764">
        <v>517544</v>
      </c>
      <c r="D764" t="s">
        <v>1540</v>
      </c>
      <c r="E764" t="s">
        <v>787</v>
      </c>
    </row>
    <row r="765" spans="2:5" x14ac:dyDescent="0.2">
      <c r="B765" t="s">
        <v>1541</v>
      </c>
      <c r="C765">
        <v>500280</v>
      </c>
      <c r="D765" t="s">
        <v>1542</v>
      </c>
      <c r="E765" t="s">
        <v>381</v>
      </c>
    </row>
    <row r="766" spans="2:5" x14ac:dyDescent="0.2">
      <c r="B766" t="s">
        <v>1543</v>
      </c>
      <c r="C766">
        <v>500083</v>
      </c>
      <c r="D766" t="s">
        <v>1544</v>
      </c>
      <c r="E766" t="s">
        <v>671</v>
      </c>
    </row>
    <row r="767" spans="2:5" x14ac:dyDescent="0.2">
      <c r="B767" t="s">
        <v>1545</v>
      </c>
      <c r="C767">
        <v>532548</v>
      </c>
      <c r="D767" t="s">
        <v>1546</v>
      </c>
      <c r="E767" t="s">
        <v>861</v>
      </c>
    </row>
    <row r="768" spans="2:5" x14ac:dyDescent="0.2">
      <c r="B768" t="s">
        <v>1547</v>
      </c>
      <c r="C768">
        <v>532548</v>
      </c>
      <c r="D768" t="s">
        <v>1546</v>
      </c>
      <c r="E768" t="s">
        <v>861</v>
      </c>
    </row>
    <row r="769" spans="2:5" x14ac:dyDescent="0.2">
      <c r="B769" t="s">
        <v>1548</v>
      </c>
      <c r="C769">
        <v>500040</v>
      </c>
      <c r="D769" t="s">
        <v>1549</v>
      </c>
      <c r="E769" t="s">
        <v>379</v>
      </c>
    </row>
    <row r="770" spans="2:5" x14ac:dyDescent="0.2">
      <c r="B770" t="s">
        <v>1550</v>
      </c>
      <c r="C770">
        <v>530881</v>
      </c>
      <c r="D770" t="s">
        <v>366</v>
      </c>
      <c r="E770" t="s">
        <v>349</v>
      </c>
    </row>
    <row r="771" spans="2:5" x14ac:dyDescent="0.2">
      <c r="B771" t="s">
        <v>1551</v>
      </c>
      <c r="C771">
        <v>532443</v>
      </c>
      <c r="D771" t="s">
        <v>1552</v>
      </c>
      <c r="E771" t="s">
        <v>643</v>
      </c>
    </row>
    <row r="772" spans="2:5" x14ac:dyDescent="0.2">
      <c r="B772" t="s">
        <v>1553</v>
      </c>
      <c r="C772">
        <v>532413</v>
      </c>
      <c r="D772" t="s">
        <v>1554</v>
      </c>
      <c r="E772" t="s">
        <v>691</v>
      </c>
    </row>
    <row r="773" spans="2:5" x14ac:dyDescent="0.2">
      <c r="B773" t="s">
        <v>1555</v>
      </c>
      <c r="C773">
        <v>512341</v>
      </c>
      <c r="D773" t="s">
        <v>366</v>
      </c>
      <c r="E773" t="s">
        <v>696</v>
      </c>
    </row>
    <row r="774" spans="2:5" x14ac:dyDescent="0.2">
      <c r="B774" t="s">
        <v>1556</v>
      </c>
      <c r="C774">
        <v>500084</v>
      </c>
      <c r="D774" t="s">
        <v>1557</v>
      </c>
      <c r="E774" t="s">
        <v>505</v>
      </c>
    </row>
    <row r="775" spans="2:5" x14ac:dyDescent="0.2">
      <c r="B775" t="s">
        <v>1558</v>
      </c>
      <c r="C775" t="s">
        <v>366</v>
      </c>
      <c r="D775" t="s">
        <v>1559</v>
      </c>
      <c r="E775" t="s">
        <v>1560</v>
      </c>
    </row>
    <row r="776" spans="2:5" x14ac:dyDescent="0.2">
      <c r="B776" t="s">
        <v>1561</v>
      </c>
      <c r="C776">
        <v>542333</v>
      </c>
      <c r="D776" t="s">
        <v>1562</v>
      </c>
      <c r="E776" t="s">
        <v>1560</v>
      </c>
    </row>
    <row r="777" spans="2:5" x14ac:dyDescent="0.2">
      <c r="B777" t="s">
        <v>1563</v>
      </c>
      <c r="C777">
        <v>500093</v>
      </c>
      <c r="D777" t="s">
        <v>1564</v>
      </c>
      <c r="E777" t="s">
        <v>409</v>
      </c>
    </row>
    <row r="778" spans="2:5" x14ac:dyDescent="0.2">
      <c r="B778" t="s">
        <v>1565</v>
      </c>
      <c r="C778">
        <v>531489</v>
      </c>
      <c r="D778" t="s">
        <v>366</v>
      </c>
      <c r="E778" t="s">
        <v>459</v>
      </c>
    </row>
    <row r="779" spans="2:5" x14ac:dyDescent="0.2">
      <c r="B779" t="s">
        <v>1566</v>
      </c>
      <c r="C779">
        <v>531946</v>
      </c>
      <c r="D779" t="s">
        <v>366</v>
      </c>
      <c r="E779" t="s">
        <v>360</v>
      </c>
    </row>
    <row r="780" spans="2:5" x14ac:dyDescent="0.2">
      <c r="B780" t="s">
        <v>1567</v>
      </c>
      <c r="C780">
        <v>542399</v>
      </c>
      <c r="D780" t="s">
        <v>1568</v>
      </c>
      <c r="E780" t="s">
        <v>567</v>
      </c>
    </row>
    <row r="781" spans="2:5" x14ac:dyDescent="0.2">
      <c r="B781" t="s">
        <v>1569</v>
      </c>
      <c r="C781">
        <v>539600</v>
      </c>
      <c r="D781" t="s">
        <v>366</v>
      </c>
      <c r="E781" t="s">
        <v>388</v>
      </c>
    </row>
    <row r="782" spans="2:5" x14ac:dyDescent="0.2">
      <c r="B782" t="s">
        <v>1570</v>
      </c>
      <c r="C782">
        <v>530307</v>
      </c>
      <c r="D782" t="s">
        <v>366</v>
      </c>
      <c r="E782" t="s">
        <v>564</v>
      </c>
    </row>
    <row r="783" spans="2:5" x14ac:dyDescent="0.2">
      <c r="B783" t="s">
        <v>1571</v>
      </c>
      <c r="C783">
        <v>512301</v>
      </c>
      <c r="D783" t="s">
        <v>366</v>
      </c>
      <c r="E783" t="s">
        <v>388</v>
      </c>
    </row>
    <row r="784" spans="2:5" x14ac:dyDescent="0.2">
      <c r="B784" t="s">
        <v>1572</v>
      </c>
      <c r="C784">
        <v>500085</v>
      </c>
      <c r="D784" t="s">
        <v>1573</v>
      </c>
      <c r="E784" t="s">
        <v>874</v>
      </c>
    </row>
    <row r="785" spans="2:5" x14ac:dyDescent="0.2">
      <c r="B785" t="s">
        <v>1574</v>
      </c>
      <c r="C785">
        <v>542627</v>
      </c>
      <c r="D785" t="s">
        <v>1575</v>
      </c>
      <c r="E785" t="s">
        <v>732</v>
      </c>
    </row>
    <row r="786" spans="2:5" x14ac:dyDescent="0.2">
      <c r="B786" t="s">
        <v>1576</v>
      </c>
      <c r="C786">
        <v>522292</v>
      </c>
      <c r="D786" t="s">
        <v>366</v>
      </c>
      <c r="E786" t="s">
        <v>381</v>
      </c>
    </row>
    <row r="787" spans="2:5" x14ac:dyDescent="0.2">
      <c r="B787" t="s">
        <v>1577</v>
      </c>
      <c r="C787">
        <v>530309</v>
      </c>
      <c r="D787" t="s">
        <v>366</v>
      </c>
      <c r="E787" t="s">
        <v>388</v>
      </c>
    </row>
    <row r="788" spans="2:5" x14ac:dyDescent="0.2">
      <c r="B788" t="s">
        <v>1578</v>
      </c>
      <c r="C788">
        <v>540829</v>
      </c>
      <c r="D788" t="s">
        <v>366</v>
      </c>
      <c r="E788" t="s">
        <v>388</v>
      </c>
    </row>
    <row r="789" spans="2:5" x14ac:dyDescent="0.2">
      <c r="B789" t="s">
        <v>1579</v>
      </c>
      <c r="C789">
        <v>535142</v>
      </c>
      <c r="D789" t="s">
        <v>366</v>
      </c>
      <c r="E789" t="s">
        <v>369</v>
      </c>
    </row>
    <row r="790" spans="2:5" x14ac:dyDescent="0.2">
      <c r="B790" t="s">
        <v>1580</v>
      </c>
      <c r="C790">
        <v>531327</v>
      </c>
      <c r="D790" t="s">
        <v>366</v>
      </c>
      <c r="E790" t="s">
        <v>349</v>
      </c>
    </row>
    <row r="791" spans="2:5" x14ac:dyDescent="0.2">
      <c r="B791" t="s">
        <v>1581</v>
      </c>
      <c r="C791">
        <v>511696</v>
      </c>
      <c r="D791" t="s">
        <v>366</v>
      </c>
      <c r="E791" t="s">
        <v>349</v>
      </c>
    </row>
    <row r="792" spans="2:5" x14ac:dyDescent="0.2">
      <c r="B792" t="s">
        <v>1582</v>
      </c>
      <c r="C792">
        <v>531977</v>
      </c>
      <c r="D792" t="s">
        <v>366</v>
      </c>
      <c r="E792" t="s">
        <v>438</v>
      </c>
    </row>
    <row r="793" spans="2:5" x14ac:dyDescent="0.2">
      <c r="B793" t="s">
        <v>1583</v>
      </c>
      <c r="C793">
        <v>504671</v>
      </c>
      <c r="D793" t="s">
        <v>366</v>
      </c>
      <c r="E793" t="s">
        <v>398</v>
      </c>
    </row>
    <row r="794" spans="2:5" x14ac:dyDescent="0.2">
      <c r="B794" t="s">
        <v>1584</v>
      </c>
      <c r="C794">
        <v>539800</v>
      </c>
      <c r="D794" t="s">
        <v>366</v>
      </c>
      <c r="E794" t="s">
        <v>388</v>
      </c>
    </row>
    <row r="795" spans="2:5" x14ac:dyDescent="0.2">
      <c r="B795" t="s">
        <v>1585</v>
      </c>
      <c r="C795">
        <v>526917</v>
      </c>
      <c r="D795" t="s">
        <v>366</v>
      </c>
      <c r="E795" t="s">
        <v>452</v>
      </c>
    </row>
    <row r="796" spans="2:5" x14ac:dyDescent="0.2">
      <c r="B796" t="s">
        <v>1586</v>
      </c>
      <c r="C796">
        <v>530871</v>
      </c>
      <c r="D796" t="s">
        <v>366</v>
      </c>
      <c r="E796" t="s">
        <v>526</v>
      </c>
    </row>
    <row r="797" spans="2:5" x14ac:dyDescent="0.2">
      <c r="B797" t="s">
        <v>1587</v>
      </c>
      <c r="C797">
        <v>540395</v>
      </c>
      <c r="D797" t="s">
        <v>366</v>
      </c>
      <c r="E797" t="s">
        <v>526</v>
      </c>
    </row>
    <row r="798" spans="2:5" x14ac:dyDescent="0.2">
      <c r="B798" t="s">
        <v>1588</v>
      </c>
      <c r="C798">
        <v>541269</v>
      </c>
      <c r="D798" t="s">
        <v>1589</v>
      </c>
      <c r="E798" t="s">
        <v>414</v>
      </c>
    </row>
    <row r="799" spans="2:5" x14ac:dyDescent="0.2">
      <c r="B799" t="s">
        <v>1590</v>
      </c>
      <c r="C799">
        <v>539230</v>
      </c>
      <c r="D799" t="s">
        <v>366</v>
      </c>
      <c r="E799" t="s">
        <v>526</v>
      </c>
    </row>
    <row r="800" spans="2:5" x14ac:dyDescent="0.2">
      <c r="B800" t="s">
        <v>1591</v>
      </c>
      <c r="C800">
        <v>506365</v>
      </c>
      <c r="D800" t="s">
        <v>366</v>
      </c>
      <c r="E800" t="s">
        <v>404</v>
      </c>
    </row>
    <row r="801" spans="2:5" x14ac:dyDescent="0.2">
      <c r="B801" t="s">
        <v>1592</v>
      </c>
      <c r="C801">
        <v>537326</v>
      </c>
      <c r="D801" t="s">
        <v>366</v>
      </c>
      <c r="E801" t="s">
        <v>374</v>
      </c>
    </row>
    <row r="802" spans="2:5" x14ac:dyDescent="0.2">
      <c r="B802" t="s">
        <v>1593</v>
      </c>
      <c r="C802">
        <v>539011</v>
      </c>
      <c r="D802" t="s">
        <v>366</v>
      </c>
      <c r="E802" t="s">
        <v>398</v>
      </c>
    </row>
    <row r="803" spans="2:5" x14ac:dyDescent="0.2">
      <c r="B803" t="s">
        <v>1594</v>
      </c>
      <c r="C803">
        <v>523489</v>
      </c>
      <c r="D803" t="s">
        <v>366</v>
      </c>
      <c r="E803" t="s">
        <v>555</v>
      </c>
    </row>
    <row r="804" spans="2:5" x14ac:dyDescent="0.2">
      <c r="B804" t="s">
        <v>1595</v>
      </c>
      <c r="C804">
        <v>500110</v>
      </c>
      <c r="D804" t="s">
        <v>1596</v>
      </c>
      <c r="E804" t="s">
        <v>1293</v>
      </c>
    </row>
    <row r="805" spans="2:5" x14ac:dyDescent="0.2">
      <c r="B805" t="s">
        <v>1597</v>
      </c>
      <c r="C805">
        <v>526817</v>
      </c>
      <c r="D805" t="s">
        <v>366</v>
      </c>
      <c r="E805" t="s">
        <v>603</v>
      </c>
    </row>
    <row r="806" spans="2:5" x14ac:dyDescent="0.2">
      <c r="B806" t="s">
        <v>1598</v>
      </c>
      <c r="C806">
        <v>521244</v>
      </c>
      <c r="D806" t="s">
        <v>366</v>
      </c>
      <c r="E806" t="s">
        <v>381</v>
      </c>
    </row>
    <row r="807" spans="2:5" x14ac:dyDescent="0.2">
      <c r="B807" t="s">
        <v>1599</v>
      </c>
      <c r="C807">
        <v>532992</v>
      </c>
      <c r="D807" t="s">
        <v>366</v>
      </c>
      <c r="E807" t="s">
        <v>567</v>
      </c>
    </row>
    <row r="808" spans="2:5" x14ac:dyDescent="0.2">
      <c r="B808" t="s">
        <v>1600</v>
      </c>
      <c r="C808">
        <v>531358</v>
      </c>
      <c r="D808" t="s">
        <v>366</v>
      </c>
      <c r="E808" t="s">
        <v>383</v>
      </c>
    </row>
    <row r="809" spans="2:5" x14ac:dyDescent="0.2">
      <c r="B809" t="s">
        <v>1601</v>
      </c>
      <c r="C809">
        <v>530427</v>
      </c>
      <c r="D809" t="s">
        <v>366</v>
      </c>
      <c r="E809" t="s">
        <v>1602</v>
      </c>
    </row>
    <row r="810" spans="2:5" x14ac:dyDescent="0.2">
      <c r="B810" t="s">
        <v>1603</v>
      </c>
      <c r="C810">
        <v>526546</v>
      </c>
      <c r="D810" t="s">
        <v>366</v>
      </c>
      <c r="E810" t="s">
        <v>555</v>
      </c>
    </row>
    <row r="811" spans="2:5" x14ac:dyDescent="0.2">
      <c r="B811" t="s">
        <v>1604</v>
      </c>
      <c r="C811">
        <v>511243</v>
      </c>
      <c r="D811" t="s">
        <v>1605</v>
      </c>
      <c r="E811" t="s">
        <v>383</v>
      </c>
    </row>
    <row r="812" spans="2:5" x14ac:dyDescent="0.2">
      <c r="B812" t="s">
        <v>1606</v>
      </c>
      <c r="C812">
        <v>511243</v>
      </c>
      <c r="D812" t="s">
        <v>1607</v>
      </c>
      <c r="E812" t="s">
        <v>383</v>
      </c>
    </row>
    <row r="813" spans="2:5" x14ac:dyDescent="0.2">
      <c r="B813" t="s">
        <v>1608</v>
      </c>
      <c r="C813">
        <v>519475</v>
      </c>
      <c r="D813" t="s">
        <v>366</v>
      </c>
      <c r="E813" t="s">
        <v>446</v>
      </c>
    </row>
    <row r="814" spans="2:5" x14ac:dyDescent="0.2">
      <c r="B814" t="s">
        <v>1609</v>
      </c>
      <c r="C814">
        <v>540681</v>
      </c>
      <c r="D814" t="s">
        <v>366</v>
      </c>
      <c r="E814" t="s">
        <v>426</v>
      </c>
    </row>
    <row r="815" spans="2:5" x14ac:dyDescent="0.2">
      <c r="B815" t="s">
        <v>1610</v>
      </c>
      <c r="C815">
        <v>501833</v>
      </c>
      <c r="D815" t="s">
        <v>366</v>
      </c>
      <c r="E815" t="s">
        <v>1611</v>
      </c>
    </row>
    <row r="816" spans="2:5" x14ac:dyDescent="0.2">
      <c r="B816" t="s">
        <v>1612</v>
      </c>
      <c r="C816">
        <v>539335</v>
      </c>
      <c r="D816" t="s">
        <v>366</v>
      </c>
      <c r="E816" t="s">
        <v>388</v>
      </c>
    </row>
    <row r="817" spans="2:5" x14ac:dyDescent="0.2">
      <c r="B817" t="s">
        <v>1613</v>
      </c>
      <c r="C817">
        <v>530191</v>
      </c>
      <c r="D817" t="s">
        <v>1614</v>
      </c>
      <c r="E817" t="s">
        <v>526</v>
      </c>
    </row>
    <row r="818" spans="2:5" x14ac:dyDescent="0.2">
      <c r="B818" t="s">
        <v>1615</v>
      </c>
      <c r="C818">
        <v>530191</v>
      </c>
      <c r="D818" t="s">
        <v>1614</v>
      </c>
      <c r="E818" t="s">
        <v>526</v>
      </c>
    </row>
    <row r="819" spans="2:5" x14ac:dyDescent="0.2">
      <c r="B819" t="s">
        <v>1616</v>
      </c>
      <c r="C819">
        <v>519477</v>
      </c>
      <c r="D819" t="s">
        <v>366</v>
      </c>
      <c r="E819" t="s">
        <v>615</v>
      </c>
    </row>
    <row r="820" spans="2:5" x14ac:dyDescent="0.2">
      <c r="B820" t="s">
        <v>1617</v>
      </c>
      <c r="C820">
        <v>542678</v>
      </c>
      <c r="D820" t="s">
        <v>1618</v>
      </c>
      <c r="E820" t="s">
        <v>404</v>
      </c>
    </row>
    <row r="821" spans="2:5" x14ac:dyDescent="0.2">
      <c r="B821" t="s">
        <v>1619</v>
      </c>
      <c r="C821">
        <v>534758</v>
      </c>
      <c r="D821" t="s">
        <v>1620</v>
      </c>
      <c r="E821" t="s">
        <v>352</v>
      </c>
    </row>
    <row r="822" spans="2:5" x14ac:dyDescent="0.2">
      <c r="B822" t="s">
        <v>1621</v>
      </c>
      <c r="C822">
        <v>533407</v>
      </c>
      <c r="D822" t="s">
        <v>1622</v>
      </c>
      <c r="E822" t="s">
        <v>381</v>
      </c>
    </row>
    <row r="823" spans="2:5" x14ac:dyDescent="0.2">
      <c r="B823" t="s">
        <v>1623</v>
      </c>
      <c r="C823">
        <v>530829</v>
      </c>
      <c r="D823" t="s">
        <v>366</v>
      </c>
      <c r="E823" t="s">
        <v>383</v>
      </c>
    </row>
    <row r="824" spans="2:5" x14ac:dyDescent="0.2">
      <c r="B824" t="s">
        <v>1624</v>
      </c>
      <c r="C824">
        <v>505230</v>
      </c>
      <c r="D824" t="s">
        <v>1625</v>
      </c>
      <c r="E824" t="s">
        <v>355</v>
      </c>
    </row>
    <row r="825" spans="2:5" x14ac:dyDescent="0.2">
      <c r="B825" t="s">
        <v>1626</v>
      </c>
      <c r="C825">
        <v>531283</v>
      </c>
      <c r="D825" t="s">
        <v>366</v>
      </c>
      <c r="E825" t="s">
        <v>383</v>
      </c>
    </row>
    <row r="826" spans="2:5" x14ac:dyDescent="0.2">
      <c r="B826" t="s">
        <v>1627</v>
      </c>
      <c r="C826">
        <v>526373</v>
      </c>
      <c r="D826" t="s">
        <v>366</v>
      </c>
      <c r="E826" t="s">
        <v>567</v>
      </c>
    </row>
    <row r="827" spans="2:5" x14ac:dyDescent="0.2">
      <c r="B827" t="s">
        <v>1628</v>
      </c>
      <c r="C827">
        <v>532807</v>
      </c>
      <c r="D827" t="s">
        <v>1629</v>
      </c>
      <c r="E827" t="s">
        <v>367</v>
      </c>
    </row>
    <row r="828" spans="2:5" x14ac:dyDescent="0.2">
      <c r="B828" t="s">
        <v>1630</v>
      </c>
      <c r="C828">
        <v>532807</v>
      </c>
      <c r="D828" t="s">
        <v>1629</v>
      </c>
      <c r="E828" t="s">
        <v>367</v>
      </c>
    </row>
    <row r="829" spans="2:5" x14ac:dyDescent="0.2">
      <c r="B829" t="s">
        <v>1631</v>
      </c>
      <c r="C829">
        <v>530457</v>
      </c>
      <c r="D829" t="s">
        <v>366</v>
      </c>
      <c r="E829" t="s">
        <v>369</v>
      </c>
    </row>
    <row r="830" spans="2:5" x14ac:dyDescent="0.2">
      <c r="B830" t="s">
        <v>1632</v>
      </c>
      <c r="C830">
        <v>532324</v>
      </c>
      <c r="D830" t="s">
        <v>1633</v>
      </c>
      <c r="E830" t="s">
        <v>369</v>
      </c>
    </row>
    <row r="831" spans="2:5" x14ac:dyDescent="0.2">
      <c r="B831" t="s">
        <v>1634</v>
      </c>
      <c r="C831">
        <v>500087</v>
      </c>
      <c r="D831" t="s">
        <v>1635</v>
      </c>
      <c r="E831" t="s">
        <v>404</v>
      </c>
    </row>
    <row r="832" spans="2:5" x14ac:dyDescent="0.2">
      <c r="B832" t="s">
        <v>1636</v>
      </c>
      <c r="C832">
        <v>531775</v>
      </c>
      <c r="D832" t="s">
        <v>366</v>
      </c>
      <c r="E832" t="s">
        <v>388</v>
      </c>
    </row>
    <row r="833" spans="2:5" x14ac:dyDescent="0.2">
      <c r="B833" t="s">
        <v>1637</v>
      </c>
      <c r="C833">
        <v>502445</v>
      </c>
      <c r="D833" t="s">
        <v>366</v>
      </c>
      <c r="E833" t="s">
        <v>452</v>
      </c>
    </row>
    <row r="834" spans="2:5" x14ac:dyDescent="0.2">
      <c r="B834" t="s">
        <v>1638</v>
      </c>
      <c r="C834">
        <v>531235</v>
      </c>
      <c r="D834" t="s">
        <v>366</v>
      </c>
      <c r="E834" t="s">
        <v>383</v>
      </c>
    </row>
    <row r="835" spans="2:5" x14ac:dyDescent="0.2">
      <c r="B835" t="s">
        <v>1639</v>
      </c>
      <c r="C835">
        <v>538786</v>
      </c>
      <c r="D835" t="s">
        <v>366</v>
      </c>
      <c r="E835" t="s">
        <v>890</v>
      </c>
    </row>
    <row r="836" spans="2:5" x14ac:dyDescent="0.2">
      <c r="B836" t="s">
        <v>1640</v>
      </c>
      <c r="C836">
        <v>538674</v>
      </c>
      <c r="D836" t="s">
        <v>366</v>
      </c>
      <c r="E836" t="s">
        <v>1308</v>
      </c>
    </row>
    <row r="837" spans="2:5" x14ac:dyDescent="0.2">
      <c r="B837" t="s">
        <v>1641</v>
      </c>
      <c r="C837">
        <v>532210</v>
      </c>
      <c r="D837" t="s">
        <v>1642</v>
      </c>
      <c r="E837" t="s">
        <v>684</v>
      </c>
    </row>
    <row r="838" spans="2:5" x14ac:dyDescent="0.2">
      <c r="B838" t="s">
        <v>1643</v>
      </c>
      <c r="C838">
        <v>521210</v>
      </c>
      <c r="D838" t="s">
        <v>366</v>
      </c>
      <c r="E838" t="s">
        <v>480</v>
      </c>
    </row>
    <row r="839" spans="2:5" x14ac:dyDescent="0.2">
      <c r="B839" t="s">
        <v>1644</v>
      </c>
      <c r="C839">
        <v>780013</v>
      </c>
      <c r="D839" t="s">
        <v>366</v>
      </c>
      <c r="E839" t="s">
        <v>457</v>
      </c>
    </row>
    <row r="840" spans="2:5" x14ac:dyDescent="0.2">
      <c r="B840" t="s">
        <v>1645</v>
      </c>
      <c r="C840">
        <v>780013</v>
      </c>
      <c r="D840" t="s">
        <v>366</v>
      </c>
      <c r="E840" t="s">
        <v>457</v>
      </c>
    </row>
    <row r="841" spans="2:5" x14ac:dyDescent="0.2">
      <c r="B841" t="s">
        <v>1646</v>
      </c>
      <c r="C841" t="s">
        <v>366</v>
      </c>
      <c r="D841" t="s">
        <v>1647</v>
      </c>
      <c r="E841" t="s">
        <v>377</v>
      </c>
    </row>
    <row r="842" spans="2:5" x14ac:dyDescent="0.2">
      <c r="B842" t="s">
        <v>1648</v>
      </c>
      <c r="C842" t="s">
        <v>366</v>
      </c>
      <c r="D842" t="s">
        <v>1649</v>
      </c>
      <c r="E842" t="s">
        <v>377</v>
      </c>
    </row>
    <row r="843" spans="2:5" x14ac:dyDescent="0.2">
      <c r="B843" t="s">
        <v>1650</v>
      </c>
      <c r="C843">
        <v>540403</v>
      </c>
      <c r="D843" t="s">
        <v>1651</v>
      </c>
      <c r="E843" t="s">
        <v>471</v>
      </c>
    </row>
    <row r="844" spans="2:5" x14ac:dyDescent="0.2">
      <c r="B844" t="s">
        <v>1652</v>
      </c>
      <c r="C844">
        <v>506390</v>
      </c>
      <c r="D844" t="s">
        <v>1653</v>
      </c>
      <c r="E844" t="s">
        <v>526</v>
      </c>
    </row>
    <row r="845" spans="2:5" x14ac:dyDescent="0.2">
      <c r="B845" t="s">
        <v>1654</v>
      </c>
      <c r="C845">
        <v>506390</v>
      </c>
      <c r="D845" t="s">
        <v>1655</v>
      </c>
      <c r="E845" t="s">
        <v>526</v>
      </c>
    </row>
    <row r="846" spans="2:5" x14ac:dyDescent="0.2">
      <c r="B846" t="s">
        <v>1656</v>
      </c>
      <c r="C846">
        <v>512213</v>
      </c>
      <c r="D846" t="s">
        <v>366</v>
      </c>
      <c r="E846" t="s">
        <v>388</v>
      </c>
    </row>
    <row r="847" spans="2:5" x14ac:dyDescent="0.2">
      <c r="B847" t="s">
        <v>1657</v>
      </c>
      <c r="C847">
        <v>540310</v>
      </c>
      <c r="D847" t="s">
        <v>366</v>
      </c>
      <c r="E847" t="s">
        <v>381</v>
      </c>
    </row>
    <row r="848" spans="2:5" x14ac:dyDescent="0.2">
      <c r="B848" t="s">
        <v>1658</v>
      </c>
      <c r="C848">
        <v>538433</v>
      </c>
      <c r="D848" t="s">
        <v>366</v>
      </c>
      <c r="E848" t="s">
        <v>349</v>
      </c>
    </row>
    <row r="849" spans="2:5" x14ac:dyDescent="0.2">
      <c r="B849" t="s">
        <v>1659</v>
      </c>
      <c r="C849">
        <v>540481</v>
      </c>
      <c r="D849" t="s">
        <v>366</v>
      </c>
      <c r="E849" t="s">
        <v>349</v>
      </c>
    </row>
    <row r="850" spans="2:5" x14ac:dyDescent="0.2">
      <c r="B850" t="s">
        <v>1660</v>
      </c>
      <c r="C850">
        <v>530839</v>
      </c>
      <c r="D850" t="s">
        <v>366</v>
      </c>
      <c r="E850" t="s">
        <v>459</v>
      </c>
    </row>
    <row r="851" spans="2:5" x14ac:dyDescent="0.2">
      <c r="B851" t="s">
        <v>1661</v>
      </c>
      <c r="C851">
        <v>500147</v>
      </c>
      <c r="D851" t="s">
        <v>366</v>
      </c>
      <c r="E851" t="s">
        <v>374</v>
      </c>
    </row>
    <row r="852" spans="2:5" x14ac:dyDescent="0.2">
      <c r="B852" t="s">
        <v>1662</v>
      </c>
      <c r="C852">
        <v>517330</v>
      </c>
      <c r="D852" t="s">
        <v>1663</v>
      </c>
      <c r="E852" t="s">
        <v>664</v>
      </c>
    </row>
    <row r="853" spans="2:5" x14ac:dyDescent="0.2">
      <c r="B853" t="s">
        <v>1664</v>
      </c>
      <c r="C853" t="s">
        <v>366</v>
      </c>
      <c r="D853" t="s">
        <v>1665</v>
      </c>
      <c r="E853" t="s">
        <v>377</v>
      </c>
    </row>
    <row r="854" spans="2:5" x14ac:dyDescent="0.2">
      <c r="B854" t="s">
        <v>1666</v>
      </c>
      <c r="C854">
        <v>512018</v>
      </c>
      <c r="D854" t="s">
        <v>366</v>
      </c>
      <c r="E854" t="s">
        <v>372</v>
      </c>
    </row>
    <row r="855" spans="2:5" x14ac:dyDescent="0.2">
      <c r="B855" t="s">
        <v>1667</v>
      </c>
      <c r="C855">
        <v>533278</v>
      </c>
      <c r="D855" t="s">
        <v>1668</v>
      </c>
      <c r="E855" t="s">
        <v>1044</v>
      </c>
    </row>
    <row r="856" spans="2:5" x14ac:dyDescent="0.2">
      <c r="B856" t="s">
        <v>1669</v>
      </c>
      <c r="C856">
        <v>533278</v>
      </c>
      <c r="D856" t="s">
        <v>1670</v>
      </c>
      <c r="E856" t="s">
        <v>1044</v>
      </c>
    </row>
    <row r="857" spans="2:5" x14ac:dyDescent="0.2">
      <c r="B857" t="s">
        <v>1671</v>
      </c>
      <c r="C857">
        <v>501831</v>
      </c>
      <c r="D857" t="s">
        <v>366</v>
      </c>
      <c r="E857" t="s">
        <v>426</v>
      </c>
    </row>
    <row r="858" spans="2:5" x14ac:dyDescent="0.2">
      <c r="B858" t="s">
        <v>1672</v>
      </c>
      <c r="C858">
        <v>520131</v>
      </c>
      <c r="D858" t="s">
        <v>366</v>
      </c>
      <c r="E858" t="s">
        <v>438</v>
      </c>
    </row>
    <row r="859" spans="2:5" x14ac:dyDescent="0.2">
      <c r="B859" t="s">
        <v>1673</v>
      </c>
      <c r="C859">
        <v>508571</v>
      </c>
      <c r="D859" t="s">
        <v>366</v>
      </c>
      <c r="E859" t="s">
        <v>846</v>
      </c>
    </row>
    <row r="860" spans="2:5" x14ac:dyDescent="0.2">
      <c r="B860" t="s">
        <v>1674</v>
      </c>
      <c r="C860">
        <v>513353</v>
      </c>
      <c r="D860" t="s">
        <v>366</v>
      </c>
      <c r="E860" t="s">
        <v>526</v>
      </c>
    </row>
    <row r="861" spans="2:5" x14ac:dyDescent="0.2">
      <c r="B861" t="s">
        <v>1675</v>
      </c>
      <c r="C861">
        <v>540678</v>
      </c>
      <c r="D861" t="s">
        <v>1676</v>
      </c>
      <c r="E861" t="s">
        <v>1611</v>
      </c>
    </row>
    <row r="862" spans="2:5" x14ac:dyDescent="0.2">
      <c r="B862" t="s">
        <v>1677</v>
      </c>
      <c r="C862">
        <v>539436</v>
      </c>
      <c r="D862" t="s">
        <v>1678</v>
      </c>
      <c r="E862" t="s">
        <v>855</v>
      </c>
    </row>
    <row r="863" spans="2:5" x14ac:dyDescent="0.2">
      <c r="B863" t="s">
        <v>1679</v>
      </c>
      <c r="C863">
        <v>500830</v>
      </c>
      <c r="D863" t="s">
        <v>1680</v>
      </c>
      <c r="E863" t="s">
        <v>548</v>
      </c>
    </row>
    <row r="864" spans="2:5" x14ac:dyDescent="0.2">
      <c r="B864" t="s">
        <v>1681</v>
      </c>
      <c r="C864">
        <v>500830</v>
      </c>
      <c r="D864" t="s">
        <v>1680</v>
      </c>
      <c r="E864" t="s">
        <v>548</v>
      </c>
    </row>
    <row r="865" spans="2:5" x14ac:dyDescent="0.2">
      <c r="B865" t="s">
        <v>1682</v>
      </c>
      <c r="C865">
        <v>531210</v>
      </c>
      <c r="D865" t="s">
        <v>366</v>
      </c>
      <c r="E865" t="s">
        <v>404</v>
      </c>
    </row>
    <row r="866" spans="2:5" x14ac:dyDescent="0.2">
      <c r="B866" t="s">
        <v>1683</v>
      </c>
      <c r="C866">
        <v>540023</v>
      </c>
      <c r="D866" t="s">
        <v>366</v>
      </c>
      <c r="E866" t="s">
        <v>1103</v>
      </c>
    </row>
    <row r="867" spans="2:5" x14ac:dyDescent="0.2">
      <c r="B867" t="s">
        <v>1684</v>
      </c>
      <c r="C867">
        <v>524752</v>
      </c>
      <c r="D867" t="s">
        <v>366</v>
      </c>
      <c r="E867" t="s">
        <v>404</v>
      </c>
    </row>
    <row r="868" spans="2:5" x14ac:dyDescent="0.2">
      <c r="B868" t="s">
        <v>1685</v>
      </c>
      <c r="C868">
        <v>534691</v>
      </c>
      <c r="D868" t="s">
        <v>366</v>
      </c>
      <c r="E868" t="s">
        <v>349</v>
      </c>
    </row>
    <row r="869" spans="2:5" x14ac:dyDescent="0.2">
      <c r="B869" t="s">
        <v>1686</v>
      </c>
      <c r="C869">
        <v>535267</v>
      </c>
      <c r="D869" t="s">
        <v>366</v>
      </c>
      <c r="E869" t="s">
        <v>383</v>
      </c>
    </row>
    <row r="870" spans="2:5" x14ac:dyDescent="0.2">
      <c r="B870" t="s">
        <v>1687</v>
      </c>
      <c r="C870">
        <v>531216</v>
      </c>
      <c r="D870" t="s">
        <v>366</v>
      </c>
      <c r="E870" t="s">
        <v>383</v>
      </c>
    </row>
    <row r="871" spans="2:5" x14ac:dyDescent="0.2">
      <c r="B871" t="s">
        <v>1688</v>
      </c>
      <c r="C871">
        <v>533272</v>
      </c>
      <c r="D871" t="s">
        <v>1689</v>
      </c>
      <c r="E871" t="s">
        <v>444</v>
      </c>
    </row>
    <row r="872" spans="2:5" x14ac:dyDescent="0.2">
      <c r="B872" t="s">
        <v>1690</v>
      </c>
      <c r="C872">
        <v>539986</v>
      </c>
      <c r="D872" t="s">
        <v>366</v>
      </c>
      <c r="E872" t="s">
        <v>561</v>
      </c>
    </row>
    <row r="873" spans="2:5" x14ac:dyDescent="0.2">
      <c r="B873" t="s">
        <v>1691</v>
      </c>
      <c r="C873">
        <v>532342</v>
      </c>
      <c r="D873" t="s">
        <v>366</v>
      </c>
      <c r="E873" t="s">
        <v>352</v>
      </c>
    </row>
    <row r="874" spans="2:5" x14ac:dyDescent="0.2">
      <c r="B874" t="s">
        <v>1692</v>
      </c>
      <c r="C874">
        <v>531041</v>
      </c>
      <c r="D874" t="s">
        <v>366</v>
      </c>
      <c r="E874" t="s">
        <v>388</v>
      </c>
    </row>
    <row r="875" spans="2:5" x14ac:dyDescent="0.2">
      <c r="B875" t="s">
        <v>1693</v>
      </c>
      <c r="C875">
        <v>532456</v>
      </c>
      <c r="D875" t="s">
        <v>1694</v>
      </c>
      <c r="E875" t="s">
        <v>463</v>
      </c>
    </row>
    <row r="876" spans="2:5" x14ac:dyDescent="0.2">
      <c r="B876" t="s">
        <v>1695</v>
      </c>
      <c r="C876">
        <v>532339</v>
      </c>
      <c r="D876" t="s">
        <v>1696</v>
      </c>
      <c r="E876" t="s">
        <v>851</v>
      </c>
    </row>
    <row r="877" spans="2:5" x14ac:dyDescent="0.2">
      <c r="B877" t="s">
        <v>1697</v>
      </c>
      <c r="C877">
        <v>507833</v>
      </c>
      <c r="D877" t="s">
        <v>366</v>
      </c>
      <c r="E877" t="s">
        <v>691</v>
      </c>
    </row>
    <row r="878" spans="2:5" x14ac:dyDescent="0.2">
      <c r="B878" t="s">
        <v>1698</v>
      </c>
      <c r="C878">
        <v>522231</v>
      </c>
      <c r="D878" t="s">
        <v>366</v>
      </c>
      <c r="E878" t="s">
        <v>764</v>
      </c>
    </row>
    <row r="879" spans="2:5" x14ac:dyDescent="0.2">
      <c r="B879" t="s">
        <v>1699</v>
      </c>
      <c r="C879">
        <v>538965</v>
      </c>
      <c r="D879" t="s">
        <v>366</v>
      </c>
      <c r="E879" t="s">
        <v>404</v>
      </c>
    </row>
    <row r="880" spans="2:5" x14ac:dyDescent="0.2">
      <c r="B880" t="s">
        <v>1700</v>
      </c>
      <c r="C880">
        <v>539266</v>
      </c>
      <c r="D880" t="s">
        <v>366</v>
      </c>
      <c r="E880" t="s">
        <v>386</v>
      </c>
    </row>
    <row r="881" spans="2:5" x14ac:dyDescent="0.2">
      <c r="B881" t="s">
        <v>1701</v>
      </c>
      <c r="C881">
        <v>504340</v>
      </c>
      <c r="D881" t="s">
        <v>366</v>
      </c>
      <c r="E881" t="s">
        <v>349</v>
      </c>
    </row>
    <row r="882" spans="2:5" x14ac:dyDescent="0.2">
      <c r="B882" t="s">
        <v>1702</v>
      </c>
      <c r="C882">
        <v>539991</v>
      </c>
      <c r="D882" t="s">
        <v>1703</v>
      </c>
      <c r="E882" t="s">
        <v>732</v>
      </c>
    </row>
    <row r="883" spans="2:5" x14ac:dyDescent="0.2">
      <c r="B883" t="s">
        <v>1704</v>
      </c>
      <c r="C883">
        <v>526829</v>
      </c>
      <c r="D883" t="s">
        <v>366</v>
      </c>
      <c r="E883" t="s">
        <v>576</v>
      </c>
    </row>
    <row r="884" spans="2:5" x14ac:dyDescent="0.2">
      <c r="B884" t="s">
        <v>1705</v>
      </c>
      <c r="C884">
        <v>526829</v>
      </c>
      <c r="D884" t="s">
        <v>1706</v>
      </c>
      <c r="E884" t="s">
        <v>576</v>
      </c>
    </row>
    <row r="885" spans="2:5" x14ac:dyDescent="0.2">
      <c r="B885" t="s">
        <v>1707</v>
      </c>
      <c r="C885">
        <v>526829</v>
      </c>
      <c r="D885" t="s">
        <v>366</v>
      </c>
      <c r="E885" t="s">
        <v>576</v>
      </c>
    </row>
    <row r="886" spans="2:5" x14ac:dyDescent="0.2">
      <c r="B886" t="s">
        <v>1708</v>
      </c>
      <c r="C886">
        <v>539091</v>
      </c>
      <c r="D886" t="s">
        <v>366</v>
      </c>
      <c r="E886" t="s">
        <v>386</v>
      </c>
    </row>
    <row r="887" spans="2:5" x14ac:dyDescent="0.2">
      <c r="B887" t="s">
        <v>1709</v>
      </c>
      <c r="C887">
        <v>532902</v>
      </c>
      <c r="D887" t="s">
        <v>1710</v>
      </c>
      <c r="E887" t="s">
        <v>452</v>
      </c>
    </row>
    <row r="888" spans="2:5" x14ac:dyDescent="0.2">
      <c r="B888" t="s">
        <v>1711</v>
      </c>
      <c r="C888" t="s">
        <v>366</v>
      </c>
      <c r="D888" t="s">
        <v>1712</v>
      </c>
      <c r="E888" t="s">
        <v>457</v>
      </c>
    </row>
    <row r="889" spans="2:5" x14ac:dyDescent="0.2">
      <c r="B889" t="s">
        <v>1713</v>
      </c>
      <c r="C889">
        <v>531344</v>
      </c>
      <c r="D889" t="s">
        <v>1714</v>
      </c>
      <c r="E889" t="s">
        <v>489</v>
      </c>
    </row>
    <row r="890" spans="2:5" x14ac:dyDescent="0.2">
      <c r="B890" t="s">
        <v>1715</v>
      </c>
      <c r="C890">
        <v>531344</v>
      </c>
      <c r="D890" t="s">
        <v>1714</v>
      </c>
      <c r="E890" t="s">
        <v>489</v>
      </c>
    </row>
    <row r="891" spans="2:5" x14ac:dyDescent="0.2">
      <c r="B891" t="s">
        <v>1716</v>
      </c>
      <c r="C891">
        <v>540597</v>
      </c>
      <c r="D891" t="s">
        <v>366</v>
      </c>
      <c r="E891" t="s">
        <v>687</v>
      </c>
    </row>
    <row r="892" spans="2:5" x14ac:dyDescent="0.2">
      <c r="B892" t="s">
        <v>1717</v>
      </c>
      <c r="C892">
        <v>531067</v>
      </c>
      <c r="D892" t="s">
        <v>366</v>
      </c>
      <c r="E892" t="s">
        <v>383</v>
      </c>
    </row>
    <row r="893" spans="2:5" x14ac:dyDescent="0.2">
      <c r="B893" t="s">
        <v>1718</v>
      </c>
      <c r="C893">
        <v>531067</v>
      </c>
      <c r="D893" t="s">
        <v>366</v>
      </c>
      <c r="E893" t="s">
        <v>383</v>
      </c>
    </row>
    <row r="894" spans="2:5" x14ac:dyDescent="0.2">
      <c r="B894" t="s">
        <v>1719</v>
      </c>
      <c r="C894">
        <v>506935</v>
      </c>
      <c r="D894" t="s">
        <v>366</v>
      </c>
      <c r="E894" t="s">
        <v>459</v>
      </c>
    </row>
    <row r="895" spans="2:5" x14ac:dyDescent="0.2">
      <c r="B895" t="s">
        <v>1720</v>
      </c>
      <c r="C895">
        <v>531460</v>
      </c>
      <c r="D895" t="s">
        <v>366</v>
      </c>
      <c r="E895" t="s">
        <v>664</v>
      </c>
    </row>
    <row r="896" spans="2:5" x14ac:dyDescent="0.2">
      <c r="B896" t="s">
        <v>1721</v>
      </c>
      <c r="C896">
        <v>523232</v>
      </c>
      <c r="D896" t="s">
        <v>366</v>
      </c>
      <c r="E896" t="s">
        <v>576</v>
      </c>
    </row>
    <row r="897" spans="2:5" x14ac:dyDescent="0.2">
      <c r="B897" t="s">
        <v>1722</v>
      </c>
      <c r="C897">
        <v>538868</v>
      </c>
      <c r="D897" t="s">
        <v>366</v>
      </c>
      <c r="E897" t="s">
        <v>383</v>
      </c>
    </row>
    <row r="898" spans="2:5" x14ac:dyDescent="0.2">
      <c r="B898" t="s">
        <v>1723</v>
      </c>
      <c r="C898" t="s">
        <v>366</v>
      </c>
      <c r="D898" t="s">
        <v>1724</v>
      </c>
      <c r="E898" t="s">
        <v>377</v>
      </c>
    </row>
    <row r="899" spans="2:5" x14ac:dyDescent="0.2">
      <c r="B899" t="s">
        <v>1725</v>
      </c>
      <c r="C899">
        <v>522295</v>
      </c>
      <c r="D899" t="s">
        <v>1726</v>
      </c>
      <c r="E899" t="s">
        <v>561</v>
      </c>
    </row>
    <row r="900" spans="2:5" x14ac:dyDescent="0.2">
      <c r="B900" t="s">
        <v>1727</v>
      </c>
      <c r="C900">
        <v>531556</v>
      </c>
      <c r="D900" t="s">
        <v>1728</v>
      </c>
      <c r="E900" t="s">
        <v>424</v>
      </c>
    </row>
    <row r="901" spans="2:5" x14ac:dyDescent="0.2">
      <c r="B901" t="s">
        <v>1729</v>
      </c>
      <c r="C901">
        <v>524506</v>
      </c>
      <c r="D901" t="s">
        <v>366</v>
      </c>
      <c r="E901" t="s">
        <v>404</v>
      </c>
    </row>
    <row r="902" spans="2:5" x14ac:dyDescent="0.2">
      <c r="B902" t="s">
        <v>1730</v>
      </c>
      <c r="C902">
        <v>530755</v>
      </c>
      <c r="D902" t="s">
        <v>1731</v>
      </c>
      <c r="E902" t="s">
        <v>1732</v>
      </c>
    </row>
    <row r="903" spans="2:5" x14ac:dyDescent="0.2">
      <c r="B903" t="s">
        <v>1733</v>
      </c>
      <c r="C903">
        <v>532941</v>
      </c>
      <c r="D903" t="s">
        <v>1734</v>
      </c>
      <c r="E903" t="s">
        <v>664</v>
      </c>
    </row>
    <row r="904" spans="2:5" x14ac:dyDescent="0.2">
      <c r="B904" t="s">
        <v>1735</v>
      </c>
      <c r="C904">
        <v>507543</v>
      </c>
      <c r="D904" t="s">
        <v>366</v>
      </c>
      <c r="E904" t="s">
        <v>615</v>
      </c>
    </row>
    <row r="905" spans="2:5" x14ac:dyDescent="0.2">
      <c r="B905" t="s">
        <v>1736</v>
      </c>
      <c r="C905">
        <v>533167</v>
      </c>
      <c r="D905" t="s">
        <v>366</v>
      </c>
      <c r="E905" t="s">
        <v>764</v>
      </c>
    </row>
    <row r="906" spans="2:5" x14ac:dyDescent="0.2">
      <c r="B906" t="s">
        <v>1737</v>
      </c>
      <c r="C906">
        <v>506395</v>
      </c>
      <c r="D906" t="s">
        <v>1738</v>
      </c>
      <c r="E906" t="s">
        <v>874</v>
      </c>
    </row>
    <row r="907" spans="2:5" x14ac:dyDescent="0.2">
      <c r="B907" t="s">
        <v>1739</v>
      </c>
      <c r="C907">
        <v>526737</v>
      </c>
      <c r="D907" t="s">
        <v>366</v>
      </c>
      <c r="E907" t="s">
        <v>687</v>
      </c>
    </row>
    <row r="908" spans="2:5" x14ac:dyDescent="0.2">
      <c r="B908" t="s">
        <v>1740</v>
      </c>
      <c r="C908">
        <v>540199</v>
      </c>
      <c r="D908" t="s">
        <v>366</v>
      </c>
      <c r="E908" t="s">
        <v>349</v>
      </c>
    </row>
    <row r="909" spans="2:5" x14ac:dyDescent="0.2">
      <c r="B909" t="s">
        <v>1741</v>
      </c>
      <c r="C909">
        <v>532179</v>
      </c>
      <c r="D909" t="s">
        <v>1742</v>
      </c>
      <c r="E909" t="s">
        <v>684</v>
      </c>
    </row>
    <row r="910" spans="2:5" x14ac:dyDescent="0.2">
      <c r="B910" t="s">
        <v>1743</v>
      </c>
      <c r="C910">
        <v>530859</v>
      </c>
      <c r="D910" t="s">
        <v>366</v>
      </c>
      <c r="E910" t="s">
        <v>360</v>
      </c>
    </row>
    <row r="911" spans="2:5" x14ac:dyDescent="0.2">
      <c r="B911" t="s">
        <v>1744</v>
      </c>
      <c r="C911">
        <v>530545</v>
      </c>
      <c r="D911" t="s">
        <v>366</v>
      </c>
      <c r="E911" t="s">
        <v>355</v>
      </c>
    </row>
    <row r="912" spans="2:5" x14ac:dyDescent="0.2">
      <c r="B912" t="s">
        <v>1745</v>
      </c>
      <c r="C912">
        <v>530545</v>
      </c>
      <c r="D912" t="s">
        <v>366</v>
      </c>
      <c r="E912" t="s">
        <v>355</v>
      </c>
    </row>
    <row r="913" spans="2:5" x14ac:dyDescent="0.2">
      <c r="B913" t="s">
        <v>1746</v>
      </c>
      <c r="C913">
        <v>523100</v>
      </c>
      <c r="D913" t="s">
        <v>366</v>
      </c>
      <c r="E913" t="s">
        <v>398</v>
      </c>
    </row>
    <row r="914" spans="2:5" x14ac:dyDescent="0.2">
      <c r="B914" t="s">
        <v>1747</v>
      </c>
      <c r="C914">
        <v>508814</v>
      </c>
      <c r="D914" t="s">
        <v>1748</v>
      </c>
      <c r="E914" t="s">
        <v>414</v>
      </c>
    </row>
    <row r="915" spans="2:5" x14ac:dyDescent="0.2">
      <c r="B915" t="s">
        <v>1749</v>
      </c>
      <c r="C915">
        <v>538922</v>
      </c>
      <c r="D915" t="s">
        <v>366</v>
      </c>
      <c r="E915" t="s">
        <v>459</v>
      </c>
    </row>
    <row r="916" spans="2:5" x14ac:dyDescent="0.2">
      <c r="B916" t="s">
        <v>1750</v>
      </c>
      <c r="C916">
        <v>526550</v>
      </c>
      <c r="D916" t="s">
        <v>1751</v>
      </c>
      <c r="E916" t="s">
        <v>567</v>
      </c>
    </row>
    <row r="917" spans="2:5" x14ac:dyDescent="0.2">
      <c r="B917" t="s">
        <v>1752</v>
      </c>
      <c r="C917">
        <v>531624</v>
      </c>
      <c r="D917" t="s">
        <v>1753</v>
      </c>
      <c r="E917" t="s">
        <v>452</v>
      </c>
    </row>
    <row r="918" spans="2:5" x14ac:dyDescent="0.2">
      <c r="B918" t="s">
        <v>1754</v>
      </c>
      <c r="C918">
        <v>523415</v>
      </c>
      <c r="D918" t="s">
        <v>366</v>
      </c>
      <c r="E918" t="s">
        <v>398</v>
      </c>
    </row>
    <row r="919" spans="2:5" x14ac:dyDescent="0.2">
      <c r="B919" t="s">
        <v>1755</v>
      </c>
      <c r="C919">
        <v>534920</v>
      </c>
      <c r="D919" t="s">
        <v>366</v>
      </c>
      <c r="E919" t="s">
        <v>352</v>
      </c>
    </row>
    <row r="920" spans="2:5" x14ac:dyDescent="0.2">
      <c r="B920" t="s">
        <v>1756</v>
      </c>
      <c r="C920">
        <v>533144</v>
      </c>
      <c r="D920" t="s">
        <v>1757</v>
      </c>
      <c r="E920" t="s">
        <v>1367</v>
      </c>
    </row>
    <row r="921" spans="2:5" x14ac:dyDescent="0.2">
      <c r="B921" t="s">
        <v>1758</v>
      </c>
      <c r="C921">
        <v>542641</v>
      </c>
      <c r="D921" t="s">
        <v>1759</v>
      </c>
      <c r="E921" t="s">
        <v>383</v>
      </c>
    </row>
    <row r="922" spans="2:5" x14ac:dyDescent="0.2">
      <c r="B922" t="s">
        <v>1760</v>
      </c>
      <c r="C922">
        <v>538770</v>
      </c>
      <c r="D922" t="s">
        <v>366</v>
      </c>
      <c r="E922" t="s">
        <v>452</v>
      </c>
    </row>
    <row r="923" spans="2:5" x14ac:dyDescent="0.2">
      <c r="B923" t="s">
        <v>1761</v>
      </c>
      <c r="C923">
        <v>512093</v>
      </c>
      <c r="D923" t="s">
        <v>366</v>
      </c>
      <c r="E923" t="s">
        <v>459</v>
      </c>
    </row>
    <row r="924" spans="2:5" x14ac:dyDescent="0.2">
      <c r="B924" t="s">
        <v>1762</v>
      </c>
      <c r="C924">
        <v>522001</v>
      </c>
      <c r="D924" t="s">
        <v>366</v>
      </c>
      <c r="E924" t="s">
        <v>444</v>
      </c>
    </row>
    <row r="925" spans="2:5" x14ac:dyDescent="0.2">
      <c r="B925" t="s">
        <v>1763</v>
      </c>
      <c r="C925">
        <v>509472</v>
      </c>
      <c r="D925" t="s">
        <v>366</v>
      </c>
      <c r="E925" t="s">
        <v>388</v>
      </c>
    </row>
    <row r="926" spans="2:5" x14ac:dyDescent="0.2">
      <c r="B926" t="s">
        <v>1764</v>
      </c>
      <c r="C926">
        <v>524388</v>
      </c>
      <c r="D926" t="s">
        <v>366</v>
      </c>
      <c r="E926" t="s">
        <v>691</v>
      </c>
    </row>
    <row r="927" spans="2:5" x14ac:dyDescent="0.2">
      <c r="B927" t="s">
        <v>1765</v>
      </c>
      <c r="C927">
        <v>539527</v>
      </c>
      <c r="D927" t="s">
        <v>366</v>
      </c>
      <c r="E927" t="s">
        <v>1284</v>
      </c>
    </row>
    <row r="928" spans="2:5" x14ac:dyDescent="0.2">
      <c r="B928" t="s">
        <v>1766</v>
      </c>
      <c r="C928">
        <v>532392</v>
      </c>
      <c r="D928" t="s">
        <v>1767</v>
      </c>
      <c r="E928" t="s">
        <v>369</v>
      </c>
    </row>
    <row r="929" spans="2:5" x14ac:dyDescent="0.2">
      <c r="B929" t="s">
        <v>1768</v>
      </c>
      <c r="C929" t="s">
        <v>366</v>
      </c>
      <c r="D929" t="s">
        <v>1769</v>
      </c>
      <c r="E929" t="s">
        <v>377</v>
      </c>
    </row>
    <row r="930" spans="2:5" x14ac:dyDescent="0.2">
      <c r="B930" t="s">
        <v>1770</v>
      </c>
      <c r="C930">
        <v>541770</v>
      </c>
      <c r="D930" t="s">
        <v>1771</v>
      </c>
      <c r="E930" t="s">
        <v>383</v>
      </c>
    </row>
    <row r="931" spans="2:5" x14ac:dyDescent="0.2">
      <c r="B931" t="s">
        <v>1772</v>
      </c>
      <c r="C931">
        <v>539131</v>
      </c>
      <c r="D931" t="s">
        <v>366</v>
      </c>
      <c r="E931" t="s">
        <v>386</v>
      </c>
    </row>
    <row r="932" spans="2:5" x14ac:dyDescent="0.2">
      <c r="B932" t="s">
        <v>1773</v>
      </c>
      <c r="C932">
        <v>512379</v>
      </c>
      <c r="D932" t="s">
        <v>366</v>
      </c>
      <c r="E932" t="s">
        <v>459</v>
      </c>
    </row>
    <row r="933" spans="2:5" x14ac:dyDescent="0.2">
      <c r="B933" t="s">
        <v>1774</v>
      </c>
      <c r="C933">
        <v>511413</v>
      </c>
      <c r="D933" t="s">
        <v>1775</v>
      </c>
      <c r="E933" t="s">
        <v>383</v>
      </c>
    </row>
    <row r="934" spans="2:5" x14ac:dyDescent="0.2">
      <c r="B934" t="s">
        <v>1776</v>
      </c>
      <c r="C934">
        <v>526269</v>
      </c>
      <c r="D934" t="s">
        <v>366</v>
      </c>
      <c r="E934" t="s">
        <v>526</v>
      </c>
    </row>
    <row r="935" spans="2:5" x14ac:dyDescent="0.2">
      <c r="B935" t="s">
        <v>1777</v>
      </c>
      <c r="C935">
        <v>526977</v>
      </c>
      <c r="D935" t="s">
        <v>366</v>
      </c>
      <c r="E935" t="s">
        <v>689</v>
      </c>
    </row>
    <row r="936" spans="2:5" x14ac:dyDescent="0.2">
      <c r="B936" t="s">
        <v>1778</v>
      </c>
      <c r="C936">
        <v>500092</v>
      </c>
      <c r="D936" t="s">
        <v>1779</v>
      </c>
      <c r="E936" t="s">
        <v>349</v>
      </c>
    </row>
    <row r="937" spans="2:5" x14ac:dyDescent="0.2">
      <c r="B937" t="s">
        <v>1780</v>
      </c>
      <c r="C937">
        <v>539876</v>
      </c>
      <c r="D937" t="s">
        <v>1781</v>
      </c>
      <c r="E937" t="s">
        <v>1129</v>
      </c>
    </row>
    <row r="938" spans="2:5" x14ac:dyDescent="0.2">
      <c r="B938" t="s">
        <v>1782</v>
      </c>
      <c r="C938" t="s">
        <v>366</v>
      </c>
      <c r="D938" t="s">
        <v>1783</v>
      </c>
      <c r="E938" t="s">
        <v>377</v>
      </c>
    </row>
    <row r="939" spans="2:5" x14ac:dyDescent="0.2">
      <c r="B939" t="s">
        <v>1784</v>
      </c>
      <c r="C939">
        <v>538521</v>
      </c>
      <c r="D939" t="s">
        <v>366</v>
      </c>
      <c r="E939" t="s">
        <v>1367</v>
      </c>
    </row>
    <row r="940" spans="2:5" x14ac:dyDescent="0.2">
      <c r="B940" t="s">
        <v>1785</v>
      </c>
      <c r="C940">
        <v>540903</v>
      </c>
      <c r="D940" t="s">
        <v>366</v>
      </c>
      <c r="E940" t="s">
        <v>450</v>
      </c>
    </row>
    <row r="941" spans="2:5" x14ac:dyDescent="0.2">
      <c r="B941" t="s">
        <v>1786</v>
      </c>
      <c r="C941">
        <v>530067</v>
      </c>
      <c r="D941" t="s">
        <v>366</v>
      </c>
      <c r="E941" t="s">
        <v>383</v>
      </c>
    </row>
    <row r="942" spans="2:5" x14ac:dyDescent="0.2">
      <c r="B942" t="s">
        <v>1787</v>
      </c>
      <c r="C942">
        <v>526027</v>
      </c>
      <c r="D942" t="s">
        <v>1788</v>
      </c>
      <c r="E942" t="s">
        <v>440</v>
      </c>
    </row>
    <row r="943" spans="2:5" x14ac:dyDescent="0.2">
      <c r="B943" t="s">
        <v>1789</v>
      </c>
      <c r="C943">
        <v>511710</v>
      </c>
      <c r="D943" t="s">
        <v>366</v>
      </c>
      <c r="E943" t="s">
        <v>383</v>
      </c>
    </row>
    <row r="944" spans="2:5" x14ac:dyDescent="0.2">
      <c r="B944" t="s">
        <v>1790</v>
      </c>
      <c r="C944">
        <v>500480</v>
      </c>
      <c r="D944" t="s">
        <v>1791</v>
      </c>
      <c r="E944" t="s">
        <v>374</v>
      </c>
    </row>
    <row r="945" spans="2:5" x14ac:dyDescent="0.2">
      <c r="B945" t="s">
        <v>1792</v>
      </c>
      <c r="C945">
        <v>500480</v>
      </c>
      <c r="D945" t="s">
        <v>1791</v>
      </c>
      <c r="E945" t="s">
        <v>374</v>
      </c>
    </row>
    <row r="946" spans="2:5" x14ac:dyDescent="0.2">
      <c r="B946" t="s">
        <v>1793</v>
      </c>
      <c r="C946">
        <v>530843</v>
      </c>
      <c r="D946" t="s">
        <v>1794</v>
      </c>
      <c r="E946" t="s">
        <v>548</v>
      </c>
    </row>
    <row r="947" spans="2:5" x14ac:dyDescent="0.2">
      <c r="B947" t="s">
        <v>1795</v>
      </c>
      <c r="C947">
        <v>532332</v>
      </c>
      <c r="D947" t="s">
        <v>1796</v>
      </c>
      <c r="E947" t="s">
        <v>459</v>
      </c>
    </row>
    <row r="948" spans="2:5" x14ac:dyDescent="0.2">
      <c r="B948" t="s">
        <v>1797</v>
      </c>
      <c r="C948">
        <v>531472</v>
      </c>
      <c r="D948" t="s">
        <v>366</v>
      </c>
      <c r="E948" t="s">
        <v>664</v>
      </c>
    </row>
    <row r="949" spans="2:5" x14ac:dyDescent="0.2">
      <c r="B949" t="s">
        <v>1798</v>
      </c>
      <c r="C949">
        <v>532640</v>
      </c>
      <c r="D949" t="s">
        <v>1799</v>
      </c>
      <c r="E949" t="s">
        <v>890</v>
      </c>
    </row>
    <row r="950" spans="2:5" x14ac:dyDescent="0.2">
      <c r="B950" t="s">
        <v>1800</v>
      </c>
      <c r="C950">
        <v>532640</v>
      </c>
      <c r="D950" t="s">
        <v>1799</v>
      </c>
      <c r="E950" t="s">
        <v>890</v>
      </c>
    </row>
    <row r="951" spans="2:5" x14ac:dyDescent="0.2">
      <c r="B951" t="s">
        <v>1801</v>
      </c>
      <c r="C951">
        <v>532271</v>
      </c>
      <c r="D951" t="s">
        <v>366</v>
      </c>
      <c r="E951" t="s">
        <v>459</v>
      </c>
    </row>
    <row r="952" spans="2:5" x14ac:dyDescent="0.2">
      <c r="B952" t="s">
        <v>1802</v>
      </c>
      <c r="C952">
        <v>532173</v>
      </c>
      <c r="D952" t="s">
        <v>1803</v>
      </c>
      <c r="E952" t="s">
        <v>459</v>
      </c>
    </row>
    <row r="953" spans="2:5" x14ac:dyDescent="0.2">
      <c r="B953" t="s">
        <v>1804</v>
      </c>
      <c r="C953">
        <v>532175</v>
      </c>
      <c r="D953" t="s">
        <v>1805</v>
      </c>
      <c r="E953" t="s">
        <v>352</v>
      </c>
    </row>
    <row r="954" spans="2:5" x14ac:dyDescent="0.2">
      <c r="B954" t="s">
        <v>1806</v>
      </c>
      <c r="C954">
        <v>533151</v>
      </c>
      <c r="D954" t="s">
        <v>1807</v>
      </c>
      <c r="E954" t="s">
        <v>890</v>
      </c>
    </row>
    <row r="955" spans="2:5" x14ac:dyDescent="0.2">
      <c r="B955" t="s">
        <v>1808</v>
      </c>
      <c r="C955">
        <v>533160</v>
      </c>
      <c r="D955" t="s">
        <v>1809</v>
      </c>
      <c r="E955" t="s">
        <v>452</v>
      </c>
    </row>
    <row r="956" spans="2:5" x14ac:dyDescent="0.2">
      <c r="B956" t="s">
        <v>1810</v>
      </c>
      <c r="C956" t="s">
        <v>366</v>
      </c>
      <c r="D956" t="s">
        <v>1811</v>
      </c>
      <c r="E956" t="s">
        <v>377</v>
      </c>
    </row>
    <row r="957" spans="2:5" x14ac:dyDescent="0.2">
      <c r="B957" t="s">
        <v>1812</v>
      </c>
      <c r="C957" t="s">
        <v>366</v>
      </c>
      <c r="D957" t="s">
        <v>1813</v>
      </c>
      <c r="E957" t="s">
        <v>377</v>
      </c>
    </row>
    <row r="958" spans="2:5" x14ac:dyDescent="0.2">
      <c r="B958" t="s">
        <v>1814</v>
      </c>
      <c r="C958">
        <v>517514</v>
      </c>
      <c r="D958" t="s">
        <v>366</v>
      </c>
      <c r="E958" t="s">
        <v>551</v>
      </c>
    </row>
    <row r="959" spans="2:5" x14ac:dyDescent="0.2">
      <c r="B959" t="s">
        <v>1815</v>
      </c>
      <c r="C959">
        <v>517514</v>
      </c>
      <c r="D959" t="s">
        <v>366</v>
      </c>
      <c r="E959" t="s">
        <v>551</v>
      </c>
    </row>
    <row r="960" spans="2:5" x14ac:dyDescent="0.2">
      <c r="B960" t="s">
        <v>1816</v>
      </c>
      <c r="C960">
        <v>500096</v>
      </c>
      <c r="D960" t="s">
        <v>320</v>
      </c>
      <c r="E960" t="s">
        <v>548</v>
      </c>
    </row>
    <row r="961" spans="2:5" x14ac:dyDescent="0.2">
      <c r="B961" t="s">
        <v>1817</v>
      </c>
      <c r="C961">
        <v>500096</v>
      </c>
      <c r="D961" t="s">
        <v>320</v>
      </c>
      <c r="E961" t="s">
        <v>548</v>
      </c>
    </row>
    <row r="962" spans="2:5" x14ac:dyDescent="0.2">
      <c r="B962" t="s">
        <v>1818</v>
      </c>
      <c r="C962">
        <v>526821</v>
      </c>
      <c r="D962" t="s">
        <v>366</v>
      </c>
      <c r="E962" t="s">
        <v>526</v>
      </c>
    </row>
    <row r="963" spans="2:5" x14ac:dyDescent="0.2">
      <c r="B963" t="s">
        <v>1819</v>
      </c>
      <c r="C963">
        <v>530825</v>
      </c>
      <c r="D963" t="s">
        <v>366</v>
      </c>
      <c r="E963" t="s">
        <v>526</v>
      </c>
    </row>
    <row r="964" spans="2:5" x14ac:dyDescent="0.2">
      <c r="B964" t="s">
        <v>1820</v>
      </c>
      <c r="C964">
        <v>530825</v>
      </c>
      <c r="D964" t="s">
        <v>366</v>
      </c>
      <c r="E964" t="s">
        <v>526</v>
      </c>
    </row>
    <row r="965" spans="2:5" x14ac:dyDescent="0.2">
      <c r="B965" t="s">
        <v>1821</v>
      </c>
      <c r="C965">
        <v>501148</v>
      </c>
      <c r="D965" t="s">
        <v>366</v>
      </c>
      <c r="E965" t="s">
        <v>386</v>
      </c>
    </row>
    <row r="966" spans="2:5" x14ac:dyDescent="0.2">
      <c r="B966" t="s">
        <v>1822</v>
      </c>
      <c r="C966">
        <v>542216</v>
      </c>
      <c r="D966" t="s">
        <v>1823</v>
      </c>
      <c r="E966" t="s">
        <v>1824</v>
      </c>
    </row>
    <row r="967" spans="2:5" x14ac:dyDescent="0.2">
      <c r="B967" t="s">
        <v>1825</v>
      </c>
      <c r="C967">
        <v>500097</v>
      </c>
      <c r="D967" t="s">
        <v>1826</v>
      </c>
      <c r="E967" t="s">
        <v>1065</v>
      </c>
    </row>
    <row r="968" spans="2:5" x14ac:dyDescent="0.2">
      <c r="B968" t="s">
        <v>1827</v>
      </c>
      <c r="C968">
        <v>539900</v>
      </c>
      <c r="D968" t="s">
        <v>366</v>
      </c>
      <c r="E968" t="s">
        <v>388</v>
      </c>
    </row>
    <row r="969" spans="2:5" x14ac:dyDescent="0.2">
      <c r="B969" t="s">
        <v>1828</v>
      </c>
      <c r="C969">
        <v>521220</v>
      </c>
      <c r="D969" t="s">
        <v>1829</v>
      </c>
      <c r="E969" t="s">
        <v>381</v>
      </c>
    </row>
    <row r="970" spans="2:5" x14ac:dyDescent="0.2">
      <c r="B970" t="s">
        <v>1830</v>
      </c>
      <c r="C970" t="s">
        <v>366</v>
      </c>
      <c r="D970" t="s">
        <v>1831</v>
      </c>
      <c r="E970" t="s">
        <v>377</v>
      </c>
    </row>
    <row r="971" spans="2:5" x14ac:dyDescent="0.2">
      <c r="B971" t="s">
        <v>1832</v>
      </c>
      <c r="C971">
        <v>532329</v>
      </c>
      <c r="D971" t="s">
        <v>366</v>
      </c>
      <c r="E971" t="s">
        <v>459</v>
      </c>
    </row>
    <row r="972" spans="2:5" x14ac:dyDescent="0.2">
      <c r="B972" t="s">
        <v>1833</v>
      </c>
      <c r="C972">
        <v>532329</v>
      </c>
      <c r="D972" t="s">
        <v>366</v>
      </c>
      <c r="E972" t="s">
        <v>459</v>
      </c>
    </row>
    <row r="973" spans="2:5" x14ac:dyDescent="0.2">
      <c r="B973" t="s">
        <v>1834</v>
      </c>
      <c r="C973">
        <v>540361</v>
      </c>
      <c r="D973" t="s">
        <v>366</v>
      </c>
      <c r="E973" t="s">
        <v>388</v>
      </c>
    </row>
    <row r="974" spans="2:5" x14ac:dyDescent="0.2">
      <c r="B974" t="s">
        <v>1835</v>
      </c>
      <c r="C974">
        <v>539770</v>
      </c>
      <c r="D974" t="s">
        <v>366</v>
      </c>
      <c r="E974" t="s">
        <v>349</v>
      </c>
    </row>
    <row r="975" spans="2:5" x14ac:dyDescent="0.2">
      <c r="B975" t="s">
        <v>1836</v>
      </c>
      <c r="C975">
        <v>539884</v>
      </c>
      <c r="D975" t="s">
        <v>366</v>
      </c>
      <c r="E975" t="s">
        <v>480</v>
      </c>
    </row>
    <row r="976" spans="2:5" x14ac:dyDescent="0.2">
      <c r="B976" t="s">
        <v>1837</v>
      </c>
      <c r="C976">
        <v>532528</v>
      </c>
      <c r="D976" t="s">
        <v>1838</v>
      </c>
      <c r="E976" t="s">
        <v>459</v>
      </c>
    </row>
    <row r="977" spans="2:5" x14ac:dyDescent="0.2">
      <c r="B977" t="s">
        <v>1839</v>
      </c>
      <c r="C977">
        <v>530171</v>
      </c>
      <c r="D977" t="s">
        <v>366</v>
      </c>
      <c r="E977" t="s">
        <v>349</v>
      </c>
    </row>
    <row r="978" spans="2:5" x14ac:dyDescent="0.2">
      <c r="B978" t="s">
        <v>1840</v>
      </c>
      <c r="C978">
        <v>530393</v>
      </c>
      <c r="D978" t="s">
        <v>1841</v>
      </c>
      <c r="E978" t="s">
        <v>349</v>
      </c>
    </row>
    <row r="979" spans="2:5" x14ac:dyDescent="0.2">
      <c r="B979" t="s">
        <v>1842</v>
      </c>
      <c r="C979">
        <v>532772</v>
      </c>
      <c r="D979" t="s">
        <v>1843</v>
      </c>
      <c r="E979" t="s">
        <v>684</v>
      </c>
    </row>
    <row r="980" spans="2:5" x14ac:dyDescent="0.2">
      <c r="B980" t="s">
        <v>1844</v>
      </c>
      <c r="C980">
        <v>511611</v>
      </c>
      <c r="D980" t="s">
        <v>1845</v>
      </c>
      <c r="E980" t="s">
        <v>383</v>
      </c>
    </row>
    <row r="981" spans="2:5" x14ac:dyDescent="0.2">
      <c r="B981" t="s">
        <v>1846</v>
      </c>
      <c r="C981">
        <v>502820</v>
      </c>
      <c r="D981" t="s">
        <v>1847</v>
      </c>
      <c r="E981" t="s">
        <v>381</v>
      </c>
    </row>
    <row r="982" spans="2:5" x14ac:dyDescent="0.2">
      <c r="B982" t="s">
        <v>1848</v>
      </c>
      <c r="C982">
        <v>523369</v>
      </c>
      <c r="D982" t="s">
        <v>366</v>
      </c>
      <c r="E982" t="s">
        <v>1065</v>
      </c>
    </row>
    <row r="983" spans="2:5" x14ac:dyDescent="0.2">
      <c r="B983" t="s">
        <v>1849</v>
      </c>
      <c r="C983">
        <v>523367</v>
      </c>
      <c r="D983" t="s">
        <v>1850</v>
      </c>
      <c r="E983" t="s">
        <v>355</v>
      </c>
    </row>
    <row r="984" spans="2:5" x14ac:dyDescent="0.2">
      <c r="B984" t="s">
        <v>1851</v>
      </c>
      <c r="C984">
        <v>500117</v>
      </c>
      <c r="D984" t="s">
        <v>1852</v>
      </c>
      <c r="E984" t="s">
        <v>580</v>
      </c>
    </row>
    <row r="985" spans="2:5" x14ac:dyDescent="0.2">
      <c r="B985" t="s">
        <v>1853</v>
      </c>
      <c r="C985">
        <v>590031</v>
      </c>
      <c r="D985" t="s">
        <v>1854</v>
      </c>
      <c r="E985" t="s">
        <v>551</v>
      </c>
    </row>
    <row r="986" spans="2:5" x14ac:dyDescent="0.2">
      <c r="B986" t="s">
        <v>1855</v>
      </c>
      <c r="C986">
        <v>590031</v>
      </c>
      <c r="D986" t="s">
        <v>1854</v>
      </c>
      <c r="E986" t="s">
        <v>551</v>
      </c>
    </row>
    <row r="987" spans="2:5" x14ac:dyDescent="0.2">
      <c r="B987" t="s">
        <v>1856</v>
      </c>
      <c r="C987" t="s">
        <v>366</v>
      </c>
      <c r="D987" t="s">
        <v>1857</v>
      </c>
      <c r="E987" t="s">
        <v>377</v>
      </c>
    </row>
    <row r="988" spans="2:5" x14ac:dyDescent="0.2">
      <c r="B988" t="s">
        <v>1858</v>
      </c>
      <c r="C988">
        <v>505703</v>
      </c>
      <c r="D988" t="s">
        <v>366</v>
      </c>
      <c r="E988" t="s">
        <v>374</v>
      </c>
    </row>
    <row r="989" spans="2:5" x14ac:dyDescent="0.2">
      <c r="B989" t="s">
        <v>1859</v>
      </c>
      <c r="C989">
        <v>502137</v>
      </c>
      <c r="D989" t="s">
        <v>1860</v>
      </c>
      <c r="E989" t="s">
        <v>379</v>
      </c>
    </row>
    <row r="990" spans="2:5" x14ac:dyDescent="0.2">
      <c r="B990" t="s">
        <v>1861</v>
      </c>
      <c r="C990">
        <v>512068</v>
      </c>
      <c r="D990" t="s">
        <v>366</v>
      </c>
      <c r="E990" t="s">
        <v>346</v>
      </c>
    </row>
    <row r="991" spans="2:5" x14ac:dyDescent="0.2">
      <c r="B991" t="s">
        <v>1862</v>
      </c>
      <c r="C991">
        <v>542248</v>
      </c>
      <c r="D991" t="s">
        <v>1863</v>
      </c>
      <c r="E991" t="s">
        <v>555</v>
      </c>
    </row>
    <row r="992" spans="2:5" x14ac:dyDescent="0.2">
      <c r="B992" t="s">
        <v>1864</v>
      </c>
      <c r="C992">
        <v>531989</v>
      </c>
      <c r="D992" t="s">
        <v>366</v>
      </c>
      <c r="E992" t="s">
        <v>561</v>
      </c>
    </row>
    <row r="993" spans="2:5" x14ac:dyDescent="0.2">
      <c r="B993" t="s">
        <v>1865</v>
      </c>
      <c r="C993">
        <v>539190</v>
      </c>
      <c r="D993" t="s">
        <v>366</v>
      </c>
      <c r="E993" t="s">
        <v>383</v>
      </c>
    </row>
    <row r="994" spans="2:5" x14ac:dyDescent="0.2">
      <c r="B994" t="s">
        <v>1866</v>
      </c>
      <c r="C994">
        <v>531227</v>
      </c>
      <c r="D994" t="s">
        <v>366</v>
      </c>
      <c r="E994" t="s">
        <v>414</v>
      </c>
    </row>
    <row r="995" spans="2:5" x14ac:dyDescent="0.2">
      <c r="B995" t="s">
        <v>1867</v>
      </c>
      <c r="C995">
        <v>539405</v>
      </c>
      <c r="D995" t="s">
        <v>366</v>
      </c>
      <c r="E995" t="s">
        <v>480</v>
      </c>
    </row>
    <row r="996" spans="2:5" x14ac:dyDescent="0.2">
      <c r="B996" t="s">
        <v>1868</v>
      </c>
      <c r="C996">
        <v>539559</v>
      </c>
      <c r="D996" t="s">
        <v>366</v>
      </c>
      <c r="E996" t="s">
        <v>480</v>
      </c>
    </row>
    <row r="997" spans="2:5" x14ac:dyDescent="0.2">
      <c r="B997" t="s">
        <v>1869</v>
      </c>
      <c r="C997">
        <v>539559</v>
      </c>
      <c r="D997" t="s">
        <v>366</v>
      </c>
      <c r="E997" t="s">
        <v>480</v>
      </c>
    </row>
    <row r="998" spans="2:5" x14ac:dyDescent="0.2">
      <c r="B998" t="s">
        <v>1870</v>
      </c>
      <c r="C998">
        <v>532760</v>
      </c>
      <c r="D998" t="s">
        <v>1871</v>
      </c>
      <c r="E998" t="s">
        <v>497</v>
      </c>
    </row>
    <row r="999" spans="2:5" x14ac:dyDescent="0.2">
      <c r="B999" t="s">
        <v>1872</v>
      </c>
      <c r="C999">
        <v>541778</v>
      </c>
      <c r="D999" t="s">
        <v>366</v>
      </c>
      <c r="E999" t="s">
        <v>526</v>
      </c>
    </row>
    <row r="1000" spans="2:5" x14ac:dyDescent="0.2">
      <c r="B1000" t="s">
        <v>1873</v>
      </c>
      <c r="C1000">
        <v>500645</v>
      </c>
      <c r="D1000" t="s">
        <v>1874</v>
      </c>
      <c r="E1000" t="s">
        <v>414</v>
      </c>
    </row>
    <row r="1001" spans="2:5" x14ac:dyDescent="0.2">
      <c r="B1001" t="s">
        <v>1875</v>
      </c>
      <c r="C1001">
        <v>506401</v>
      </c>
      <c r="D1001" t="s">
        <v>1876</v>
      </c>
      <c r="E1001" t="s">
        <v>414</v>
      </c>
    </row>
    <row r="1002" spans="2:5" x14ac:dyDescent="0.2">
      <c r="B1002" t="s">
        <v>1877</v>
      </c>
      <c r="C1002">
        <v>514030</v>
      </c>
      <c r="D1002" t="s">
        <v>366</v>
      </c>
      <c r="E1002" t="s">
        <v>381</v>
      </c>
    </row>
    <row r="1003" spans="2:5" x14ac:dyDescent="0.2">
      <c r="B1003" t="s">
        <v>1878</v>
      </c>
      <c r="C1003">
        <v>539455</v>
      </c>
      <c r="D1003" t="s">
        <v>366</v>
      </c>
      <c r="E1003" t="s">
        <v>398</v>
      </c>
    </row>
    <row r="1004" spans="2:5" x14ac:dyDescent="0.2">
      <c r="B1004" t="s">
        <v>1879</v>
      </c>
      <c r="C1004">
        <v>780006</v>
      </c>
      <c r="D1004" t="s">
        <v>366</v>
      </c>
      <c r="E1004" t="s">
        <v>457</v>
      </c>
    </row>
    <row r="1005" spans="2:5" x14ac:dyDescent="0.2">
      <c r="B1005" t="s">
        <v>1880</v>
      </c>
      <c r="C1005">
        <v>532848</v>
      </c>
      <c r="D1005" t="s">
        <v>1881</v>
      </c>
      <c r="E1005" t="s">
        <v>787</v>
      </c>
    </row>
    <row r="1006" spans="2:5" x14ac:dyDescent="0.2">
      <c r="B1006" t="s">
        <v>1882</v>
      </c>
      <c r="C1006">
        <v>539596</v>
      </c>
      <c r="D1006" t="s">
        <v>366</v>
      </c>
      <c r="E1006" t="s">
        <v>349</v>
      </c>
    </row>
    <row r="1007" spans="2:5" x14ac:dyDescent="0.2">
      <c r="B1007" t="s">
        <v>1883</v>
      </c>
      <c r="C1007">
        <v>504286</v>
      </c>
      <c r="D1007" t="s">
        <v>1884</v>
      </c>
      <c r="E1007" t="s">
        <v>664</v>
      </c>
    </row>
    <row r="1008" spans="2:5" x14ac:dyDescent="0.2">
      <c r="B1008" t="s">
        <v>1885</v>
      </c>
      <c r="C1008">
        <v>504240</v>
      </c>
      <c r="D1008" t="s">
        <v>366</v>
      </c>
      <c r="E1008" t="s">
        <v>664</v>
      </c>
    </row>
    <row r="1009" spans="2:5" x14ac:dyDescent="0.2">
      <c r="B1009" t="s">
        <v>1886</v>
      </c>
      <c r="C1009">
        <v>504256</v>
      </c>
      <c r="D1009" t="s">
        <v>366</v>
      </c>
      <c r="E1009" t="s">
        <v>908</v>
      </c>
    </row>
    <row r="1010" spans="2:5" x14ac:dyDescent="0.2">
      <c r="B1010" t="s">
        <v>1887</v>
      </c>
      <c r="C1010">
        <v>533137</v>
      </c>
      <c r="D1010" t="s">
        <v>1888</v>
      </c>
      <c r="E1010" t="s">
        <v>1103</v>
      </c>
    </row>
    <row r="1011" spans="2:5" x14ac:dyDescent="0.2">
      <c r="B1011" t="s">
        <v>1889</v>
      </c>
      <c r="C1011">
        <v>532121</v>
      </c>
      <c r="D1011" t="s">
        <v>1890</v>
      </c>
      <c r="E1011" t="s">
        <v>684</v>
      </c>
    </row>
    <row r="1012" spans="2:5" x14ac:dyDescent="0.2">
      <c r="B1012" t="s">
        <v>1891</v>
      </c>
      <c r="C1012">
        <v>537536</v>
      </c>
      <c r="D1012" t="s">
        <v>366</v>
      </c>
      <c r="E1012" t="s">
        <v>404</v>
      </c>
    </row>
    <row r="1013" spans="2:5" x14ac:dyDescent="0.2">
      <c r="B1013" t="s">
        <v>1892</v>
      </c>
      <c r="C1013">
        <v>531521</v>
      </c>
      <c r="D1013" t="s">
        <v>366</v>
      </c>
      <c r="E1013" t="s">
        <v>404</v>
      </c>
    </row>
    <row r="1014" spans="2:5" x14ac:dyDescent="0.2">
      <c r="B1014" t="s">
        <v>1893</v>
      </c>
      <c r="C1014" t="s">
        <v>366</v>
      </c>
      <c r="D1014" t="s">
        <v>1894</v>
      </c>
      <c r="E1014" t="s">
        <v>377</v>
      </c>
    </row>
    <row r="1015" spans="2:5" x14ac:dyDescent="0.2">
      <c r="B1015" t="s">
        <v>1895</v>
      </c>
      <c r="C1015">
        <v>539197</v>
      </c>
      <c r="D1015" t="s">
        <v>366</v>
      </c>
      <c r="E1015" t="s">
        <v>388</v>
      </c>
    </row>
    <row r="1016" spans="2:5" x14ac:dyDescent="0.2">
      <c r="B1016" t="s">
        <v>1896</v>
      </c>
      <c r="C1016">
        <v>539197</v>
      </c>
      <c r="D1016" t="s">
        <v>366</v>
      </c>
      <c r="E1016" t="s">
        <v>388</v>
      </c>
    </row>
    <row r="1017" spans="2:5" x14ac:dyDescent="0.2">
      <c r="B1017" t="s">
        <v>1897</v>
      </c>
      <c r="C1017">
        <v>531585</v>
      </c>
      <c r="D1017" t="s">
        <v>366</v>
      </c>
      <c r="E1017" t="s">
        <v>388</v>
      </c>
    </row>
    <row r="1018" spans="2:5" x14ac:dyDescent="0.2">
      <c r="B1018" t="s">
        <v>1898</v>
      </c>
      <c r="C1018">
        <v>512445</v>
      </c>
      <c r="D1018" t="s">
        <v>366</v>
      </c>
      <c r="E1018" t="s">
        <v>349</v>
      </c>
    </row>
    <row r="1019" spans="2:5" x14ac:dyDescent="0.2">
      <c r="B1019" t="s">
        <v>1899</v>
      </c>
      <c r="C1019">
        <v>530765</v>
      </c>
      <c r="D1019" t="s">
        <v>366</v>
      </c>
      <c r="E1019" t="s">
        <v>383</v>
      </c>
    </row>
    <row r="1020" spans="2:5" x14ac:dyDescent="0.2">
      <c r="B1020" t="s">
        <v>1900</v>
      </c>
      <c r="C1020">
        <v>542002</v>
      </c>
      <c r="D1020" t="s">
        <v>366</v>
      </c>
      <c r="E1020" t="s">
        <v>452</v>
      </c>
    </row>
    <row r="1021" spans="2:5" x14ac:dyDescent="0.2">
      <c r="B1021" t="s">
        <v>1901</v>
      </c>
      <c r="C1021">
        <v>511072</v>
      </c>
      <c r="D1021" t="s">
        <v>1902</v>
      </c>
      <c r="E1021" t="s">
        <v>424</v>
      </c>
    </row>
    <row r="1022" spans="2:5" x14ac:dyDescent="0.2">
      <c r="B1022" t="s">
        <v>1903</v>
      </c>
      <c r="C1022">
        <v>519588</v>
      </c>
      <c r="D1022" t="s">
        <v>1904</v>
      </c>
      <c r="E1022" t="s">
        <v>426</v>
      </c>
    </row>
    <row r="1023" spans="2:5" x14ac:dyDescent="0.2">
      <c r="B1023" t="s">
        <v>1905</v>
      </c>
      <c r="C1023">
        <v>538715</v>
      </c>
      <c r="D1023" t="s">
        <v>366</v>
      </c>
      <c r="E1023" t="s">
        <v>486</v>
      </c>
    </row>
    <row r="1024" spans="2:5" x14ac:dyDescent="0.2">
      <c r="B1024" t="s">
        <v>1906</v>
      </c>
      <c r="C1024">
        <v>500119</v>
      </c>
      <c r="D1024" t="s">
        <v>1907</v>
      </c>
      <c r="E1024" t="s">
        <v>1065</v>
      </c>
    </row>
    <row r="1025" spans="2:5" x14ac:dyDescent="0.2">
      <c r="B1025" t="s">
        <v>1908</v>
      </c>
      <c r="C1025">
        <v>531923</v>
      </c>
      <c r="D1025" t="s">
        <v>366</v>
      </c>
      <c r="E1025" t="s">
        <v>1065</v>
      </c>
    </row>
    <row r="1026" spans="2:5" x14ac:dyDescent="0.2">
      <c r="B1026" t="s">
        <v>1909</v>
      </c>
      <c r="C1026">
        <v>531198</v>
      </c>
      <c r="D1026" t="s">
        <v>366</v>
      </c>
      <c r="E1026" t="s">
        <v>567</v>
      </c>
    </row>
    <row r="1027" spans="2:5" x14ac:dyDescent="0.2">
      <c r="B1027" t="s">
        <v>1910</v>
      </c>
      <c r="C1027">
        <v>521216</v>
      </c>
      <c r="D1027" t="s">
        <v>366</v>
      </c>
      <c r="E1027" t="s">
        <v>381</v>
      </c>
    </row>
    <row r="1028" spans="2:5" x14ac:dyDescent="0.2">
      <c r="B1028" t="s">
        <v>1911</v>
      </c>
      <c r="C1028">
        <v>542679</v>
      </c>
      <c r="D1028" t="s">
        <v>1912</v>
      </c>
      <c r="E1028" t="s">
        <v>664</v>
      </c>
    </row>
    <row r="1029" spans="2:5" x14ac:dyDescent="0.2">
      <c r="B1029" t="s">
        <v>1913</v>
      </c>
      <c r="C1029">
        <v>532180</v>
      </c>
      <c r="D1029" t="s">
        <v>1914</v>
      </c>
      <c r="E1029" t="s">
        <v>684</v>
      </c>
    </row>
    <row r="1030" spans="2:5" x14ac:dyDescent="0.2">
      <c r="B1030" t="s">
        <v>1915</v>
      </c>
      <c r="C1030">
        <v>512485</v>
      </c>
      <c r="D1030" t="s">
        <v>366</v>
      </c>
      <c r="E1030" t="s">
        <v>388</v>
      </c>
    </row>
    <row r="1031" spans="2:5" x14ac:dyDescent="0.2">
      <c r="B1031" t="s">
        <v>1916</v>
      </c>
      <c r="C1031">
        <v>521151</v>
      </c>
      <c r="D1031" t="s">
        <v>366</v>
      </c>
      <c r="E1031" t="s">
        <v>381</v>
      </c>
    </row>
    <row r="1032" spans="2:5" x14ac:dyDescent="0.2">
      <c r="B1032" t="s">
        <v>1917</v>
      </c>
      <c r="C1032">
        <v>503637</v>
      </c>
      <c r="D1032" t="s">
        <v>366</v>
      </c>
      <c r="E1032" t="s">
        <v>349</v>
      </c>
    </row>
    <row r="1033" spans="2:5" x14ac:dyDescent="0.2">
      <c r="B1033" t="s">
        <v>1918</v>
      </c>
      <c r="C1033">
        <v>507717</v>
      </c>
      <c r="D1033" t="s">
        <v>1919</v>
      </c>
      <c r="E1033" t="s">
        <v>510</v>
      </c>
    </row>
    <row r="1034" spans="2:5" x14ac:dyDescent="0.2">
      <c r="B1034" t="s">
        <v>1920</v>
      </c>
      <c r="C1034">
        <v>538446</v>
      </c>
      <c r="D1034" t="s">
        <v>366</v>
      </c>
      <c r="E1034" t="s">
        <v>349</v>
      </c>
    </row>
    <row r="1035" spans="2:5" x14ac:dyDescent="0.2">
      <c r="B1035" t="s">
        <v>1921</v>
      </c>
      <c r="C1035" t="s">
        <v>366</v>
      </c>
      <c r="D1035" t="s">
        <v>1922</v>
      </c>
      <c r="E1035" t="s">
        <v>377</v>
      </c>
    </row>
    <row r="1036" spans="2:5" x14ac:dyDescent="0.2">
      <c r="B1036" t="s">
        <v>1923</v>
      </c>
      <c r="C1036">
        <v>531043</v>
      </c>
      <c r="D1036" t="s">
        <v>366</v>
      </c>
      <c r="E1036" t="s">
        <v>555</v>
      </c>
    </row>
    <row r="1037" spans="2:5" x14ac:dyDescent="0.2">
      <c r="B1037" t="s">
        <v>1924</v>
      </c>
      <c r="C1037">
        <v>540268</v>
      </c>
      <c r="D1037" t="s">
        <v>366</v>
      </c>
      <c r="E1037" t="s">
        <v>349</v>
      </c>
    </row>
    <row r="1038" spans="2:5" x14ac:dyDescent="0.2">
      <c r="B1038" t="s">
        <v>1925</v>
      </c>
      <c r="C1038">
        <v>506405</v>
      </c>
      <c r="D1038" t="s">
        <v>366</v>
      </c>
      <c r="E1038" t="s">
        <v>526</v>
      </c>
    </row>
    <row r="1039" spans="2:5" x14ac:dyDescent="0.2">
      <c r="B1039" t="s">
        <v>1926</v>
      </c>
      <c r="C1039">
        <v>511451</v>
      </c>
      <c r="D1039" t="s">
        <v>366</v>
      </c>
      <c r="E1039" t="s">
        <v>383</v>
      </c>
    </row>
    <row r="1040" spans="2:5" x14ac:dyDescent="0.2">
      <c r="B1040" t="s">
        <v>1927</v>
      </c>
      <c r="C1040">
        <v>507442</v>
      </c>
      <c r="D1040" t="s">
        <v>1928</v>
      </c>
      <c r="E1040" t="s">
        <v>1065</v>
      </c>
    </row>
    <row r="1041" spans="2:5" x14ac:dyDescent="0.2">
      <c r="B1041" t="s">
        <v>1929</v>
      </c>
      <c r="C1041">
        <v>501945</v>
      </c>
      <c r="D1041" t="s">
        <v>366</v>
      </c>
      <c r="E1041" t="s">
        <v>383</v>
      </c>
    </row>
    <row r="1042" spans="2:5" x14ac:dyDescent="0.2">
      <c r="B1042" t="s">
        <v>1930</v>
      </c>
      <c r="C1042">
        <v>526971</v>
      </c>
      <c r="D1042" t="s">
        <v>366</v>
      </c>
      <c r="E1042" t="s">
        <v>388</v>
      </c>
    </row>
    <row r="1043" spans="2:5" x14ac:dyDescent="0.2">
      <c r="B1043" t="s">
        <v>1931</v>
      </c>
      <c r="C1043">
        <v>531306</v>
      </c>
      <c r="D1043" t="s">
        <v>366</v>
      </c>
      <c r="E1043" t="s">
        <v>374</v>
      </c>
    </row>
    <row r="1044" spans="2:5" x14ac:dyDescent="0.2">
      <c r="B1044" t="s">
        <v>1932</v>
      </c>
      <c r="C1044">
        <v>531306</v>
      </c>
      <c r="D1044" t="s">
        <v>366</v>
      </c>
      <c r="E1044" t="s">
        <v>374</v>
      </c>
    </row>
    <row r="1045" spans="2:5" x14ac:dyDescent="0.2">
      <c r="B1045" t="s">
        <v>1933</v>
      </c>
      <c r="C1045">
        <v>541302</v>
      </c>
      <c r="D1045" t="s">
        <v>366</v>
      </c>
      <c r="E1045" t="s">
        <v>764</v>
      </c>
    </row>
    <row r="1046" spans="2:5" x14ac:dyDescent="0.2">
      <c r="B1046" t="s">
        <v>1934</v>
      </c>
      <c r="C1046">
        <v>507886</v>
      </c>
      <c r="D1046" t="s">
        <v>366</v>
      </c>
      <c r="E1046" t="s">
        <v>452</v>
      </c>
    </row>
    <row r="1047" spans="2:5" x14ac:dyDescent="0.2">
      <c r="B1047" t="s">
        <v>1935</v>
      </c>
      <c r="C1047">
        <v>540695</v>
      </c>
      <c r="D1047" t="s">
        <v>366</v>
      </c>
      <c r="E1047" t="s">
        <v>388</v>
      </c>
    </row>
    <row r="1048" spans="2:5" x14ac:dyDescent="0.2">
      <c r="B1048" t="s">
        <v>1936</v>
      </c>
      <c r="C1048">
        <v>531237</v>
      </c>
      <c r="D1048" t="s">
        <v>366</v>
      </c>
      <c r="E1048" t="s">
        <v>383</v>
      </c>
    </row>
    <row r="1049" spans="2:5" x14ac:dyDescent="0.2">
      <c r="B1049" t="s">
        <v>1937</v>
      </c>
      <c r="C1049">
        <v>533336</v>
      </c>
      <c r="D1049" t="s">
        <v>1938</v>
      </c>
      <c r="E1049" t="s">
        <v>386</v>
      </c>
    </row>
    <row r="1050" spans="2:5" x14ac:dyDescent="0.2">
      <c r="B1050" t="s">
        <v>1939</v>
      </c>
      <c r="C1050">
        <v>523736</v>
      </c>
      <c r="D1050" t="s">
        <v>1940</v>
      </c>
      <c r="E1050" t="s">
        <v>743</v>
      </c>
    </row>
    <row r="1051" spans="2:5" x14ac:dyDescent="0.2">
      <c r="B1051" t="s">
        <v>1941</v>
      </c>
      <c r="C1051">
        <v>538902</v>
      </c>
      <c r="D1051" t="s">
        <v>1942</v>
      </c>
      <c r="E1051" t="s">
        <v>773</v>
      </c>
    </row>
    <row r="1052" spans="2:5" x14ac:dyDescent="0.2">
      <c r="B1052" t="s">
        <v>1943</v>
      </c>
      <c r="C1052" t="s">
        <v>366</v>
      </c>
      <c r="D1052" t="s">
        <v>1944</v>
      </c>
      <c r="E1052" t="s">
        <v>773</v>
      </c>
    </row>
    <row r="1053" spans="2:5" x14ac:dyDescent="0.2">
      <c r="B1053" t="s">
        <v>1945</v>
      </c>
      <c r="C1053">
        <v>508860</v>
      </c>
      <c r="D1053" t="s">
        <v>366</v>
      </c>
      <c r="E1053" t="s">
        <v>764</v>
      </c>
    </row>
    <row r="1054" spans="2:5" x14ac:dyDescent="0.2">
      <c r="B1054" t="s">
        <v>1946</v>
      </c>
      <c r="C1054">
        <v>500120</v>
      </c>
      <c r="D1054" t="s">
        <v>366</v>
      </c>
      <c r="E1054" t="s">
        <v>414</v>
      </c>
    </row>
    <row r="1055" spans="2:5" x14ac:dyDescent="0.2">
      <c r="B1055" t="s">
        <v>1947</v>
      </c>
      <c r="C1055">
        <v>522163</v>
      </c>
      <c r="D1055" t="s">
        <v>1948</v>
      </c>
      <c r="E1055" t="s">
        <v>664</v>
      </c>
    </row>
    <row r="1056" spans="2:5" x14ac:dyDescent="0.2">
      <c r="B1056" t="s">
        <v>1949</v>
      </c>
      <c r="C1056">
        <v>530959</v>
      </c>
      <c r="D1056" t="s">
        <v>366</v>
      </c>
      <c r="E1056" t="s">
        <v>773</v>
      </c>
    </row>
    <row r="1057" spans="2:5" x14ac:dyDescent="0.2">
      <c r="B1057" t="s">
        <v>1950</v>
      </c>
      <c r="C1057">
        <v>500089</v>
      </c>
      <c r="D1057" t="s">
        <v>1951</v>
      </c>
      <c r="E1057" t="s">
        <v>526</v>
      </c>
    </row>
    <row r="1058" spans="2:5" x14ac:dyDescent="0.2">
      <c r="B1058" t="s">
        <v>1952</v>
      </c>
      <c r="C1058">
        <v>500089</v>
      </c>
      <c r="D1058" t="s">
        <v>1951</v>
      </c>
      <c r="E1058" t="s">
        <v>526</v>
      </c>
    </row>
    <row r="1059" spans="2:5" x14ac:dyDescent="0.2">
      <c r="B1059" t="s">
        <v>1953</v>
      </c>
      <c r="C1059">
        <v>540811</v>
      </c>
      <c r="D1059" t="s">
        <v>366</v>
      </c>
      <c r="E1059" t="s">
        <v>388</v>
      </c>
    </row>
    <row r="1060" spans="2:5" x14ac:dyDescent="0.2">
      <c r="B1060" t="s">
        <v>1954</v>
      </c>
      <c r="C1060">
        <v>542685</v>
      </c>
      <c r="D1060" t="s">
        <v>1955</v>
      </c>
      <c r="E1060" t="s">
        <v>890</v>
      </c>
    </row>
    <row r="1061" spans="2:5" x14ac:dyDescent="0.2">
      <c r="B1061" t="s">
        <v>1956</v>
      </c>
      <c r="C1061">
        <v>539979</v>
      </c>
      <c r="D1061" t="s">
        <v>1957</v>
      </c>
      <c r="E1061" t="s">
        <v>381</v>
      </c>
    </row>
    <row r="1062" spans="2:5" x14ac:dyDescent="0.2">
      <c r="B1062" t="s">
        <v>1958</v>
      </c>
      <c r="C1062">
        <v>540151</v>
      </c>
      <c r="D1062" t="s">
        <v>366</v>
      </c>
      <c r="E1062" t="s">
        <v>369</v>
      </c>
    </row>
    <row r="1063" spans="2:5" x14ac:dyDescent="0.2">
      <c r="B1063" t="s">
        <v>1959</v>
      </c>
      <c r="C1063">
        <v>542155</v>
      </c>
      <c r="D1063" t="s">
        <v>1960</v>
      </c>
      <c r="E1063" t="s">
        <v>732</v>
      </c>
    </row>
    <row r="1064" spans="2:5" x14ac:dyDescent="0.2">
      <c r="B1064" t="s">
        <v>1961</v>
      </c>
      <c r="C1064">
        <v>506414</v>
      </c>
      <c r="D1064" t="s">
        <v>366</v>
      </c>
      <c r="E1064" t="s">
        <v>404</v>
      </c>
    </row>
    <row r="1065" spans="2:5" x14ac:dyDescent="0.2">
      <c r="B1065" t="s">
        <v>1962</v>
      </c>
      <c r="C1065">
        <v>531153</v>
      </c>
      <c r="D1065" t="s">
        <v>366</v>
      </c>
      <c r="E1065" t="s">
        <v>615</v>
      </c>
    </row>
    <row r="1066" spans="2:5" x14ac:dyDescent="0.2">
      <c r="B1066" t="s">
        <v>1963</v>
      </c>
      <c r="C1066">
        <v>540789</v>
      </c>
      <c r="D1066" t="s">
        <v>1964</v>
      </c>
      <c r="E1066" t="s">
        <v>1965</v>
      </c>
    </row>
    <row r="1067" spans="2:5" x14ac:dyDescent="0.2">
      <c r="B1067" t="s">
        <v>1966</v>
      </c>
      <c r="C1067">
        <v>540047</v>
      </c>
      <c r="D1067" t="s">
        <v>1967</v>
      </c>
      <c r="E1067" t="s">
        <v>961</v>
      </c>
    </row>
    <row r="1068" spans="2:5" x14ac:dyDescent="0.2">
      <c r="B1068" t="s">
        <v>1968</v>
      </c>
      <c r="C1068">
        <v>526927</v>
      </c>
      <c r="D1068" t="s">
        <v>366</v>
      </c>
      <c r="E1068" t="s">
        <v>459</v>
      </c>
    </row>
    <row r="1069" spans="2:5" x14ac:dyDescent="0.2">
      <c r="B1069" t="s">
        <v>1969</v>
      </c>
      <c r="C1069">
        <v>500068</v>
      </c>
      <c r="D1069" t="s">
        <v>366</v>
      </c>
      <c r="E1069" t="s">
        <v>374</v>
      </c>
    </row>
    <row r="1070" spans="2:5" x14ac:dyDescent="0.2">
      <c r="B1070" t="s">
        <v>1970</v>
      </c>
      <c r="C1070">
        <v>500068</v>
      </c>
      <c r="D1070" t="s">
        <v>366</v>
      </c>
      <c r="E1070" t="s">
        <v>374</v>
      </c>
    </row>
    <row r="1071" spans="2:5" x14ac:dyDescent="0.2">
      <c r="B1071" t="s">
        <v>1971</v>
      </c>
      <c r="C1071">
        <v>532839</v>
      </c>
      <c r="D1071" t="s">
        <v>1972</v>
      </c>
      <c r="E1071" t="s">
        <v>1103</v>
      </c>
    </row>
    <row r="1072" spans="2:5" x14ac:dyDescent="0.2">
      <c r="B1072" t="s">
        <v>1973</v>
      </c>
      <c r="C1072">
        <v>532839</v>
      </c>
      <c r="D1072" t="s">
        <v>1972</v>
      </c>
      <c r="E1072" t="s">
        <v>1103</v>
      </c>
    </row>
    <row r="1073" spans="2:5" x14ac:dyDescent="0.2">
      <c r="B1073" t="s">
        <v>1974</v>
      </c>
      <c r="C1073">
        <v>531553</v>
      </c>
      <c r="D1073" t="s">
        <v>366</v>
      </c>
      <c r="E1073" t="s">
        <v>787</v>
      </c>
    </row>
    <row r="1074" spans="2:5" x14ac:dyDescent="0.2">
      <c r="B1074" t="s">
        <v>1975</v>
      </c>
      <c r="C1074">
        <v>540701</v>
      </c>
      <c r="D1074" t="s">
        <v>1976</v>
      </c>
      <c r="E1074" t="s">
        <v>404</v>
      </c>
    </row>
    <row r="1075" spans="2:5" x14ac:dyDescent="0.2">
      <c r="B1075" t="s">
        <v>1977</v>
      </c>
      <c r="C1075">
        <v>538432</v>
      </c>
      <c r="D1075" t="s">
        <v>366</v>
      </c>
      <c r="E1075" t="s">
        <v>388</v>
      </c>
    </row>
    <row r="1076" spans="2:5" x14ac:dyDescent="0.2">
      <c r="B1076" t="s">
        <v>1978</v>
      </c>
      <c r="C1076">
        <v>532488</v>
      </c>
      <c r="D1076" t="s">
        <v>1979</v>
      </c>
      <c r="E1076" t="s">
        <v>404</v>
      </c>
    </row>
    <row r="1077" spans="2:5" x14ac:dyDescent="0.2">
      <c r="B1077" t="s">
        <v>1980</v>
      </c>
      <c r="C1077">
        <v>526285</v>
      </c>
      <c r="D1077" t="s">
        <v>366</v>
      </c>
      <c r="E1077" t="s">
        <v>615</v>
      </c>
    </row>
    <row r="1078" spans="2:5" x14ac:dyDescent="0.2">
      <c r="B1078" t="s">
        <v>1981</v>
      </c>
      <c r="C1078">
        <v>526315</v>
      </c>
      <c r="D1078" t="s">
        <v>366</v>
      </c>
      <c r="E1078" t="s">
        <v>894</v>
      </c>
    </row>
    <row r="1079" spans="2:5" x14ac:dyDescent="0.2">
      <c r="B1079" t="s">
        <v>1982</v>
      </c>
      <c r="C1079">
        <v>540699</v>
      </c>
      <c r="D1079" t="s">
        <v>1983</v>
      </c>
      <c r="E1079" t="s">
        <v>735</v>
      </c>
    </row>
    <row r="1080" spans="2:5" x14ac:dyDescent="0.2">
      <c r="B1080" t="s">
        <v>1984</v>
      </c>
      <c r="C1080">
        <v>540699</v>
      </c>
      <c r="D1080" t="s">
        <v>1983</v>
      </c>
      <c r="E1080" t="s">
        <v>735</v>
      </c>
    </row>
    <row r="1081" spans="2:5" x14ac:dyDescent="0.2">
      <c r="B1081" t="s">
        <v>1985</v>
      </c>
      <c r="C1081">
        <v>532868</v>
      </c>
      <c r="D1081" t="s">
        <v>1986</v>
      </c>
      <c r="E1081" t="s">
        <v>452</v>
      </c>
    </row>
    <row r="1082" spans="2:5" x14ac:dyDescent="0.2">
      <c r="B1082" t="s">
        <v>1987</v>
      </c>
      <c r="C1082">
        <v>533146</v>
      </c>
      <c r="D1082" t="s">
        <v>1988</v>
      </c>
      <c r="E1082" t="s">
        <v>1989</v>
      </c>
    </row>
    <row r="1083" spans="2:5" x14ac:dyDescent="0.2">
      <c r="B1083" t="s">
        <v>1990</v>
      </c>
      <c r="C1083">
        <v>533146</v>
      </c>
      <c r="D1083" t="s">
        <v>1991</v>
      </c>
      <c r="E1083" t="s">
        <v>1989</v>
      </c>
    </row>
    <row r="1084" spans="2:5" x14ac:dyDescent="0.2">
      <c r="B1084" t="s">
        <v>1992</v>
      </c>
      <c r="C1084">
        <v>505526</v>
      </c>
      <c r="D1084" t="s">
        <v>366</v>
      </c>
      <c r="E1084" t="s">
        <v>386</v>
      </c>
    </row>
    <row r="1085" spans="2:5" x14ac:dyDescent="0.2">
      <c r="B1085" t="s">
        <v>1993</v>
      </c>
      <c r="C1085">
        <v>542013</v>
      </c>
      <c r="D1085" t="s">
        <v>366</v>
      </c>
      <c r="E1085" t="s">
        <v>846</v>
      </c>
    </row>
    <row r="1086" spans="2:5" x14ac:dyDescent="0.2">
      <c r="B1086" t="s">
        <v>1994</v>
      </c>
      <c r="C1086">
        <v>541403</v>
      </c>
      <c r="D1086" t="s">
        <v>1995</v>
      </c>
      <c r="E1086" t="s">
        <v>480</v>
      </c>
    </row>
    <row r="1087" spans="2:5" x14ac:dyDescent="0.2">
      <c r="B1087" t="s">
        <v>1996</v>
      </c>
      <c r="C1087">
        <v>526504</v>
      </c>
      <c r="D1087" t="s">
        <v>366</v>
      </c>
      <c r="E1087" t="s">
        <v>555</v>
      </c>
    </row>
    <row r="1088" spans="2:5" x14ac:dyDescent="0.2">
      <c r="B1088" t="s">
        <v>1997</v>
      </c>
      <c r="C1088">
        <v>522261</v>
      </c>
      <c r="D1088" t="s">
        <v>1998</v>
      </c>
      <c r="E1088" t="s">
        <v>707</v>
      </c>
    </row>
    <row r="1089" spans="2:5" x14ac:dyDescent="0.2">
      <c r="B1089" t="s">
        <v>1999</v>
      </c>
      <c r="C1089">
        <v>522261</v>
      </c>
      <c r="D1089" t="s">
        <v>1998</v>
      </c>
      <c r="E1089" t="s">
        <v>707</v>
      </c>
    </row>
    <row r="1090" spans="2:5" x14ac:dyDescent="0.2">
      <c r="B1090" t="s">
        <v>2000</v>
      </c>
      <c r="C1090">
        <v>512519</v>
      </c>
      <c r="D1090" t="s">
        <v>2001</v>
      </c>
      <c r="E1090" t="s">
        <v>381</v>
      </c>
    </row>
    <row r="1091" spans="2:5" x14ac:dyDescent="0.2">
      <c r="B1091" t="s">
        <v>2002</v>
      </c>
      <c r="C1091" t="s">
        <v>366</v>
      </c>
      <c r="D1091" t="s">
        <v>2003</v>
      </c>
      <c r="E1091" t="s">
        <v>457</v>
      </c>
    </row>
    <row r="1092" spans="2:5" x14ac:dyDescent="0.2">
      <c r="B1092" t="s">
        <v>2004</v>
      </c>
      <c r="C1092">
        <v>533176</v>
      </c>
      <c r="D1092" t="s">
        <v>2005</v>
      </c>
      <c r="E1092" t="s">
        <v>369</v>
      </c>
    </row>
    <row r="1093" spans="2:5" x14ac:dyDescent="0.2">
      <c r="B1093" t="s">
        <v>2006</v>
      </c>
      <c r="C1093">
        <v>526783</v>
      </c>
      <c r="D1093" t="s">
        <v>366</v>
      </c>
      <c r="E1093" t="s">
        <v>555</v>
      </c>
    </row>
    <row r="1094" spans="2:5" x14ac:dyDescent="0.2">
      <c r="B1094" t="s">
        <v>2007</v>
      </c>
      <c r="C1094">
        <v>539267</v>
      </c>
      <c r="D1094" t="s">
        <v>366</v>
      </c>
      <c r="E1094" t="s">
        <v>388</v>
      </c>
    </row>
    <row r="1095" spans="2:5" x14ac:dyDescent="0.2">
      <c r="B1095" t="s">
        <v>2008</v>
      </c>
      <c r="C1095">
        <v>539524</v>
      </c>
      <c r="D1095" t="s">
        <v>2009</v>
      </c>
      <c r="E1095" t="s">
        <v>555</v>
      </c>
    </row>
    <row r="1096" spans="2:5" x14ac:dyDescent="0.2">
      <c r="B1096" t="s">
        <v>2010</v>
      </c>
      <c r="C1096">
        <v>541299</v>
      </c>
      <c r="D1096" t="s">
        <v>366</v>
      </c>
      <c r="E1096" t="s">
        <v>555</v>
      </c>
    </row>
    <row r="1097" spans="2:5" x14ac:dyDescent="0.2">
      <c r="B1097" t="s">
        <v>2011</v>
      </c>
      <c r="C1097">
        <v>500124</v>
      </c>
      <c r="D1097" t="s">
        <v>2012</v>
      </c>
      <c r="E1097" t="s">
        <v>404</v>
      </c>
    </row>
    <row r="1098" spans="2:5" x14ac:dyDescent="0.2">
      <c r="B1098" t="s">
        <v>2013</v>
      </c>
      <c r="C1098">
        <v>540144</v>
      </c>
      <c r="D1098" t="s">
        <v>366</v>
      </c>
      <c r="E1098" t="s">
        <v>450</v>
      </c>
    </row>
    <row r="1099" spans="2:5" x14ac:dyDescent="0.2">
      <c r="B1099" t="s">
        <v>2014</v>
      </c>
      <c r="C1099">
        <v>523618</v>
      </c>
      <c r="D1099" t="s">
        <v>2015</v>
      </c>
      <c r="E1099" t="s">
        <v>1611</v>
      </c>
    </row>
    <row r="1100" spans="2:5" x14ac:dyDescent="0.2">
      <c r="B1100" t="s">
        <v>2016</v>
      </c>
      <c r="C1100">
        <v>523618</v>
      </c>
      <c r="D1100" t="s">
        <v>2015</v>
      </c>
      <c r="E1100" t="s">
        <v>1611</v>
      </c>
    </row>
    <row r="1101" spans="2:5" x14ac:dyDescent="0.2">
      <c r="B1101" t="s">
        <v>2017</v>
      </c>
      <c r="C1101">
        <v>534674</v>
      </c>
      <c r="D1101" t="s">
        <v>2018</v>
      </c>
      <c r="E1101" t="s">
        <v>388</v>
      </c>
    </row>
    <row r="1102" spans="2:5" x14ac:dyDescent="0.2">
      <c r="B1102" t="s">
        <v>2019</v>
      </c>
      <c r="C1102">
        <v>511634</v>
      </c>
      <c r="D1102" t="s">
        <v>366</v>
      </c>
      <c r="E1102" t="s">
        <v>764</v>
      </c>
    </row>
    <row r="1103" spans="2:5" x14ac:dyDescent="0.2">
      <c r="B1103" t="s">
        <v>2020</v>
      </c>
      <c r="C1103">
        <v>531471</v>
      </c>
      <c r="D1103" t="s">
        <v>366</v>
      </c>
      <c r="E1103" t="s">
        <v>707</v>
      </c>
    </row>
    <row r="1104" spans="2:5" x14ac:dyDescent="0.2">
      <c r="B1104" t="s">
        <v>2021</v>
      </c>
      <c r="C1104">
        <v>504908</v>
      </c>
      <c r="D1104" t="s">
        <v>366</v>
      </c>
      <c r="E1104" t="s">
        <v>721</v>
      </c>
    </row>
    <row r="1105" spans="2:5" x14ac:dyDescent="0.2">
      <c r="B1105" t="s">
        <v>2022</v>
      </c>
      <c r="C1105">
        <v>526355</v>
      </c>
      <c r="D1105" t="s">
        <v>366</v>
      </c>
      <c r="E1105" t="s">
        <v>486</v>
      </c>
    </row>
    <row r="1106" spans="2:5" x14ac:dyDescent="0.2">
      <c r="B1106" t="s">
        <v>2023</v>
      </c>
      <c r="C1106">
        <v>517437</v>
      </c>
      <c r="D1106" t="s">
        <v>366</v>
      </c>
      <c r="E1106" t="s">
        <v>486</v>
      </c>
    </row>
    <row r="1107" spans="2:5" x14ac:dyDescent="0.2">
      <c r="B1107" t="s">
        <v>2024</v>
      </c>
      <c r="C1107">
        <v>532610</v>
      </c>
      <c r="D1107" t="s">
        <v>2025</v>
      </c>
      <c r="E1107" t="s">
        <v>1065</v>
      </c>
    </row>
    <row r="1108" spans="2:5" x14ac:dyDescent="0.2">
      <c r="B1108" t="s">
        <v>2026</v>
      </c>
      <c r="C1108">
        <v>538608</v>
      </c>
      <c r="D1108" t="s">
        <v>2027</v>
      </c>
      <c r="E1108" t="s">
        <v>732</v>
      </c>
    </row>
    <row r="1109" spans="2:5" x14ac:dyDescent="0.2">
      <c r="B1109" t="s">
        <v>2028</v>
      </c>
      <c r="C1109">
        <v>532365</v>
      </c>
      <c r="D1109" t="s">
        <v>2029</v>
      </c>
      <c r="E1109" t="s">
        <v>352</v>
      </c>
    </row>
    <row r="1110" spans="2:5" x14ac:dyDescent="0.2">
      <c r="B1110" t="s">
        <v>2030</v>
      </c>
      <c r="C1110">
        <v>505242</v>
      </c>
      <c r="D1110" t="s">
        <v>2031</v>
      </c>
      <c r="E1110" t="s">
        <v>374</v>
      </c>
    </row>
    <row r="1111" spans="2:5" x14ac:dyDescent="0.2">
      <c r="B1111" t="s">
        <v>2032</v>
      </c>
      <c r="C1111">
        <v>539681</v>
      </c>
      <c r="D1111" t="s">
        <v>366</v>
      </c>
      <c r="E1111" t="s">
        <v>383</v>
      </c>
    </row>
    <row r="1112" spans="2:5" x14ac:dyDescent="0.2">
      <c r="B1112" t="s">
        <v>2033</v>
      </c>
      <c r="C1112">
        <v>540795</v>
      </c>
      <c r="D1112" t="s">
        <v>366</v>
      </c>
      <c r="E1112" t="s">
        <v>664</v>
      </c>
    </row>
    <row r="1113" spans="2:5" x14ac:dyDescent="0.2">
      <c r="B1113" t="s">
        <v>2034</v>
      </c>
      <c r="C1113">
        <v>524818</v>
      </c>
      <c r="D1113" t="s">
        <v>366</v>
      </c>
      <c r="E1113" t="s">
        <v>526</v>
      </c>
    </row>
    <row r="1114" spans="2:5" x14ac:dyDescent="0.2">
      <c r="B1114" t="s">
        <v>2035</v>
      </c>
      <c r="C1114">
        <v>530779</v>
      </c>
      <c r="D1114" t="s">
        <v>366</v>
      </c>
      <c r="E1114" t="s">
        <v>383</v>
      </c>
    </row>
    <row r="1115" spans="2:5" x14ac:dyDescent="0.2">
      <c r="B1115" t="s">
        <v>2036</v>
      </c>
      <c r="C1115">
        <v>517238</v>
      </c>
      <c r="D1115" t="s">
        <v>366</v>
      </c>
      <c r="E1115" t="s">
        <v>908</v>
      </c>
    </row>
    <row r="1116" spans="2:5" x14ac:dyDescent="0.2">
      <c r="B1116" t="s">
        <v>2037</v>
      </c>
      <c r="C1116">
        <v>532707</v>
      </c>
      <c r="D1116" t="s">
        <v>2038</v>
      </c>
      <c r="E1116" t="s">
        <v>526</v>
      </c>
    </row>
    <row r="1117" spans="2:5" x14ac:dyDescent="0.2">
      <c r="B1117" t="s">
        <v>2039</v>
      </c>
      <c r="C1117">
        <v>531533</v>
      </c>
      <c r="D1117" t="s">
        <v>366</v>
      </c>
      <c r="E1117" t="s">
        <v>352</v>
      </c>
    </row>
    <row r="1118" spans="2:5" x14ac:dyDescent="0.2">
      <c r="B1118" t="s">
        <v>2040</v>
      </c>
      <c r="C1118" t="s">
        <v>366</v>
      </c>
      <c r="D1118" t="s">
        <v>2041</v>
      </c>
      <c r="E1118" t="s">
        <v>377</v>
      </c>
    </row>
    <row r="1119" spans="2:5" x14ac:dyDescent="0.2">
      <c r="B1119" t="s">
        <v>2042</v>
      </c>
      <c r="C1119">
        <v>507917</v>
      </c>
      <c r="D1119" t="s">
        <v>366</v>
      </c>
      <c r="E1119" t="s">
        <v>452</v>
      </c>
    </row>
    <row r="1120" spans="2:5" x14ac:dyDescent="0.2">
      <c r="B1120" t="s">
        <v>2043</v>
      </c>
      <c r="C1120">
        <v>520081</v>
      </c>
      <c r="D1120" t="s">
        <v>366</v>
      </c>
      <c r="E1120" t="s">
        <v>398</v>
      </c>
    </row>
    <row r="1121" spans="2:5" x14ac:dyDescent="0.2">
      <c r="B1121" t="s">
        <v>2044</v>
      </c>
      <c r="C1121">
        <v>541053</v>
      </c>
      <c r="D1121" t="s">
        <v>366</v>
      </c>
      <c r="E1121" t="s">
        <v>349</v>
      </c>
    </row>
    <row r="1122" spans="2:5" x14ac:dyDescent="0.2">
      <c r="B1122" t="s">
        <v>2045</v>
      </c>
      <c r="C1122">
        <v>590022</v>
      </c>
      <c r="D1122" t="s">
        <v>2046</v>
      </c>
      <c r="E1122" t="s">
        <v>381</v>
      </c>
    </row>
    <row r="1123" spans="2:5" x14ac:dyDescent="0.2">
      <c r="B1123" t="s">
        <v>2047</v>
      </c>
      <c r="C1123">
        <v>531346</v>
      </c>
      <c r="D1123" t="s">
        <v>366</v>
      </c>
      <c r="E1123" t="s">
        <v>846</v>
      </c>
    </row>
    <row r="1124" spans="2:5" x14ac:dyDescent="0.2">
      <c r="B1124" t="s">
        <v>2048</v>
      </c>
      <c r="C1124">
        <v>532751</v>
      </c>
      <c r="D1124" t="s">
        <v>2049</v>
      </c>
      <c r="E1124" t="s">
        <v>664</v>
      </c>
    </row>
    <row r="1125" spans="2:5" x14ac:dyDescent="0.2">
      <c r="B1125" t="s">
        <v>2050</v>
      </c>
      <c r="C1125" t="s">
        <v>366</v>
      </c>
      <c r="D1125" t="s">
        <v>2051</v>
      </c>
      <c r="E1125" t="s">
        <v>457</v>
      </c>
    </row>
    <row r="1126" spans="2:5" x14ac:dyDescent="0.2">
      <c r="B1126" t="s">
        <v>2052</v>
      </c>
      <c r="C1126">
        <v>532927</v>
      </c>
      <c r="D1126" t="s">
        <v>2053</v>
      </c>
      <c r="E1126" t="s">
        <v>696</v>
      </c>
    </row>
    <row r="1127" spans="2:5" x14ac:dyDescent="0.2">
      <c r="B1127" t="s">
        <v>2054</v>
      </c>
      <c r="C1127">
        <v>534839</v>
      </c>
      <c r="D1127" t="s">
        <v>366</v>
      </c>
      <c r="E1127" t="s">
        <v>564</v>
      </c>
    </row>
    <row r="1128" spans="2:5" x14ac:dyDescent="0.2">
      <c r="B1128" t="s">
        <v>2055</v>
      </c>
      <c r="C1128">
        <v>530643</v>
      </c>
      <c r="D1128" t="s">
        <v>366</v>
      </c>
      <c r="E1128" t="s">
        <v>908</v>
      </c>
    </row>
    <row r="1129" spans="2:5" x14ac:dyDescent="0.2">
      <c r="B1129" t="s">
        <v>2056</v>
      </c>
      <c r="C1129">
        <v>523732</v>
      </c>
      <c r="D1129" t="s">
        <v>366</v>
      </c>
      <c r="E1129" t="s">
        <v>861</v>
      </c>
    </row>
    <row r="1130" spans="2:5" x14ac:dyDescent="0.2">
      <c r="B1130" t="s">
        <v>2057</v>
      </c>
      <c r="C1130">
        <v>538708</v>
      </c>
      <c r="D1130" t="s">
        <v>366</v>
      </c>
      <c r="E1130" t="s">
        <v>383</v>
      </c>
    </row>
    <row r="1131" spans="2:5" x14ac:dyDescent="0.2">
      <c r="B1131" t="s">
        <v>2058</v>
      </c>
      <c r="C1131">
        <v>538708</v>
      </c>
      <c r="D1131" t="s">
        <v>366</v>
      </c>
      <c r="E1131" t="s">
        <v>383</v>
      </c>
    </row>
    <row r="1132" spans="2:5" x14ac:dyDescent="0.2">
      <c r="B1132" t="s">
        <v>2059</v>
      </c>
      <c r="C1132">
        <v>526703</v>
      </c>
      <c r="D1132" t="s">
        <v>366</v>
      </c>
      <c r="E1132" t="s">
        <v>486</v>
      </c>
    </row>
    <row r="1133" spans="2:5" x14ac:dyDescent="0.2">
      <c r="B1133" t="s">
        <v>2060</v>
      </c>
      <c r="C1133">
        <v>540063</v>
      </c>
      <c r="D1133" t="s">
        <v>366</v>
      </c>
      <c r="E1133" t="s">
        <v>352</v>
      </c>
    </row>
    <row r="1134" spans="2:5" x14ac:dyDescent="0.2">
      <c r="B1134" t="s">
        <v>2061</v>
      </c>
      <c r="C1134">
        <v>532922</v>
      </c>
      <c r="D1134" t="s">
        <v>2062</v>
      </c>
      <c r="E1134" t="s">
        <v>349</v>
      </c>
    </row>
    <row r="1135" spans="2:5" x14ac:dyDescent="0.2">
      <c r="B1135" t="s">
        <v>2063</v>
      </c>
      <c r="C1135">
        <v>532696</v>
      </c>
      <c r="D1135" t="s">
        <v>2064</v>
      </c>
      <c r="E1135" t="s">
        <v>471</v>
      </c>
    </row>
    <row r="1136" spans="2:5" x14ac:dyDescent="0.2">
      <c r="B1136" t="s">
        <v>2065</v>
      </c>
      <c r="C1136">
        <v>526483</v>
      </c>
      <c r="D1136" t="s">
        <v>366</v>
      </c>
      <c r="E1136" t="s">
        <v>1602</v>
      </c>
    </row>
    <row r="1137" spans="2:5" x14ac:dyDescent="0.2">
      <c r="B1137" t="s">
        <v>2066</v>
      </c>
      <c r="C1137">
        <v>535694</v>
      </c>
      <c r="D1137" t="s">
        <v>366</v>
      </c>
      <c r="E1137" t="s">
        <v>388</v>
      </c>
    </row>
    <row r="1138" spans="2:5" x14ac:dyDescent="0.2">
      <c r="B1138" t="s">
        <v>2067</v>
      </c>
      <c r="C1138">
        <v>505200</v>
      </c>
      <c r="D1138" t="s">
        <v>2068</v>
      </c>
      <c r="E1138" t="s">
        <v>1024</v>
      </c>
    </row>
    <row r="1139" spans="2:5" x14ac:dyDescent="0.2">
      <c r="B1139" t="s">
        <v>2069</v>
      </c>
      <c r="C1139">
        <v>500125</v>
      </c>
      <c r="D1139" t="s">
        <v>2070</v>
      </c>
      <c r="E1139" t="s">
        <v>1065</v>
      </c>
    </row>
    <row r="1140" spans="2:5" x14ac:dyDescent="0.2">
      <c r="B1140" t="s">
        <v>2071</v>
      </c>
      <c r="C1140">
        <v>500125</v>
      </c>
      <c r="D1140" t="s">
        <v>2070</v>
      </c>
      <c r="E1140" t="s">
        <v>1065</v>
      </c>
    </row>
    <row r="1141" spans="2:5" x14ac:dyDescent="0.2">
      <c r="B1141" t="s">
        <v>2072</v>
      </c>
      <c r="C1141">
        <v>523127</v>
      </c>
      <c r="D1141" t="s">
        <v>2073</v>
      </c>
      <c r="E1141" t="s">
        <v>567</v>
      </c>
    </row>
    <row r="1142" spans="2:5" x14ac:dyDescent="0.2">
      <c r="B1142" t="s">
        <v>2074</v>
      </c>
      <c r="C1142">
        <v>500840</v>
      </c>
      <c r="D1142" t="s">
        <v>2075</v>
      </c>
      <c r="E1142" t="s">
        <v>567</v>
      </c>
    </row>
    <row r="1143" spans="2:5" x14ac:dyDescent="0.2">
      <c r="B1143" t="s">
        <v>2076</v>
      </c>
      <c r="C1143">
        <v>523708</v>
      </c>
      <c r="D1143" t="s">
        <v>2077</v>
      </c>
      <c r="E1143" t="s">
        <v>374</v>
      </c>
    </row>
    <row r="1144" spans="2:5" x14ac:dyDescent="0.2">
      <c r="B1144" t="s">
        <v>2078</v>
      </c>
      <c r="C1144">
        <v>523708</v>
      </c>
      <c r="D1144" t="s">
        <v>2077</v>
      </c>
      <c r="E1144" t="s">
        <v>374</v>
      </c>
    </row>
    <row r="1145" spans="2:5" x14ac:dyDescent="0.2">
      <c r="B1145" t="s">
        <v>2079</v>
      </c>
      <c r="C1145">
        <v>538653</v>
      </c>
      <c r="D1145" t="s">
        <v>2080</v>
      </c>
      <c r="E1145" t="s">
        <v>732</v>
      </c>
    </row>
    <row r="1146" spans="2:5" x14ac:dyDescent="0.2">
      <c r="B1146" t="s">
        <v>2081</v>
      </c>
      <c r="C1146">
        <v>530581</v>
      </c>
      <c r="D1146" t="s">
        <v>366</v>
      </c>
      <c r="E1146" t="s">
        <v>787</v>
      </c>
    </row>
    <row r="1147" spans="2:5" x14ac:dyDescent="0.2">
      <c r="B1147" t="s">
        <v>2082</v>
      </c>
      <c r="C1147">
        <v>532820</v>
      </c>
      <c r="D1147" t="s">
        <v>2083</v>
      </c>
      <c r="E1147" t="s">
        <v>381</v>
      </c>
    </row>
    <row r="1148" spans="2:5" x14ac:dyDescent="0.2">
      <c r="B1148" t="s">
        <v>2084</v>
      </c>
      <c r="C1148">
        <v>513452</v>
      </c>
      <c r="D1148" t="s">
        <v>366</v>
      </c>
      <c r="E1148" t="s">
        <v>398</v>
      </c>
    </row>
    <row r="1149" spans="2:5" x14ac:dyDescent="0.2">
      <c r="B1149" t="s">
        <v>2085</v>
      </c>
      <c r="C1149">
        <v>500123</v>
      </c>
      <c r="D1149" t="s">
        <v>366</v>
      </c>
      <c r="E1149" t="s">
        <v>414</v>
      </c>
    </row>
    <row r="1150" spans="2:5" x14ac:dyDescent="0.2">
      <c r="B1150" t="s">
        <v>2086</v>
      </c>
      <c r="C1150">
        <v>500123</v>
      </c>
      <c r="D1150" t="s">
        <v>366</v>
      </c>
      <c r="E1150" t="s">
        <v>414</v>
      </c>
    </row>
    <row r="1151" spans="2:5" x14ac:dyDescent="0.2">
      <c r="B1151" t="s">
        <v>2087</v>
      </c>
      <c r="C1151">
        <v>503681</v>
      </c>
      <c r="D1151" t="s">
        <v>366</v>
      </c>
      <c r="E1151" t="s">
        <v>787</v>
      </c>
    </row>
    <row r="1152" spans="2:5" x14ac:dyDescent="0.2">
      <c r="B1152" t="s">
        <v>2088</v>
      </c>
      <c r="C1152">
        <v>523329</v>
      </c>
      <c r="D1152" t="s">
        <v>366</v>
      </c>
      <c r="E1152" t="s">
        <v>452</v>
      </c>
    </row>
    <row r="1153" spans="2:5" x14ac:dyDescent="0.2">
      <c r="B1153" t="s">
        <v>2089</v>
      </c>
      <c r="C1153">
        <v>505700</v>
      </c>
      <c r="D1153" t="s">
        <v>2090</v>
      </c>
      <c r="E1153" t="s">
        <v>374</v>
      </c>
    </row>
    <row r="1154" spans="2:5" x14ac:dyDescent="0.2">
      <c r="B1154" t="s">
        <v>2091</v>
      </c>
      <c r="C1154">
        <v>500128</v>
      </c>
      <c r="D1154" t="s">
        <v>2092</v>
      </c>
      <c r="E1154" t="s">
        <v>764</v>
      </c>
    </row>
    <row r="1155" spans="2:5" x14ac:dyDescent="0.2">
      <c r="B1155" t="s">
        <v>2093</v>
      </c>
      <c r="C1155">
        <v>533264</v>
      </c>
      <c r="D1155" t="s">
        <v>2094</v>
      </c>
      <c r="E1155" t="s">
        <v>764</v>
      </c>
    </row>
    <row r="1156" spans="2:5" x14ac:dyDescent="0.2">
      <c r="B1156" t="s">
        <v>2095</v>
      </c>
      <c r="C1156">
        <v>526608</v>
      </c>
      <c r="D1156" t="s">
        <v>2096</v>
      </c>
      <c r="E1156" t="s">
        <v>689</v>
      </c>
    </row>
    <row r="1157" spans="2:5" x14ac:dyDescent="0.2">
      <c r="B1157" t="s">
        <v>2097</v>
      </c>
      <c r="C1157">
        <v>526608</v>
      </c>
      <c r="D1157" t="s">
        <v>2096</v>
      </c>
      <c r="E1157" t="s">
        <v>689</v>
      </c>
    </row>
    <row r="1158" spans="2:5" x14ac:dyDescent="0.2">
      <c r="B1158" t="s">
        <v>2098</v>
      </c>
      <c r="C1158">
        <v>526473</v>
      </c>
      <c r="D1158" t="s">
        <v>366</v>
      </c>
      <c r="E1158" t="s">
        <v>564</v>
      </c>
    </row>
    <row r="1159" spans="2:5" x14ac:dyDescent="0.2">
      <c r="B1159" t="s">
        <v>2099</v>
      </c>
      <c r="C1159">
        <v>526473</v>
      </c>
      <c r="D1159" t="s">
        <v>366</v>
      </c>
      <c r="E1159" t="s">
        <v>564</v>
      </c>
    </row>
    <row r="1160" spans="2:5" x14ac:dyDescent="0.2">
      <c r="B1160" t="s">
        <v>2100</v>
      </c>
      <c r="C1160">
        <v>526705</v>
      </c>
      <c r="D1160" t="s">
        <v>366</v>
      </c>
      <c r="E1160" t="s">
        <v>388</v>
      </c>
    </row>
    <row r="1161" spans="2:5" x14ac:dyDescent="0.2">
      <c r="B1161" t="s">
        <v>2101</v>
      </c>
      <c r="C1161">
        <v>522074</v>
      </c>
      <c r="D1161" t="s">
        <v>2102</v>
      </c>
      <c r="E1161" t="s">
        <v>374</v>
      </c>
    </row>
    <row r="1162" spans="2:5" x14ac:dyDescent="0.2">
      <c r="B1162" t="s">
        <v>2103</v>
      </c>
      <c r="C1162" t="s">
        <v>366</v>
      </c>
      <c r="D1162" t="s">
        <v>2104</v>
      </c>
      <c r="E1162" t="s">
        <v>457</v>
      </c>
    </row>
    <row r="1163" spans="2:5" x14ac:dyDescent="0.2">
      <c r="B1163" t="s">
        <v>2105</v>
      </c>
      <c r="C1163">
        <v>531278</v>
      </c>
      <c r="D1163" t="s">
        <v>366</v>
      </c>
      <c r="E1163" t="s">
        <v>349</v>
      </c>
    </row>
    <row r="1164" spans="2:5" x14ac:dyDescent="0.2">
      <c r="B1164" t="s">
        <v>2106</v>
      </c>
      <c r="C1164">
        <v>517477</v>
      </c>
      <c r="D1164" t="s">
        <v>366</v>
      </c>
      <c r="E1164" t="s">
        <v>459</v>
      </c>
    </row>
    <row r="1165" spans="2:5" x14ac:dyDescent="0.2">
      <c r="B1165" t="s">
        <v>2107</v>
      </c>
      <c r="C1165">
        <v>504000</v>
      </c>
      <c r="D1165" t="s">
        <v>366</v>
      </c>
      <c r="E1165" t="s">
        <v>664</v>
      </c>
    </row>
    <row r="1166" spans="2:5" x14ac:dyDescent="0.2">
      <c r="B1166" t="s">
        <v>2108</v>
      </c>
      <c r="C1166">
        <v>522027</v>
      </c>
      <c r="D1166" t="s">
        <v>366</v>
      </c>
      <c r="E1166" t="s">
        <v>374</v>
      </c>
    </row>
    <row r="1167" spans="2:5" x14ac:dyDescent="0.2">
      <c r="B1167" t="s">
        <v>2109</v>
      </c>
      <c r="C1167">
        <v>522027</v>
      </c>
      <c r="D1167" t="s">
        <v>366</v>
      </c>
      <c r="E1167" t="s">
        <v>374</v>
      </c>
    </row>
    <row r="1168" spans="2:5" x14ac:dyDescent="0.2">
      <c r="B1168" t="s">
        <v>2110</v>
      </c>
      <c r="C1168">
        <v>531162</v>
      </c>
      <c r="D1168" t="s">
        <v>2111</v>
      </c>
      <c r="E1168" t="s">
        <v>548</v>
      </c>
    </row>
    <row r="1169" spans="2:5" x14ac:dyDescent="0.2">
      <c r="B1169" t="s">
        <v>2112</v>
      </c>
      <c r="C1169" t="s">
        <v>366</v>
      </c>
      <c r="D1169" t="s">
        <v>2113</v>
      </c>
      <c r="E1169" t="s">
        <v>548</v>
      </c>
    </row>
    <row r="1170" spans="2:5" x14ac:dyDescent="0.2">
      <c r="B1170" t="s">
        <v>2114</v>
      </c>
      <c r="C1170">
        <v>533208</v>
      </c>
      <c r="D1170" t="s">
        <v>366</v>
      </c>
      <c r="E1170" t="s">
        <v>360</v>
      </c>
    </row>
    <row r="1171" spans="2:5" x14ac:dyDescent="0.2">
      <c r="B1171" t="s">
        <v>2115</v>
      </c>
      <c r="C1171">
        <v>533218</v>
      </c>
      <c r="D1171" t="s">
        <v>2116</v>
      </c>
      <c r="E1171" t="s">
        <v>452</v>
      </c>
    </row>
    <row r="1172" spans="2:5" x14ac:dyDescent="0.2">
      <c r="B1172" t="s">
        <v>2117</v>
      </c>
      <c r="C1172">
        <v>542602</v>
      </c>
      <c r="D1172" t="s">
        <v>2118</v>
      </c>
      <c r="E1172" t="s">
        <v>386</v>
      </c>
    </row>
    <row r="1173" spans="2:5" x14ac:dyDescent="0.2">
      <c r="B1173" t="s">
        <v>2119</v>
      </c>
      <c r="C1173">
        <v>504008</v>
      </c>
      <c r="D1173" t="s">
        <v>2120</v>
      </c>
      <c r="E1173" t="s">
        <v>409</v>
      </c>
    </row>
    <row r="1174" spans="2:5" x14ac:dyDescent="0.2">
      <c r="B1174" t="s">
        <v>2121</v>
      </c>
      <c r="C1174">
        <v>538882</v>
      </c>
      <c r="D1174" t="s">
        <v>366</v>
      </c>
      <c r="E1174" t="s">
        <v>349</v>
      </c>
    </row>
    <row r="1175" spans="2:5" x14ac:dyDescent="0.2">
      <c r="B1175" t="s">
        <v>2122</v>
      </c>
      <c r="C1175">
        <v>507265</v>
      </c>
      <c r="D1175" t="s">
        <v>366</v>
      </c>
      <c r="E1175" t="s">
        <v>544</v>
      </c>
    </row>
    <row r="1176" spans="2:5" x14ac:dyDescent="0.2">
      <c r="B1176" t="s">
        <v>2123</v>
      </c>
      <c r="C1176">
        <v>530333</v>
      </c>
      <c r="D1176" t="s">
        <v>366</v>
      </c>
      <c r="E1176" t="s">
        <v>664</v>
      </c>
    </row>
    <row r="1177" spans="2:5" x14ac:dyDescent="0.2">
      <c r="B1177" t="s">
        <v>2124</v>
      </c>
      <c r="C1177">
        <v>532737</v>
      </c>
      <c r="D1177" t="s">
        <v>2125</v>
      </c>
      <c r="E1177" t="s">
        <v>349</v>
      </c>
    </row>
    <row r="1178" spans="2:5" x14ac:dyDescent="0.2">
      <c r="B1178" t="s">
        <v>2126</v>
      </c>
      <c r="C1178" t="s">
        <v>366</v>
      </c>
      <c r="D1178" t="s">
        <v>2127</v>
      </c>
      <c r="E1178" t="s">
        <v>377</v>
      </c>
    </row>
    <row r="1179" spans="2:5" x14ac:dyDescent="0.2">
      <c r="B1179" t="s">
        <v>2128</v>
      </c>
      <c r="C1179">
        <v>533161</v>
      </c>
      <c r="D1179" t="s">
        <v>2129</v>
      </c>
      <c r="E1179" t="s">
        <v>561</v>
      </c>
    </row>
    <row r="1180" spans="2:5" x14ac:dyDescent="0.2">
      <c r="B1180" t="s">
        <v>2130</v>
      </c>
      <c r="C1180">
        <v>524768</v>
      </c>
      <c r="D1180" t="s">
        <v>366</v>
      </c>
      <c r="E1180" t="s">
        <v>414</v>
      </c>
    </row>
    <row r="1181" spans="2:5" x14ac:dyDescent="0.2">
      <c r="B1181" t="s">
        <v>2131</v>
      </c>
      <c r="C1181">
        <v>532038</v>
      </c>
      <c r="D1181" t="s">
        <v>366</v>
      </c>
      <c r="E1181" t="s">
        <v>388</v>
      </c>
    </row>
    <row r="1182" spans="2:5" x14ac:dyDescent="0.2">
      <c r="B1182" t="s">
        <v>2132</v>
      </c>
      <c r="C1182">
        <v>532920</v>
      </c>
      <c r="D1182" t="s">
        <v>2133</v>
      </c>
      <c r="E1182" t="s">
        <v>998</v>
      </c>
    </row>
    <row r="1183" spans="2:5" x14ac:dyDescent="0.2">
      <c r="B1183" t="s">
        <v>2134</v>
      </c>
      <c r="C1183">
        <v>500132</v>
      </c>
      <c r="D1183" t="s">
        <v>366</v>
      </c>
      <c r="E1183" t="s">
        <v>1065</v>
      </c>
    </row>
    <row r="1184" spans="2:5" x14ac:dyDescent="0.2">
      <c r="B1184" t="s">
        <v>2135</v>
      </c>
      <c r="C1184">
        <v>509525</v>
      </c>
      <c r="D1184" t="s">
        <v>366</v>
      </c>
      <c r="E1184" t="s">
        <v>355</v>
      </c>
    </row>
    <row r="1185" spans="2:5" x14ac:dyDescent="0.2">
      <c r="B1185" t="s">
        <v>2136</v>
      </c>
      <c r="C1185">
        <v>504351</v>
      </c>
      <c r="D1185" t="s">
        <v>366</v>
      </c>
      <c r="E1185" t="s">
        <v>352</v>
      </c>
    </row>
    <row r="1186" spans="2:5" x14ac:dyDescent="0.2">
      <c r="B1186" t="s">
        <v>2137</v>
      </c>
      <c r="C1186">
        <v>504351</v>
      </c>
      <c r="D1186" t="s">
        <v>366</v>
      </c>
      <c r="E1186" t="s">
        <v>352</v>
      </c>
    </row>
    <row r="1187" spans="2:5" x14ac:dyDescent="0.2">
      <c r="B1187" t="s">
        <v>2138</v>
      </c>
      <c r="C1187">
        <v>512441</v>
      </c>
      <c r="D1187" t="s">
        <v>366</v>
      </c>
      <c r="E1187" t="s">
        <v>787</v>
      </c>
    </row>
    <row r="1188" spans="2:5" x14ac:dyDescent="0.2">
      <c r="B1188" t="s">
        <v>2139</v>
      </c>
      <c r="C1188">
        <v>538684</v>
      </c>
      <c r="D1188" t="s">
        <v>366</v>
      </c>
      <c r="E1188" t="s">
        <v>369</v>
      </c>
    </row>
    <row r="1189" spans="2:5" x14ac:dyDescent="0.2">
      <c r="B1189" t="s">
        <v>2140</v>
      </c>
      <c r="C1189">
        <v>540153</v>
      </c>
      <c r="D1189" t="s">
        <v>2141</v>
      </c>
      <c r="E1189" t="s">
        <v>1024</v>
      </c>
    </row>
    <row r="1190" spans="2:5" x14ac:dyDescent="0.2">
      <c r="B1190" t="s">
        <v>2142</v>
      </c>
      <c r="C1190">
        <v>532219</v>
      </c>
      <c r="D1190" t="s">
        <v>2143</v>
      </c>
      <c r="E1190" t="s">
        <v>505</v>
      </c>
    </row>
    <row r="1191" spans="2:5" x14ac:dyDescent="0.2">
      <c r="B1191" t="s">
        <v>2144</v>
      </c>
      <c r="C1191">
        <v>532178</v>
      </c>
      <c r="D1191" t="s">
        <v>2145</v>
      </c>
      <c r="E1191" t="s">
        <v>450</v>
      </c>
    </row>
    <row r="1192" spans="2:5" x14ac:dyDescent="0.2">
      <c r="B1192" t="s">
        <v>2146</v>
      </c>
      <c r="C1192">
        <v>532178</v>
      </c>
      <c r="D1192" t="s">
        <v>2145</v>
      </c>
      <c r="E1192" t="s">
        <v>450</v>
      </c>
    </row>
    <row r="1193" spans="2:5" x14ac:dyDescent="0.2">
      <c r="B1193" t="s">
        <v>2147</v>
      </c>
      <c r="C1193">
        <v>533477</v>
      </c>
      <c r="D1193" t="s">
        <v>366</v>
      </c>
      <c r="E1193" t="s">
        <v>721</v>
      </c>
    </row>
    <row r="1194" spans="2:5" x14ac:dyDescent="0.2">
      <c r="B1194" t="s">
        <v>2148</v>
      </c>
      <c r="C1194">
        <v>533477</v>
      </c>
      <c r="D1194" t="s">
        <v>366</v>
      </c>
      <c r="E1194" t="s">
        <v>721</v>
      </c>
    </row>
    <row r="1195" spans="2:5" x14ac:dyDescent="0.2">
      <c r="B1195" t="s">
        <v>2149</v>
      </c>
      <c r="C1195">
        <v>526574</v>
      </c>
      <c r="D1195" t="s">
        <v>366</v>
      </c>
      <c r="E1195" t="s">
        <v>388</v>
      </c>
    </row>
    <row r="1196" spans="2:5" x14ac:dyDescent="0.2">
      <c r="B1196" t="s">
        <v>2150</v>
      </c>
      <c r="C1196">
        <v>532700</v>
      </c>
      <c r="D1196" t="s">
        <v>2151</v>
      </c>
      <c r="E1196" t="s">
        <v>1103</v>
      </c>
    </row>
    <row r="1197" spans="2:5" x14ac:dyDescent="0.2">
      <c r="B1197" t="s">
        <v>2152</v>
      </c>
      <c r="C1197">
        <v>532700</v>
      </c>
      <c r="D1197" t="s">
        <v>2151</v>
      </c>
      <c r="E1197" t="s">
        <v>1103</v>
      </c>
    </row>
    <row r="1198" spans="2:5" x14ac:dyDescent="0.2">
      <c r="B1198" t="s">
        <v>2153</v>
      </c>
      <c r="C1198">
        <v>500246</v>
      </c>
      <c r="D1198" t="s">
        <v>366</v>
      </c>
      <c r="E1198" t="s">
        <v>374</v>
      </c>
    </row>
    <row r="1199" spans="2:5" x14ac:dyDescent="0.2">
      <c r="B1199" t="s">
        <v>2154</v>
      </c>
      <c r="C1199">
        <v>532658</v>
      </c>
      <c r="D1199" t="s">
        <v>2155</v>
      </c>
      <c r="E1199" t="s">
        <v>664</v>
      </c>
    </row>
    <row r="1200" spans="2:5" x14ac:dyDescent="0.2">
      <c r="B1200" t="s">
        <v>2156</v>
      </c>
      <c r="C1200">
        <v>523754</v>
      </c>
      <c r="D1200" t="s">
        <v>366</v>
      </c>
      <c r="E1200" t="s">
        <v>486</v>
      </c>
    </row>
    <row r="1201" spans="2:5" x14ac:dyDescent="0.2">
      <c r="B1201" t="s">
        <v>2157</v>
      </c>
      <c r="C1201">
        <v>530407</v>
      </c>
      <c r="D1201" t="s">
        <v>366</v>
      </c>
      <c r="E1201" t="s">
        <v>383</v>
      </c>
    </row>
    <row r="1202" spans="2:5" x14ac:dyDescent="0.2">
      <c r="B1202" t="s">
        <v>2158</v>
      </c>
      <c r="C1202">
        <v>531155</v>
      </c>
      <c r="D1202" t="s">
        <v>366</v>
      </c>
      <c r="E1202" t="s">
        <v>404</v>
      </c>
    </row>
    <row r="1203" spans="2:5" x14ac:dyDescent="0.2">
      <c r="B1203" t="s">
        <v>2159</v>
      </c>
      <c r="C1203">
        <v>539844</v>
      </c>
      <c r="D1203" t="s">
        <v>2160</v>
      </c>
      <c r="E1203" t="s">
        <v>532</v>
      </c>
    </row>
    <row r="1204" spans="2:5" x14ac:dyDescent="0.2">
      <c r="B1204" t="s">
        <v>2161</v>
      </c>
      <c r="C1204">
        <v>540596</v>
      </c>
      <c r="D1204" t="s">
        <v>2162</v>
      </c>
      <c r="E1204" t="s">
        <v>404</v>
      </c>
    </row>
    <row r="1205" spans="2:5" x14ac:dyDescent="0.2">
      <c r="B1205" t="s">
        <v>2163</v>
      </c>
      <c r="C1205">
        <v>533261</v>
      </c>
      <c r="D1205" t="s">
        <v>2164</v>
      </c>
      <c r="E1205" t="s">
        <v>369</v>
      </c>
    </row>
    <row r="1206" spans="2:5" x14ac:dyDescent="0.2">
      <c r="B1206" t="s">
        <v>2165</v>
      </c>
      <c r="C1206">
        <v>530909</v>
      </c>
      <c r="D1206" t="s">
        <v>366</v>
      </c>
      <c r="E1206" t="s">
        <v>787</v>
      </c>
    </row>
    <row r="1207" spans="2:5" x14ac:dyDescent="0.2">
      <c r="B1207" t="s">
        <v>2166</v>
      </c>
      <c r="C1207">
        <v>531502</v>
      </c>
      <c r="D1207" t="s">
        <v>366</v>
      </c>
      <c r="E1207" t="s">
        <v>787</v>
      </c>
    </row>
    <row r="1208" spans="2:5" x14ac:dyDescent="0.2">
      <c r="B1208" t="s">
        <v>2167</v>
      </c>
      <c r="C1208">
        <v>531502</v>
      </c>
      <c r="D1208" t="s">
        <v>366</v>
      </c>
      <c r="E1208" t="s">
        <v>787</v>
      </c>
    </row>
    <row r="1209" spans="2:5" x14ac:dyDescent="0.2">
      <c r="B1209" t="s">
        <v>2168</v>
      </c>
      <c r="C1209">
        <v>500133</v>
      </c>
      <c r="D1209" t="s">
        <v>2169</v>
      </c>
      <c r="E1209" t="s">
        <v>551</v>
      </c>
    </row>
    <row r="1210" spans="2:5" x14ac:dyDescent="0.2">
      <c r="B1210" t="s">
        <v>2170</v>
      </c>
      <c r="C1210">
        <v>500133</v>
      </c>
      <c r="D1210" t="s">
        <v>2171</v>
      </c>
      <c r="E1210" t="s">
        <v>551</v>
      </c>
    </row>
    <row r="1211" spans="2:5" x14ac:dyDescent="0.2">
      <c r="B1211" t="s">
        <v>2172</v>
      </c>
      <c r="C1211">
        <v>540455</v>
      </c>
      <c r="D1211" t="s">
        <v>366</v>
      </c>
      <c r="E1211" t="s">
        <v>349</v>
      </c>
    </row>
    <row r="1212" spans="2:5" x14ac:dyDescent="0.2">
      <c r="B1212" t="s">
        <v>2173</v>
      </c>
      <c r="C1212">
        <v>511716</v>
      </c>
      <c r="D1212" t="s">
        <v>366</v>
      </c>
      <c r="E1212" t="s">
        <v>383</v>
      </c>
    </row>
    <row r="1213" spans="2:5" x14ac:dyDescent="0.2">
      <c r="B1213" t="s">
        <v>2174</v>
      </c>
      <c r="C1213">
        <v>500495</v>
      </c>
      <c r="D1213" t="s">
        <v>2175</v>
      </c>
      <c r="E1213" t="s">
        <v>444</v>
      </c>
    </row>
    <row r="1214" spans="2:5" x14ac:dyDescent="0.2">
      <c r="B1214" t="s">
        <v>2176</v>
      </c>
      <c r="C1214">
        <v>531259</v>
      </c>
      <c r="D1214" t="s">
        <v>366</v>
      </c>
      <c r="E1214" t="s">
        <v>1965</v>
      </c>
    </row>
    <row r="1215" spans="2:5" x14ac:dyDescent="0.2">
      <c r="B1215" t="s">
        <v>2177</v>
      </c>
      <c r="C1215">
        <v>514118</v>
      </c>
      <c r="D1215" t="s">
        <v>366</v>
      </c>
      <c r="E1215" t="s">
        <v>381</v>
      </c>
    </row>
    <row r="1216" spans="2:5" x14ac:dyDescent="0.2">
      <c r="B1216" t="s">
        <v>2178</v>
      </c>
      <c r="C1216">
        <v>514118</v>
      </c>
      <c r="D1216" t="s">
        <v>366</v>
      </c>
      <c r="E1216" t="s">
        <v>381</v>
      </c>
    </row>
    <row r="1217" spans="2:5" x14ac:dyDescent="0.2">
      <c r="B1217" t="s">
        <v>2179</v>
      </c>
      <c r="C1217">
        <v>532787</v>
      </c>
      <c r="D1217" t="s">
        <v>2180</v>
      </c>
      <c r="E1217" t="s">
        <v>2181</v>
      </c>
    </row>
    <row r="1218" spans="2:5" x14ac:dyDescent="0.2">
      <c r="B1218" t="s">
        <v>2182</v>
      </c>
      <c r="C1218">
        <v>533149</v>
      </c>
      <c r="D1218" t="s">
        <v>366</v>
      </c>
      <c r="E1218" t="s">
        <v>349</v>
      </c>
    </row>
    <row r="1219" spans="2:5" x14ac:dyDescent="0.2">
      <c r="B1219" t="s">
        <v>2183</v>
      </c>
      <c r="C1219">
        <v>533704</v>
      </c>
      <c r="D1219" t="s">
        <v>2184</v>
      </c>
      <c r="E1219" t="s">
        <v>1611</v>
      </c>
    </row>
    <row r="1220" spans="2:5" x14ac:dyDescent="0.2">
      <c r="B1220" t="s">
        <v>2185</v>
      </c>
      <c r="C1220">
        <v>500135</v>
      </c>
      <c r="D1220" t="s">
        <v>2186</v>
      </c>
      <c r="E1220" t="s">
        <v>561</v>
      </c>
    </row>
    <row r="1221" spans="2:5" x14ac:dyDescent="0.2">
      <c r="B1221" t="s">
        <v>2187</v>
      </c>
      <c r="C1221">
        <v>534927</v>
      </c>
      <c r="D1221" t="s">
        <v>366</v>
      </c>
      <c r="E1221" t="s">
        <v>564</v>
      </c>
    </row>
    <row r="1222" spans="2:5" x14ac:dyDescent="0.2">
      <c r="B1222" t="s">
        <v>2188</v>
      </c>
      <c r="C1222">
        <v>500136</v>
      </c>
      <c r="D1222" t="s">
        <v>2189</v>
      </c>
      <c r="E1222" t="s">
        <v>414</v>
      </c>
    </row>
    <row r="1223" spans="2:5" x14ac:dyDescent="0.2">
      <c r="B1223" t="s">
        <v>2190</v>
      </c>
      <c r="C1223">
        <v>537707</v>
      </c>
      <c r="D1223" t="s">
        <v>366</v>
      </c>
      <c r="E1223" t="s">
        <v>452</v>
      </c>
    </row>
    <row r="1224" spans="2:5" x14ac:dyDescent="0.2">
      <c r="B1224" t="s">
        <v>2191</v>
      </c>
      <c r="C1224">
        <v>521137</v>
      </c>
      <c r="D1224" t="s">
        <v>366</v>
      </c>
      <c r="E1224" t="s">
        <v>381</v>
      </c>
    </row>
    <row r="1225" spans="2:5" x14ac:dyDescent="0.2">
      <c r="B1225" t="s">
        <v>2192</v>
      </c>
      <c r="C1225">
        <v>530929</v>
      </c>
      <c r="D1225" t="s">
        <v>366</v>
      </c>
      <c r="E1225" t="s">
        <v>388</v>
      </c>
    </row>
    <row r="1226" spans="2:5" x14ac:dyDescent="0.2">
      <c r="B1226" t="s">
        <v>2193</v>
      </c>
      <c r="C1226">
        <v>532823</v>
      </c>
      <c r="D1226" t="s">
        <v>2194</v>
      </c>
      <c r="E1226" t="s">
        <v>643</v>
      </c>
    </row>
    <row r="1227" spans="2:5" x14ac:dyDescent="0.2">
      <c r="B1227" t="s">
        <v>2195</v>
      </c>
      <c r="C1227" t="s">
        <v>366</v>
      </c>
      <c r="D1227" t="s">
        <v>2196</v>
      </c>
      <c r="E1227" t="s">
        <v>377</v>
      </c>
    </row>
    <row r="1228" spans="2:5" x14ac:dyDescent="0.2">
      <c r="B1228" t="s">
        <v>2197</v>
      </c>
      <c r="C1228">
        <v>533109</v>
      </c>
      <c r="D1228" t="s">
        <v>2198</v>
      </c>
      <c r="E1228" t="s">
        <v>463</v>
      </c>
    </row>
    <row r="1229" spans="2:5" x14ac:dyDescent="0.2">
      <c r="B1229" t="s">
        <v>2199</v>
      </c>
      <c r="C1229">
        <v>521014</v>
      </c>
      <c r="D1229" t="s">
        <v>366</v>
      </c>
      <c r="E1229" t="s">
        <v>381</v>
      </c>
    </row>
    <row r="1230" spans="2:5" x14ac:dyDescent="0.2">
      <c r="B1230" t="s">
        <v>2200</v>
      </c>
      <c r="C1230" t="s">
        <v>366</v>
      </c>
      <c r="D1230" t="s">
        <v>2201</v>
      </c>
      <c r="E1230" t="s">
        <v>381</v>
      </c>
    </row>
    <row r="1231" spans="2:5" x14ac:dyDescent="0.2">
      <c r="B1231" t="s">
        <v>2202</v>
      </c>
      <c r="C1231">
        <v>542668</v>
      </c>
      <c r="D1231" t="s">
        <v>2203</v>
      </c>
      <c r="E1231" t="s">
        <v>787</v>
      </c>
    </row>
    <row r="1232" spans="2:5" x14ac:dyDescent="0.2">
      <c r="B1232" t="s">
        <v>2204</v>
      </c>
      <c r="C1232">
        <v>531508</v>
      </c>
      <c r="D1232" t="s">
        <v>2205</v>
      </c>
      <c r="E1232" t="s">
        <v>912</v>
      </c>
    </row>
    <row r="1233" spans="2:5" x14ac:dyDescent="0.2">
      <c r="B1233" t="s">
        <v>2206</v>
      </c>
      <c r="C1233">
        <v>531508</v>
      </c>
      <c r="D1233" t="s">
        <v>2205</v>
      </c>
      <c r="E1233" t="s">
        <v>912</v>
      </c>
    </row>
    <row r="1234" spans="2:5" x14ac:dyDescent="0.2">
      <c r="B1234" t="s">
        <v>2207</v>
      </c>
      <c r="C1234">
        <v>508906</v>
      </c>
      <c r="D1234" t="s">
        <v>2208</v>
      </c>
      <c r="E1234" t="s">
        <v>379</v>
      </c>
    </row>
    <row r="1235" spans="2:5" x14ac:dyDescent="0.2">
      <c r="B1235" t="s">
        <v>2209</v>
      </c>
      <c r="C1235">
        <v>532684</v>
      </c>
      <c r="D1235" t="s">
        <v>2210</v>
      </c>
      <c r="E1235" t="s">
        <v>1284</v>
      </c>
    </row>
    <row r="1236" spans="2:5" x14ac:dyDescent="0.2">
      <c r="B1236" t="s">
        <v>2211</v>
      </c>
      <c r="C1236">
        <v>524790</v>
      </c>
      <c r="D1236" t="s">
        <v>366</v>
      </c>
      <c r="E1236" t="s">
        <v>404</v>
      </c>
    </row>
    <row r="1237" spans="2:5" x14ac:dyDescent="0.2">
      <c r="B1237" t="s">
        <v>2212</v>
      </c>
      <c r="C1237">
        <v>514060</v>
      </c>
      <c r="D1237" t="s">
        <v>366</v>
      </c>
      <c r="E1237" t="s">
        <v>381</v>
      </c>
    </row>
    <row r="1238" spans="2:5" x14ac:dyDescent="0.2">
      <c r="B1238" t="s">
        <v>2213</v>
      </c>
      <c r="C1238">
        <v>514358</v>
      </c>
      <c r="D1238" t="s">
        <v>366</v>
      </c>
      <c r="E1238" t="s">
        <v>381</v>
      </c>
    </row>
    <row r="1239" spans="2:5" x14ac:dyDescent="0.2">
      <c r="B1239" t="s">
        <v>2214</v>
      </c>
      <c r="C1239">
        <v>532511</v>
      </c>
      <c r="D1239" t="s">
        <v>2215</v>
      </c>
      <c r="E1239" t="s">
        <v>510</v>
      </c>
    </row>
    <row r="1240" spans="2:5" x14ac:dyDescent="0.2">
      <c r="B1240" t="s">
        <v>2216</v>
      </c>
      <c r="C1240">
        <v>500650</v>
      </c>
      <c r="D1240" t="s">
        <v>2217</v>
      </c>
      <c r="E1240" t="s">
        <v>526</v>
      </c>
    </row>
    <row r="1241" spans="2:5" x14ac:dyDescent="0.2">
      <c r="B1241" t="s">
        <v>2218</v>
      </c>
      <c r="C1241">
        <v>533090</v>
      </c>
      <c r="D1241" t="s">
        <v>2219</v>
      </c>
      <c r="E1241" t="s">
        <v>696</v>
      </c>
    </row>
    <row r="1242" spans="2:5" x14ac:dyDescent="0.2">
      <c r="B1242" t="s">
        <v>2220</v>
      </c>
      <c r="C1242">
        <v>500086</v>
      </c>
      <c r="D1242" t="s">
        <v>2221</v>
      </c>
      <c r="E1242" t="s">
        <v>721</v>
      </c>
    </row>
    <row r="1243" spans="2:5" x14ac:dyDescent="0.2">
      <c r="B1243" t="s">
        <v>2222</v>
      </c>
      <c r="C1243" t="s">
        <v>366</v>
      </c>
      <c r="D1243" t="s">
        <v>2223</v>
      </c>
      <c r="E1243" t="s">
        <v>721</v>
      </c>
    </row>
    <row r="1244" spans="2:5" x14ac:dyDescent="0.2">
      <c r="B1244" t="s">
        <v>2224</v>
      </c>
      <c r="C1244">
        <v>530571</v>
      </c>
      <c r="D1244" t="s">
        <v>366</v>
      </c>
      <c r="E1244" t="s">
        <v>787</v>
      </c>
    </row>
    <row r="1245" spans="2:5" x14ac:dyDescent="0.2">
      <c r="B1245" t="s">
        <v>2225</v>
      </c>
      <c r="C1245">
        <v>526614</v>
      </c>
      <c r="D1245" t="s">
        <v>366</v>
      </c>
      <c r="E1245" t="s">
        <v>1284</v>
      </c>
    </row>
    <row r="1246" spans="2:5" x14ac:dyDescent="0.2">
      <c r="B1246" t="s">
        <v>2226</v>
      </c>
      <c r="C1246">
        <v>539552</v>
      </c>
      <c r="D1246" t="s">
        <v>366</v>
      </c>
      <c r="E1246" t="s">
        <v>383</v>
      </c>
    </row>
    <row r="1247" spans="2:5" x14ac:dyDescent="0.2">
      <c r="B1247" t="s">
        <v>2227</v>
      </c>
      <c r="C1247">
        <v>532656</v>
      </c>
      <c r="D1247" t="s">
        <v>366</v>
      </c>
      <c r="E1247" t="s">
        <v>398</v>
      </c>
    </row>
    <row r="1248" spans="2:5" x14ac:dyDescent="0.2">
      <c r="B1248" t="s">
        <v>2228</v>
      </c>
      <c r="C1248">
        <v>514474</v>
      </c>
      <c r="D1248" t="s">
        <v>366</v>
      </c>
      <c r="E1248" t="s">
        <v>381</v>
      </c>
    </row>
    <row r="1249" spans="2:5" x14ac:dyDescent="0.2">
      <c r="B1249" t="s">
        <v>2229</v>
      </c>
      <c r="C1249">
        <v>530117</v>
      </c>
      <c r="D1249" t="s">
        <v>2230</v>
      </c>
      <c r="E1249" t="s">
        <v>526</v>
      </c>
    </row>
    <row r="1250" spans="2:5" x14ac:dyDescent="0.2">
      <c r="B1250" t="s">
        <v>2231</v>
      </c>
      <c r="C1250">
        <v>530079</v>
      </c>
      <c r="D1250" t="s">
        <v>366</v>
      </c>
      <c r="E1250" t="s">
        <v>381</v>
      </c>
    </row>
    <row r="1251" spans="2:5" x14ac:dyDescent="0.2">
      <c r="B1251" t="s">
        <v>2232</v>
      </c>
      <c r="C1251">
        <v>532666</v>
      </c>
      <c r="D1251" t="s">
        <v>2233</v>
      </c>
      <c r="E1251" t="s">
        <v>352</v>
      </c>
    </row>
    <row r="1252" spans="2:5" x14ac:dyDescent="0.2">
      <c r="B1252" t="s">
        <v>2234</v>
      </c>
      <c r="C1252">
        <v>531599</v>
      </c>
      <c r="D1252" t="s">
        <v>2235</v>
      </c>
      <c r="E1252" t="s">
        <v>404</v>
      </c>
    </row>
    <row r="1253" spans="2:5" x14ac:dyDescent="0.2">
      <c r="B1253" t="s">
        <v>2236</v>
      </c>
      <c r="C1253">
        <v>505744</v>
      </c>
      <c r="D1253" t="s">
        <v>2237</v>
      </c>
      <c r="E1253" t="s">
        <v>721</v>
      </c>
    </row>
    <row r="1254" spans="2:5" x14ac:dyDescent="0.2">
      <c r="B1254" t="s">
        <v>2238</v>
      </c>
      <c r="C1254">
        <v>505744</v>
      </c>
      <c r="D1254" t="s">
        <v>2237</v>
      </c>
      <c r="E1254" t="s">
        <v>721</v>
      </c>
    </row>
    <row r="1255" spans="2:5" x14ac:dyDescent="0.2">
      <c r="B1255" t="s">
        <v>2239</v>
      </c>
      <c r="C1255" t="s">
        <v>366</v>
      </c>
      <c r="D1255" t="s">
        <v>2240</v>
      </c>
      <c r="E1255" t="s">
        <v>377</v>
      </c>
    </row>
    <row r="1256" spans="2:5" x14ac:dyDescent="0.2">
      <c r="B1256" t="s">
        <v>2241</v>
      </c>
      <c r="C1256">
        <v>526689</v>
      </c>
      <c r="D1256" t="s">
        <v>366</v>
      </c>
      <c r="E1256" t="s">
        <v>486</v>
      </c>
    </row>
    <row r="1257" spans="2:5" x14ac:dyDescent="0.2">
      <c r="B1257" t="s">
        <v>2242</v>
      </c>
      <c r="C1257">
        <v>500141</v>
      </c>
      <c r="D1257" t="s">
        <v>366</v>
      </c>
      <c r="E1257" t="s">
        <v>398</v>
      </c>
    </row>
    <row r="1258" spans="2:5" x14ac:dyDescent="0.2">
      <c r="B1258" t="s">
        <v>2243</v>
      </c>
      <c r="C1258">
        <v>590024</v>
      </c>
      <c r="D1258" t="s">
        <v>2244</v>
      </c>
      <c r="E1258" t="s">
        <v>874</v>
      </c>
    </row>
    <row r="1259" spans="2:5" x14ac:dyDescent="0.2">
      <c r="B1259" t="s">
        <v>2245</v>
      </c>
      <c r="C1259">
        <v>533896</v>
      </c>
      <c r="D1259" t="s">
        <v>366</v>
      </c>
      <c r="E1259" t="s">
        <v>404</v>
      </c>
    </row>
    <row r="1260" spans="2:5" x14ac:dyDescent="0.2">
      <c r="B1260" t="s">
        <v>2246</v>
      </c>
      <c r="C1260">
        <v>500142</v>
      </c>
      <c r="D1260" t="s">
        <v>366</v>
      </c>
      <c r="E1260" t="s">
        <v>383</v>
      </c>
    </row>
    <row r="1261" spans="2:5" x14ac:dyDescent="0.2">
      <c r="B1261" t="s">
        <v>2247</v>
      </c>
      <c r="C1261">
        <v>507910</v>
      </c>
      <c r="D1261" t="s">
        <v>366</v>
      </c>
      <c r="E1261" t="s">
        <v>486</v>
      </c>
    </row>
    <row r="1262" spans="2:5" x14ac:dyDescent="0.2">
      <c r="B1262" t="s">
        <v>2248</v>
      </c>
      <c r="C1262">
        <v>507910</v>
      </c>
      <c r="D1262" t="s">
        <v>366</v>
      </c>
      <c r="E1262" t="s">
        <v>486</v>
      </c>
    </row>
    <row r="1263" spans="2:5" x14ac:dyDescent="0.2">
      <c r="B1263" t="s">
        <v>2249</v>
      </c>
      <c r="C1263">
        <v>532768</v>
      </c>
      <c r="D1263" t="s">
        <v>2250</v>
      </c>
      <c r="E1263" t="s">
        <v>721</v>
      </c>
    </row>
    <row r="1264" spans="2:5" x14ac:dyDescent="0.2">
      <c r="B1264" t="s">
        <v>2251</v>
      </c>
      <c r="C1264">
        <v>526227</v>
      </c>
      <c r="D1264" t="s">
        <v>2252</v>
      </c>
      <c r="E1264" t="s">
        <v>381</v>
      </c>
    </row>
    <row r="1265" spans="2:5" x14ac:dyDescent="0.2">
      <c r="B1265" t="s">
        <v>2253</v>
      </c>
      <c r="C1265">
        <v>532022</v>
      </c>
      <c r="D1265" t="s">
        <v>366</v>
      </c>
      <c r="E1265" t="s">
        <v>381</v>
      </c>
    </row>
    <row r="1266" spans="2:5" x14ac:dyDescent="0.2">
      <c r="B1266" t="s">
        <v>2254</v>
      </c>
      <c r="C1266">
        <v>526227</v>
      </c>
      <c r="D1266" t="s">
        <v>2252</v>
      </c>
      <c r="E1266" t="s">
        <v>381</v>
      </c>
    </row>
    <row r="1267" spans="2:5" x14ac:dyDescent="0.2">
      <c r="B1267" t="s">
        <v>2255</v>
      </c>
      <c r="C1267">
        <v>539098</v>
      </c>
      <c r="D1267" t="s">
        <v>366</v>
      </c>
      <c r="E1267" t="s">
        <v>391</v>
      </c>
    </row>
    <row r="1268" spans="2:5" x14ac:dyDescent="0.2">
      <c r="B1268" t="s">
        <v>2256</v>
      </c>
      <c r="C1268">
        <v>541557</v>
      </c>
      <c r="D1268" t="s">
        <v>2257</v>
      </c>
      <c r="E1268" t="s">
        <v>526</v>
      </c>
    </row>
    <row r="1269" spans="2:5" x14ac:dyDescent="0.2">
      <c r="B1269" t="s">
        <v>2258</v>
      </c>
      <c r="C1269">
        <v>517264</v>
      </c>
      <c r="D1269" t="s">
        <v>2259</v>
      </c>
      <c r="E1269" t="s">
        <v>908</v>
      </c>
    </row>
    <row r="1270" spans="2:5" x14ac:dyDescent="0.2">
      <c r="B1270" t="s">
        <v>2260</v>
      </c>
      <c r="C1270">
        <v>533333</v>
      </c>
      <c r="D1270" t="s">
        <v>2261</v>
      </c>
      <c r="E1270" t="s">
        <v>526</v>
      </c>
    </row>
    <row r="1271" spans="2:5" x14ac:dyDescent="0.2">
      <c r="B1271" t="s">
        <v>2262</v>
      </c>
      <c r="C1271">
        <v>508954</v>
      </c>
      <c r="D1271" t="s">
        <v>366</v>
      </c>
      <c r="E1271" t="s">
        <v>383</v>
      </c>
    </row>
    <row r="1272" spans="2:5" x14ac:dyDescent="0.2">
      <c r="B1272" t="s">
        <v>2263</v>
      </c>
      <c r="C1272">
        <v>500144</v>
      </c>
      <c r="D1272" t="s">
        <v>2264</v>
      </c>
      <c r="E1272" t="s">
        <v>664</v>
      </c>
    </row>
    <row r="1273" spans="2:5" x14ac:dyDescent="0.2">
      <c r="B1273" t="s">
        <v>2265</v>
      </c>
      <c r="C1273">
        <v>500940</v>
      </c>
      <c r="D1273" t="s">
        <v>2266</v>
      </c>
      <c r="E1273" t="s">
        <v>486</v>
      </c>
    </row>
    <row r="1274" spans="2:5" x14ac:dyDescent="0.2">
      <c r="B1274" t="s">
        <v>2267</v>
      </c>
      <c r="C1274">
        <v>511122</v>
      </c>
      <c r="D1274" t="s">
        <v>366</v>
      </c>
      <c r="E1274" t="s">
        <v>383</v>
      </c>
    </row>
    <row r="1275" spans="2:5" x14ac:dyDescent="0.2">
      <c r="B1275" t="s">
        <v>2268</v>
      </c>
      <c r="C1275">
        <v>511122</v>
      </c>
      <c r="D1275" t="s">
        <v>366</v>
      </c>
      <c r="E1275" t="s">
        <v>383</v>
      </c>
    </row>
    <row r="1276" spans="2:5" x14ac:dyDescent="0.2">
      <c r="B1276" t="s">
        <v>2269</v>
      </c>
      <c r="C1276">
        <v>532379</v>
      </c>
      <c r="D1276" t="s">
        <v>366</v>
      </c>
      <c r="E1276" t="s">
        <v>459</v>
      </c>
    </row>
    <row r="1277" spans="2:5" x14ac:dyDescent="0.2">
      <c r="B1277" t="s">
        <v>2270</v>
      </c>
      <c r="C1277">
        <v>532809</v>
      </c>
      <c r="D1277" t="s">
        <v>2271</v>
      </c>
      <c r="E1277" t="s">
        <v>696</v>
      </c>
    </row>
    <row r="1278" spans="2:5" x14ac:dyDescent="0.2">
      <c r="B1278" t="s">
        <v>2272</v>
      </c>
      <c r="C1278">
        <v>524743</v>
      </c>
      <c r="D1278" t="s">
        <v>366</v>
      </c>
      <c r="E1278" t="s">
        <v>414</v>
      </c>
    </row>
    <row r="1279" spans="2:5" x14ac:dyDescent="0.2">
      <c r="B1279" t="s">
        <v>2273</v>
      </c>
      <c r="C1279" t="s">
        <v>366</v>
      </c>
      <c r="D1279" t="s">
        <v>2274</v>
      </c>
      <c r="E1279" t="s">
        <v>377</v>
      </c>
    </row>
    <row r="1280" spans="2:5" x14ac:dyDescent="0.2">
      <c r="B1280" t="s">
        <v>2275</v>
      </c>
      <c r="C1280">
        <v>530885</v>
      </c>
      <c r="D1280" t="s">
        <v>366</v>
      </c>
      <c r="E1280" t="s">
        <v>352</v>
      </c>
    </row>
    <row r="1281" spans="2:5" x14ac:dyDescent="0.2">
      <c r="B1281" t="s">
        <v>2276</v>
      </c>
      <c r="C1281">
        <v>536751</v>
      </c>
      <c r="D1281" t="s">
        <v>366</v>
      </c>
      <c r="E1281" t="s">
        <v>349</v>
      </c>
    </row>
    <row r="1282" spans="2:5" x14ac:dyDescent="0.2">
      <c r="B1282" t="s">
        <v>2277</v>
      </c>
      <c r="C1282">
        <v>523672</v>
      </c>
      <c r="D1282" t="s">
        <v>366</v>
      </c>
      <c r="E1282" t="s">
        <v>564</v>
      </c>
    </row>
    <row r="1283" spans="2:5" x14ac:dyDescent="0.2">
      <c r="B1283" t="s">
        <v>2278</v>
      </c>
      <c r="C1283">
        <v>533638</v>
      </c>
      <c r="D1283" t="s">
        <v>2279</v>
      </c>
      <c r="E1283" t="s">
        <v>486</v>
      </c>
    </row>
    <row r="1284" spans="2:5" x14ac:dyDescent="0.2">
      <c r="B1284" t="s">
        <v>2280</v>
      </c>
      <c r="C1284">
        <v>540267</v>
      </c>
      <c r="D1284" t="s">
        <v>366</v>
      </c>
      <c r="E1284" t="s">
        <v>388</v>
      </c>
    </row>
    <row r="1285" spans="2:5" x14ac:dyDescent="0.2">
      <c r="B1285" t="s">
        <v>2281</v>
      </c>
      <c r="C1285">
        <v>530705</v>
      </c>
      <c r="D1285" t="s">
        <v>366</v>
      </c>
      <c r="E1285" t="s">
        <v>381</v>
      </c>
    </row>
    <row r="1286" spans="2:5" x14ac:dyDescent="0.2">
      <c r="B1286" t="s">
        <v>2282</v>
      </c>
      <c r="C1286">
        <v>532518</v>
      </c>
      <c r="D1286" t="s">
        <v>366</v>
      </c>
      <c r="E1286" t="s">
        <v>386</v>
      </c>
    </row>
    <row r="1287" spans="2:5" x14ac:dyDescent="0.2">
      <c r="B1287" t="s">
        <v>2283</v>
      </c>
      <c r="C1287">
        <v>522017</v>
      </c>
      <c r="D1287" t="s">
        <v>366</v>
      </c>
      <c r="E1287" t="s">
        <v>664</v>
      </c>
    </row>
    <row r="1288" spans="2:5" x14ac:dyDescent="0.2">
      <c r="B1288" t="s">
        <v>2284</v>
      </c>
      <c r="C1288">
        <v>534757</v>
      </c>
      <c r="D1288" t="s">
        <v>366</v>
      </c>
      <c r="E1288" t="s">
        <v>383</v>
      </c>
    </row>
    <row r="1289" spans="2:5" x14ac:dyDescent="0.2">
      <c r="B1289" t="s">
        <v>2285</v>
      </c>
      <c r="C1289" t="s">
        <v>366</v>
      </c>
      <c r="D1289" t="s">
        <v>2286</v>
      </c>
      <c r="E1289" t="s">
        <v>377</v>
      </c>
    </row>
    <row r="1290" spans="2:5" x14ac:dyDescent="0.2">
      <c r="B1290" t="s">
        <v>2287</v>
      </c>
      <c r="C1290">
        <v>540945</v>
      </c>
      <c r="D1290" t="s">
        <v>366</v>
      </c>
      <c r="E1290" t="s">
        <v>450</v>
      </c>
    </row>
    <row r="1291" spans="2:5" x14ac:dyDescent="0.2">
      <c r="B1291" t="s">
        <v>2288</v>
      </c>
      <c r="C1291">
        <v>503831</v>
      </c>
      <c r="D1291" t="s">
        <v>366</v>
      </c>
      <c r="E1291" t="s">
        <v>567</v>
      </c>
    </row>
    <row r="1292" spans="2:5" x14ac:dyDescent="0.2">
      <c r="B1292" t="s">
        <v>2289</v>
      </c>
      <c r="C1292">
        <v>507552</v>
      </c>
      <c r="D1292" t="s">
        <v>366</v>
      </c>
      <c r="E1292" t="s">
        <v>446</v>
      </c>
    </row>
    <row r="1293" spans="2:5" x14ac:dyDescent="0.2">
      <c r="B1293" t="s">
        <v>2290</v>
      </c>
      <c r="C1293">
        <v>502865</v>
      </c>
      <c r="D1293" t="s">
        <v>366</v>
      </c>
      <c r="E1293" t="s">
        <v>374</v>
      </c>
    </row>
    <row r="1294" spans="2:5" x14ac:dyDescent="0.2">
      <c r="B1294" t="s">
        <v>2291</v>
      </c>
      <c r="C1294">
        <v>500033</v>
      </c>
      <c r="D1294" t="s">
        <v>366</v>
      </c>
      <c r="E1294" t="s">
        <v>2292</v>
      </c>
    </row>
    <row r="1295" spans="2:5" x14ac:dyDescent="0.2">
      <c r="B1295" t="s">
        <v>2293</v>
      </c>
      <c r="C1295">
        <v>532843</v>
      </c>
      <c r="D1295" t="s">
        <v>2294</v>
      </c>
      <c r="E1295" t="s">
        <v>836</v>
      </c>
    </row>
    <row r="1296" spans="2:5" x14ac:dyDescent="0.2">
      <c r="B1296" t="s">
        <v>2295</v>
      </c>
      <c r="C1296">
        <v>523696</v>
      </c>
      <c r="D1296" t="s">
        <v>366</v>
      </c>
      <c r="E1296" t="s">
        <v>555</v>
      </c>
    </row>
    <row r="1297" spans="2:5" x14ac:dyDescent="0.2">
      <c r="B1297" t="s">
        <v>2296</v>
      </c>
      <c r="C1297">
        <v>530213</v>
      </c>
      <c r="D1297" t="s">
        <v>366</v>
      </c>
      <c r="E1297" t="s">
        <v>388</v>
      </c>
    </row>
    <row r="1298" spans="2:5" x14ac:dyDescent="0.2">
      <c r="B1298" t="s">
        <v>2297</v>
      </c>
      <c r="C1298">
        <v>500150</v>
      </c>
      <c r="D1298" t="s">
        <v>2298</v>
      </c>
      <c r="E1298" t="s">
        <v>414</v>
      </c>
    </row>
    <row r="1299" spans="2:5" x14ac:dyDescent="0.2">
      <c r="B1299" t="s">
        <v>2299</v>
      </c>
      <c r="C1299">
        <v>500150</v>
      </c>
      <c r="D1299" t="s">
        <v>2298</v>
      </c>
      <c r="E1299" t="s">
        <v>414</v>
      </c>
    </row>
    <row r="1300" spans="2:5" x14ac:dyDescent="0.2">
      <c r="B1300" t="s">
        <v>2300</v>
      </c>
      <c r="C1300">
        <v>513579</v>
      </c>
      <c r="D1300" t="s">
        <v>366</v>
      </c>
      <c r="E1300" t="s">
        <v>1044</v>
      </c>
    </row>
    <row r="1301" spans="2:5" x14ac:dyDescent="0.2">
      <c r="B1301" t="s">
        <v>2301</v>
      </c>
      <c r="C1301" t="s">
        <v>366</v>
      </c>
      <c r="D1301" t="s">
        <v>2302</v>
      </c>
      <c r="E1301" t="s">
        <v>377</v>
      </c>
    </row>
    <row r="1302" spans="2:5" x14ac:dyDescent="0.2">
      <c r="B1302" t="s">
        <v>2303</v>
      </c>
      <c r="C1302">
        <v>532403</v>
      </c>
      <c r="D1302" t="s">
        <v>366</v>
      </c>
      <c r="E1302" t="s">
        <v>459</v>
      </c>
    </row>
    <row r="1303" spans="2:5" x14ac:dyDescent="0.2">
      <c r="B1303" t="s">
        <v>2304</v>
      </c>
      <c r="C1303">
        <v>540190</v>
      </c>
      <c r="D1303" t="s">
        <v>366</v>
      </c>
      <c r="E1303" t="s">
        <v>388</v>
      </c>
    </row>
    <row r="1304" spans="2:5" x14ac:dyDescent="0.2">
      <c r="B1304" t="s">
        <v>2305</v>
      </c>
      <c r="C1304">
        <v>539839</v>
      </c>
      <c r="D1304" t="s">
        <v>366</v>
      </c>
      <c r="E1304" t="s">
        <v>383</v>
      </c>
    </row>
    <row r="1305" spans="2:5" x14ac:dyDescent="0.2">
      <c r="B1305" t="s">
        <v>2306</v>
      </c>
      <c r="C1305">
        <v>539032</v>
      </c>
      <c r="D1305" t="s">
        <v>2307</v>
      </c>
      <c r="E1305" t="s">
        <v>732</v>
      </c>
    </row>
    <row r="1306" spans="2:5" x14ac:dyDescent="0.2">
      <c r="B1306" t="s">
        <v>2308</v>
      </c>
      <c r="C1306">
        <v>539730</v>
      </c>
      <c r="D1306" t="s">
        <v>366</v>
      </c>
      <c r="E1306" t="s">
        <v>404</v>
      </c>
    </row>
    <row r="1307" spans="2:5" x14ac:dyDescent="0.2">
      <c r="B1307" t="s">
        <v>2309</v>
      </c>
      <c r="C1307">
        <v>530077</v>
      </c>
      <c r="D1307" t="s">
        <v>366</v>
      </c>
      <c r="E1307" t="s">
        <v>564</v>
      </c>
    </row>
    <row r="1308" spans="2:5" x14ac:dyDescent="0.2">
      <c r="B1308" t="s">
        <v>2310</v>
      </c>
      <c r="C1308">
        <v>508980</v>
      </c>
      <c r="D1308" t="s">
        <v>366</v>
      </c>
      <c r="E1308" t="s">
        <v>787</v>
      </c>
    </row>
    <row r="1309" spans="2:5" x14ac:dyDescent="0.2">
      <c r="B1309" t="s">
        <v>2311</v>
      </c>
      <c r="C1309">
        <v>522195</v>
      </c>
      <c r="D1309" t="s">
        <v>366</v>
      </c>
      <c r="E1309" t="s">
        <v>721</v>
      </c>
    </row>
    <row r="1310" spans="2:5" x14ac:dyDescent="0.2">
      <c r="B1310" t="s">
        <v>2312</v>
      </c>
      <c r="C1310">
        <v>521167</v>
      </c>
      <c r="D1310" t="s">
        <v>2313</v>
      </c>
      <c r="E1310" t="s">
        <v>922</v>
      </c>
    </row>
    <row r="1311" spans="2:5" x14ac:dyDescent="0.2">
      <c r="B1311" t="s">
        <v>2314</v>
      </c>
      <c r="C1311">
        <v>532042</v>
      </c>
      <c r="D1311" t="s">
        <v>366</v>
      </c>
      <c r="E1311" t="s">
        <v>438</v>
      </c>
    </row>
    <row r="1312" spans="2:5" x14ac:dyDescent="0.2">
      <c r="B1312" t="s">
        <v>2315</v>
      </c>
      <c r="C1312">
        <v>533213</v>
      </c>
      <c r="D1312" t="s">
        <v>366</v>
      </c>
      <c r="E1312" t="s">
        <v>349</v>
      </c>
    </row>
    <row r="1313" spans="2:5" x14ac:dyDescent="0.2">
      <c r="B1313" t="s">
        <v>2316</v>
      </c>
      <c r="C1313">
        <v>538568</v>
      </c>
      <c r="D1313" t="s">
        <v>366</v>
      </c>
      <c r="E1313" t="s">
        <v>388</v>
      </c>
    </row>
    <row r="1314" spans="2:5" x14ac:dyDescent="0.2">
      <c r="B1314" t="s">
        <v>2317</v>
      </c>
      <c r="C1314">
        <v>539169</v>
      </c>
      <c r="D1314" t="s">
        <v>366</v>
      </c>
      <c r="E1314" t="s">
        <v>352</v>
      </c>
    </row>
    <row r="1315" spans="2:5" x14ac:dyDescent="0.2">
      <c r="B1315" t="s">
        <v>2318</v>
      </c>
      <c r="C1315">
        <v>533400</v>
      </c>
      <c r="D1315" t="s">
        <v>2319</v>
      </c>
      <c r="E1315" t="s">
        <v>426</v>
      </c>
    </row>
    <row r="1316" spans="2:5" x14ac:dyDescent="0.2">
      <c r="B1316" t="s">
        <v>2320</v>
      </c>
      <c r="C1316">
        <v>523574</v>
      </c>
      <c r="D1316" t="s">
        <v>2321</v>
      </c>
      <c r="E1316" t="s">
        <v>535</v>
      </c>
    </row>
    <row r="1317" spans="2:5" x14ac:dyDescent="0.2">
      <c r="B1317" t="s">
        <v>2320</v>
      </c>
      <c r="C1317">
        <v>570002</v>
      </c>
      <c r="D1317" t="s">
        <v>2322</v>
      </c>
      <c r="E1317" t="s">
        <v>535</v>
      </c>
    </row>
    <row r="1318" spans="2:5" x14ac:dyDescent="0.2">
      <c r="B1318" t="s">
        <v>2323</v>
      </c>
      <c r="C1318">
        <v>536507</v>
      </c>
      <c r="D1318" t="s">
        <v>2324</v>
      </c>
      <c r="E1318" t="s">
        <v>535</v>
      </c>
    </row>
    <row r="1319" spans="2:5" x14ac:dyDescent="0.2">
      <c r="B1319" t="s">
        <v>2325</v>
      </c>
      <c r="C1319">
        <v>533296</v>
      </c>
      <c r="D1319" t="s">
        <v>2326</v>
      </c>
      <c r="E1319" t="s">
        <v>535</v>
      </c>
    </row>
    <row r="1320" spans="2:5" x14ac:dyDescent="0.2">
      <c r="B1320" t="s">
        <v>2327</v>
      </c>
      <c r="C1320">
        <v>540064</v>
      </c>
      <c r="D1320" t="s">
        <v>2328</v>
      </c>
      <c r="E1320" t="s">
        <v>535</v>
      </c>
    </row>
    <row r="1321" spans="2:5" x14ac:dyDescent="0.2">
      <c r="B1321" t="s">
        <v>2329</v>
      </c>
      <c r="C1321">
        <v>540798</v>
      </c>
      <c r="D1321" t="s">
        <v>2330</v>
      </c>
      <c r="E1321" t="s">
        <v>687</v>
      </c>
    </row>
    <row r="1322" spans="2:5" x14ac:dyDescent="0.2">
      <c r="B1322" t="s">
        <v>2331</v>
      </c>
      <c r="C1322">
        <v>523113</v>
      </c>
      <c r="D1322" t="s">
        <v>366</v>
      </c>
      <c r="E1322" t="s">
        <v>383</v>
      </c>
    </row>
    <row r="1323" spans="2:5" x14ac:dyDescent="0.2">
      <c r="B1323" t="s">
        <v>2332</v>
      </c>
      <c r="C1323">
        <v>534063</v>
      </c>
      <c r="D1323" t="s">
        <v>366</v>
      </c>
      <c r="E1323" t="s">
        <v>349</v>
      </c>
    </row>
    <row r="1324" spans="2:5" x14ac:dyDescent="0.2">
      <c r="B1324" t="s">
        <v>2333</v>
      </c>
      <c r="C1324">
        <v>504346</v>
      </c>
      <c r="D1324" t="s">
        <v>366</v>
      </c>
      <c r="E1324" t="s">
        <v>349</v>
      </c>
    </row>
    <row r="1325" spans="2:5" x14ac:dyDescent="0.2">
      <c r="B1325" t="s">
        <v>2334</v>
      </c>
      <c r="C1325">
        <v>505250</v>
      </c>
      <c r="D1325" t="s">
        <v>366</v>
      </c>
      <c r="E1325" t="s">
        <v>374</v>
      </c>
    </row>
    <row r="1326" spans="2:5" x14ac:dyDescent="0.2">
      <c r="B1326" t="s">
        <v>2335</v>
      </c>
      <c r="C1326">
        <v>540614</v>
      </c>
      <c r="D1326" t="s">
        <v>366</v>
      </c>
      <c r="E1326" t="s">
        <v>409</v>
      </c>
    </row>
    <row r="1327" spans="2:5" x14ac:dyDescent="0.2">
      <c r="B1327" t="s">
        <v>2336</v>
      </c>
      <c r="C1327">
        <v>531758</v>
      </c>
      <c r="D1327" t="s">
        <v>366</v>
      </c>
      <c r="E1327" t="s">
        <v>383</v>
      </c>
    </row>
    <row r="1328" spans="2:5" x14ac:dyDescent="0.2">
      <c r="B1328" t="s">
        <v>2337</v>
      </c>
      <c r="C1328">
        <v>513059</v>
      </c>
      <c r="D1328" t="s">
        <v>366</v>
      </c>
      <c r="E1328" t="s">
        <v>721</v>
      </c>
    </row>
    <row r="1329" spans="2:5" x14ac:dyDescent="0.2">
      <c r="B1329" t="s">
        <v>2338</v>
      </c>
      <c r="C1329">
        <v>542666</v>
      </c>
      <c r="D1329" t="s">
        <v>2339</v>
      </c>
      <c r="E1329" t="s">
        <v>2340</v>
      </c>
    </row>
    <row r="1330" spans="2:5" x14ac:dyDescent="0.2">
      <c r="B1330" t="s">
        <v>2341</v>
      </c>
      <c r="C1330">
        <v>505714</v>
      </c>
      <c r="D1330" t="s">
        <v>2342</v>
      </c>
      <c r="E1330" t="s">
        <v>721</v>
      </c>
    </row>
    <row r="1331" spans="2:5" x14ac:dyDescent="0.2">
      <c r="B1331" t="s">
        <v>2343</v>
      </c>
      <c r="C1331">
        <v>505714</v>
      </c>
      <c r="D1331" t="s">
        <v>2342</v>
      </c>
      <c r="E1331" t="s">
        <v>721</v>
      </c>
    </row>
    <row r="1332" spans="2:5" x14ac:dyDescent="0.2">
      <c r="B1332" t="s">
        <v>2344</v>
      </c>
      <c r="C1332">
        <v>524624</v>
      </c>
      <c r="D1332" t="s">
        <v>2345</v>
      </c>
      <c r="E1332" t="s">
        <v>2346</v>
      </c>
    </row>
    <row r="1333" spans="2:5" x14ac:dyDescent="0.2">
      <c r="B1333" t="s">
        <v>2347</v>
      </c>
      <c r="C1333">
        <v>531196</v>
      </c>
      <c r="D1333" t="s">
        <v>366</v>
      </c>
      <c r="E1333" t="s">
        <v>388</v>
      </c>
    </row>
    <row r="1334" spans="2:5" x14ac:dyDescent="0.2">
      <c r="B1334" t="s">
        <v>2348</v>
      </c>
      <c r="C1334">
        <v>531196</v>
      </c>
      <c r="D1334" t="s">
        <v>366</v>
      </c>
      <c r="E1334" t="s">
        <v>388</v>
      </c>
    </row>
    <row r="1335" spans="2:5" x14ac:dyDescent="0.2">
      <c r="B1335" t="s">
        <v>2349</v>
      </c>
      <c r="C1335">
        <v>532155</v>
      </c>
      <c r="D1335" t="s">
        <v>2350</v>
      </c>
      <c r="E1335" t="s">
        <v>391</v>
      </c>
    </row>
    <row r="1336" spans="2:5" x14ac:dyDescent="0.2">
      <c r="B1336" t="s">
        <v>2351</v>
      </c>
      <c r="C1336">
        <v>532155</v>
      </c>
      <c r="D1336" t="s">
        <v>2350</v>
      </c>
      <c r="E1336" t="s">
        <v>391</v>
      </c>
    </row>
    <row r="1337" spans="2:5" x14ac:dyDescent="0.2">
      <c r="B1337" t="s">
        <v>2352</v>
      </c>
      <c r="C1337">
        <v>538609</v>
      </c>
      <c r="D1337" t="s">
        <v>366</v>
      </c>
      <c r="E1337" t="s">
        <v>349</v>
      </c>
    </row>
    <row r="1338" spans="2:5" x14ac:dyDescent="0.2">
      <c r="B1338" t="s">
        <v>2353</v>
      </c>
      <c r="C1338">
        <v>505711</v>
      </c>
      <c r="D1338" t="s">
        <v>366</v>
      </c>
      <c r="E1338" t="s">
        <v>721</v>
      </c>
    </row>
    <row r="1339" spans="2:5" x14ac:dyDescent="0.2">
      <c r="B1339" t="s">
        <v>2354</v>
      </c>
      <c r="C1339">
        <v>539228</v>
      </c>
      <c r="D1339" t="s">
        <v>366</v>
      </c>
      <c r="E1339" t="s">
        <v>2355</v>
      </c>
    </row>
    <row r="1340" spans="2:5" x14ac:dyDescent="0.2">
      <c r="B1340" t="s">
        <v>2356</v>
      </c>
      <c r="C1340">
        <v>538881</v>
      </c>
      <c r="D1340" t="s">
        <v>366</v>
      </c>
      <c r="E1340" t="s">
        <v>383</v>
      </c>
    </row>
    <row r="1341" spans="2:5" x14ac:dyDescent="0.2">
      <c r="B1341" t="s">
        <v>2357</v>
      </c>
      <c r="C1341">
        <v>504697</v>
      </c>
      <c r="D1341" t="s">
        <v>366</v>
      </c>
      <c r="E1341" t="s">
        <v>664</v>
      </c>
    </row>
    <row r="1342" spans="2:5" x14ac:dyDescent="0.2">
      <c r="B1342" t="s">
        <v>2358</v>
      </c>
      <c r="C1342">
        <v>531911</v>
      </c>
      <c r="D1342" t="s">
        <v>366</v>
      </c>
      <c r="E1342" t="s">
        <v>374</v>
      </c>
    </row>
    <row r="1343" spans="2:5" x14ac:dyDescent="0.2">
      <c r="B1343" t="s">
        <v>2359</v>
      </c>
      <c r="C1343">
        <v>526073</v>
      </c>
      <c r="D1343" t="s">
        <v>366</v>
      </c>
      <c r="E1343" t="s">
        <v>551</v>
      </c>
    </row>
    <row r="1344" spans="2:5" x14ac:dyDescent="0.2">
      <c r="B1344" t="s">
        <v>2360</v>
      </c>
      <c r="C1344">
        <v>506186</v>
      </c>
      <c r="D1344" t="s">
        <v>366</v>
      </c>
      <c r="E1344" t="s">
        <v>369</v>
      </c>
    </row>
    <row r="1345" spans="2:5" x14ac:dyDescent="0.2">
      <c r="B1345" t="s">
        <v>2361</v>
      </c>
      <c r="C1345">
        <v>540935</v>
      </c>
      <c r="D1345" t="s">
        <v>2362</v>
      </c>
      <c r="E1345" t="s">
        <v>526</v>
      </c>
    </row>
    <row r="1346" spans="2:5" x14ac:dyDescent="0.2">
      <c r="B1346" t="s">
        <v>2363</v>
      </c>
      <c r="C1346">
        <v>533265</v>
      </c>
      <c r="D1346" t="s">
        <v>2364</v>
      </c>
      <c r="E1346" t="s">
        <v>398</v>
      </c>
    </row>
    <row r="1347" spans="2:5" x14ac:dyDescent="0.2">
      <c r="B1347" t="s">
        <v>2365</v>
      </c>
      <c r="C1347">
        <v>532726</v>
      </c>
      <c r="D1347" t="s">
        <v>2366</v>
      </c>
      <c r="E1347" t="s">
        <v>398</v>
      </c>
    </row>
    <row r="1348" spans="2:5" x14ac:dyDescent="0.2">
      <c r="B1348" t="s">
        <v>2367</v>
      </c>
      <c r="C1348">
        <v>531902</v>
      </c>
      <c r="D1348" t="s">
        <v>2368</v>
      </c>
      <c r="E1348" t="s">
        <v>452</v>
      </c>
    </row>
    <row r="1349" spans="2:5" x14ac:dyDescent="0.2">
      <c r="B1349" t="s">
        <v>2369</v>
      </c>
      <c r="C1349">
        <v>532959</v>
      </c>
      <c r="D1349" t="s">
        <v>2370</v>
      </c>
      <c r="E1349" t="s">
        <v>764</v>
      </c>
    </row>
    <row r="1350" spans="2:5" x14ac:dyDescent="0.2">
      <c r="B1350" t="s">
        <v>2371</v>
      </c>
      <c r="C1350">
        <v>513108</v>
      </c>
      <c r="D1350" t="s">
        <v>2372</v>
      </c>
      <c r="E1350" t="s">
        <v>689</v>
      </c>
    </row>
    <row r="1351" spans="2:5" x14ac:dyDescent="0.2">
      <c r="B1351" t="s">
        <v>2373</v>
      </c>
      <c r="C1351">
        <v>500153</v>
      </c>
      <c r="D1351" t="s">
        <v>366</v>
      </c>
      <c r="E1351" t="s">
        <v>414</v>
      </c>
    </row>
    <row r="1352" spans="2:5" x14ac:dyDescent="0.2">
      <c r="B1352" t="s">
        <v>2374</v>
      </c>
      <c r="C1352">
        <v>541703</v>
      </c>
      <c r="D1352" t="s">
        <v>366</v>
      </c>
      <c r="E1352" t="s">
        <v>367</v>
      </c>
    </row>
    <row r="1353" spans="2:5" x14ac:dyDescent="0.2">
      <c r="B1353" t="s">
        <v>2375</v>
      </c>
      <c r="C1353">
        <v>541703</v>
      </c>
      <c r="D1353" t="s">
        <v>366</v>
      </c>
      <c r="E1353" t="s">
        <v>367</v>
      </c>
    </row>
    <row r="1354" spans="2:5" x14ac:dyDescent="0.2">
      <c r="B1354" t="s">
        <v>2376</v>
      </c>
      <c r="C1354">
        <v>504397</v>
      </c>
      <c r="D1354" t="s">
        <v>366</v>
      </c>
      <c r="E1354" t="s">
        <v>787</v>
      </c>
    </row>
    <row r="1355" spans="2:5" x14ac:dyDescent="0.2">
      <c r="B1355" t="s">
        <v>2377</v>
      </c>
      <c r="C1355">
        <v>526367</v>
      </c>
      <c r="D1355" t="s">
        <v>2378</v>
      </c>
      <c r="E1355" t="s">
        <v>452</v>
      </c>
    </row>
    <row r="1356" spans="2:5" x14ac:dyDescent="0.2">
      <c r="B1356" t="s">
        <v>2379</v>
      </c>
      <c r="C1356">
        <v>514167</v>
      </c>
      <c r="D1356" t="s">
        <v>2380</v>
      </c>
      <c r="E1356" t="s">
        <v>787</v>
      </c>
    </row>
    <row r="1357" spans="2:5" x14ac:dyDescent="0.2">
      <c r="B1357" t="s">
        <v>2381</v>
      </c>
      <c r="C1357" t="s">
        <v>366</v>
      </c>
      <c r="D1357" t="s">
        <v>2382</v>
      </c>
      <c r="E1357" t="s">
        <v>377</v>
      </c>
    </row>
    <row r="1358" spans="2:5" x14ac:dyDescent="0.2">
      <c r="B1358" t="s">
        <v>2383</v>
      </c>
      <c r="C1358">
        <v>531813</v>
      </c>
      <c r="D1358" t="s">
        <v>366</v>
      </c>
      <c r="E1358" t="s">
        <v>360</v>
      </c>
    </row>
    <row r="1359" spans="2:5" x14ac:dyDescent="0.2">
      <c r="B1359" t="s">
        <v>2384</v>
      </c>
      <c r="C1359">
        <v>531813</v>
      </c>
      <c r="D1359" t="s">
        <v>366</v>
      </c>
      <c r="E1359" t="s">
        <v>360</v>
      </c>
    </row>
    <row r="1360" spans="2:5" x14ac:dyDescent="0.2">
      <c r="B1360" t="s">
        <v>2385</v>
      </c>
      <c r="C1360">
        <v>539680</v>
      </c>
      <c r="D1360" t="s">
        <v>366</v>
      </c>
      <c r="E1360" t="s">
        <v>404</v>
      </c>
    </row>
    <row r="1361" spans="2:5" x14ac:dyDescent="0.2">
      <c r="B1361" t="s">
        <v>2386</v>
      </c>
      <c r="C1361">
        <v>540647</v>
      </c>
      <c r="D1361" t="s">
        <v>2387</v>
      </c>
      <c r="E1361" t="s">
        <v>386</v>
      </c>
    </row>
    <row r="1362" spans="2:5" x14ac:dyDescent="0.2">
      <c r="B1362" t="s">
        <v>2388</v>
      </c>
      <c r="C1362">
        <v>521176</v>
      </c>
      <c r="D1362" t="s">
        <v>2389</v>
      </c>
      <c r="E1362" t="s">
        <v>381</v>
      </c>
    </row>
    <row r="1363" spans="2:5" x14ac:dyDescent="0.2">
      <c r="B1363" t="s">
        <v>2390</v>
      </c>
      <c r="C1363">
        <v>512443</v>
      </c>
      <c r="D1363" t="s">
        <v>366</v>
      </c>
      <c r="E1363" t="s">
        <v>388</v>
      </c>
    </row>
    <row r="1364" spans="2:5" x14ac:dyDescent="0.2">
      <c r="B1364" t="s">
        <v>2391</v>
      </c>
      <c r="C1364">
        <v>539492</v>
      </c>
      <c r="D1364" t="s">
        <v>366</v>
      </c>
      <c r="E1364" t="s">
        <v>383</v>
      </c>
    </row>
    <row r="1365" spans="2:5" x14ac:dyDescent="0.2">
      <c r="B1365" t="s">
        <v>2392</v>
      </c>
      <c r="C1365">
        <v>542011</v>
      </c>
      <c r="D1365" t="s">
        <v>2393</v>
      </c>
      <c r="E1365" t="s">
        <v>444</v>
      </c>
    </row>
    <row r="1366" spans="2:5" x14ac:dyDescent="0.2">
      <c r="B1366" t="s">
        <v>2394</v>
      </c>
      <c r="C1366">
        <v>500155</v>
      </c>
      <c r="D1366" t="s">
        <v>2395</v>
      </c>
      <c r="E1366" t="s">
        <v>381</v>
      </c>
    </row>
    <row r="1367" spans="2:5" x14ac:dyDescent="0.2">
      <c r="B1367" t="s">
        <v>2396</v>
      </c>
      <c r="C1367">
        <v>530615</v>
      </c>
      <c r="D1367" t="s">
        <v>366</v>
      </c>
      <c r="E1367" t="s">
        <v>398</v>
      </c>
    </row>
    <row r="1368" spans="2:5" x14ac:dyDescent="0.2">
      <c r="B1368" t="s">
        <v>2397</v>
      </c>
      <c r="C1368">
        <v>526727</v>
      </c>
      <c r="D1368" t="s">
        <v>366</v>
      </c>
      <c r="E1368" t="s">
        <v>764</v>
      </c>
    </row>
    <row r="1369" spans="2:5" x14ac:dyDescent="0.2">
      <c r="B1369" t="s">
        <v>2398</v>
      </c>
      <c r="C1369">
        <v>512493</v>
      </c>
      <c r="D1369" t="s">
        <v>366</v>
      </c>
      <c r="E1369" t="s">
        <v>349</v>
      </c>
    </row>
    <row r="1370" spans="2:5" x14ac:dyDescent="0.2">
      <c r="B1370" t="s">
        <v>2399</v>
      </c>
      <c r="C1370">
        <v>530161</v>
      </c>
      <c r="D1370" t="s">
        <v>366</v>
      </c>
      <c r="E1370" t="s">
        <v>388</v>
      </c>
    </row>
    <row r="1371" spans="2:5" x14ac:dyDescent="0.2">
      <c r="B1371" t="s">
        <v>2400</v>
      </c>
      <c r="C1371">
        <v>541276</v>
      </c>
      <c r="D1371" t="s">
        <v>366</v>
      </c>
      <c r="E1371" t="s">
        <v>388</v>
      </c>
    </row>
    <row r="1372" spans="2:5" x14ac:dyDescent="0.2">
      <c r="B1372" t="s">
        <v>2401</v>
      </c>
      <c r="C1372">
        <v>509563</v>
      </c>
      <c r="D1372" t="s">
        <v>366</v>
      </c>
      <c r="E1372" t="s">
        <v>381</v>
      </c>
    </row>
    <row r="1373" spans="2:5" x14ac:dyDescent="0.2">
      <c r="B1373" t="s">
        <v>2402</v>
      </c>
      <c r="C1373">
        <v>500655</v>
      </c>
      <c r="D1373" t="s">
        <v>366</v>
      </c>
      <c r="E1373" t="s">
        <v>414</v>
      </c>
    </row>
    <row r="1374" spans="2:5" x14ac:dyDescent="0.2">
      <c r="B1374" t="s">
        <v>2403</v>
      </c>
      <c r="C1374">
        <v>514400</v>
      </c>
      <c r="D1374" t="s">
        <v>366</v>
      </c>
      <c r="E1374" t="s">
        <v>388</v>
      </c>
    </row>
    <row r="1375" spans="2:5" x14ac:dyDescent="0.2">
      <c r="B1375" t="s">
        <v>2404</v>
      </c>
      <c r="C1375">
        <v>509557</v>
      </c>
      <c r="D1375" t="s">
        <v>2405</v>
      </c>
      <c r="E1375" t="s">
        <v>381</v>
      </c>
    </row>
    <row r="1376" spans="2:5" x14ac:dyDescent="0.2">
      <c r="B1376" t="s">
        <v>2406</v>
      </c>
      <c r="C1376">
        <v>532622</v>
      </c>
      <c r="D1376" t="s">
        <v>2407</v>
      </c>
      <c r="E1376" t="s">
        <v>687</v>
      </c>
    </row>
    <row r="1377" spans="2:5" x14ac:dyDescent="0.2">
      <c r="B1377" t="s">
        <v>2408</v>
      </c>
      <c r="C1377">
        <v>532345</v>
      </c>
      <c r="D1377" t="s">
        <v>2409</v>
      </c>
      <c r="E1377" t="s">
        <v>687</v>
      </c>
    </row>
    <row r="1378" spans="2:5" x14ac:dyDescent="0.2">
      <c r="B1378" t="s">
        <v>2410</v>
      </c>
      <c r="C1378">
        <v>539515</v>
      </c>
      <c r="D1378" t="s">
        <v>366</v>
      </c>
      <c r="E1378" t="s">
        <v>388</v>
      </c>
    </row>
    <row r="1379" spans="2:5" x14ac:dyDescent="0.2">
      <c r="B1379" t="s">
        <v>2411</v>
      </c>
      <c r="C1379">
        <v>540613</v>
      </c>
      <c r="D1379" t="s">
        <v>366</v>
      </c>
      <c r="E1379" t="s">
        <v>388</v>
      </c>
    </row>
    <row r="1380" spans="2:5" x14ac:dyDescent="0.2">
      <c r="B1380" t="s">
        <v>2412</v>
      </c>
      <c r="C1380">
        <v>540936</v>
      </c>
      <c r="D1380" t="s">
        <v>366</v>
      </c>
      <c r="E1380" t="s">
        <v>388</v>
      </c>
    </row>
    <row r="1381" spans="2:5" x14ac:dyDescent="0.2">
      <c r="B1381" t="s">
        <v>2413</v>
      </c>
      <c r="C1381">
        <v>524564</v>
      </c>
      <c r="D1381" t="s">
        <v>366</v>
      </c>
      <c r="E1381" t="s">
        <v>414</v>
      </c>
    </row>
    <row r="1382" spans="2:5" x14ac:dyDescent="0.2">
      <c r="B1382" t="s">
        <v>2414</v>
      </c>
      <c r="C1382">
        <v>541546</v>
      </c>
      <c r="D1382" t="s">
        <v>2415</v>
      </c>
      <c r="E1382" t="s">
        <v>764</v>
      </c>
    </row>
    <row r="1383" spans="2:5" x14ac:dyDescent="0.2">
      <c r="B1383" t="s">
        <v>2416</v>
      </c>
      <c r="C1383">
        <v>532767</v>
      </c>
      <c r="D1383" t="s">
        <v>2417</v>
      </c>
      <c r="E1383" t="s">
        <v>764</v>
      </c>
    </row>
    <row r="1384" spans="2:5" x14ac:dyDescent="0.2">
      <c r="B1384" t="s">
        <v>2418</v>
      </c>
      <c r="C1384">
        <v>532183</v>
      </c>
      <c r="D1384" t="s">
        <v>366</v>
      </c>
      <c r="E1384" t="s">
        <v>1065</v>
      </c>
    </row>
    <row r="1385" spans="2:5" x14ac:dyDescent="0.2">
      <c r="B1385" t="s">
        <v>2419</v>
      </c>
      <c r="C1385">
        <v>539009</v>
      </c>
      <c r="D1385" t="s">
        <v>366</v>
      </c>
      <c r="E1385" t="s">
        <v>764</v>
      </c>
    </row>
    <row r="1386" spans="2:5" x14ac:dyDescent="0.2">
      <c r="B1386" t="s">
        <v>2420</v>
      </c>
      <c r="C1386">
        <v>538319</v>
      </c>
      <c r="D1386" t="s">
        <v>366</v>
      </c>
      <c r="E1386" t="s">
        <v>349</v>
      </c>
    </row>
    <row r="1387" spans="2:5" x14ac:dyDescent="0.2">
      <c r="B1387" t="s">
        <v>2421</v>
      </c>
      <c r="C1387">
        <v>535917</v>
      </c>
      <c r="D1387" t="s">
        <v>366</v>
      </c>
      <c r="E1387" t="s">
        <v>349</v>
      </c>
    </row>
    <row r="1388" spans="2:5" x14ac:dyDescent="0.2">
      <c r="B1388" t="s">
        <v>2422</v>
      </c>
      <c r="C1388">
        <v>535431</v>
      </c>
      <c r="D1388" t="s">
        <v>366</v>
      </c>
      <c r="E1388" t="s">
        <v>349</v>
      </c>
    </row>
    <row r="1389" spans="2:5" x14ac:dyDescent="0.2">
      <c r="B1389" t="s">
        <v>2423</v>
      </c>
      <c r="C1389">
        <v>530855</v>
      </c>
      <c r="D1389" t="s">
        <v>366</v>
      </c>
      <c r="E1389" t="s">
        <v>383</v>
      </c>
    </row>
    <row r="1390" spans="2:5" x14ac:dyDescent="0.2">
      <c r="B1390" t="s">
        <v>2424</v>
      </c>
      <c r="C1390">
        <v>532309</v>
      </c>
      <c r="D1390" t="s">
        <v>2425</v>
      </c>
      <c r="E1390" t="s">
        <v>409</v>
      </c>
    </row>
    <row r="1391" spans="2:5" x14ac:dyDescent="0.2">
      <c r="B1391" t="s">
        <v>2426</v>
      </c>
      <c r="C1391">
        <v>532309</v>
      </c>
      <c r="D1391" t="s">
        <v>2425</v>
      </c>
      <c r="E1391" t="s">
        <v>409</v>
      </c>
    </row>
    <row r="1392" spans="2:5" x14ac:dyDescent="0.2">
      <c r="B1392" t="s">
        <v>2427</v>
      </c>
      <c r="C1392">
        <v>522275</v>
      </c>
      <c r="D1392" t="s">
        <v>2428</v>
      </c>
      <c r="E1392" t="s">
        <v>505</v>
      </c>
    </row>
    <row r="1393" spans="2:5" x14ac:dyDescent="0.2">
      <c r="B1393" t="s">
        <v>2429</v>
      </c>
      <c r="C1393">
        <v>522275</v>
      </c>
      <c r="D1393" t="s">
        <v>2428</v>
      </c>
      <c r="E1393" t="s">
        <v>505</v>
      </c>
    </row>
    <row r="1394" spans="2:5" x14ac:dyDescent="0.2">
      <c r="B1394" t="s">
        <v>2430</v>
      </c>
      <c r="C1394">
        <v>504028</v>
      </c>
      <c r="D1394" t="s">
        <v>366</v>
      </c>
      <c r="E1394" t="s">
        <v>551</v>
      </c>
    </row>
    <row r="1395" spans="2:5" x14ac:dyDescent="0.2">
      <c r="B1395" t="s">
        <v>2431</v>
      </c>
      <c r="C1395">
        <v>532764</v>
      </c>
      <c r="D1395" t="s">
        <v>2432</v>
      </c>
      <c r="E1395" t="s">
        <v>452</v>
      </c>
    </row>
    <row r="1396" spans="2:5" x14ac:dyDescent="0.2">
      <c r="B1396" t="s">
        <v>2433</v>
      </c>
      <c r="C1396">
        <v>530389</v>
      </c>
      <c r="D1396" t="s">
        <v>366</v>
      </c>
      <c r="E1396" t="s">
        <v>386</v>
      </c>
    </row>
    <row r="1397" spans="2:5" x14ac:dyDescent="0.2">
      <c r="B1397" t="s">
        <v>2434</v>
      </c>
      <c r="C1397" t="s">
        <v>366</v>
      </c>
      <c r="D1397" t="s">
        <v>2435</v>
      </c>
      <c r="E1397" t="s">
        <v>377</v>
      </c>
    </row>
    <row r="1398" spans="2:5" x14ac:dyDescent="0.2">
      <c r="B1398" t="s">
        <v>2436</v>
      </c>
      <c r="C1398">
        <v>539486</v>
      </c>
      <c r="D1398" t="s">
        <v>366</v>
      </c>
      <c r="E1398" t="s">
        <v>383</v>
      </c>
    </row>
    <row r="1399" spans="2:5" x14ac:dyDescent="0.2">
      <c r="B1399" t="s">
        <v>2437</v>
      </c>
      <c r="C1399">
        <v>521133</v>
      </c>
      <c r="D1399" t="s">
        <v>366</v>
      </c>
      <c r="E1399" t="s">
        <v>381</v>
      </c>
    </row>
    <row r="1400" spans="2:5" x14ac:dyDescent="0.2">
      <c r="B1400" t="s">
        <v>2438</v>
      </c>
      <c r="C1400">
        <v>521133</v>
      </c>
      <c r="D1400" t="s">
        <v>366</v>
      </c>
      <c r="E1400" t="s">
        <v>381</v>
      </c>
    </row>
    <row r="1401" spans="2:5" x14ac:dyDescent="0.2">
      <c r="B1401" t="s">
        <v>2439</v>
      </c>
      <c r="C1401">
        <v>532318</v>
      </c>
      <c r="D1401" t="s">
        <v>2440</v>
      </c>
      <c r="E1401" t="s">
        <v>1989</v>
      </c>
    </row>
    <row r="1402" spans="2:5" x14ac:dyDescent="0.2">
      <c r="B1402" t="s">
        <v>2441</v>
      </c>
      <c r="C1402">
        <v>531137</v>
      </c>
      <c r="D1402" t="s">
        <v>366</v>
      </c>
      <c r="E1402" t="s">
        <v>787</v>
      </c>
    </row>
    <row r="1403" spans="2:5" x14ac:dyDescent="0.2">
      <c r="B1403" t="s">
        <v>2442</v>
      </c>
      <c r="C1403">
        <v>541999</v>
      </c>
      <c r="D1403" t="s">
        <v>366</v>
      </c>
      <c r="E1403" t="s">
        <v>564</v>
      </c>
    </row>
    <row r="1404" spans="2:5" x14ac:dyDescent="0.2">
      <c r="B1404" t="s">
        <v>2443</v>
      </c>
      <c r="C1404">
        <v>540755</v>
      </c>
      <c r="D1404" t="s">
        <v>2444</v>
      </c>
      <c r="E1404" t="s">
        <v>2445</v>
      </c>
    </row>
    <row r="1405" spans="2:5" x14ac:dyDescent="0.2">
      <c r="B1405" t="s">
        <v>2446</v>
      </c>
      <c r="C1405">
        <v>539407</v>
      </c>
      <c r="D1405" t="s">
        <v>366</v>
      </c>
      <c r="E1405" t="s">
        <v>764</v>
      </c>
    </row>
    <row r="1406" spans="2:5" x14ac:dyDescent="0.2">
      <c r="B1406" t="s">
        <v>2447</v>
      </c>
      <c r="C1406">
        <v>514336</v>
      </c>
      <c r="D1406" t="s">
        <v>366</v>
      </c>
      <c r="E1406" t="s">
        <v>704</v>
      </c>
    </row>
    <row r="1407" spans="2:5" x14ac:dyDescent="0.2">
      <c r="B1407" t="s">
        <v>2448</v>
      </c>
      <c r="C1407">
        <v>514336</v>
      </c>
      <c r="D1407" t="s">
        <v>366</v>
      </c>
      <c r="E1407" t="s">
        <v>704</v>
      </c>
    </row>
    <row r="1408" spans="2:5" x14ac:dyDescent="0.2">
      <c r="B1408" t="s">
        <v>2449</v>
      </c>
      <c r="C1408">
        <v>506109</v>
      </c>
      <c r="D1408" t="s">
        <v>2450</v>
      </c>
      <c r="E1408" t="s">
        <v>459</v>
      </c>
    </row>
    <row r="1409" spans="2:5" x14ac:dyDescent="0.2">
      <c r="B1409" t="s">
        <v>2451</v>
      </c>
      <c r="C1409">
        <v>531739</v>
      </c>
      <c r="D1409" t="s">
        <v>366</v>
      </c>
      <c r="E1409" t="s">
        <v>404</v>
      </c>
    </row>
    <row r="1410" spans="2:5" x14ac:dyDescent="0.2">
      <c r="B1410" t="s">
        <v>2452</v>
      </c>
      <c r="C1410">
        <v>539206</v>
      </c>
      <c r="D1410" t="s">
        <v>366</v>
      </c>
      <c r="E1410" t="s">
        <v>704</v>
      </c>
    </row>
    <row r="1411" spans="2:5" x14ac:dyDescent="0.2">
      <c r="B1411" t="s">
        <v>2453</v>
      </c>
      <c r="C1411">
        <v>538961</v>
      </c>
      <c r="D1411" t="s">
        <v>2454</v>
      </c>
      <c r="E1411" t="s">
        <v>360</v>
      </c>
    </row>
    <row r="1412" spans="2:5" x14ac:dyDescent="0.2">
      <c r="B1412" t="s">
        <v>2455</v>
      </c>
      <c r="C1412">
        <v>530343</v>
      </c>
      <c r="D1412" t="s">
        <v>2456</v>
      </c>
      <c r="E1412" t="s">
        <v>664</v>
      </c>
    </row>
    <row r="1413" spans="2:5" x14ac:dyDescent="0.2">
      <c r="B1413" t="s">
        <v>2457</v>
      </c>
      <c r="C1413">
        <v>532285</v>
      </c>
      <c r="D1413" t="s">
        <v>2458</v>
      </c>
      <c r="E1413" t="s">
        <v>349</v>
      </c>
    </row>
    <row r="1414" spans="2:5" x14ac:dyDescent="0.2">
      <c r="B1414" t="s">
        <v>2459</v>
      </c>
      <c r="C1414">
        <v>500171</v>
      </c>
      <c r="D1414" t="s">
        <v>2460</v>
      </c>
      <c r="E1414" t="s">
        <v>414</v>
      </c>
    </row>
    <row r="1415" spans="2:5" x14ac:dyDescent="0.2">
      <c r="B1415" t="s">
        <v>2461</v>
      </c>
      <c r="C1415">
        <v>533048</v>
      </c>
      <c r="D1415" t="s">
        <v>2462</v>
      </c>
      <c r="E1415" t="s">
        <v>764</v>
      </c>
    </row>
    <row r="1416" spans="2:5" x14ac:dyDescent="0.2">
      <c r="B1416" t="s">
        <v>2463</v>
      </c>
      <c r="C1416">
        <v>511676</v>
      </c>
      <c r="D1416" t="s">
        <v>2464</v>
      </c>
      <c r="E1416" t="s">
        <v>424</v>
      </c>
    </row>
    <row r="1417" spans="2:5" x14ac:dyDescent="0.2">
      <c r="B1417" t="s">
        <v>2465</v>
      </c>
      <c r="C1417">
        <v>538788</v>
      </c>
      <c r="D1417" t="s">
        <v>366</v>
      </c>
      <c r="E1417" t="s">
        <v>383</v>
      </c>
    </row>
    <row r="1418" spans="2:5" x14ac:dyDescent="0.2">
      <c r="B1418" t="s">
        <v>2466</v>
      </c>
      <c r="C1418">
        <v>532716</v>
      </c>
      <c r="D1418" t="s">
        <v>2467</v>
      </c>
      <c r="E1418" t="s">
        <v>355</v>
      </c>
    </row>
    <row r="1419" spans="2:5" x14ac:dyDescent="0.2">
      <c r="B1419" t="s">
        <v>2468</v>
      </c>
      <c r="C1419">
        <v>507815</v>
      </c>
      <c r="D1419" t="s">
        <v>2469</v>
      </c>
      <c r="E1419" t="s">
        <v>548</v>
      </c>
    </row>
    <row r="1420" spans="2:5" x14ac:dyDescent="0.2">
      <c r="B1420" t="s">
        <v>2470</v>
      </c>
      <c r="C1420">
        <v>507815</v>
      </c>
      <c r="D1420" t="s">
        <v>2469</v>
      </c>
      <c r="E1420" t="s">
        <v>548</v>
      </c>
    </row>
    <row r="1421" spans="2:5" x14ac:dyDescent="0.2">
      <c r="B1421" t="s">
        <v>2471</v>
      </c>
      <c r="C1421">
        <v>531744</v>
      </c>
      <c r="D1421" t="s">
        <v>366</v>
      </c>
      <c r="E1421" t="s">
        <v>388</v>
      </c>
    </row>
    <row r="1422" spans="2:5" x14ac:dyDescent="0.2">
      <c r="B1422" t="s">
        <v>2472</v>
      </c>
      <c r="C1422">
        <v>590025</v>
      </c>
      <c r="D1422" t="s">
        <v>2473</v>
      </c>
      <c r="E1422" t="s">
        <v>381</v>
      </c>
    </row>
    <row r="1423" spans="2:5" x14ac:dyDescent="0.2">
      <c r="B1423" t="s">
        <v>2474</v>
      </c>
      <c r="C1423">
        <v>507506</v>
      </c>
      <c r="D1423" t="s">
        <v>366</v>
      </c>
      <c r="E1423" t="s">
        <v>1065</v>
      </c>
    </row>
    <row r="1424" spans="2:5" x14ac:dyDescent="0.2">
      <c r="B1424" t="s">
        <v>2475</v>
      </c>
      <c r="C1424" t="s">
        <v>366</v>
      </c>
      <c r="D1424" t="s">
        <v>2476</v>
      </c>
      <c r="E1424" t="s">
        <v>377</v>
      </c>
    </row>
    <row r="1425" spans="2:5" x14ac:dyDescent="0.2">
      <c r="B1425" t="s">
        <v>2477</v>
      </c>
      <c r="C1425">
        <v>539013</v>
      </c>
      <c r="D1425" t="s">
        <v>366</v>
      </c>
      <c r="E1425" t="s">
        <v>505</v>
      </c>
    </row>
    <row r="1426" spans="2:5" x14ac:dyDescent="0.2">
      <c r="B1426" t="s">
        <v>2478</v>
      </c>
      <c r="C1426">
        <v>533212</v>
      </c>
      <c r="D1426" t="s">
        <v>366</v>
      </c>
      <c r="E1426" t="s">
        <v>555</v>
      </c>
    </row>
    <row r="1427" spans="2:5" x14ac:dyDescent="0.2">
      <c r="B1427" t="s">
        <v>2479</v>
      </c>
      <c r="C1427" t="s">
        <v>366</v>
      </c>
      <c r="D1427" t="s">
        <v>2480</v>
      </c>
      <c r="E1427" t="s">
        <v>457</v>
      </c>
    </row>
    <row r="1428" spans="2:5" x14ac:dyDescent="0.2">
      <c r="B1428" t="s">
        <v>2481</v>
      </c>
      <c r="C1428">
        <v>531199</v>
      </c>
      <c r="D1428" t="s">
        <v>366</v>
      </c>
      <c r="E1428" t="s">
        <v>383</v>
      </c>
    </row>
    <row r="1429" spans="2:5" x14ac:dyDescent="0.2">
      <c r="B1429" t="s">
        <v>2482</v>
      </c>
      <c r="C1429">
        <v>500676</v>
      </c>
      <c r="D1429" t="s">
        <v>2483</v>
      </c>
      <c r="E1429" t="s">
        <v>426</v>
      </c>
    </row>
    <row r="1430" spans="2:5" x14ac:dyDescent="0.2">
      <c r="B1430" t="s">
        <v>2484</v>
      </c>
      <c r="C1430">
        <v>500660</v>
      </c>
      <c r="D1430" t="s">
        <v>2485</v>
      </c>
      <c r="E1430" t="s">
        <v>404</v>
      </c>
    </row>
    <row r="1431" spans="2:5" x14ac:dyDescent="0.2">
      <c r="B1431" t="s">
        <v>2486</v>
      </c>
      <c r="C1431">
        <v>542477</v>
      </c>
      <c r="D1431" t="s">
        <v>2487</v>
      </c>
      <c r="E1431" t="s">
        <v>732</v>
      </c>
    </row>
    <row r="1432" spans="2:5" x14ac:dyDescent="0.2">
      <c r="B1432" t="s">
        <v>2488</v>
      </c>
      <c r="C1432">
        <v>532296</v>
      </c>
      <c r="D1432" t="s">
        <v>2489</v>
      </c>
      <c r="E1432" t="s">
        <v>404</v>
      </c>
    </row>
    <row r="1433" spans="2:5" x14ac:dyDescent="0.2">
      <c r="B1433" t="s">
        <v>2490</v>
      </c>
      <c r="C1433">
        <v>513528</v>
      </c>
      <c r="D1433" t="s">
        <v>366</v>
      </c>
      <c r="E1433" t="s">
        <v>894</v>
      </c>
    </row>
    <row r="1434" spans="2:5" x14ac:dyDescent="0.2">
      <c r="B1434" t="s">
        <v>2491</v>
      </c>
      <c r="C1434">
        <v>530263</v>
      </c>
      <c r="D1434" t="s">
        <v>366</v>
      </c>
      <c r="E1434" t="s">
        <v>383</v>
      </c>
    </row>
    <row r="1435" spans="2:5" x14ac:dyDescent="0.2">
      <c r="B1435" t="s">
        <v>2492</v>
      </c>
      <c r="C1435" t="s">
        <v>366</v>
      </c>
      <c r="D1435" t="s">
        <v>2493</v>
      </c>
      <c r="E1435" t="s">
        <v>377</v>
      </c>
    </row>
    <row r="1436" spans="2:5" x14ac:dyDescent="0.2">
      <c r="B1436" t="s">
        <v>2494</v>
      </c>
      <c r="C1436">
        <v>531463</v>
      </c>
      <c r="D1436" t="s">
        <v>366</v>
      </c>
      <c r="E1436" t="s">
        <v>787</v>
      </c>
    </row>
    <row r="1437" spans="2:5" x14ac:dyDescent="0.2">
      <c r="B1437" t="s">
        <v>2495</v>
      </c>
      <c r="C1437">
        <v>531479</v>
      </c>
      <c r="D1437" t="s">
        <v>366</v>
      </c>
      <c r="E1437" t="s">
        <v>452</v>
      </c>
    </row>
    <row r="1438" spans="2:5" x14ac:dyDescent="0.2">
      <c r="B1438" t="s">
        <v>2496</v>
      </c>
      <c r="C1438">
        <v>501848</v>
      </c>
      <c r="D1438" t="s">
        <v>2497</v>
      </c>
      <c r="E1438" t="s">
        <v>1611</v>
      </c>
    </row>
    <row r="1439" spans="2:5" x14ac:dyDescent="0.2">
      <c r="B1439" t="s">
        <v>2498</v>
      </c>
      <c r="C1439">
        <v>532773</v>
      </c>
      <c r="D1439" t="s">
        <v>2499</v>
      </c>
      <c r="E1439" t="s">
        <v>2500</v>
      </c>
    </row>
    <row r="1440" spans="2:5" x14ac:dyDescent="0.2">
      <c r="B1440" t="s">
        <v>2501</v>
      </c>
      <c r="C1440">
        <v>540654</v>
      </c>
      <c r="D1440" t="s">
        <v>366</v>
      </c>
      <c r="E1440" t="s">
        <v>352</v>
      </c>
    </row>
    <row r="1441" spans="2:5" x14ac:dyDescent="0.2">
      <c r="B1441" t="s">
        <v>2502</v>
      </c>
      <c r="C1441">
        <v>540266</v>
      </c>
      <c r="D1441" t="s">
        <v>366</v>
      </c>
      <c r="E1441" t="s">
        <v>388</v>
      </c>
    </row>
    <row r="1442" spans="2:5" x14ac:dyDescent="0.2">
      <c r="B1442" t="s">
        <v>2503</v>
      </c>
      <c r="C1442" t="s">
        <v>366</v>
      </c>
      <c r="D1442" t="s">
        <v>2504</v>
      </c>
      <c r="E1442" t="s">
        <v>377</v>
      </c>
    </row>
    <row r="1443" spans="2:5" x14ac:dyDescent="0.2">
      <c r="B1443" t="s">
        <v>2505</v>
      </c>
      <c r="C1443" t="s">
        <v>366</v>
      </c>
      <c r="D1443" t="s">
        <v>2506</v>
      </c>
      <c r="E1443" t="s">
        <v>377</v>
      </c>
    </row>
    <row r="1444" spans="2:5" x14ac:dyDescent="0.2">
      <c r="B1444" t="s">
        <v>2507</v>
      </c>
      <c r="C1444" t="s">
        <v>366</v>
      </c>
      <c r="D1444" t="s">
        <v>2506</v>
      </c>
      <c r="E1444" t="s">
        <v>377</v>
      </c>
    </row>
    <row r="1445" spans="2:5" x14ac:dyDescent="0.2">
      <c r="B1445" t="s">
        <v>2508</v>
      </c>
      <c r="C1445">
        <v>526025</v>
      </c>
      <c r="D1445" t="s">
        <v>366</v>
      </c>
      <c r="E1445" t="s">
        <v>381</v>
      </c>
    </row>
    <row r="1446" spans="2:5" x14ac:dyDescent="0.2">
      <c r="B1446" t="s">
        <v>2509</v>
      </c>
      <c r="C1446">
        <v>531904</v>
      </c>
      <c r="D1446" t="s">
        <v>2510</v>
      </c>
      <c r="E1446" t="s">
        <v>732</v>
      </c>
    </row>
    <row r="1447" spans="2:5" x14ac:dyDescent="0.2">
      <c r="B1447" t="s">
        <v>2511</v>
      </c>
      <c r="C1447">
        <v>533104</v>
      </c>
      <c r="D1447" t="s">
        <v>2512</v>
      </c>
      <c r="E1447" t="s">
        <v>998</v>
      </c>
    </row>
    <row r="1448" spans="2:5" x14ac:dyDescent="0.2">
      <c r="B1448" t="s">
        <v>2513</v>
      </c>
      <c r="C1448">
        <v>542351</v>
      </c>
      <c r="D1448" t="s">
        <v>2514</v>
      </c>
      <c r="E1448" t="s">
        <v>2515</v>
      </c>
    </row>
    <row r="1449" spans="2:5" x14ac:dyDescent="0.2">
      <c r="B1449" t="s">
        <v>2516</v>
      </c>
      <c r="C1449">
        <v>507488</v>
      </c>
      <c r="D1449" t="s">
        <v>2517</v>
      </c>
      <c r="E1449" t="s">
        <v>998</v>
      </c>
    </row>
    <row r="1450" spans="2:5" x14ac:dyDescent="0.2">
      <c r="B1450" t="s">
        <v>2518</v>
      </c>
      <c r="C1450">
        <v>505255</v>
      </c>
      <c r="D1450" t="s">
        <v>2519</v>
      </c>
      <c r="E1450" t="s">
        <v>374</v>
      </c>
    </row>
    <row r="1451" spans="2:5" x14ac:dyDescent="0.2">
      <c r="B1451" t="s">
        <v>2520</v>
      </c>
      <c r="C1451">
        <v>532754</v>
      </c>
      <c r="D1451" t="s">
        <v>2521</v>
      </c>
      <c r="E1451" t="s">
        <v>505</v>
      </c>
    </row>
    <row r="1452" spans="2:5" x14ac:dyDescent="0.2">
      <c r="B1452" t="s">
        <v>2522</v>
      </c>
      <c r="C1452">
        <v>540124</v>
      </c>
      <c r="D1452" t="s">
        <v>2523</v>
      </c>
      <c r="E1452" t="s">
        <v>721</v>
      </c>
    </row>
    <row r="1453" spans="2:5" x14ac:dyDescent="0.2">
      <c r="B1453" t="s">
        <v>2524</v>
      </c>
      <c r="C1453">
        <v>509567</v>
      </c>
      <c r="D1453" t="s">
        <v>2525</v>
      </c>
      <c r="E1453" t="s">
        <v>1293</v>
      </c>
    </row>
    <row r="1454" spans="2:5" x14ac:dyDescent="0.2">
      <c r="B1454" t="s">
        <v>2526</v>
      </c>
      <c r="C1454">
        <v>506480</v>
      </c>
      <c r="D1454" t="s">
        <v>2527</v>
      </c>
      <c r="E1454" t="s">
        <v>576</v>
      </c>
    </row>
    <row r="1455" spans="2:5" x14ac:dyDescent="0.2">
      <c r="B1455" t="s">
        <v>2528</v>
      </c>
      <c r="C1455">
        <v>530317</v>
      </c>
      <c r="D1455" t="s">
        <v>366</v>
      </c>
      <c r="E1455" t="s">
        <v>404</v>
      </c>
    </row>
    <row r="1456" spans="2:5" x14ac:dyDescent="0.2">
      <c r="B1456" t="s">
        <v>2529</v>
      </c>
      <c r="C1456">
        <v>532734</v>
      </c>
      <c r="D1456" t="s">
        <v>2530</v>
      </c>
      <c r="E1456" t="s">
        <v>398</v>
      </c>
    </row>
    <row r="1457" spans="2:5" x14ac:dyDescent="0.2">
      <c r="B1457" t="s">
        <v>2531</v>
      </c>
      <c r="C1457">
        <v>500163</v>
      </c>
      <c r="D1457" t="s">
        <v>2532</v>
      </c>
      <c r="E1457" t="s">
        <v>2533</v>
      </c>
    </row>
    <row r="1458" spans="2:5" x14ac:dyDescent="0.2">
      <c r="B1458" t="s">
        <v>2534</v>
      </c>
      <c r="C1458">
        <v>500163</v>
      </c>
      <c r="D1458" t="s">
        <v>2532</v>
      </c>
      <c r="E1458" t="s">
        <v>2533</v>
      </c>
    </row>
    <row r="1459" spans="2:5" x14ac:dyDescent="0.2">
      <c r="B1459" t="s">
        <v>2535</v>
      </c>
      <c r="C1459" t="s">
        <v>366</v>
      </c>
      <c r="D1459" t="s">
        <v>2536</v>
      </c>
      <c r="E1459" t="s">
        <v>377</v>
      </c>
    </row>
    <row r="1460" spans="2:5" x14ac:dyDescent="0.2">
      <c r="B1460" t="s">
        <v>2537</v>
      </c>
      <c r="C1460">
        <v>540743</v>
      </c>
      <c r="D1460" t="s">
        <v>2538</v>
      </c>
      <c r="E1460" t="s">
        <v>564</v>
      </c>
    </row>
    <row r="1461" spans="2:5" x14ac:dyDescent="0.2">
      <c r="B1461" t="s">
        <v>2539</v>
      </c>
      <c r="C1461">
        <v>532424</v>
      </c>
      <c r="D1461" t="s">
        <v>316</v>
      </c>
      <c r="E1461" t="s">
        <v>548</v>
      </c>
    </row>
    <row r="1462" spans="2:5" x14ac:dyDescent="0.2">
      <c r="B1462" t="s">
        <v>2540</v>
      </c>
      <c r="C1462">
        <v>500164</v>
      </c>
      <c r="D1462" t="s">
        <v>2541</v>
      </c>
      <c r="E1462" t="s">
        <v>414</v>
      </c>
    </row>
    <row r="1463" spans="2:5" x14ac:dyDescent="0.2">
      <c r="B1463" t="s">
        <v>2542</v>
      </c>
      <c r="C1463">
        <v>533150</v>
      </c>
      <c r="D1463" t="s">
        <v>2543</v>
      </c>
      <c r="E1463" t="s">
        <v>452</v>
      </c>
    </row>
    <row r="1464" spans="2:5" x14ac:dyDescent="0.2">
      <c r="B1464" t="s">
        <v>2544</v>
      </c>
      <c r="C1464">
        <v>538787</v>
      </c>
      <c r="D1464" t="s">
        <v>366</v>
      </c>
      <c r="E1464" t="s">
        <v>383</v>
      </c>
    </row>
    <row r="1465" spans="2:5" x14ac:dyDescent="0.2">
      <c r="B1465" t="s">
        <v>2545</v>
      </c>
      <c r="C1465">
        <v>533189</v>
      </c>
      <c r="D1465" t="s">
        <v>2546</v>
      </c>
      <c r="E1465" t="s">
        <v>480</v>
      </c>
    </row>
    <row r="1466" spans="2:5" x14ac:dyDescent="0.2">
      <c r="B1466" t="s">
        <v>2547</v>
      </c>
      <c r="C1466">
        <v>531600</v>
      </c>
      <c r="D1466" t="s">
        <v>366</v>
      </c>
      <c r="E1466" t="s">
        <v>349</v>
      </c>
    </row>
    <row r="1467" spans="2:5" x14ac:dyDescent="0.2">
      <c r="B1467" t="s">
        <v>2548</v>
      </c>
      <c r="C1467">
        <v>532957</v>
      </c>
      <c r="D1467" t="s">
        <v>366</v>
      </c>
      <c r="E1467" t="s">
        <v>381</v>
      </c>
    </row>
    <row r="1468" spans="2:5" x14ac:dyDescent="0.2">
      <c r="B1468" t="s">
        <v>2549</v>
      </c>
      <c r="C1468">
        <v>532630</v>
      </c>
      <c r="D1468" t="s">
        <v>2550</v>
      </c>
      <c r="E1468" t="s">
        <v>480</v>
      </c>
    </row>
    <row r="1469" spans="2:5" x14ac:dyDescent="0.2">
      <c r="B1469" t="s">
        <v>2551</v>
      </c>
      <c r="C1469">
        <v>539725</v>
      </c>
      <c r="D1469" t="s">
        <v>2552</v>
      </c>
      <c r="E1469" t="s">
        <v>615</v>
      </c>
    </row>
    <row r="1470" spans="2:5" x14ac:dyDescent="0.2">
      <c r="B1470" t="s">
        <v>2553</v>
      </c>
      <c r="C1470">
        <v>532980</v>
      </c>
      <c r="D1470" t="s">
        <v>2554</v>
      </c>
      <c r="E1470" t="s">
        <v>615</v>
      </c>
    </row>
    <row r="1471" spans="2:5" x14ac:dyDescent="0.2">
      <c r="B1471" t="s">
        <v>2555</v>
      </c>
      <c r="C1471">
        <v>780012</v>
      </c>
      <c r="D1471" t="s">
        <v>366</v>
      </c>
      <c r="E1471" t="s">
        <v>457</v>
      </c>
    </row>
    <row r="1472" spans="2:5" x14ac:dyDescent="0.2">
      <c r="B1472" t="s">
        <v>2556</v>
      </c>
      <c r="C1472">
        <v>538542</v>
      </c>
      <c r="D1472" t="s">
        <v>366</v>
      </c>
      <c r="E1472" t="s">
        <v>426</v>
      </c>
    </row>
    <row r="1473" spans="2:5" x14ac:dyDescent="0.2">
      <c r="B1473" t="s">
        <v>2557</v>
      </c>
      <c r="C1473">
        <v>538180</v>
      </c>
      <c r="D1473" t="s">
        <v>2558</v>
      </c>
      <c r="E1473" t="s">
        <v>386</v>
      </c>
    </row>
    <row r="1474" spans="2:5" x14ac:dyDescent="0.2">
      <c r="B1474" t="s">
        <v>2559</v>
      </c>
      <c r="C1474">
        <v>505576</v>
      </c>
      <c r="D1474" t="s">
        <v>366</v>
      </c>
      <c r="E1474" t="s">
        <v>383</v>
      </c>
    </row>
    <row r="1475" spans="2:5" x14ac:dyDescent="0.2">
      <c r="B1475" t="s">
        <v>2560</v>
      </c>
      <c r="C1475">
        <v>531928</v>
      </c>
      <c r="D1475" t="s">
        <v>366</v>
      </c>
      <c r="E1475" t="s">
        <v>643</v>
      </c>
    </row>
    <row r="1476" spans="2:5" x14ac:dyDescent="0.2">
      <c r="B1476" t="s">
        <v>2561</v>
      </c>
      <c r="C1476">
        <v>540062</v>
      </c>
      <c r="D1476" t="s">
        <v>366</v>
      </c>
      <c r="E1476" t="s">
        <v>471</v>
      </c>
    </row>
    <row r="1477" spans="2:5" x14ac:dyDescent="0.2">
      <c r="B1477" t="s">
        <v>2562</v>
      </c>
      <c r="C1477">
        <v>530579</v>
      </c>
      <c r="D1477" t="s">
        <v>366</v>
      </c>
      <c r="E1477" t="s">
        <v>383</v>
      </c>
    </row>
    <row r="1478" spans="2:5" x14ac:dyDescent="0.2">
      <c r="B1478" t="s">
        <v>2563</v>
      </c>
      <c r="C1478">
        <v>500151</v>
      </c>
      <c r="D1478" t="s">
        <v>2564</v>
      </c>
      <c r="E1478" t="s">
        <v>2533</v>
      </c>
    </row>
    <row r="1479" spans="2:5" x14ac:dyDescent="0.2">
      <c r="B1479" t="s">
        <v>2565</v>
      </c>
      <c r="C1479">
        <v>526729</v>
      </c>
      <c r="D1479" t="s">
        <v>2566</v>
      </c>
      <c r="E1479" t="s">
        <v>480</v>
      </c>
    </row>
    <row r="1480" spans="2:5" x14ac:dyDescent="0.2">
      <c r="B1480" t="s">
        <v>2567</v>
      </c>
      <c r="C1480" t="s">
        <v>366</v>
      </c>
      <c r="D1480" t="s">
        <v>2568</v>
      </c>
      <c r="E1480" t="s">
        <v>377</v>
      </c>
    </row>
    <row r="1481" spans="2:5" x14ac:dyDescent="0.2">
      <c r="B1481" t="s">
        <v>2569</v>
      </c>
      <c r="C1481">
        <v>531439</v>
      </c>
      <c r="D1481" t="s">
        <v>2570</v>
      </c>
      <c r="E1481" t="s">
        <v>352</v>
      </c>
    </row>
    <row r="1482" spans="2:5" x14ac:dyDescent="0.2">
      <c r="B1482" t="s">
        <v>2571</v>
      </c>
      <c r="C1482">
        <v>531360</v>
      </c>
      <c r="D1482" t="s">
        <v>366</v>
      </c>
      <c r="E1482" t="s">
        <v>787</v>
      </c>
    </row>
    <row r="1483" spans="2:5" x14ac:dyDescent="0.2">
      <c r="B1483" t="s">
        <v>2572</v>
      </c>
      <c r="C1483">
        <v>513309</v>
      </c>
      <c r="D1483" t="s">
        <v>366</v>
      </c>
      <c r="E1483" t="s">
        <v>671</v>
      </c>
    </row>
    <row r="1484" spans="2:5" x14ac:dyDescent="0.2">
      <c r="B1484" t="s">
        <v>2573</v>
      </c>
      <c r="C1484">
        <v>523676</v>
      </c>
      <c r="D1484" t="s">
        <v>366</v>
      </c>
      <c r="E1484" t="s">
        <v>480</v>
      </c>
    </row>
    <row r="1485" spans="2:5" x14ac:dyDescent="0.2">
      <c r="B1485" t="s">
        <v>2574</v>
      </c>
      <c r="C1485">
        <v>530655</v>
      </c>
      <c r="D1485" t="s">
        <v>2575</v>
      </c>
      <c r="E1485" t="s">
        <v>689</v>
      </c>
    </row>
    <row r="1486" spans="2:5" x14ac:dyDescent="0.2">
      <c r="B1486" t="s">
        <v>2576</v>
      </c>
      <c r="C1486">
        <v>530655</v>
      </c>
      <c r="D1486" t="s">
        <v>2575</v>
      </c>
      <c r="E1486" t="s">
        <v>689</v>
      </c>
    </row>
    <row r="1487" spans="2:5" x14ac:dyDescent="0.2">
      <c r="B1487" t="s">
        <v>2577</v>
      </c>
      <c r="C1487">
        <v>500166</v>
      </c>
      <c r="D1487" t="s">
        <v>366</v>
      </c>
      <c r="E1487" t="s">
        <v>773</v>
      </c>
    </row>
    <row r="1488" spans="2:5" x14ac:dyDescent="0.2">
      <c r="B1488" t="s">
        <v>2578</v>
      </c>
      <c r="C1488">
        <v>500168</v>
      </c>
      <c r="D1488" t="s">
        <v>366</v>
      </c>
      <c r="E1488" t="s">
        <v>846</v>
      </c>
    </row>
    <row r="1489" spans="2:5" x14ac:dyDescent="0.2">
      <c r="B1489" t="s">
        <v>2579</v>
      </c>
      <c r="C1489">
        <v>500168</v>
      </c>
      <c r="D1489" t="s">
        <v>366</v>
      </c>
      <c r="E1489" t="s">
        <v>846</v>
      </c>
    </row>
    <row r="1490" spans="2:5" x14ac:dyDescent="0.2">
      <c r="B1490" t="s">
        <v>2580</v>
      </c>
      <c r="C1490">
        <v>531913</v>
      </c>
      <c r="D1490" t="s">
        <v>366</v>
      </c>
      <c r="E1490" t="s">
        <v>689</v>
      </c>
    </row>
    <row r="1491" spans="2:5" x14ac:dyDescent="0.2">
      <c r="B1491" t="s">
        <v>2581</v>
      </c>
      <c r="C1491">
        <v>526717</v>
      </c>
      <c r="D1491" t="s">
        <v>366</v>
      </c>
      <c r="E1491" t="s">
        <v>561</v>
      </c>
    </row>
    <row r="1492" spans="2:5" x14ac:dyDescent="0.2">
      <c r="B1492" t="s">
        <v>2582</v>
      </c>
      <c r="C1492">
        <v>531608</v>
      </c>
      <c r="D1492" t="s">
        <v>366</v>
      </c>
      <c r="E1492" t="s">
        <v>1410</v>
      </c>
    </row>
    <row r="1493" spans="2:5" x14ac:dyDescent="0.2">
      <c r="B1493" t="s">
        <v>2583</v>
      </c>
      <c r="C1493">
        <v>531111</v>
      </c>
      <c r="D1493" t="s">
        <v>366</v>
      </c>
      <c r="E1493" t="s">
        <v>1410</v>
      </c>
    </row>
    <row r="1494" spans="2:5" x14ac:dyDescent="0.2">
      <c r="B1494" t="s">
        <v>2584</v>
      </c>
      <c r="C1494">
        <v>531111</v>
      </c>
      <c r="D1494" t="s">
        <v>366</v>
      </c>
      <c r="E1494" t="s">
        <v>1410</v>
      </c>
    </row>
    <row r="1495" spans="2:5" x14ac:dyDescent="0.2">
      <c r="B1495" t="s">
        <v>2585</v>
      </c>
      <c r="C1495">
        <v>509148</v>
      </c>
      <c r="D1495" t="s">
        <v>366</v>
      </c>
      <c r="E1495" t="s">
        <v>846</v>
      </c>
    </row>
    <row r="1496" spans="2:5" x14ac:dyDescent="0.2">
      <c r="B1496" t="s">
        <v>2586</v>
      </c>
      <c r="C1496">
        <v>530709</v>
      </c>
      <c r="D1496" t="s">
        <v>366</v>
      </c>
      <c r="E1496" t="s">
        <v>383</v>
      </c>
    </row>
    <row r="1497" spans="2:5" x14ac:dyDescent="0.2">
      <c r="B1497" t="s">
        <v>2587</v>
      </c>
      <c r="C1497">
        <v>530663</v>
      </c>
      <c r="D1497" t="s">
        <v>366</v>
      </c>
      <c r="E1497" t="s">
        <v>349</v>
      </c>
    </row>
    <row r="1498" spans="2:5" x14ac:dyDescent="0.2">
      <c r="B1498" t="s">
        <v>2588</v>
      </c>
      <c r="C1498">
        <v>532543</v>
      </c>
      <c r="D1498" t="s">
        <v>2589</v>
      </c>
      <c r="E1498" t="s">
        <v>576</v>
      </c>
    </row>
    <row r="1499" spans="2:5" x14ac:dyDescent="0.2">
      <c r="B1499" t="s">
        <v>2590</v>
      </c>
      <c r="C1499">
        <v>533761</v>
      </c>
      <c r="D1499" t="s">
        <v>2591</v>
      </c>
      <c r="E1499" t="s">
        <v>764</v>
      </c>
    </row>
    <row r="1500" spans="2:5" x14ac:dyDescent="0.2">
      <c r="B1500" t="s">
        <v>2592</v>
      </c>
      <c r="C1500">
        <v>780002</v>
      </c>
      <c r="D1500" t="s">
        <v>366</v>
      </c>
      <c r="E1500" t="s">
        <v>457</v>
      </c>
    </row>
    <row r="1501" spans="2:5" x14ac:dyDescent="0.2">
      <c r="B1501" t="s">
        <v>2593</v>
      </c>
      <c r="C1501">
        <v>590126</v>
      </c>
      <c r="D1501" t="s">
        <v>366</v>
      </c>
      <c r="E1501" t="s">
        <v>1965</v>
      </c>
    </row>
    <row r="1502" spans="2:5" x14ac:dyDescent="0.2">
      <c r="B1502" t="s">
        <v>2594</v>
      </c>
      <c r="C1502">
        <v>539235</v>
      </c>
      <c r="D1502" t="s">
        <v>366</v>
      </c>
      <c r="E1502" t="s">
        <v>773</v>
      </c>
    </row>
    <row r="1503" spans="2:5" x14ac:dyDescent="0.2">
      <c r="B1503" t="s">
        <v>2595</v>
      </c>
      <c r="C1503">
        <v>532482</v>
      </c>
      <c r="D1503" t="s">
        <v>2596</v>
      </c>
      <c r="E1503" t="s">
        <v>404</v>
      </c>
    </row>
    <row r="1504" spans="2:5" x14ac:dyDescent="0.2">
      <c r="B1504" t="s">
        <v>2597</v>
      </c>
      <c r="C1504">
        <v>532482</v>
      </c>
      <c r="D1504" t="s">
        <v>2596</v>
      </c>
      <c r="E1504" t="s">
        <v>404</v>
      </c>
    </row>
    <row r="1505" spans="2:5" x14ac:dyDescent="0.2">
      <c r="B1505" t="s">
        <v>2598</v>
      </c>
      <c r="C1505">
        <v>509488</v>
      </c>
      <c r="D1505" t="s">
        <v>2599</v>
      </c>
      <c r="E1505" t="s">
        <v>551</v>
      </c>
    </row>
    <row r="1506" spans="2:5" x14ac:dyDescent="0.2">
      <c r="B1506" t="s">
        <v>2600</v>
      </c>
      <c r="C1506">
        <v>509488</v>
      </c>
      <c r="D1506" t="s">
        <v>2599</v>
      </c>
      <c r="E1506" t="s">
        <v>551</v>
      </c>
    </row>
    <row r="1507" spans="2:5" x14ac:dyDescent="0.2">
      <c r="B1507" t="s">
        <v>2601</v>
      </c>
      <c r="C1507">
        <v>500300</v>
      </c>
      <c r="D1507" t="s">
        <v>2602</v>
      </c>
      <c r="E1507" t="s">
        <v>379</v>
      </c>
    </row>
    <row r="1508" spans="2:5" x14ac:dyDescent="0.2">
      <c r="B1508" t="s">
        <v>2603</v>
      </c>
      <c r="C1508">
        <v>526751</v>
      </c>
      <c r="D1508" t="s">
        <v>366</v>
      </c>
      <c r="E1508" t="s">
        <v>360</v>
      </c>
    </row>
    <row r="1509" spans="2:5" x14ac:dyDescent="0.2">
      <c r="B1509" t="s">
        <v>2604</v>
      </c>
      <c r="C1509">
        <v>505710</v>
      </c>
      <c r="D1509" t="s">
        <v>366</v>
      </c>
      <c r="E1509" t="s">
        <v>414</v>
      </c>
    </row>
    <row r="1510" spans="2:5" x14ac:dyDescent="0.2">
      <c r="B1510" t="s">
        <v>2605</v>
      </c>
      <c r="C1510">
        <v>505710</v>
      </c>
      <c r="D1510" t="s">
        <v>366</v>
      </c>
      <c r="E1510" t="s">
        <v>414</v>
      </c>
    </row>
    <row r="1511" spans="2:5" x14ac:dyDescent="0.2">
      <c r="B1511" t="s">
        <v>2606</v>
      </c>
      <c r="C1511">
        <v>509546</v>
      </c>
      <c r="D1511" t="s">
        <v>366</v>
      </c>
      <c r="E1511" t="s">
        <v>567</v>
      </c>
    </row>
    <row r="1512" spans="2:5" x14ac:dyDescent="0.2">
      <c r="B1512" t="s">
        <v>2607</v>
      </c>
      <c r="C1512">
        <v>533282</v>
      </c>
      <c r="D1512" t="s">
        <v>2608</v>
      </c>
      <c r="E1512" t="s">
        <v>2609</v>
      </c>
    </row>
    <row r="1513" spans="2:5" x14ac:dyDescent="0.2">
      <c r="B1513" t="s">
        <v>2610</v>
      </c>
      <c r="C1513">
        <v>533282</v>
      </c>
      <c r="D1513" t="s">
        <v>2608</v>
      </c>
      <c r="E1513" t="s">
        <v>2609</v>
      </c>
    </row>
    <row r="1514" spans="2:5" x14ac:dyDescent="0.2">
      <c r="B1514" t="s">
        <v>2611</v>
      </c>
      <c r="C1514">
        <v>532015</v>
      </c>
      <c r="D1514" t="s">
        <v>366</v>
      </c>
      <c r="E1514" t="s">
        <v>381</v>
      </c>
    </row>
    <row r="1515" spans="2:5" x14ac:dyDescent="0.2">
      <c r="B1515" t="s">
        <v>2612</v>
      </c>
      <c r="C1515">
        <v>532015</v>
      </c>
      <c r="D1515" t="s">
        <v>366</v>
      </c>
      <c r="E1515" t="s">
        <v>381</v>
      </c>
    </row>
    <row r="1516" spans="2:5" x14ac:dyDescent="0.2">
      <c r="B1516" t="s">
        <v>2613</v>
      </c>
      <c r="C1516">
        <v>501455</v>
      </c>
      <c r="D1516" t="s">
        <v>2614</v>
      </c>
      <c r="E1516" t="s">
        <v>374</v>
      </c>
    </row>
    <row r="1517" spans="2:5" x14ac:dyDescent="0.2">
      <c r="B1517" t="s">
        <v>2615</v>
      </c>
      <c r="C1517">
        <v>531737</v>
      </c>
      <c r="D1517" t="s">
        <v>366</v>
      </c>
      <c r="E1517" t="s">
        <v>787</v>
      </c>
    </row>
    <row r="1518" spans="2:5" x14ac:dyDescent="0.2">
      <c r="B1518" t="s">
        <v>2616</v>
      </c>
      <c r="C1518">
        <v>538979</v>
      </c>
      <c r="D1518" t="s">
        <v>2617</v>
      </c>
      <c r="E1518" t="s">
        <v>643</v>
      </c>
    </row>
    <row r="1519" spans="2:5" x14ac:dyDescent="0.2">
      <c r="B1519" t="s">
        <v>2618</v>
      </c>
      <c r="C1519">
        <v>526797</v>
      </c>
      <c r="D1519" t="s">
        <v>2619</v>
      </c>
      <c r="E1519" t="s">
        <v>861</v>
      </c>
    </row>
    <row r="1520" spans="2:5" x14ac:dyDescent="0.2">
      <c r="B1520" t="s">
        <v>2620</v>
      </c>
      <c r="C1520" t="s">
        <v>366</v>
      </c>
      <c r="D1520" t="s">
        <v>2621</v>
      </c>
      <c r="E1520" t="s">
        <v>377</v>
      </c>
    </row>
    <row r="1521" spans="2:5" x14ac:dyDescent="0.2">
      <c r="B1521" t="s">
        <v>2622</v>
      </c>
      <c r="C1521">
        <v>508918</v>
      </c>
      <c r="D1521" t="s">
        <v>366</v>
      </c>
      <c r="E1521" t="s">
        <v>471</v>
      </c>
    </row>
    <row r="1522" spans="2:5" x14ac:dyDescent="0.2">
      <c r="B1522" t="s">
        <v>2623</v>
      </c>
      <c r="C1522">
        <v>506076</v>
      </c>
      <c r="D1522" t="s">
        <v>2624</v>
      </c>
      <c r="E1522" t="s">
        <v>1284</v>
      </c>
    </row>
    <row r="1523" spans="2:5" x14ac:dyDescent="0.2">
      <c r="B1523" t="s">
        <v>2625</v>
      </c>
      <c r="C1523">
        <v>531449</v>
      </c>
      <c r="D1523" t="s">
        <v>366</v>
      </c>
      <c r="E1523" t="s">
        <v>564</v>
      </c>
    </row>
    <row r="1524" spans="2:5" x14ac:dyDescent="0.2">
      <c r="B1524" t="s">
        <v>2626</v>
      </c>
      <c r="C1524">
        <v>501314</v>
      </c>
      <c r="D1524" t="s">
        <v>366</v>
      </c>
      <c r="E1524" t="s">
        <v>388</v>
      </c>
    </row>
    <row r="1525" spans="2:5" x14ac:dyDescent="0.2">
      <c r="B1525" t="s">
        <v>2627</v>
      </c>
      <c r="C1525">
        <v>539522</v>
      </c>
      <c r="D1525" t="s">
        <v>366</v>
      </c>
      <c r="E1525" t="s">
        <v>812</v>
      </c>
    </row>
    <row r="1526" spans="2:5" x14ac:dyDescent="0.2">
      <c r="B1526" t="s">
        <v>2628</v>
      </c>
      <c r="C1526">
        <v>539522</v>
      </c>
      <c r="D1526" t="s">
        <v>366</v>
      </c>
      <c r="E1526" t="s">
        <v>812</v>
      </c>
    </row>
    <row r="1527" spans="2:5" x14ac:dyDescent="0.2">
      <c r="B1527" t="s">
        <v>2629</v>
      </c>
      <c r="C1527">
        <v>509152</v>
      </c>
      <c r="D1527" t="s">
        <v>2630</v>
      </c>
      <c r="E1527" t="s">
        <v>846</v>
      </c>
    </row>
    <row r="1528" spans="2:5" x14ac:dyDescent="0.2">
      <c r="B1528" t="s">
        <v>2631</v>
      </c>
      <c r="C1528">
        <v>511288</v>
      </c>
      <c r="D1528" t="s">
        <v>2632</v>
      </c>
      <c r="E1528" t="s">
        <v>424</v>
      </c>
    </row>
    <row r="1529" spans="2:5" x14ac:dyDescent="0.2">
      <c r="B1529" t="s">
        <v>2633</v>
      </c>
      <c r="C1529">
        <v>511543</v>
      </c>
      <c r="D1529" t="s">
        <v>366</v>
      </c>
      <c r="E1529" t="s">
        <v>383</v>
      </c>
    </row>
    <row r="1530" spans="2:5" x14ac:dyDescent="0.2">
      <c r="B1530" t="s">
        <v>2634</v>
      </c>
      <c r="C1530">
        <v>530605</v>
      </c>
      <c r="D1530" t="s">
        <v>366</v>
      </c>
      <c r="E1530" t="s">
        <v>381</v>
      </c>
    </row>
    <row r="1531" spans="2:5" x14ac:dyDescent="0.2">
      <c r="B1531" t="s">
        <v>2635</v>
      </c>
      <c r="C1531">
        <v>530469</v>
      </c>
      <c r="D1531" t="s">
        <v>366</v>
      </c>
      <c r="E1531" t="s">
        <v>383</v>
      </c>
    </row>
    <row r="1532" spans="2:5" x14ac:dyDescent="0.2">
      <c r="B1532" t="s">
        <v>2636</v>
      </c>
      <c r="C1532">
        <v>532951</v>
      </c>
      <c r="D1532" t="s">
        <v>2637</v>
      </c>
      <c r="E1532" t="s">
        <v>352</v>
      </c>
    </row>
    <row r="1533" spans="2:5" x14ac:dyDescent="0.2">
      <c r="B1533" t="s">
        <v>2638</v>
      </c>
      <c r="C1533">
        <v>532139</v>
      </c>
      <c r="D1533" t="s">
        <v>366</v>
      </c>
      <c r="E1533" t="s">
        <v>696</v>
      </c>
    </row>
    <row r="1534" spans="2:5" x14ac:dyDescent="0.2">
      <c r="B1534" t="s">
        <v>2639</v>
      </c>
      <c r="C1534">
        <v>532775</v>
      </c>
      <c r="D1534" t="s">
        <v>2640</v>
      </c>
      <c r="E1534" t="s">
        <v>512</v>
      </c>
    </row>
    <row r="1535" spans="2:5" x14ac:dyDescent="0.2">
      <c r="B1535" t="s">
        <v>2641</v>
      </c>
      <c r="C1535">
        <v>500160</v>
      </c>
      <c r="D1535" t="s">
        <v>2642</v>
      </c>
      <c r="E1535" t="s">
        <v>1311</v>
      </c>
    </row>
    <row r="1536" spans="2:5" x14ac:dyDescent="0.2">
      <c r="B1536" t="s">
        <v>2643</v>
      </c>
      <c r="C1536">
        <v>500170</v>
      </c>
      <c r="D1536" t="s">
        <v>2644</v>
      </c>
      <c r="E1536" t="s">
        <v>381</v>
      </c>
    </row>
    <row r="1537" spans="2:5" x14ac:dyDescent="0.2">
      <c r="B1537" t="s">
        <v>2645</v>
      </c>
      <c r="C1537">
        <v>532744</v>
      </c>
      <c r="D1537" t="s">
        <v>2646</v>
      </c>
      <c r="E1537" t="s">
        <v>381</v>
      </c>
    </row>
    <row r="1538" spans="2:5" x14ac:dyDescent="0.2">
      <c r="B1538" t="s">
        <v>2647</v>
      </c>
      <c r="C1538">
        <v>540602</v>
      </c>
      <c r="D1538" t="s">
        <v>2648</v>
      </c>
      <c r="E1538" t="s">
        <v>1311</v>
      </c>
    </row>
    <row r="1539" spans="2:5" x14ac:dyDescent="0.2">
      <c r="B1539" t="s">
        <v>2649</v>
      </c>
      <c r="C1539">
        <v>539479</v>
      </c>
      <c r="D1539" t="s">
        <v>366</v>
      </c>
      <c r="E1539" t="s">
        <v>374</v>
      </c>
    </row>
    <row r="1540" spans="2:5" x14ac:dyDescent="0.2">
      <c r="B1540" t="s">
        <v>2650</v>
      </c>
      <c r="C1540">
        <v>509079</v>
      </c>
      <c r="D1540" t="s">
        <v>2651</v>
      </c>
      <c r="E1540" t="s">
        <v>404</v>
      </c>
    </row>
    <row r="1541" spans="2:5" x14ac:dyDescent="0.2">
      <c r="B1541" t="s">
        <v>2652</v>
      </c>
      <c r="C1541">
        <v>530001</v>
      </c>
      <c r="D1541" t="s">
        <v>2653</v>
      </c>
      <c r="E1541" t="s">
        <v>414</v>
      </c>
    </row>
    <row r="1542" spans="2:5" x14ac:dyDescent="0.2">
      <c r="B1542" t="s">
        <v>2654</v>
      </c>
      <c r="C1542">
        <v>524226</v>
      </c>
      <c r="D1542" t="s">
        <v>2655</v>
      </c>
      <c r="E1542" t="s">
        <v>564</v>
      </c>
    </row>
    <row r="1543" spans="2:5" x14ac:dyDescent="0.2">
      <c r="B1543" t="s">
        <v>2656</v>
      </c>
      <c r="C1543">
        <v>522217</v>
      </c>
      <c r="D1543" t="s">
        <v>2657</v>
      </c>
      <c r="E1543" t="s">
        <v>444</v>
      </c>
    </row>
    <row r="1544" spans="2:5" x14ac:dyDescent="0.2">
      <c r="B1544" t="s">
        <v>2658</v>
      </c>
      <c r="C1544">
        <v>523768</v>
      </c>
      <c r="D1544" t="s">
        <v>366</v>
      </c>
      <c r="E1544" t="s">
        <v>894</v>
      </c>
    </row>
    <row r="1545" spans="2:5" x14ac:dyDescent="0.2">
      <c r="B1545" t="s">
        <v>2659</v>
      </c>
      <c r="C1545">
        <v>513507</v>
      </c>
      <c r="D1545" t="s">
        <v>366</v>
      </c>
      <c r="E1545" t="s">
        <v>689</v>
      </c>
    </row>
    <row r="1546" spans="2:5" x14ac:dyDescent="0.2">
      <c r="B1546" t="s">
        <v>2660</v>
      </c>
      <c r="C1546">
        <v>514386</v>
      </c>
      <c r="D1546" t="s">
        <v>366</v>
      </c>
      <c r="E1546" t="s">
        <v>381</v>
      </c>
    </row>
    <row r="1547" spans="2:5" x14ac:dyDescent="0.2">
      <c r="B1547" t="s">
        <v>2661</v>
      </c>
      <c r="C1547">
        <v>526965</v>
      </c>
      <c r="D1547" t="s">
        <v>366</v>
      </c>
      <c r="E1547" t="s">
        <v>561</v>
      </c>
    </row>
    <row r="1548" spans="2:5" x14ac:dyDescent="0.2">
      <c r="B1548" t="s">
        <v>2662</v>
      </c>
      <c r="C1548">
        <v>511441</v>
      </c>
      <c r="D1548" t="s">
        <v>366</v>
      </c>
      <c r="E1548" t="s">
        <v>349</v>
      </c>
    </row>
    <row r="1549" spans="2:5" x14ac:dyDescent="0.2">
      <c r="B1549" t="s">
        <v>2663</v>
      </c>
      <c r="C1549">
        <v>500173</v>
      </c>
      <c r="D1549" t="s">
        <v>2664</v>
      </c>
      <c r="E1549" t="s">
        <v>1400</v>
      </c>
    </row>
    <row r="1550" spans="2:5" x14ac:dyDescent="0.2">
      <c r="B1550" t="s">
        <v>2665</v>
      </c>
      <c r="C1550">
        <v>531410</v>
      </c>
      <c r="D1550" t="s">
        <v>366</v>
      </c>
      <c r="E1550" t="s">
        <v>671</v>
      </c>
    </row>
    <row r="1551" spans="2:5" x14ac:dyDescent="0.2">
      <c r="B1551" t="s">
        <v>2666</v>
      </c>
      <c r="C1551">
        <v>539336</v>
      </c>
      <c r="D1551" t="s">
        <v>2667</v>
      </c>
      <c r="E1551" t="s">
        <v>497</v>
      </c>
    </row>
    <row r="1552" spans="2:5" x14ac:dyDescent="0.2">
      <c r="B1552" t="s">
        <v>2668</v>
      </c>
      <c r="C1552">
        <v>507960</v>
      </c>
      <c r="D1552" t="s">
        <v>366</v>
      </c>
      <c r="E1552" t="s">
        <v>567</v>
      </c>
    </row>
    <row r="1553" spans="2:5" x14ac:dyDescent="0.2">
      <c r="B1553" t="s">
        <v>2669</v>
      </c>
      <c r="C1553">
        <v>540938</v>
      </c>
      <c r="D1553" t="s">
        <v>366</v>
      </c>
      <c r="E1553" t="s">
        <v>381</v>
      </c>
    </row>
    <row r="1554" spans="2:5" x14ac:dyDescent="0.2">
      <c r="B1554" t="s">
        <v>2670</v>
      </c>
      <c r="C1554">
        <v>517300</v>
      </c>
      <c r="D1554" t="s">
        <v>2671</v>
      </c>
      <c r="E1554" t="s">
        <v>505</v>
      </c>
    </row>
    <row r="1555" spans="2:5" x14ac:dyDescent="0.2">
      <c r="B1555" t="s">
        <v>2672</v>
      </c>
      <c r="C1555">
        <v>517372</v>
      </c>
      <c r="D1555" t="s">
        <v>366</v>
      </c>
      <c r="E1555" t="s">
        <v>1284</v>
      </c>
    </row>
    <row r="1556" spans="2:5" x14ac:dyDescent="0.2">
      <c r="B1556" t="s">
        <v>2673</v>
      </c>
      <c r="C1556">
        <v>531341</v>
      </c>
      <c r="D1556" t="s">
        <v>366</v>
      </c>
      <c r="E1556" t="s">
        <v>383</v>
      </c>
    </row>
    <row r="1557" spans="2:5" x14ac:dyDescent="0.2">
      <c r="B1557" t="s">
        <v>2674</v>
      </c>
      <c r="C1557">
        <v>500174</v>
      </c>
      <c r="D1557" t="s">
        <v>2675</v>
      </c>
      <c r="E1557" t="s">
        <v>383</v>
      </c>
    </row>
    <row r="1558" spans="2:5" x14ac:dyDescent="0.2">
      <c r="B1558" t="s">
        <v>2676</v>
      </c>
      <c r="C1558">
        <v>524754</v>
      </c>
      <c r="D1558" t="s">
        <v>366</v>
      </c>
      <c r="E1558" t="s">
        <v>1329</v>
      </c>
    </row>
    <row r="1559" spans="2:5" x14ac:dyDescent="0.2">
      <c r="B1559" t="s">
        <v>2677</v>
      </c>
      <c r="C1559">
        <v>531881</v>
      </c>
      <c r="D1559" t="s">
        <v>366</v>
      </c>
      <c r="E1559" t="s">
        <v>388</v>
      </c>
    </row>
    <row r="1560" spans="2:5" x14ac:dyDescent="0.2">
      <c r="B1560" t="s">
        <v>2678</v>
      </c>
      <c r="C1560">
        <v>532181</v>
      </c>
      <c r="D1560" t="s">
        <v>2679</v>
      </c>
      <c r="E1560" t="s">
        <v>1044</v>
      </c>
    </row>
    <row r="1561" spans="2:5" x14ac:dyDescent="0.2">
      <c r="B1561" t="s">
        <v>2680</v>
      </c>
      <c r="C1561">
        <v>500670</v>
      </c>
      <c r="D1561" t="s">
        <v>2681</v>
      </c>
      <c r="E1561" t="s">
        <v>874</v>
      </c>
    </row>
    <row r="1562" spans="2:5" x14ac:dyDescent="0.2">
      <c r="B1562" t="s">
        <v>2682</v>
      </c>
      <c r="C1562">
        <v>513536</v>
      </c>
      <c r="D1562" t="s">
        <v>366</v>
      </c>
      <c r="E1562" t="s">
        <v>429</v>
      </c>
    </row>
    <row r="1563" spans="2:5" x14ac:dyDescent="0.2">
      <c r="B1563" t="s">
        <v>2683</v>
      </c>
      <c r="C1563">
        <v>506858</v>
      </c>
      <c r="D1563" t="s">
        <v>366</v>
      </c>
      <c r="E1563" t="s">
        <v>743</v>
      </c>
    </row>
    <row r="1564" spans="2:5" x14ac:dyDescent="0.2">
      <c r="B1564" t="s">
        <v>2684</v>
      </c>
      <c r="C1564">
        <v>533248</v>
      </c>
      <c r="D1564" t="s">
        <v>2685</v>
      </c>
      <c r="E1564" t="s">
        <v>502</v>
      </c>
    </row>
    <row r="1565" spans="2:5" x14ac:dyDescent="0.2">
      <c r="B1565" t="s">
        <v>2686</v>
      </c>
      <c r="C1565">
        <v>517288</v>
      </c>
      <c r="D1565" t="s">
        <v>366</v>
      </c>
      <c r="E1565" t="s">
        <v>664</v>
      </c>
    </row>
    <row r="1566" spans="2:5" x14ac:dyDescent="0.2">
      <c r="B1566" t="s">
        <v>2687</v>
      </c>
      <c r="C1566">
        <v>523836</v>
      </c>
      <c r="D1566" t="s">
        <v>2688</v>
      </c>
      <c r="E1566" t="s">
        <v>561</v>
      </c>
    </row>
    <row r="1567" spans="2:5" x14ac:dyDescent="0.2">
      <c r="B1567" t="s">
        <v>2689</v>
      </c>
      <c r="C1567">
        <v>518029</v>
      </c>
      <c r="D1567" t="s">
        <v>2690</v>
      </c>
      <c r="E1567" t="s">
        <v>379</v>
      </c>
    </row>
    <row r="1568" spans="2:5" x14ac:dyDescent="0.2">
      <c r="B1568" t="s">
        <v>2691</v>
      </c>
      <c r="C1568">
        <v>500690</v>
      </c>
      <c r="D1568" t="s">
        <v>2692</v>
      </c>
      <c r="E1568" t="s">
        <v>874</v>
      </c>
    </row>
    <row r="1569" spans="2:5" x14ac:dyDescent="0.2">
      <c r="B1569" t="s">
        <v>2693</v>
      </c>
      <c r="C1569">
        <v>532160</v>
      </c>
      <c r="D1569" t="s">
        <v>366</v>
      </c>
      <c r="E1569" t="s">
        <v>2694</v>
      </c>
    </row>
    <row r="1570" spans="2:5" x14ac:dyDescent="0.2">
      <c r="B1570" t="s">
        <v>2695</v>
      </c>
      <c r="C1570">
        <v>532702</v>
      </c>
      <c r="D1570" t="s">
        <v>2696</v>
      </c>
      <c r="E1570" t="s">
        <v>391</v>
      </c>
    </row>
    <row r="1571" spans="2:5" x14ac:dyDescent="0.2">
      <c r="B1571" t="s">
        <v>2697</v>
      </c>
      <c r="C1571">
        <v>524314</v>
      </c>
      <c r="D1571" t="s">
        <v>366</v>
      </c>
      <c r="E1571" t="s">
        <v>404</v>
      </c>
    </row>
    <row r="1572" spans="2:5" x14ac:dyDescent="0.2">
      <c r="B1572" t="s">
        <v>2698</v>
      </c>
      <c r="C1572">
        <v>506879</v>
      </c>
      <c r="D1572" t="s">
        <v>366</v>
      </c>
      <c r="E1572" t="s">
        <v>404</v>
      </c>
    </row>
    <row r="1573" spans="2:5" x14ac:dyDescent="0.2">
      <c r="B1573" t="s">
        <v>2699</v>
      </c>
      <c r="C1573">
        <v>513337</v>
      </c>
      <c r="D1573" t="s">
        <v>366</v>
      </c>
      <c r="E1573" t="s">
        <v>486</v>
      </c>
    </row>
    <row r="1574" spans="2:5" x14ac:dyDescent="0.2">
      <c r="B1574" t="s">
        <v>2700</v>
      </c>
      <c r="C1574">
        <v>506640</v>
      </c>
      <c r="D1574" t="s">
        <v>366</v>
      </c>
      <c r="E1574" t="s">
        <v>414</v>
      </c>
    </row>
    <row r="1575" spans="2:5" x14ac:dyDescent="0.2">
      <c r="B1575" t="s">
        <v>2701</v>
      </c>
      <c r="C1575">
        <v>506640</v>
      </c>
      <c r="D1575" t="s">
        <v>366</v>
      </c>
      <c r="E1575" t="s">
        <v>414</v>
      </c>
    </row>
    <row r="1576" spans="2:5" x14ac:dyDescent="0.2">
      <c r="B1576" t="s">
        <v>2702</v>
      </c>
      <c r="C1576">
        <v>538567</v>
      </c>
      <c r="D1576" t="s">
        <v>2703</v>
      </c>
      <c r="E1576" t="s">
        <v>576</v>
      </c>
    </row>
    <row r="1577" spans="2:5" x14ac:dyDescent="0.2">
      <c r="B1577" t="s">
        <v>2704</v>
      </c>
      <c r="C1577">
        <v>538567</v>
      </c>
      <c r="D1577" t="s">
        <v>2703</v>
      </c>
      <c r="E1577" t="s">
        <v>576</v>
      </c>
    </row>
    <row r="1578" spans="2:5" x14ac:dyDescent="0.2">
      <c r="B1578" t="s">
        <v>2705</v>
      </c>
      <c r="C1578">
        <v>532425</v>
      </c>
      <c r="D1578" t="s">
        <v>366</v>
      </c>
      <c r="E1578" t="s">
        <v>414</v>
      </c>
    </row>
    <row r="1579" spans="2:5" x14ac:dyDescent="0.2">
      <c r="B1579" t="s">
        <v>2706</v>
      </c>
      <c r="C1579">
        <v>532457</v>
      </c>
      <c r="D1579" t="s">
        <v>2707</v>
      </c>
      <c r="E1579" t="s">
        <v>414</v>
      </c>
    </row>
    <row r="1580" spans="2:5" x14ac:dyDescent="0.2">
      <c r="B1580" t="s">
        <v>2708</v>
      </c>
      <c r="C1580">
        <v>523277</v>
      </c>
      <c r="D1580" t="s">
        <v>366</v>
      </c>
      <c r="E1580" t="s">
        <v>369</v>
      </c>
    </row>
    <row r="1581" spans="2:5" x14ac:dyDescent="0.2">
      <c r="B1581" t="s">
        <v>2709</v>
      </c>
      <c r="C1581">
        <v>532708</v>
      </c>
      <c r="D1581" t="s">
        <v>2710</v>
      </c>
      <c r="E1581" t="s">
        <v>505</v>
      </c>
    </row>
    <row r="1582" spans="2:5" x14ac:dyDescent="0.2">
      <c r="B1582" t="s">
        <v>2711</v>
      </c>
      <c r="C1582">
        <v>530141</v>
      </c>
      <c r="D1582" t="s">
        <v>366</v>
      </c>
      <c r="E1582" t="s">
        <v>452</v>
      </c>
    </row>
    <row r="1583" spans="2:5" x14ac:dyDescent="0.2">
      <c r="B1583" t="s">
        <v>2712</v>
      </c>
      <c r="C1583">
        <v>533275</v>
      </c>
      <c r="D1583" t="s">
        <v>2713</v>
      </c>
      <c r="E1583" t="s">
        <v>398</v>
      </c>
    </row>
    <row r="1584" spans="2:5" x14ac:dyDescent="0.2">
      <c r="B1584" t="s">
        <v>2714</v>
      </c>
      <c r="C1584">
        <v>541019</v>
      </c>
      <c r="D1584" t="s">
        <v>2715</v>
      </c>
      <c r="E1584" t="s">
        <v>764</v>
      </c>
    </row>
    <row r="1585" spans="2:5" x14ac:dyDescent="0.2">
      <c r="B1585" t="s">
        <v>2716</v>
      </c>
      <c r="C1585">
        <v>539337</v>
      </c>
      <c r="D1585" t="s">
        <v>366</v>
      </c>
      <c r="E1585" t="s">
        <v>561</v>
      </c>
    </row>
    <row r="1586" spans="2:5" x14ac:dyDescent="0.2">
      <c r="B1586" t="s">
        <v>2717</v>
      </c>
      <c r="C1586">
        <v>502873</v>
      </c>
      <c r="D1586" t="s">
        <v>366</v>
      </c>
      <c r="E1586" t="s">
        <v>381</v>
      </c>
    </row>
    <row r="1587" spans="2:5" x14ac:dyDescent="0.2">
      <c r="B1587" t="s">
        <v>2718</v>
      </c>
      <c r="C1587">
        <v>532145</v>
      </c>
      <c r="D1587" t="s">
        <v>366</v>
      </c>
      <c r="E1587" t="s">
        <v>567</v>
      </c>
    </row>
    <row r="1588" spans="2:5" x14ac:dyDescent="0.2">
      <c r="B1588" t="s">
        <v>2719</v>
      </c>
      <c r="C1588">
        <v>532145</v>
      </c>
      <c r="D1588" t="s">
        <v>366</v>
      </c>
      <c r="E1588" t="s">
        <v>567</v>
      </c>
    </row>
    <row r="1589" spans="2:5" x14ac:dyDescent="0.2">
      <c r="B1589" t="s">
        <v>2720</v>
      </c>
      <c r="C1589">
        <v>539854</v>
      </c>
      <c r="D1589" t="s">
        <v>366</v>
      </c>
      <c r="E1589" t="s">
        <v>564</v>
      </c>
    </row>
    <row r="1590" spans="2:5" x14ac:dyDescent="0.2">
      <c r="B1590" t="s">
        <v>2721</v>
      </c>
      <c r="C1590">
        <v>515147</v>
      </c>
      <c r="D1590" t="s">
        <v>366</v>
      </c>
      <c r="E1590" t="s">
        <v>561</v>
      </c>
    </row>
    <row r="1591" spans="2:5" x14ac:dyDescent="0.2">
      <c r="B1591" t="s">
        <v>2722</v>
      </c>
      <c r="C1591">
        <v>509597</v>
      </c>
      <c r="D1591" t="s">
        <v>366</v>
      </c>
      <c r="E1591" t="s">
        <v>526</v>
      </c>
    </row>
    <row r="1592" spans="2:5" x14ac:dyDescent="0.2">
      <c r="B1592" t="s">
        <v>2723</v>
      </c>
      <c r="C1592">
        <v>531971</v>
      </c>
      <c r="D1592" t="s">
        <v>366</v>
      </c>
      <c r="E1592" t="s">
        <v>381</v>
      </c>
    </row>
    <row r="1593" spans="2:5" x14ac:dyDescent="0.2">
      <c r="B1593" t="s">
        <v>2724</v>
      </c>
      <c r="C1593">
        <v>538081</v>
      </c>
      <c r="D1593" t="s">
        <v>366</v>
      </c>
      <c r="E1593" t="s">
        <v>381</v>
      </c>
    </row>
    <row r="1594" spans="2:5" x14ac:dyDescent="0.2">
      <c r="B1594" t="s">
        <v>2725</v>
      </c>
      <c r="C1594">
        <v>512604</v>
      </c>
      <c r="D1594" t="s">
        <v>366</v>
      </c>
      <c r="E1594" t="s">
        <v>480</v>
      </c>
    </row>
    <row r="1595" spans="2:5" x14ac:dyDescent="0.2">
      <c r="B1595" t="s">
        <v>2726</v>
      </c>
      <c r="C1595">
        <v>542682</v>
      </c>
      <c r="D1595" t="s">
        <v>2727</v>
      </c>
      <c r="E1595" t="s">
        <v>374</v>
      </c>
    </row>
    <row r="1596" spans="2:5" x14ac:dyDescent="0.2">
      <c r="B1596" t="s">
        <v>2728</v>
      </c>
      <c r="C1596">
        <v>590043</v>
      </c>
      <c r="D1596" t="s">
        <v>2729</v>
      </c>
      <c r="E1596" t="s">
        <v>721</v>
      </c>
    </row>
    <row r="1597" spans="2:5" x14ac:dyDescent="0.2">
      <c r="B1597" t="s">
        <v>2730</v>
      </c>
      <c r="C1597">
        <v>506024</v>
      </c>
      <c r="D1597" t="s">
        <v>366</v>
      </c>
      <c r="E1597" t="s">
        <v>398</v>
      </c>
    </row>
    <row r="1598" spans="2:5" x14ac:dyDescent="0.2">
      <c r="B1598" t="s">
        <v>2731</v>
      </c>
      <c r="C1598">
        <v>526931</v>
      </c>
      <c r="D1598" t="s">
        <v>366</v>
      </c>
      <c r="E1598" t="s">
        <v>551</v>
      </c>
    </row>
    <row r="1599" spans="2:5" x14ac:dyDescent="0.2">
      <c r="B1599" t="s">
        <v>2732</v>
      </c>
      <c r="C1599">
        <v>530055</v>
      </c>
      <c r="D1599" t="s">
        <v>366</v>
      </c>
      <c r="E1599" t="s">
        <v>787</v>
      </c>
    </row>
    <row r="1600" spans="2:5" x14ac:dyDescent="0.2">
      <c r="B1600" t="s">
        <v>2733</v>
      </c>
      <c r="C1600">
        <v>500467</v>
      </c>
      <c r="D1600" t="s">
        <v>2734</v>
      </c>
      <c r="E1600" t="s">
        <v>846</v>
      </c>
    </row>
    <row r="1601" spans="2:5" x14ac:dyDescent="0.2">
      <c r="B1601" t="s">
        <v>2735</v>
      </c>
      <c r="C1601">
        <v>532855</v>
      </c>
      <c r="D1601" t="s">
        <v>366</v>
      </c>
      <c r="E1601" t="s">
        <v>386</v>
      </c>
    </row>
    <row r="1602" spans="2:5" x14ac:dyDescent="0.2">
      <c r="B1602" t="s">
        <v>2736</v>
      </c>
      <c r="C1602">
        <v>530927</v>
      </c>
      <c r="D1602" t="s">
        <v>366</v>
      </c>
      <c r="E1602" t="s">
        <v>2694</v>
      </c>
    </row>
    <row r="1603" spans="2:5" x14ac:dyDescent="0.2">
      <c r="B1603" t="s">
        <v>2737</v>
      </c>
      <c r="C1603">
        <v>524080</v>
      </c>
      <c r="D1603" t="s">
        <v>366</v>
      </c>
      <c r="E1603" t="s">
        <v>414</v>
      </c>
    </row>
    <row r="1604" spans="2:5" x14ac:dyDescent="0.2">
      <c r="B1604" t="s">
        <v>2738</v>
      </c>
      <c r="C1604">
        <v>780014</v>
      </c>
      <c r="D1604" t="s">
        <v>366</v>
      </c>
      <c r="E1604" t="s">
        <v>457</v>
      </c>
    </row>
    <row r="1605" spans="2:5" x14ac:dyDescent="0.2">
      <c r="B1605" t="s">
        <v>2739</v>
      </c>
      <c r="C1605">
        <v>531387</v>
      </c>
      <c r="D1605" t="s">
        <v>366</v>
      </c>
      <c r="E1605" t="s">
        <v>383</v>
      </c>
    </row>
    <row r="1606" spans="2:5" x14ac:dyDescent="0.2">
      <c r="B1606" t="s">
        <v>2740</v>
      </c>
      <c r="C1606">
        <v>509073</v>
      </c>
      <c r="D1606" t="s">
        <v>2741</v>
      </c>
      <c r="E1606" t="s">
        <v>2742</v>
      </c>
    </row>
    <row r="1607" spans="2:5" x14ac:dyDescent="0.2">
      <c r="B1607" t="s">
        <v>2743</v>
      </c>
      <c r="C1607">
        <v>533162</v>
      </c>
      <c r="D1607" t="s">
        <v>2744</v>
      </c>
      <c r="E1607" t="s">
        <v>1103</v>
      </c>
    </row>
    <row r="1608" spans="2:5" x14ac:dyDescent="0.2">
      <c r="B1608" t="s">
        <v>2745</v>
      </c>
      <c r="C1608">
        <v>531531</v>
      </c>
      <c r="D1608" t="s">
        <v>2746</v>
      </c>
      <c r="E1608" t="s">
        <v>426</v>
      </c>
    </row>
    <row r="1609" spans="2:5" x14ac:dyDescent="0.2">
      <c r="B1609" t="s">
        <v>2747</v>
      </c>
      <c r="C1609">
        <v>517354</v>
      </c>
      <c r="D1609" t="s">
        <v>2748</v>
      </c>
      <c r="E1609" t="s">
        <v>664</v>
      </c>
    </row>
    <row r="1610" spans="2:5" x14ac:dyDescent="0.2">
      <c r="B1610" t="s">
        <v>2749</v>
      </c>
      <c r="C1610">
        <v>517354</v>
      </c>
      <c r="D1610" t="s">
        <v>2748</v>
      </c>
      <c r="E1610" t="s">
        <v>664</v>
      </c>
    </row>
    <row r="1611" spans="2:5" x14ac:dyDescent="0.2">
      <c r="B1611" t="s">
        <v>2750</v>
      </c>
      <c r="C1611">
        <v>539176</v>
      </c>
      <c r="D1611" t="s">
        <v>366</v>
      </c>
      <c r="E1611" t="s">
        <v>374</v>
      </c>
    </row>
    <row r="1612" spans="2:5" x14ac:dyDescent="0.2">
      <c r="B1612" t="s">
        <v>2751</v>
      </c>
      <c r="C1612">
        <v>508486</v>
      </c>
      <c r="D1612" t="s">
        <v>366</v>
      </c>
      <c r="E1612" t="s">
        <v>1410</v>
      </c>
    </row>
    <row r="1613" spans="2:5" x14ac:dyDescent="0.2">
      <c r="B1613" t="s">
        <v>2752</v>
      </c>
      <c r="C1613">
        <v>532467</v>
      </c>
      <c r="D1613" t="s">
        <v>366</v>
      </c>
      <c r="E1613" t="s">
        <v>369</v>
      </c>
    </row>
    <row r="1614" spans="2:5" x14ac:dyDescent="0.2">
      <c r="B1614" t="s">
        <v>2753</v>
      </c>
      <c r="C1614">
        <v>532334</v>
      </c>
      <c r="D1614" t="s">
        <v>366</v>
      </c>
      <c r="E1614" t="s">
        <v>452</v>
      </c>
    </row>
    <row r="1615" spans="2:5" x14ac:dyDescent="0.2">
      <c r="B1615" t="s">
        <v>2754</v>
      </c>
      <c r="C1615">
        <v>508956</v>
      </c>
      <c r="D1615" t="s">
        <v>366</v>
      </c>
      <c r="E1615" t="s">
        <v>383</v>
      </c>
    </row>
    <row r="1616" spans="2:5" x14ac:dyDescent="0.2">
      <c r="B1616" t="s">
        <v>2755</v>
      </c>
      <c r="C1616">
        <v>532333</v>
      </c>
      <c r="D1616" t="s">
        <v>366</v>
      </c>
      <c r="E1616" t="s">
        <v>349</v>
      </c>
    </row>
    <row r="1617" spans="2:5" x14ac:dyDescent="0.2">
      <c r="B1617" t="s">
        <v>2756</v>
      </c>
      <c r="C1617">
        <v>532216</v>
      </c>
      <c r="D1617" t="s">
        <v>2757</v>
      </c>
      <c r="E1617" t="s">
        <v>383</v>
      </c>
    </row>
    <row r="1618" spans="2:5" x14ac:dyDescent="0.2">
      <c r="B1618" t="s">
        <v>2758</v>
      </c>
      <c r="C1618">
        <v>517271</v>
      </c>
      <c r="D1618" t="s">
        <v>2759</v>
      </c>
      <c r="E1618" t="s">
        <v>664</v>
      </c>
    </row>
    <row r="1619" spans="2:5" x14ac:dyDescent="0.2">
      <c r="B1619" t="s">
        <v>2760</v>
      </c>
      <c r="C1619">
        <v>539224</v>
      </c>
      <c r="D1619" t="s">
        <v>366</v>
      </c>
      <c r="E1619" t="s">
        <v>355</v>
      </c>
    </row>
    <row r="1620" spans="2:5" x14ac:dyDescent="0.2">
      <c r="B1620" t="s">
        <v>2761</v>
      </c>
      <c r="C1620">
        <v>500179</v>
      </c>
      <c r="D1620" t="s">
        <v>2762</v>
      </c>
      <c r="E1620" t="s">
        <v>691</v>
      </c>
    </row>
    <row r="1621" spans="2:5" x14ac:dyDescent="0.2">
      <c r="B1621" t="s">
        <v>2763</v>
      </c>
      <c r="C1621">
        <v>532281</v>
      </c>
      <c r="D1621" t="s">
        <v>2764</v>
      </c>
      <c r="E1621" t="s">
        <v>352</v>
      </c>
    </row>
    <row r="1622" spans="2:5" x14ac:dyDescent="0.2">
      <c r="B1622" t="s">
        <v>2765</v>
      </c>
      <c r="C1622">
        <v>541729</v>
      </c>
      <c r="D1622" t="s">
        <v>2766</v>
      </c>
      <c r="E1622" t="s">
        <v>2767</v>
      </c>
    </row>
    <row r="1623" spans="2:5" x14ac:dyDescent="0.2">
      <c r="B1623" t="s">
        <v>2768</v>
      </c>
      <c r="C1623">
        <v>500180</v>
      </c>
      <c r="D1623" t="s">
        <v>2769</v>
      </c>
      <c r="E1623" t="s">
        <v>684</v>
      </c>
    </row>
    <row r="1624" spans="2:5" x14ac:dyDescent="0.2">
      <c r="B1624" t="s">
        <v>2770</v>
      </c>
      <c r="C1624">
        <v>533230</v>
      </c>
      <c r="D1624" t="s">
        <v>2771</v>
      </c>
      <c r="E1624" t="s">
        <v>349</v>
      </c>
    </row>
    <row r="1625" spans="2:5" x14ac:dyDescent="0.2">
      <c r="B1625" t="s">
        <v>2772</v>
      </c>
      <c r="C1625">
        <v>540777</v>
      </c>
      <c r="D1625" t="s">
        <v>2773</v>
      </c>
      <c r="E1625" t="s">
        <v>2774</v>
      </c>
    </row>
    <row r="1626" spans="2:5" x14ac:dyDescent="0.2">
      <c r="B1626" t="s">
        <v>2775</v>
      </c>
      <c r="C1626">
        <v>539787</v>
      </c>
      <c r="D1626" t="s">
        <v>2776</v>
      </c>
      <c r="E1626" t="s">
        <v>836</v>
      </c>
    </row>
    <row r="1627" spans="2:5" x14ac:dyDescent="0.2">
      <c r="B1627" t="s">
        <v>2777</v>
      </c>
      <c r="C1627">
        <v>503689</v>
      </c>
      <c r="D1627" t="s">
        <v>366</v>
      </c>
      <c r="E1627" t="s">
        <v>787</v>
      </c>
    </row>
    <row r="1628" spans="2:5" x14ac:dyDescent="0.2">
      <c r="B1628" t="s">
        <v>2778</v>
      </c>
      <c r="C1628" t="s">
        <v>366</v>
      </c>
      <c r="D1628" t="s">
        <v>2779</v>
      </c>
      <c r="E1628" t="s">
        <v>377</v>
      </c>
    </row>
    <row r="1629" spans="2:5" x14ac:dyDescent="0.2">
      <c r="B1629" t="s">
        <v>2780</v>
      </c>
      <c r="C1629">
        <v>526967</v>
      </c>
      <c r="D1629" t="s">
        <v>366</v>
      </c>
      <c r="E1629" t="s">
        <v>398</v>
      </c>
    </row>
    <row r="1630" spans="2:5" x14ac:dyDescent="0.2">
      <c r="B1630" t="s">
        <v>2781</v>
      </c>
      <c r="C1630">
        <v>509631</v>
      </c>
      <c r="D1630" t="s">
        <v>2782</v>
      </c>
      <c r="E1630" t="s">
        <v>551</v>
      </c>
    </row>
    <row r="1631" spans="2:5" x14ac:dyDescent="0.2">
      <c r="B1631" t="s">
        <v>2783</v>
      </c>
      <c r="C1631">
        <v>500292</v>
      </c>
      <c r="D1631" t="s">
        <v>2784</v>
      </c>
      <c r="E1631" t="s">
        <v>379</v>
      </c>
    </row>
    <row r="1632" spans="2:5" x14ac:dyDescent="0.2">
      <c r="B1632" t="s">
        <v>2785</v>
      </c>
      <c r="C1632">
        <v>500292</v>
      </c>
      <c r="D1632" t="s">
        <v>2784</v>
      </c>
      <c r="E1632" t="s">
        <v>379</v>
      </c>
    </row>
    <row r="1633" spans="2:5" x14ac:dyDescent="0.2">
      <c r="B1633" t="s">
        <v>2786</v>
      </c>
      <c r="C1633">
        <v>539174</v>
      </c>
      <c r="D1633" t="s">
        <v>2787</v>
      </c>
      <c r="E1633" t="s">
        <v>383</v>
      </c>
    </row>
    <row r="1634" spans="2:5" x14ac:dyDescent="0.2">
      <c r="B1634" t="s">
        <v>2788</v>
      </c>
      <c r="C1634">
        <v>505520</v>
      </c>
      <c r="D1634" t="s">
        <v>366</v>
      </c>
      <c r="E1634" t="s">
        <v>787</v>
      </c>
    </row>
    <row r="1635" spans="2:5" x14ac:dyDescent="0.2">
      <c r="B1635" t="s">
        <v>2789</v>
      </c>
      <c r="C1635">
        <v>531178</v>
      </c>
      <c r="D1635" t="s">
        <v>366</v>
      </c>
      <c r="E1635" t="s">
        <v>388</v>
      </c>
    </row>
    <row r="1636" spans="2:5" x14ac:dyDescent="0.2">
      <c r="B1636" t="s">
        <v>2790</v>
      </c>
      <c r="C1636">
        <v>524590</v>
      </c>
      <c r="D1636" t="s">
        <v>366</v>
      </c>
      <c r="E1636" t="s">
        <v>388</v>
      </c>
    </row>
    <row r="1637" spans="2:5" x14ac:dyDescent="0.2">
      <c r="B1637" t="s">
        <v>2791</v>
      </c>
      <c r="C1637">
        <v>505720</v>
      </c>
      <c r="D1637" t="s">
        <v>2792</v>
      </c>
      <c r="E1637" t="s">
        <v>374</v>
      </c>
    </row>
    <row r="1638" spans="2:5" x14ac:dyDescent="0.2">
      <c r="B1638" t="s">
        <v>2793</v>
      </c>
      <c r="C1638">
        <v>519552</v>
      </c>
      <c r="D1638" t="s">
        <v>2794</v>
      </c>
      <c r="E1638" t="s">
        <v>426</v>
      </c>
    </row>
    <row r="1639" spans="2:5" x14ac:dyDescent="0.2">
      <c r="B1639" t="s">
        <v>2795</v>
      </c>
      <c r="C1639">
        <v>500182</v>
      </c>
      <c r="D1639" t="s">
        <v>2796</v>
      </c>
      <c r="E1639" t="s">
        <v>1024</v>
      </c>
    </row>
    <row r="1640" spans="2:5" x14ac:dyDescent="0.2">
      <c r="B1640" t="s">
        <v>2797</v>
      </c>
      <c r="C1640">
        <v>524669</v>
      </c>
      <c r="D1640" t="s">
        <v>2798</v>
      </c>
      <c r="E1640" t="s">
        <v>404</v>
      </c>
    </row>
    <row r="1641" spans="2:5" x14ac:dyDescent="0.2">
      <c r="B1641" t="s">
        <v>2799</v>
      </c>
      <c r="C1641">
        <v>534328</v>
      </c>
      <c r="D1641" t="s">
        <v>2800</v>
      </c>
      <c r="E1641" t="s">
        <v>388</v>
      </c>
    </row>
    <row r="1642" spans="2:5" x14ac:dyDescent="0.2">
      <c r="B1642" t="s">
        <v>2801</v>
      </c>
      <c r="C1642">
        <v>532129</v>
      </c>
      <c r="D1642" t="s">
        <v>2802</v>
      </c>
      <c r="E1642" t="s">
        <v>352</v>
      </c>
    </row>
    <row r="1643" spans="2:5" x14ac:dyDescent="0.2">
      <c r="B1643" t="s">
        <v>2803</v>
      </c>
      <c r="C1643">
        <v>504176</v>
      </c>
      <c r="D1643" t="s">
        <v>366</v>
      </c>
      <c r="E1643" t="s">
        <v>912</v>
      </c>
    </row>
    <row r="1644" spans="2:5" x14ac:dyDescent="0.2">
      <c r="B1644" t="s">
        <v>2804</v>
      </c>
      <c r="C1644">
        <v>504176</v>
      </c>
      <c r="D1644" t="s">
        <v>366</v>
      </c>
      <c r="E1644" t="s">
        <v>912</v>
      </c>
    </row>
    <row r="1645" spans="2:5" x14ac:dyDescent="0.2">
      <c r="B1645" t="s">
        <v>2805</v>
      </c>
      <c r="C1645">
        <v>517080</v>
      </c>
      <c r="D1645" t="s">
        <v>2806</v>
      </c>
      <c r="E1645" t="s">
        <v>764</v>
      </c>
    </row>
    <row r="1646" spans="2:5" x14ac:dyDescent="0.2">
      <c r="B1646" t="s">
        <v>2807</v>
      </c>
      <c r="C1646">
        <v>531301</v>
      </c>
      <c r="D1646" t="s">
        <v>366</v>
      </c>
      <c r="E1646" t="s">
        <v>381</v>
      </c>
    </row>
    <row r="1647" spans="2:5" x14ac:dyDescent="0.2">
      <c r="B1647" t="s">
        <v>2808</v>
      </c>
      <c r="C1647">
        <v>524735</v>
      </c>
      <c r="D1647" t="s">
        <v>2809</v>
      </c>
      <c r="E1647" t="s">
        <v>404</v>
      </c>
    </row>
    <row r="1648" spans="2:5" x14ac:dyDescent="0.2">
      <c r="B1648" t="s">
        <v>2810</v>
      </c>
      <c r="C1648">
        <v>542332</v>
      </c>
      <c r="D1648" t="s">
        <v>2811</v>
      </c>
      <c r="E1648" t="s">
        <v>349</v>
      </c>
    </row>
    <row r="1649" spans="2:5" x14ac:dyDescent="0.2">
      <c r="B1649" t="s">
        <v>2812</v>
      </c>
      <c r="C1649">
        <v>509675</v>
      </c>
      <c r="D1649" t="s">
        <v>2813</v>
      </c>
      <c r="E1649" t="s">
        <v>379</v>
      </c>
    </row>
    <row r="1650" spans="2:5" x14ac:dyDescent="0.2">
      <c r="B1650" t="s">
        <v>2814</v>
      </c>
      <c r="C1650">
        <v>532847</v>
      </c>
      <c r="D1650" t="s">
        <v>2815</v>
      </c>
      <c r="E1650" t="s">
        <v>1284</v>
      </c>
    </row>
    <row r="1651" spans="2:5" x14ac:dyDescent="0.2">
      <c r="B1651" t="s">
        <v>2816</v>
      </c>
      <c r="C1651">
        <v>505712</v>
      </c>
      <c r="D1651" t="s">
        <v>366</v>
      </c>
      <c r="E1651" t="s">
        <v>721</v>
      </c>
    </row>
    <row r="1652" spans="2:5" x14ac:dyDescent="0.2">
      <c r="B1652" t="s">
        <v>2817</v>
      </c>
      <c r="C1652">
        <v>514010</v>
      </c>
      <c r="D1652" t="s">
        <v>366</v>
      </c>
      <c r="E1652" t="s">
        <v>381</v>
      </c>
    </row>
    <row r="1653" spans="2:5" x14ac:dyDescent="0.2">
      <c r="B1653" t="s">
        <v>2818</v>
      </c>
      <c r="C1653">
        <v>500183</v>
      </c>
      <c r="D1653" t="s">
        <v>2819</v>
      </c>
      <c r="E1653" t="s">
        <v>636</v>
      </c>
    </row>
    <row r="1654" spans="2:5" x14ac:dyDescent="0.2">
      <c r="B1654" t="s">
        <v>2820</v>
      </c>
      <c r="C1654">
        <v>500184</v>
      </c>
      <c r="D1654" t="s">
        <v>2821</v>
      </c>
      <c r="E1654" t="s">
        <v>526</v>
      </c>
    </row>
    <row r="1655" spans="2:5" x14ac:dyDescent="0.2">
      <c r="B1655" t="s">
        <v>2822</v>
      </c>
      <c r="C1655">
        <v>526899</v>
      </c>
      <c r="D1655" t="s">
        <v>366</v>
      </c>
      <c r="E1655" t="s">
        <v>564</v>
      </c>
    </row>
    <row r="1656" spans="2:5" x14ac:dyDescent="0.2">
      <c r="B1656" t="s">
        <v>2823</v>
      </c>
      <c r="C1656">
        <v>513723</v>
      </c>
      <c r="D1656" t="s">
        <v>366</v>
      </c>
      <c r="E1656" t="s">
        <v>894</v>
      </c>
    </row>
    <row r="1657" spans="2:5" x14ac:dyDescent="0.2">
      <c r="B1657" t="s">
        <v>2824</v>
      </c>
      <c r="C1657">
        <v>511169</v>
      </c>
      <c r="D1657" t="s">
        <v>366</v>
      </c>
      <c r="E1657" t="s">
        <v>383</v>
      </c>
    </row>
    <row r="1658" spans="2:5" x14ac:dyDescent="0.2">
      <c r="B1658" t="s">
        <v>2825</v>
      </c>
      <c r="C1658">
        <v>514043</v>
      </c>
      <c r="D1658" t="s">
        <v>2826</v>
      </c>
      <c r="E1658" t="s">
        <v>381</v>
      </c>
    </row>
    <row r="1659" spans="2:5" x14ac:dyDescent="0.2">
      <c r="B1659" t="s">
        <v>2827</v>
      </c>
      <c r="C1659">
        <v>531979</v>
      </c>
      <c r="D1659" t="s">
        <v>366</v>
      </c>
      <c r="E1659" t="s">
        <v>671</v>
      </c>
    </row>
    <row r="1660" spans="2:5" x14ac:dyDescent="0.2">
      <c r="B1660" t="s">
        <v>2828</v>
      </c>
      <c r="C1660">
        <v>538652</v>
      </c>
      <c r="D1660" t="s">
        <v>366</v>
      </c>
      <c r="E1660" t="s">
        <v>388</v>
      </c>
    </row>
    <row r="1661" spans="2:5" x14ac:dyDescent="0.2">
      <c r="B1661" t="s">
        <v>2829</v>
      </c>
      <c r="C1661">
        <v>504036</v>
      </c>
      <c r="D1661" t="s">
        <v>2830</v>
      </c>
      <c r="E1661" t="s">
        <v>908</v>
      </c>
    </row>
    <row r="1662" spans="2:5" x14ac:dyDescent="0.2">
      <c r="B1662" t="s">
        <v>2831</v>
      </c>
      <c r="C1662">
        <v>539114</v>
      </c>
      <c r="D1662" t="s">
        <v>366</v>
      </c>
      <c r="E1662" t="s">
        <v>383</v>
      </c>
    </row>
    <row r="1663" spans="2:5" x14ac:dyDescent="0.2">
      <c r="B1663" t="s">
        <v>2832</v>
      </c>
      <c r="C1663">
        <v>503881</v>
      </c>
      <c r="D1663" t="s">
        <v>2833</v>
      </c>
      <c r="E1663" t="s">
        <v>381</v>
      </c>
    </row>
    <row r="1664" spans="2:5" x14ac:dyDescent="0.2">
      <c r="B1664" t="s">
        <v>2834</v>
      </c>
      <c r="C1664">
        <v>500440</v>
      </c>
      <c r="D1664" t="s">
        <v>2835</v>
      </c>
      <c r="E1664" t="s">
        <v>671</v>
      </c>
    </row>
    <row r="1665" spans="2:5" x14ac:dyDescent="0.2">
      <c r="B1665" t="s">
        <v>2836</v>
      </c>
      <c r="C1665" t="s">
        <v>366</v>
      </c>
      <c r="D1665" t="s">
        <v>2837</v>
      </c>
      <c r="E1665" t="s">
        <v>377</v>
      </c>
    </row>
    <row r="1666" spans="2:5" x14ac:dyDescent="0.2">
      <c r="B1666" t="s">
        <v>2838</v>
      </c>
      <c r="C1666">
        <v>509895</v>
      </c>
      <c r="D1666" t="s">
        <v>366</v>
      </c>
      <c r="E1666" t="s">
        <v>381</v>
      </c>
    </row>
    <row r="1667" spans="2:5" x14ac:dyDescent="0.2">
      <c r="B1667" t="s">
        <v>2839</v>
      </c>
      <c r="C1667">
        <v>532859</v>
      </c>
      <c r="D1667" t="s">
        <v>2840</v>
      </c>
      <c r="E1667" t="s">
        <v>696</v>
      </c>
    </row>
    <row r="1668" spans="2:5" x14ac:dyDescent="0.2">
      <c r="B1668" t="s">
        <v>2841</v>
      </c>
      <c r="C1668">
        <v>500189</v>
      </c>
      <c r="D1668" t="s">
        <v>2842</v>
      </c>
      <c r="E1668" t="s">
        <v>1103</v>
      </c>
    </row>
    <row r="1669" spans="2:5" x14ac:dyDescent="0.2">
      <c r="B1669" t="s">
        <v>2843</v>
      </c>
      <c r="C1669">
        <v>514428</v>
      </c>
      <c r="D1669" t="s">
        <v>366</v>
      </c>
      <c r="E1669" t="s">
        <v>486</v>
      </c>
    </row>
    <row r="1670" spans="2:5" x14ac:dyDescent="0.2">
      <c r="B1670" t="s">
        <v>2844</v>
      </c>
      <c r="C1670">
        <v>541154</v>
      </c>
      <c r="D1670" t="s">
        <v>2845</v>
      </c>
      <c r="E1670" t="s">
        <v>2846</v>
      </c>
    </row>
    <row r="1671" spans="2:5" x14ac:dyDescent="0.2">
      <c r="B1671" t="s">
        <v>2847</v>
      </c>
      <c r="C1671">
        <v>531918</v>
      </c>
      <c r="D1671" t="s">
        <v>366</v>
      </c>
      <c r="E1671" t="s">
        <v>388</v>
      </c>
    </row>
    <row r="1672" spans="2:5" x14ac:dyDescent="0.2">
      <c r="B1672" t="s">
        <v>2848</v>
      </c>
      <c r="C1672">
        <v>532041</v>
      </c>
      <c r="D1672" t="s">
        <v>2849</v>
      </c>
      <c r="E1672" t="s">
        <v>459</v>
      </c>
    </row>
    <row r="1673" spans="2:5" x14ac:dyDescent="0.2">
      <c r="B1673" t="s">
        <v>2850</v>
      </c>
      <c r="C1673">
        <v>509635</v>
      </c>
      <c r="D1673" t="s">
        <v>2851</v>
      </c>
      <c r="E1673" t="s">
        <v>721</v>
      </c>
    </row>
    <row r="1674" spans="2:5" x14ac:dyDescent="0.2">
      <c r="B1674" t="s">
        <v>2852</v>
      </c>
      <c r="C1674">
        <v>500185</v>
      </c>
      <c r="D1674" t="s">
        <v>2853</v>
      </c>
      <c r="E1674" t="s">
        <v>764</v>
      </c>
    </row>
    <row r="1675" spans="2:5" x14ac:dyDescent="0.2">
      <c r="B1675" t="s">
        <v>2854</v>
      </c>
      <c r="C1675">
        <v>513599</v>
      </c>
      <c r="D1675" t="s">
        <v>2855</v>
      </c>
      <c r="E1675" t="s">
        <v>440</v>
      </c>
    </row>
    <row r="1676" spans="2:5" x14ac:dyDescent="0.2">
      <c r="B1676" t="s">
        <v>2856</v>
      </c>
      <c r="C1676">
        <v>505725</v>
      </c>
      <c r="D1676" t="s">
        <v>2857</v>
      </c>
      <c r="E1676" t="s">
        <v>551</v>
      </c>
    </row>
    <row r="1677" spans="2:5" x14ac:dyDescent="0.2">
      <c r="B1677" t="s">
        <v>2858</v>
      </c>
      <c r="C1677">
        <v>524013</v>
      </c>
      <c r="D1677" t="s">
        <v>366</v>
      </c>
      <c r="E1677" t="s">
        <v>743</v>
      </c>
    </row>
    <row r="1678" spans="2:5" x14ac:dyDescent="0.2">
      <c r="B1678" t="s">
        <v>2859</v>
      </c>
      <c r="C1678">
        <v>519126</v>
      </c>
      <c r="D1678" t="s">
        <v>366</v>
      </c>
      <c r="E1678" t="s">
        <v>426</v>
      </c>
    </row>
    <row r="1679" spans="2:5" x14ac:dyDescent="0.2">
      <c r="B1679" t="s">
        <v>2860</v>
      </c>
      <c r="C1679">
        <v>505893</v>
      </c>
      <c r="D1679" t="s">
        <v>366</v>
      </c>
      <c r="E1679" t="s">
        <v>721</v>
      </c>
    </row>
    <row r="1680" spans="2:5" x14ac:dyDescent="0.2">
      <c r="B1680" t="s">
        <v>2861</v>
      </c>
      <c r="C1680">
        <v>509650</v>
      </c>
      <c r="D1680" t="s">
        <v>366</v>
      </c>
      <c r="E1680" t="s">
        <v>424</v>
      </c>
    </row>
    <row r="1681" spans="2:5" x14ac:dyDescent="0.2">
      <c r="B1681" t="s">
        <v>2862</v>
      </c>
      <c r="C1681">
        <v>533217</v>
      </c>
      <c r="D1681" t="s">
        <v>2863</v>
      </c>
      <c r="E1681" t="s">
        <v>890</v>
      </c>
    </row>
    <row r="1682" spans="2:5" x14ac:dyDescent="0.2">
      <c r="B1682" t="s">
        <v>2864</v>
      </c>
      <c r="C1682">
        <v>500500</v>
      </c>
      <c r="D1682" t="s">
        <v>2865</v>
      </c>
      <c r="E1682" t="s">
        <v>2292</v>
      </c>
    </row>
    <row r="1683" spans="2:5" x14ac:dyDescent="0.2">
      <c r="B1683" t="s">
        <v>2866</v>
      </c>
      <c r="C1683">
        <v>500186</v>
      </c>
      <c r="D1683" t="s">
        <v>2867</v>
      </c>
      <c r="E1683" t="s">
        <v>429</v>
      </c>
    </row>
    <row r="1684" spans="2:5" x14ac:dyDescent="0.2">
      <c r="B1684" t="s">
        <v>2868</v>
      </c>
      <c r="C1684">
        <v>500449</v>
      </c>
      <c r="D1684" t="s">
        <v>366</v>
      </c>
      <c r="E1684" t="s">
        <v>414</v>
      </c>
    </row>
    <row r="1685" spans="2:5" x14ac:dyDescent="0.2">
      <c r="B1685" t="s">
        <v>2869</v>
      </c>
      <c r="C1685">
        <v>500104</v>
      </c>
      <c r="D1685" t="s">
        <v>2870</v>
      </c>
      <c r="E1685" t="s">
        <v>1293</v>
      </c>
    </row>
    <row r="1686" spans="2:5" x14ac:dyDescent="0.2">
      <c r="B1686" t="s">
        <v>2871</v>
      </c>
      <c r="C1686">
        <v>530315</v>
      </c>
      <c r="D1686" t="s">
        <v>366</v>
      </c>
      <c r="E1686" t="s">
        <v>561</v>
      </c>
    </row>
    <row r="1687" spans="2:5" x14ac:dyDescent="0.2">
      <c r="B1687" t="s">
        <v>2872</v>
      </c>
      <c r="C1687">
        <v>500696</v>
      </c>
      <c r="D1687" t="s">
        <v>312</v>
      </c>
      <c r="E1687" t="s">
        <v>548</v>
      </c>
    </row>
    <row r="1688" spans="2:5" x14ac:dyDescent="0.2">
      <c r="B1688" t="s">
        <v>2873</v>
      </c>
      <c r="C1688">
        <v>504713</v>
      </c>
      <c r="D1688" t="s">
        <v>366</v>
      </c>
      <c r="E1688" t="s">
        <v>1284</v>
      </c>
    </row>
    <row r="1689" spans="2:5" x14ac:dyDescent="0.2">
      <c r="B1689" t="s">
        <v>2874</v>
      </c>
      <c r="C1689">
        <v>500188</v>
      </c>
      <c r="D1689" t="s">
        <v>2875</v>
      </c>
      <c r="E1689" t="s">
        <v>2876</v>
      </c>
    </row>
    <row r="1690" spans="2:5" x14ac:dyDescent="0.2">
      <c r="B1690" t="s">
        <v>2877</v>
      </c>
      <c r="C1690">
        <v>515145</v>
      </c>
      <c r="D1690" t="s">
        <v>2878</v>
      </c>
      <c r="E1690" t="s">
        <v>561</v>
      </c>
    </row>
    <row r="1691" spans="2:5" x14ac:dyDescent="0.2">
      <c r="B1691" t="s">
        <v>2879</v>
      </c>
      <c r="C1691">
        <v>513039</v>
      </c>
      <c r="D1691" t="s">
        <v>366</v>
      </c>
      <c r="E1691" t="s">
        <v>374</v>
      </c>
    </row>
    <row r="1692" spans="2:5" x14ac:dyDescent="0.2">
      <c r="B1692" t="s">
        <v>2880</v>
      </c>
      <c r="C1692">
        <v>539984</v>
      </c>
      <c r="D1692" t="s">
        <v>366</v>
      </c>
      <c r="E1692" t="s">
        <v>908</v>
      </c>
    </row>
    <row r="1693" spans="2:5" x14ac:dyDescent="0.2">
      <c r="B1693" t="s">
        <v>2881</v>
      </c>
      <c r="C1693">
        <v>530853</v>
      </c>
      <c r="D1693" t="s">
        <v>366</v>
      </c>
      <c r="E1693" t="s">
        <v>2181</v>
      </c>
    </row>
    <row r="1694" spans="2:5" x14ac:dyDescent="0.2">
      <c r="B1694" t="s">
        <v>2882</v>
      </c>
      <c r="C1694">
        <v>531743</v>
      </c>
      <c r="D1694" t="s">
        <v>366</v>
      </c>
      <c r="E1694" t="s">
        <v>388</v>
      </c>
    </row>
    <row r="1695" spans="2:5" x14ac:dyDescent="0.2">
      <c r="B1695" t="s">
        <v>2883</v>
      </c>
      <c r="C1695">
        <v>590018</v>
      </c>
      <c r="D1695" t="s">
        <v>2884</v>
      </c>
      <c r="E1695" t="s">
        <v>398</v>
      </c>
    </row>
    <row r="1696" spans="2:5" x14ac:dyDescent="0.2">
      <c r="B1696" t="s">
        <v>2885</v>
      </c>
      <c r="C1696">
        <v>521068</v>
      </c>
      <c r="D1696" t="s">
        <v>366</v>
      </c>
      <c r="E1696" t="s">
        <v>381</v>
      </c>
    </row>
    <row r="1697" spans="2:5" x14ac:dyDescent="0.2">
      <c r="B1697" t="s">
        <v>2886</v>
      </c>
      <c r="C1697">
        <v>532359</v>
      </c>
      <c r="D1697" t="s">
        <v>366</v>
      </c>
      <c r="E1697" t="s">
        <v>459</v>
      </c>
    </row>
    <row r="1698" spans="2:5" x14ac:dyDescent="0.2">
      <c r="B1698" t="s">
        <v>2887</v>
      </c>
      <c r="C1698">
        <v>526217</v>
      </c>
      <c r="D1698" t="s">
        <v>2888</v>
      </c>
      <c r="E1698" t="s">
        <v>561</v>
      </c>
    </row>
    <row r="1699" spans="2:5" x14ac:dyDescent="0.2">
      <c r="B1699" t="s">
        <v>2889</v>
      </c>
      <c r="C1699" t="s">
        <v>366</v>
      </c>
      <c r="D1699" t="s">
        <v>2890</v>
      </c>
      <c r="E1699" t="s">
        <v>457</v>
      </c>
    </row>
    <row r="1700" spans="2:5" x14ac:dyDescent="0.2">
      <c r="B1700" t="s">
        <v>2891</v>
      </c>
      <c r="C1700">
        <v>541627</v>
      </c>
      <c r="D1700" t="s">
        <v>2892</v>
      </c>
      <c r="E1700" t="s">
        <v>1732</v>
      </c>
    </row>
    <row r="1701" spans="2:5" x14ac:dyDescent="0.2">
      <c r="B1701" t="s">
        <v>2893</v>
      </c>
      <c r="C1701">
        <v>531661</v>
      </c>
      <c r="D1701" t="s">
        <v>366</v>
      </c>
      <c r="E1701" t="s">
        <v>374</v>
      </c>
    </row>
    <row r="1702" spans="2:5" x14ac:dyDescent="0.2">
      <c r="B1702" t="s">
        <v>2894</v>
      </c>
      <c r="C1702">
        <v>500191</v>
      </c>
      <c r="D1702" t="s">
        <v>2895</v>
      </c>
      <c r="E1702" t="s">
        <v>444</v>
      </c>
    </row>
    <row r="1703" spans="2:5" x14ac:dyDescent="0.2">
      <c r="B1703" t="s">
        <v>2896</v>
      </c>
      <c r="C1703">
        <v>522064</v>
      </c>
      <c r="D1703" t="s">
        <v>2897</v>
      </c>
      <c r="E1703" t="s">
        <v>374</v>
      </c>
    </row>
    <row r="1704" spans="2:5" x14ac:dyDescent="0.2">
      <c r="B1704" t="s">
        <v>2898</v>
      </c>
      <c r="C1704">
        <v>517174</v>
      </c>
      <c r="D1704" t="s">
        <v>2899</v>
      </c>
      <c r="E1704" t="s">
        <v>664</v>
      </c>
    </row>
    <row r="1705" spans="2:5" x14ac:dyDescent="0.2">
      <c r="B1705" t="s">
        <v>2900</v>
      </c>
      <c r="C1705">
        <v>517174</v>
      </c>
      <c r="D1705" t="s">
        <v>2899</v>
      </c>
      <c r="E1705" t="s">
        <v>664</v>
      </c>
    </row>
    <row r="1706" spans="2:5" x14ac:dyDescent="0.2">
      <c r="B1706" t="s">
        <v>2901</v>
      </c>
      <c r="C1706">
        <v>500193</v>
      </c>
      <c r="D1706" t="s">
        <v>2902</v>
      </c>
      <c r="E1706" t="s">
        <v>567</v>
      </c>
    </row>
    <row r="1707" spans="2:5" x14ac:dyDescent="0.2">
      <c r="B1707" t="s">
        <v>2903</v>
      </c>
      <c r="C1707">
        <v>526683</v>
      </c>
      <c r="D1707" t="s">
        <v>2904</v>
      </c>
      <c r="E1707" t="s">
        <v>567</v>
      </c>
    </row>
    <row r="1708" spans="2:5" x14ac:dyDescent="0.2">
      <c r="B1708" t="s">
        <v>2905</v>
      </c>
      <c r="C1708">
        <v>540530</v>
      </c>
      <c r="D1708" t="s">
        <v>2906</v>
      </c>
      <c r="E1708" t="s">
        <v>424</v>
      </c>
    </row>
    <row r="1709" spans="2:5" x14ac:dyDescent="0.2">
      <c r="B1709" t="s">
        <v>2907</v>
      </c>
      <c r="C1709">
        <v>532873</v>
      </c>
      <c r="D1709" t="s">
        <v>2908</v>
      </c>
      <c r="E1709" t="s">
        <v>452</v>
      </c>
    </row>
    <row r="1710" spans="2:5" x14ac:dyDescent="0.2">
      <c r="B1710" t="s">
        <v>2909</v>
      </c>
      <c r="C1710">
        <v>500010</v>
      </c>
      <c r="D1710" t="s">
        <v>2910</v>
      </c>
      <c r="E1710" t="s">
        <v>424</v>
      </c>
    </row>
    <row r="1711" spans="2:5" x14ac:dyDescent="0.2">
      <c r="B1711" t="s">
        <v>2911</v>
      </c>
      <c r="C1711">
        <v>532761</v>
      </c>
      <c r="D1711" t="s">
        <v>2912</v>
      </c>
      <c r="E1711" t="s">
        <v>696</v>
      </c>
    </row>
    <row r="1712" spans="2:5" x14ac:dyDescent="0.2">
      <c r="B1712" t="s">
        <v>2913</v>
      </c>
      <c r="C1712">
        <v>526761</v>
      </c>
      <c r="D1712" t="s">
        <v>366</v>
      </c>
      <c r="E1712" t="s">
        <v>567</v>
      </c>
    </row>
    <row r="1713" spans="2:5" x14ac:dyDescent="0.2">
      <c r="B1713" t="s">
        <v>2914</v>
      </c>
      <c r="C1713">
        <v>535217</v>
      </c>
      <c r="D1713" t="s">
        <v>366</v>
      </c>
      <c r="E1713" t="s">
        <v>564</v>
      </c>
    </row>
    <row r="1714" spans="2:5" x14ac:dyDescent="0.2">
      <c r="B1714" t="s">
        <v>2915</v>
      </c>
      <c r="C1714">
        <v>540136</v>
      </c>
      <c r="D1714" t="s">
        <v>2916</v>
      </c>
      <c r="E1714" t="s">
        <v>409</v>
      </c>
    </row>
    <row r="1715" spans="2:5" x14ac:dyDescent="0.2">
      <c r="B1715" t="s">
        <v>2917</v>
      </c>
      <c r="C1715">
        <v>531724</v>
      </c>
      <c r="D1715" t="s">
        <v>366</v>
      </c>
      <c r="E1715" t="s">
        <v>787</v>
      </c>
    </row>
    <row r="1716" spans="2:5" x14ac:dyDescent="0.2">
      <c r="B1716" t="s">
        <v>2918</v>
      </c>
      <c r="C1716">
        <v>500187</v>
      </c>
      <c r="D1716" t="s">
        <v>2919</v>
      </c>
      <c r="E1716" t="s">
        <v>561</v>
      </c>
    </row>
    <row r="1717" spans="2:5" x14ac:dyDescent="0.2">
      <c r="B1717" t="s">
        <v>2920</v>
      </c>
      <c r="C1717">
        <v>532662</v>
      </c>
      <c r="D1717" t="s">
        <v>2921</v>
      </c>
      <c r="E1717" t="s">
        <v>890</v>
      </c>
    </row>
    <row r="1718" spans="2:5" x14ac:dyDescent="0.2">
      <c r="B1718" t="s">
        <v>2922</v>
      </c>
      <c r="C1718">
        <v>532799</v>
      </c>
      <c r="D1718" t="s">
        <v>2923</v>
      </c>
      <c r="E1718" t="s">
        <v>452</v>
      </c>
    </row>
    <row r="1719" spans="2:5" x14ac:dyDescent="0.2">
      <c r="B1719" t="s">
        <v>2924</v>
      </c>
      <c r="C1719">
        <v>509820</v>
      </c>
      <c r="D1719" t="s">
        <v>2925</v>
      </c>
      <c r="E1719" t="s">
        <v>561</v>
      </c>
    </row>
    <row r="1720" spans="2:5" x14ac:dyDescent="0.2">
      <c r="B1720" t="s">
        <v>2926</v>
      </c>
      <c r="C1720">
        <v>542592</v>
      </c>
      <c r="D1720" t="s">
        <v>2927</v>
      </c>
      <c r="E1720" t="s">
        <v>471</v>
      </c>
    </row>
    <row r="1721" spans="2:5" x14ac:dyDescent="0.2">
      <c r="B1721" t="s">
        <v>2928</v>
      </c>
      <c r="C1721" t="s">
        <v>366</v>
      </c>
      <c r="D1721" t="s">
        <v>2929</v>
      </c>
      <c r="E1721" t="s">
        <v>377</v>
      </c>
    </row>
    <row r="1722" spans="2:5" x14ac:dyDescent="0.2">
      <c r="B1722" t="s">
        <v>2930</v>
      </c>
      <c r="C1722">
        <v>539724</v>
      </c>
      <c r="D1722" t="s">
        <v>366</v>
      </c>
      <c r="E1722" t="s">
        <v>352</v>
      </c>
    </row>
    <row r="1723" spans="2:5" x14ac:dyDescent="0.2">
      <c r="B1723" t="s">
        <v>2931</v>
      </c>
      <c r="C1723">
        <v>519463</v>
      </c>
      <c r="D1723" t="s">
        <v>366</v>
      </c>
      <c r="E1723" t="s">
        <v>564</v>
      </c>
    </row>
    <row r="1724" spans="2:5" x14ac:dyDescent="0.2">
      <c r="B1724" t="s">
        <v>2932</v>
      </c>
      <c r="C1724" t="s">
        <v>366</v>
      </c>
      <c r="D1724" t="s">
        <v>2933</v>
      </c>
      <c r="E1724" t="s">
        <v>377</v>
      </c>
    </row>
    <row r="1725" spans="2:5" x14ac:dyDescent="0.2">
      <c r="B1725" t="s">
        <v>2934</v>
      </c>
      <c r="C1725">
        <v>532174</v>
      </c>
      <c r="D1725" t="s">
        <v>2935</v>
      </c>
      <c r="E1725" t="s">
        <v>684</v>
      </c>
    </row>
    <row r="1726" spans="2:5" x14ac:dyDescent="0.2">
      <c r="B1726" t="s">
        <v>2936</v>
      </c>
      <c r="C1726">
        <v>540716</v>
      </c>
      <c r="D1726" t="s">
        <v>2937</v>
      </c>
      <c r="E1726" t="s">
        <v>2445</v>
      </c>
    </row>
    <row r="1727" spans="2:5" x14ac:dyDescent="0.2">
      <c r="B1727" t="s">
        <v>2938</v>
      </c>
      <c r="C1727">
        <v>533244</v>
      </c>
      <c r="D1727" t="s">
        <v>2939</v>
      </c>
      <c r="E1727" t="s">
        <v>349</v>
      </c>
    </row>
    <row r="1728" spans="2:5" x14ac:dyDescent="0.2">
      <c r="B1728" t="s">
        <v>2940</v>
      </c>
      <c r="C1728">
        <v>540133</v>
      </c>
      <c r="D1728" t="s">
        <v>2941</v>
      </c>
      <c r="E1728" t="s">
        <v>2774</v>
      </c>
    </row>
    <row r="1729" spans="2:5" x14ac:dyDescent="0.2">
      <c r="B1729" t="s">
        <v>2942</v>
      </c>
      <c r="C1729">
        <v>555555</v>
      </c>
      <c r="D1729" t="s">
        <v>2943</v>
      </c>
      <c r="E1729" t="s">
        <v>349</v>
      </c>
    </row>
    <row r="1730" spans="2:5" x14ac:dyDescent="0.2">
      <c r="B1730" t="s">
        <v>2944</v>
      </c>
      <c r="C1730">
        <v>541179</v>
      </c>
      <c r="D1730" t="s">
        <v>2945</v>
      </c>
      <c r="E1730" t="s">
        <v>349</v>
      </c>
    </row>
    <row r="1731" spans="2:5" x14ac:dyDescent="0.2">
      <c r="B1731" t="s">
        <v>2946</v>
      </c>
      <c r="C1731">
        <v>532835</v>
      </c>
      <c r="D1731" t="s">
        <v>2947</v>
      </c>
      <c r="E1731" t="s">
        <v>349</v>
      </c>
    </row>
    <row r="1732" spans="2:5" x14ac:dyDescent="0.2">
      <c r="B1732" t="s">
        <v>2948</v>
      </c>
      <c r="C1732">
        <v>531524</v>
      </c>
      <c r="D1732" t="s">
        <v>2949</v>
      </c>
      <c r="E1732" t="s">
        <v>664</v>
      </c>
    </row>
    <row r="1733" spans="2:5" x14ac:dyDescent="0.2">
      <c r="B1733" t="s">
        <v>2950</v>
      </c>
      <c r="C1733">
        <v>531524</v>
      </c>
      <c r="D1733" t="s">
        <v>2949</v>
      </c>
      <c r="E1733" t="s">
        <v>664</v>
      </c>
    </row>
    <row r="1734" spans="2:5" x14ac:dyDescent="0.2">
      <c r="B1734" t="s">
        <v>2951</v>
      </c>
      <c r="C1734">
        <v>500116</v>
      </c>
      <c r="D1734" t="s">
        <v>2952</v>
      </c>
      <c r="E1734" t="s">
        <v>684</v>
      </c>
    </row>
    <row r="1735" spans="2:5" x14ac:dyDescent="0.2">
      <c r="B1735" t="s">
        <v>2953</v>
      </c>
      <c r="C1735">
        <v>539437</v>
      </c>
      <c r="D1735" t="s">
        <v>2954</v>
      </c>
      <c r="E1735" t="s">
        <v>684</v>
      </c>
    </row>
    <row r="1736" spans="2:5" x14ac:dyDescent="0.2">
      <c r="B1736" t="s">
        <v>2955</v>
      </c>
      <c r="C1736" t="s">
        <v>366</v>
      </c>
      <c r="D1736" t="s">
        <v>2956</v>
      </c>
      <c r="E1736" t="s">
        <v>684</v>
      </c>
    </row>
    <row r="1737" spans="2:5" x14ac:dyDescent="0.2">
      <c r="B1737" t="s">
        <v>2957</v>
      </c>
      <c r="C1737">
        <v>532659</v>
      </c>
      <c r="D1737" t="s">
        <v>2958</v>
      </c>
      <c r="E1737" t="s">
        <v>383</v>
      </c>
    </row>
    <row r="1738" spans="2:5" x14ac:dyDescent="0.2">
      <c r="B1738" t="s">
        <v>2959</v>
      </c>
      <c r="C1738">
        <v>507438</v>
      </c>
      <c r="D1738" t="s">
        <v>2960</v>
      </c>
      <c r="E1738" t="s">
        <v>998</v>
      </c>
    </row>
    <row r="1739" spans="2:5" x14ac:dyDescent="0.2">
      <c r="B1739" t="s">
        <v>2961</v>
      </c>
      <c r="C1739">
        <v>505726</v>
      </c>
      <c r="D1739" t="s">
        <v>2962</v>
      </c>
      <c r="E1739" t="s">
        <v>1129</v>
      </c>
    </row>
    <row r="1740" spans="2:5" x14ac:dyDescent="0.2">
      <c r="B1740" t="s">
        <v>2963</v>
      </c>
      <c r="C1740">
        <v>500106</v>
      </c>
      <c r="D1740" t="s">
        <v>2964</v>
      </c>
      <c r="E1740" t="s">
        <v>2694</v>
      </c>
    </row>
    <row r="1741" spans="2:5" x14ac:dyDescent="0.2">
      <c r="B1741" t="s">
        <v>2965</v>
      </c>
      <c r="C1741">
        <v>540774</v>
      </c>
      <c r="D1741" t="s">
        <v>2966</v>
      </c>
      <c r="E1741" t="s">
        <v>551</v>
      </c>
    </row>
    <row r="1742" spans="2:5" x14ac:dyDescent="0.2">
      <c r="B1742" t="s">
        <v>2967</v>
      </c>
      <c r="C1742">
        <v>540377</v>
      </c>
      <c r="D1742" t="s">
        <v>366</v>
      </c>
      <c r="E1742" t="s">
        <v>388</v>
      </c>
    </row>
    <row r="1743" spans="2:5" x14ac:dyDescent="0.2">
      <c r="B1743" t="s">
        <v>2968</v>
      </c>
      <c r="C1743">
        <v>522289</v>
      </c>
      <c r="D1743" t="s">
        <v>366</v>
      </c>
      <c r="E1743" t="s">
        <v>388</v>
      </c>
    </row>
    <row r="1744" spans="2:5" x14ac:dyDescent="0.2">
      <c r="B1744" t="s">
        <v>2969</v>
      </c>
      <c r="C1744">
        <v>500199</v>
      </c>
      <c r="D1744" t="s">
        <v>2970</v>
      </c>
      <c r="E1744" t="s">
        <v>414</v>
      </c>
    </row>
    <row r="1745" spans="2:5" x14ac:dyDescent="0.2">
      <c r="B1745" t="s">
        <v>2971</v>
      </c>
      <c r="C1745">
        <v>517380</v>
      </c>
      <c r="D1745" t="s">
        <v>2972</v>
      </c>
      <c r="E1745" t="s">
        <v>721</v>
      </c>
    </row>
    <row r="1746" spans="2:5" x14ac:dyDescent="0.2">
      <c r="B1746" t="s">
        <v>2973</v>
      </c>
      <c r="C1746">
        <v>517380</v>
      </c>
      <c r="D1746" t="s">
        <v>2972</v>
      </c>
      <c r="E1746" t="s">
        <v>721</v>
      </c>
    </row>
    <row r="1747" spans="2:5" x14ac:dyDescent="0.2">
      <c r="B1747" t="s">
        <v>2974</v>
      </c>
      <c r="C1747">
        <v>539449</v>
      </c>
      <c r="D1747" t="s">
        <v>366</v>
      </c>
      <c r="E1747" t="s">
        <v>388</v>
      </c>
    </row>
    <row r="1748" spans="2:5" x14ac:dyDescent="0.2">
      <c r="B1748" t="s">
        <v>2975</v>
      </c>
      <c r="C1748">
        <v>532636</v>
      </c>
      <c r="D1748" t="s">
        <v>2976</v>
      </c>
      <c r="E1748" t="s">
        <v>349</v>
      </c>
    </row>
    <row r="1749" spans="2:5" x14ac:dyDescent="0.2">
      <c r="B1749" t="s">
        <v>2977</v>
      </c>
      <c r="C1749">
        <v>531968</v>
      </c>
      <c r="D1749" t="s">
        <v>2978</v>
      </c>
      <c r="E1749" t="s">
        <v>452</v>
      </c>
    </row>
    <row r="1750" spans="2:5" x14ac:dyDescent="0.2">
      <c r="B1750" t="s">
        <v>2979</v>
      </c>
      <c r="C1750">
        <v>514238</v>
      </c>
      <c r="D1750" t="s">
        <v>366</v>
      </c>
      <c r="E1750" t="s">
        <v>349</v>
      </c>
    </row>
    <row r="1751" spans="2:5" x14ac:dyDescent="0.2">
      <c r="B1751" t="s">
        <v>2980</v>
      </c>
      <c r="C1751">
        <v>532414</v>
      </c>
      <c r="D1751" t="s">
        <v>366</v>
      </c>
      <c r="E1751" t="s">
        <v>459</v>
      </c>
    </row>
    <row r="1752" spans="2:5" x14ac:dyDescent="0.2">
      <c r="B1752" t="s">
        <v>2981</v>
      </c>
      <c r="C1752">
        <v>532907</v>
      </c>
      <c r="D1752" t="s">
        <v>2982</v>
      </c>
      <c r="E1752" t="s">
        <v>764</v>
      </c>
    </row>
    <row r="1753" spans="2:5" x14ac:dyDescent="0.2">
      <c r="B1753" t="s">
        <v>2983</v>
      </c>
      <c r="C1753">
        <v>511208</v>
      </c>
      <c r="D1753" t="s">
        <v>2984</v>
      </c>
      <c r="E1753" t="s">
        <v>2767</v>
      </c>
    </row>
    <row r="1754" spans="2:5" x14ac:dyDescent="0.2">
      <c r="B1754" t="s">
        <v>2985</v>
      </c>
      <c r="C1754">
        <v>533177</v>
      </c>
      <c r="D1754" t="s">
        <v>2986</v>
      </c>
      <c r="E1754" t="s">
        <v>961</v>
      </c>
    </row>
    <row r="1755" spans="2:5" x14ac:dyDescent="0.2">
      <c r="B1755" t="s">
        <v>2987</v>
      </c>
      <c r="C1755">
        <v>511628</v>
      </c>
      <c r="D1755" t="s">
        <v>366</v>
      </c>
      <c r="E1755" t="s">
        <v>383</v>
      </c>
    </row>
    <row r="1756" spans="2:5" x14ac:dyDescent="0.2">
      <c r="B1756" t="s">
        <v>2988</v>
      </c>
      <c r="C1756">
        <v>505539</v>
      </c>
      <c r="D1756" t="s">
        <v>366</v>
      </c>
      <c r="E1756" t="s">
        <v>787</v>
      </c>
    </row>
    <row r="1757" spans="2:5" x14ac:dyDescent="0.2">
      <c r="B1757" t="s">
        <v>2989</v>
      </c>
      <c r="C1757">
        <v>513295</v>
      </c>
      <c r="D1757" t="s">
        <v>366</v>
      </c>
      <c r="E1757" t="s">
        <v>398</v>
      </c>
    </row>
    <row r="1758" spans="2:5" x14ac:dyDescent="0.2">
      <c r="B1758" t="s">
        <v>2990</v>
      </c>
      <c r="C1758">
        <v>517571</v>
      </c>
      <c r="D1758" t="s">
        <v>2991</v>
      </c>
      <c r="E1758" t="s">
        <v>409</v>
      </c>
    </row>
    <row r="1759" spans="2:5" x14ac:dyDescent="0.2">
      <c r="B1759" t="s">
        <v>2992</v>
      </c>
      <c r="C1759">
        <v>532614</v>
      </c>
      <c r="D1759" t="s">
        <v>2993</v>
      </c>
      <c r="E1759" t="s">
        <v>398</v>
      </c>
    </row>
    <row r="1760" spans="2:5" x14ac:dyDescent="0.2">
      <c r="B1760" t="s">
        <v>2994</v>
      </c>
      <c r="C1760">
        <v>531129</v>
      </c>
      <c r="D1760" t="s">
        <v>366</v>
      </c>
      <c r="E1760" t="s">
        <v>894</v>
      </c>
    </row>
    <row r="1761" spans="2:5" x14ac:dyDescent="0.2">
      <c r="B1761" t="s">
        <v>2995</v>
      </c>
      <c r="C1761">
        <v>531672</v>
      </c>
      <c r="D1761" t="s">
        <v>366</v>
      </c>
      <c r="E1761" t="s">
        <v>349</v>
      </c>
    </row>
    <row r="1762" spans="2:5" x14ac:dyDescent="0.2">
      <c r="B1762" t="s">
        <v>2996</v>
      </c>
      <c r="C1762">
        <v>517370</v>
      </c>
      <c r="D1762" t="s">
        <v>366</v>
      </c>
      <c r="E1762" t="s">
        <v>664</v>
      </c>
    </row>
    <row r="1763" spans="2:5" x14ac:dyDescent="0.2">
      <c r="B1763" t="s">
        <v>2997</v>
      </c>
      <c r="C1763">
        <v>538541</v>
      </c>
      <c r="D1763" t="s">
        <v>366</v>
      </c>
      <c r="E1763" t="s">
        <v>388</v>
      </c>
    </row>
    <row r="1764" spans="2:5" x14ac:dyDescent="0.2">
      <c r="B1764" t="s">
        <v>2998</v>
      </c>
      <c r="C1764">
        <v>531594</v>
      </c>
      <c r="D1764" t="s">
        <v>366</v>
      </c>
      <c r="E1764" t="s">
        <v>374</v>
      </c>
    </row>
    <row r="1765" spans="2:5" x14ac:dyDescent="0.2">
      <c r="B1765" t="s">
        <v>2999</v>
      </c>
      <c r="C1765">
        <v>523465</v>
      </c>
      <c r="D1765" t="s">
        <v>366</v>
      </c>
      <c r="E1765" t="s">
        <v>424</v>
      </c>
    </row>
    <row r="1766" spans="2:5" x14ac:dyDescent="0.2">
      <c r="B1766" t="s">
        <v>3000</v>
      </c>
      <c r="C1766">
        <v>536709</v>
      </c>
      <c r="D1766" t="s">
        <v>366</v>
      </c>
      <c r="E1766" t="s">
        <v>505</v>
      </c>
    </row>
    <row r="1767" spans="2:5" x14ac:dyDescent="0.2">
      <c r="B1767" t="s">
        <v>3001</v>
      </c>
      <c r="C1767">
        <v>509162</v>
      </c>
      <c r="D1767" t="s">
        <v>366</v>
      </c>
      <c r="E1767" t="s">
        <v>846</v>
      </c>
    </row>
    <row r="1768" spans="2:5" x14ac:dyDescent="0.2">
      <c r="B1768" t="s">
        <v>3002</v>
      </c>
      <c r="C1768">
        <v>517077</v>
      </c>
      <c r="D1768" t="s">
        <v>366</v>
      </c>
      <c r="E1768" t="s">
        <v>388</v>
      </c>
    </row>
    <row r="1769" spans="2:5" x14ac:dyDescent="0.2">
      <c r="B1769" t="s">
        <v>3003</v>
      </c>
      <c r="C1769">
        <v>511473</v>
      </c>
      <c r="D1769" t="s">
        <v>3004</v>
      </c>
      <c r="E1769" t="s">
        <v>349</v>
      </c>
    </row>
    <row r="1770" spans="2:5" x14ac:dyDescent="0.2">
      <c r="B1770" t="s">
        <v>3005</v>
      </c>
      <c r="C1770">
        <v>531505</v>
      </c>
      <c r="D1770" t="s">
        <v>366</v>
      </c>
      <c r="E1770" t="s">
        <v>383</v>
      </c>
    </row>
    <row r="1771" spans="2:5" x14ac:dyDescent="0.2">
      <c r="B1771" t="s">
        <v>3006</v>
      </c>
      <c r="C1771">
        <v>511355</v>
      </c>
      <c r="D1771" t="s">
        <v>366</v>
      </c>
      <c r="E1771" t="s">
        <v>383</v>
      </c>
    </row>
    <row r="1772" spans="2:5" x14ac:dyDescent="0.2">
      <c r="B1772" t="s">
        <v>3007</v>
      </c>
      <c r="C1772">
        <v>535667</v>
      </c>
      <c r="D1772" t="s">
        <v>366</v>
      </c>
      <c r="E1772" t="s">
        <v>383</v>
      </c>
    </row>
    <row r="1773" spans="2:5" x14ac:dyDescent="0.2">
      <c r="B1773" t="s">
        <v>3008</v>
      </c>
      <c r="C1773">
        <v>531253</v>
      </c>
      <c r="D1773" t="s">
        <v>366</v>
      </c>
      <c r="E1773" t="s">
        <v>526</v>
      </c>
    </row>
    <row r="1774" spans="2:5" x14ac:dyDescent="0.2">
      <c r="B1774" t="s">
        <v>3009</v>
      </c>
      <c r="C1774">
        <v>500201</v>
      </c>
      <c r="D1774" t="s">
        <v>3010</v>
      </c>
      <c r="E1774" t="s">
        <v>414</v>
      </c>
    </row>
    <row r="1775" spans="2:5" x14ac:dyDescent="0.2">
      <c r="B1775" t="s">
        <v>3011</v>
      </c>
      <c r="C1775">
        <v>540152</v>
      </c>
      <c r="D1775" t="s">
        <v>366</v>
      </c>
      <c r="E1775" t="s">
        <v>452</v>
      </c>
    </row>
    <row r="1776" spans="2:5" x14ac:dyDescent="0.2">
      <c r="B1776" t="s">
        <v>3012</v>
      </c>
      <c r="C1776">
        <v>540565</v>
      </c>
      <c r="D1776" t="s">
        <v>3013</v>
      </c>
      <c r="E1776" t="s">
        <v>386</v>
      </c>
    </row>
    <row r="1777" spans="2:5" x14ac:dyDescent="0.2">
      <c r="B1777" t="s">
        <v>3014</v>
      </c>
      <c r="C1777">
        <v>530979</v>
      </c>
      <c r="D1777" t="s">
        <v>366</v>
      </c>
      <c r="E1777" t="s">
        <v>424</v>
      </c>
    </row>
    <row r="1778" spans="2:5" x14ac:dyDescent="0.2">
      <c r="B1778" t="s">
        <v>3015</v>
      </c>
      <c r="C1778">
        <v>531343</v>
      </c>
      <c r="D1778" t="s">
        <v>366</v>
      </c>
      <c r="E1778" t="s">
        <v>787</v>
      </c>
    </row>
    <row r="1779" spans="2:5" x14ac:dyDescent="0.2">
      <c r="B1779" t="s">
        <v>3016</v>
      </c>
      <c r="C1779">
        <v>590065</v>
      </c>
      <c r="D1779" t="s">
        <v>3017</v>
      </c>
      <c r="E1779" t="s">
        <v>388</v>
      </c>
    </row>
    <row r="1780" spans="2:5" x14ac:dyDescent="0.2">
      <c r="B1780" t="s">
        <v>3018</v>
      </c>
      <c r="C1780">
        <v>532240</v>
      </c>
      <c r="D1780" t="s">
        <v>3019</v>
      </c>
      <c r="E1780" t="s">
        <v>721</v>
      </c>
    </row>
    <row r="1781" spans="2:5" x14ac:dyDescent="0.2">
      <c r="B1781" t="s">
        <v>3020</v>
      </c>
      <c r="C1781">
        <v>513361</v>
      </c>
      <c r="D1781" t="s">
        <v>366</v>
      </c>
      <c r="E1781" t="s">
        <v>398</v>
      </c>
    </row>
    <row r="1782" spans="2:5" x14ac:dyDescent="0.2">
      <c r="B1782" t="s">
        <v>3021</v>
      </c>
      <c r="C1782">
        <v>532189</v>
      </c>
      <c r="D1782" t="s">
        <v>3022</v>
      </c>
      <c r="E1782" t="s">
        <v>567</v>
      </c>
    </row>
    <row r="1783" spans="2:5" x14ac:dyDescent="0.2">
      <c r="B1783" t="s">
        <v>3023</v>
      </c>
      <c r="C1783">
        <v>535789</v>
      </c>
      <c r="D1783" t="s">
        <v>3024</v>
      </c>
      <c r="E1783" t="s">
        <v>424</v>
      </c>
    </row>
    <row r="1784" spans="2:5" x14ac:dyDescent="0.2">
      <c r="B1784" t="s">
        <v>3025</v>
      </c>
      <c r="C1784">
        <v>533520</v>
      </c>
      <c r="D1784" t="s">
        <v>3026</v>
      </c>
      <c r="E1784" t="s">
        <v>388</v>
      </c>
    </row>
    <row r="1785" spans="2:5" x14ac:dyDescent="0.2">
      <c r="B1785" t="s">
        <v>3027</v>
      </c>
      <c r="C1785">
        <v>532832</v>
      </c>
      <c r="D1785" t="s">
        <v>3028</v>
      </c>
      <c r="E1785" t="s">
        <v>452</v>
      </c>
    </row>
    <row r="1786" spans="2:5" x14ac:dyDescent="0.2">
      <c r="B1786" t="s">
        <v>3029</v>
      </c>
      <c r="C1786">
        <v>532960</v>
      </c>
      <c r="D1786" t="s">
        <v>3030</v>
      </c>
      <c r="E1786" t="s">
        <v>349</v>
      </c>
    </row>
    <row r="1787" spans="2:5" x14ac:dyDescent="0.2">
      <c r="B1787" t="s">
        <v>3031</v>
      </c>
      <c r="C1787">
        <v>514165</v>
      </c>
      <c r="D1787" t="s">
        <v>366</v>
      </c>
      <c r="E1787" t="s">
        <v>743</v>
      </c>
    </row>
    <row r="1788" spans="2:5" x14ac:dyDescent="0.2">
      <c r="B1788" t="s">
        <v>3032</v>
      </c>
      <c r="C1788">
        <v>532814</v>
      </c>
      <c r="D1788" t="s">
        <v>3033</v>
      </c>
      <c r="E1788" t="s">
        <v>684</v>
      </c>
    </row>
    <row r="1789" spans="2:5" x14ac:dyDescent="0.2">
      <c r="B1789" t="s">
        <v>3034</v>
      </c>
      <c r="C1789">
        <v>504731</v>
      </c>
      <c r="D1789" t="s">
        <v>366</v>
      </c>
      <c r="E1789" t="s">
        <v>398</v>
      </c>
    </row>
    <row r="1790" spans="2:5" x14ac:dyDescent="0.2">
      <c r="B1790" t="s">
        <v>3035</v>
      </c>
      <c r="C1790">
        <v>509692</v>
      </c>
      <c r="D1790" t="s">
        <v>3036</v>
      </c>
      <c r="E1790" t="s">
        <v>381</v>
      </c>
    </row>
    <row r="1791" spans="2:5" x14ac:dyDescent="0.2">
      <c r="B1791" t="s">
        <v>3037</v>
      </c>
      <c r="C1791">
        <v>540750</v>
      </c>
      <c r="D1791" t="s">
        <v>3038</v>
      </c>
      <c r="E1791" t="s">
        <v>505</v>
      </c>
    </row>
    <row r="1792" spans="2:5" x14ac:dyDescent="0.2">
      <c r="B1792" t="s">
        <v>3039</v>
      </c>
      <c r="C1792">
        <v>524614</v>
      </c>
      <c r="D1792" t="s">
        <v>366</v>
      </c>
      <c r="E1792" t="s">
        <v>446</v>
      </c>
    </row>
    <row r="1793" spans="2:5" x14ac:dyDescent="0.2">
      <c r="B1793" t="s">
        <v>3040</v>
      </c>
      <c r="C1793">
        <v>504741</v>
      </c>
      <c r="D1793" t="s">
        <v>3041</v>
      </c>
      <c r="E1793" t="s">
        <v>379</v>
      </c>
    </row>
    <row r="1794" spans="2:5" x14ac:dyDescent="0.2">
      <c r="B1794" t="s">
        <v>3042</v>
      </c>
      <c r="C1794">
        <v>509051</v>
      </c>
      <c r="D1794" t="s">
        <v>366</v>
      </c>
      <c r="E1794" t="s">
        <v>459</v>
      </c>
    </row>
    <row r="1795" spans="2:5" x14ac:dyDescent="0.2">
      <c r="B1795" t="s">
        <v>3043</v>
      </c>
      <c r="C1795">
        <v>504746</v>
      </c>
      <c r="D1795" t="s">
        <v>366</v>
      </c>
      <c r="E1795" t="s">
        <v>1284</v>
      </c>
    </row>
    <row r="1796" spans="2:5" x14ac:dyDescent="0.2">
      <c r="B1796" t="s">
        <v>3044</v>
      </c>
      <c r="C1796">
        <v>533047</v>
      </c>
      <c r="D1796" t="s">
        <v>3045</v>
      </c>
      <c r="E1796" t="s">
        <v>398</v>
      </c>
    </row>
    <row r="1797" spans="2:5" x14ac:dyDescent="0.2">
      <c r="B1797" t="s">
        <v>3046</v>
      </c>
      <c r="C1797">
        <v>530965</v>
      </c>
      <c r="D1797" t="s">
        <v>3047</v>
      </c>
      <c r="E1797" t="s">
        <v>576</v>
      </c>
    </row>
    <row r="1798" spans="2:5" x14ac:dyDescent="0.2">
      <c r="B1798" t="s">
        <v>3048</v>
      </c>
      <c r="C1798">
        <v>532388</v>
      </c>
      <c r="D1798" t="s">
        <v>3049</v>
      </c>
      <c r="E1798" t="s">
        <v>684</v>
      </c>
    </row>
    <row r="1799" spans="2:5" x14ac:dyDescent="0.2">
      <c r="B1799" t="s">
        <v>3050</v>
      </c>
      <c r="C1799">
        <v>500319</v>
      </c>
      <c r="D1799" t="s">
        <v>366</v>
      </c>
      <c r="E1799" t="s">
        <v>1065</v>
      </c>
    </row>
    <row r="1800" spans="2:5" x14ac:dyDescent="0.2">
      <c r="B1800" t="s">
        <v>3051</v>
      </c>
      <c r="C1800">
        <v>533329</v>
      </c>
      <c r="D1800" t="s">
        <v>3052</v>
      </c>
      <c r="E1800" t="s">
        <v>480</v>
      </c>
    </row>
    <row r="1801" spans="2:5" x14ac:dyDescent="0.2">
      <c r="B1801" t="s">
        <v>3053</v>
      </c>
      <c r="C1801">
        <v>523586</v>
      </c>
      <c r="D1801" t="s">
        <v>366</v>
      </c>
      <c r="E1801" t="s">
        <v>526</v>
      </c>
    </row>
    <row r="1802" spans="2:5" x14ac:dyDescent="0.2">
      <c r="B1802" t="s">
        <v>3054</v>
      </c>
      <c r="C1802">
        <v>501700</v>
      </c>
      <c r="D1802" t="s">
        <v>366</v>
      </c>
      <c r="E1802" t="s">
        <v>383</v>
      </c>
    </row>
    <row r="1803" spans="2:5" x14ac:dyDescent="0.2">
      <c r="B1803" t="s">
        <v>3055</v>
      </c>
      <c r="C1803">
        <v>532745</v>
      </c>
      <c r="D1803" t="s">
        <v>366</v>
      </c>
      <c r="E1803" t="s">
        <v>349</v>
      </c>
    </row>
    <row r="1804" spans="2:5" x14ac:dyDescent="0.2">
      <c r="B1804" t="s">
        <v>3056</v>
      </c>
      <c r="C1804">
        <v>524648</v>
      </c>
      <c r="D1804" t="s">
        <v>366</v>
      </c>
      <c r="E1804" t="s">
        <v>414</v>
      </c>
    </row>
    <row r="1805" spans="2:5" x14ac:dyDescent="0.2">
      <c r="B1805" t="s">
        <v>3057</v>
      </c>
      <c r="C1805">
        <v>530747</v>
      </c>
      <c r="D1805" t="s">
        <v>366</v>
      </c>
      <c r="E1805" t="s">
        <v>383</v>
      </c>
    </row>
    <row r="1806" spans="2:5" x14ac:dyDescent="0.2">
      <c r="B1806" t="s">
        <v>3058</v>
      </c>
      <c r="C1806">
        <v>524342</v>
      </c>
      <c r="D1806" t="s">
        <v>366</v>
      </c>
      <c r="E1806" t="s">
        <v>414</v>
      </c>
    </row>
    <row r="1807" spans="2:5" x14ac:dyDescent="0.2">
      <c r="B1807" t="s">
        <v>3059</v>
      </c>
      <c r="C1807">
        <v>538838</v>
      </c>
      <c r="D1807" t="s">
        <v>366</v>
      </c>
      <c r="E1807" t="s">
        <v>381</v>
      </c>
    </row>
    <row r="1808" spans="2:5" x14ac:dyDescent="0.2">
      <c r="B1808" t="s">
        <v>3060</v>
      </c>
      <c r="C1808">
        <v>521016</v>
      </c>
      <c r="D1808" t="s">
        <v>3061</v>
      </c>
      <c r="E1808" t="s">
        <v>381</v>
      </c>
    </row>
    <row r="1809" spans="2:5" x14ac:dyDescent="0.2">
      <c r="B1809" t="s">
        <v>3062</v>
      </c>
      <c r="C1809">
        <v>526887</v>
      </c>
      <c r="D1809" t="s">
        <v>366</v>
      </c>
      <c r="E1809" t="s">
        <v>383</v>
      </c>
    </row>
    <row r="1810" spans="2:5" x14ac:dyDescent="0.2">
      <c r="B1810" t="s">
        <v>3063</v>
      </c>
      <c r="C1810">
        <v>524458</v>
      </c>
      <c r="D1810" t="s">
        <v>366</v>
      </c>
      <c r="E1810" t="s">
        <v>526</v>
      </c>
    </row>
    <row r="1811" spans="2:5" x14ac:dyDescent="0.2">
      <c r="B1811" t="s">
        <v>3064</v>
      </c>
      <c r="C1811">
        <v>506945</v>
      </c>
      <c r="D1811" t="s">
        <v>366</v>
      </c>
      <c r="E1811" t="s">
        <v>526</v>
      </c>
    </row>
    <row r="1812" spans="2:5" x14ac:dyDescent="0.2">
      <c r="B1812" t="s">
        <v>3065</v>
      </c>
      <c r="C1812">
        <v>531565</v>
      </c>
      <c r="D1812" t="s">
        <v>366</v>
      </c>
      <c r="E1812" t="s">
        <v>452</v>
      </c>
    </row>
    <row r="1813" spans="2:5" x14ac:dyDescent="0.2">
      <c r="B1813" t="s">
        <v>3066</v>
      </c>
      <c r="C1813">
        <v>500207</v>
      </c>
      <c r="D1813" t="s">
        <v>3067</v>
      </c>
      <c r="E1813" t="s">
        <v>381</v>
      </c>
    </row>
    <row r="1814" spans="2:5" x14ac:dyDescent="0.2">
      <c r="B1814" t="s">
        <v>3068</v>
      </c>
      <c r="C1814">
        <v>500207</v>
      </c>
      <c r="D1814" t="s">
        <v>3067</v>
      </c>
      <c r="E1814" t="s">
        <v>381</v>
      </c>
    </row>
    <row r="1815" spans="2:5" x14ac:dyDescent="0.2">
      <c r="B1815" t="s">
        <v>3069</v>
      </c>
      <c r="C1815">
        <v>532717</v>
      </c>
      <c r="D1815" t="s">
        <v>3070</v>
      </c>
      <c r="E1815" t="s">
        <v>409</v>
      </c>
    </row>
    <row r="1816" spans="2:5" x14ac:dyDescent="0.2">
      <c r="B1816" t="s">
        <v>3071</v>
      </c>
      <c r="C1816">
        <v>533676</v>
      </c>
      <c r="D1816" t="s">
        <v>3072</v>
      </c>
      <c r="E1816" t="s">
        <v>349</v>
      </c>
    </row>
    <row r="1817" spans="2:5" x14ac:dyDescent="0.2">
      <c r="B1817" t="s">
        <v>3073</v>
      </c>
      <c r="C1817">
        <v>541304</v>
      </c>
      <c r="D1817" t="s">
        <v>366</v>
      </c>
      <c r="E1817" t="s">
        <v>564</v>
      </c>
    </row>
    <row r="1818" spans="2:5" x14ac:dyDescent="0.2">
      <c r="B1818" t="s">
        <v>3074</v>
      </c>
      <c r="C1818">
        <v>532100</v>
      </c>
      <c r="D1818" t="s">
        <v>366</v>
      </c>
      <c r="E1818" t="s">
        <v>459</v>
      </c>
    </row>
    <row r="1819" spans="2:5" x14ac:dyDescent="0.2">
      <c r="B1819" t="s">
        <v>3075</v>
      </c>
      <c r="C1819">
        <v>532612</v>
      </c>
      <c r="D1819" t="s">
        <v>3076</v>
      </c>
      <c r="E1819" t="s">
        <v>404</v>
      </c>
    </row>
    <row r="1820" spans="2:5" x14ac:dyDescent="0.2">
      <c r="B1820" t="s">
        <v>3077</v>
      </c>
      <c r="C1820">
        <v>539433</v>
      </c>
      <c r="D1820" t="s">
        <v>366</v>
      </c>
      <c r="E1820" t="s">
        <v>836</v>
      </c>
    </row>
    <row r="1821" spans="2:5" x14ac:dyDescent="0.2">
      <c r="B1821" t="s">
        <v>3078</v>
      </c>
      <c r="C1821">
        <v>504092</v>
      </c>
      <c r="D1821" t="s">
        <v>366</v>
      </c>
      <c r="E1821" t="s">
        <v>526</v>
      </c>
    </row>
    <row r="1822" spans="2:5" x14ac:dyDescent="0.2">
      <c r="B1822" t="s">
        <v>3079</v>
      </c>
      <c r="C1822">
        <v>504058</v>
      </c>
      <c r="D1822" t="s">
        <v>3080</v>
      </c>
      <c r="E1822" t="s">
        <v>912</v>
      </c>
    </row>
    <row r="1823" spans="2:5" x14ac:dyDescent="0.2">
      <c r="B1823" t="s">
        <v>3081</v>
      </c>
      <c r="C1823">
        <v>533257</v>
      </c>
      <c r="D1823" t="s">
        <v>3082</v>
      </c>
      <c r="E1823" t="s">
        <v>664</v>
      </c>
    </row>
    <row r="1824" spans="2:5" x14ac:dyDescent="0.2">
      <c r="B1824" t="s">
        <v>3083</v>
      </c>
      <c r="C1824">
        <v>541336</v>
      </c>
      <c r="D1824" t="s">
        <v>3084</v>
      </c>
      <c r="E1824" t="s">
        <v>383</v>
      </c>
    </row>
    <row r="1825" spans="2:5" x14ac:dyDescent="0.2">
      <c r="B1825" t="s">
        <v>3085</v>
      </c>
      <c r="C1825">
        <v>521005</v>
      </c>
      <c r="D1825" t="s">
        <v>366</v>
      </c>
      <c r="E1825" t="s">
        <v>381</v>
      </c>
    </row>
    <row r="1826" spans="2:5" x14ac:dyDescent="0.2">
      <c r="B1826" t="s">
        <v>3086</v>
      </c>
      <c r="C1826">
        <v>532894</v>
      </c>
      <c r="D1826" t="s">
        <v>3087</v>
      </c>
      <c r="E1826" t="s">
        <v>505</v>
      </c>
    </row>
    <row r="1827" spans="2:5" x14ac:dyDescent="0.2">
      <c r="B1827" t="s">
        <v>3088</v>
      </c>
      <c r="C1827">
        <v>539175</v>
      </c>
      <c r="D1827" t="s">
        <v>366</v>
      </c>
      <c r="E1827" t="s">
        <v>874</v>
      </c>
    </row>
    <row r="1828" spans="2:5" x14ac:dyDescent="0.2">
      <c r="B1828" t="s">
        <v>3089</v>
      </c>
      <c r="C1828">
        <v>532514</v>
      </c>
      <c r="D1828" t="s">
        <v>3090</v>
      </c>
      <c r="E1828" t="s">
        <v>391</v>
      </c>
    </row>
    <row r="1829" spans="2:5" x14ac:dyDescent="0.2">
      <c r="B1829" t="s">
        <v>3091</v>
      </c>
      <c r="C1829">
        <v>532150</v>
      </c>
      <c r="D1829" t="s">
        <v>3092</v>
      </c>
      <c r="E1829" t="s">
        <v>836</v>
      </c>
    </row>
    <row r="1830" spans="2:5" x14ac:dyDescent="0.2">
      <c r="B1830" t="s">
        <v>3093</v>
      </c>
      <c r="C1830">
        <v>526445</v>
      </c>
      <c r="D1830" t="s">
        <v>3094</v>
      </c>
      <c r="E1830" t="s">
        <v>564</v>
      </c>
    </row>
    <row r="1831" spans="2:5" x14ac:dyDescent="0.2">
      <c r="B1831" t="s">
        <v>3095</v>
      </c>
      <c r="C1831">
        <v>522165</v>
      </c>
      <c r="D1831" t="s">
        <v>366</v>
      </c>
      <c r="E1831" t="s">
        <v>398</v>
      </c>
    </row>
    <row r="1832" spans="2:5" x14ac:dyDescent="0.2">
      <c r="B1832" t="s">
        <v>3096</v>
      </c>
      <c r="C1832">
        <v>503639</v>
      </c>
      <c r="D1832" t="s">
        <v>366</v>
      </c>
      <c r="E1832" t="s">
        <v>787</v>
      </c>
    </row>
    <row r="1833" spans="2:5" x14ac:dyDescent="0.2">
      <c r="B1833" t="s">
        <v>3097</v>
      </c>
      <c r="C1833">
        <v>532305</v>
      </c>
      <c r="D1833" t="s">
        <v>3098</v>
      </c>
      <c r="E1833" t="s">
        <v>404</v>
      </c>
    </row>
    <row r="1834" spans="2:5" x14ac:dyDescent="0.2">
      <c r="B1834" t="s">
        <v>3099</v>
      </c>
      <c r="C1834">
        <v>524652</v>
      </c>
      <c r="D1834" t="s">
        <v>3100</v>
      </c>
      <c r="E1834" t="s">
        <v>404</v>
      </c>
    </row>
    <row r="1835" spans="2:5" x14ac:dyDescent="0.2">
      <c r="B1835" t="s">
        <v>3101</v>
      </c>
      <c r="C1835">
        <v>532001</v>
      </c>
      <c r="D1835" t="s">
        <v>366</v>
      </c>
      <c r="E1835" t="s">
        <v>398</v>
      </c>
    </row>
    <row r="1836" spans="2:5" x14ac:dyDescent="0.2">
      <c r="B1836" t="s">
        <v>3102</v>
      </c>
      <c r="C1836">
        <v>531841</v>
      </c>
      <c r="D1836" t="s">
        <v>366</v>
      </c>
      <c r="E1836" t="s">
        <v>383</v>
      </c>
    </row>
    <row r="1837" spans="2:5" x14ac:dyDescent="0.2">
      <c r="B1837" t="s">
        <v>3103</v>
      </c>
      <c r="C1837">
        <v>532187</v>
      </c>
      <c r="D1837" t="s">
        <v>3104</v>
      </c>
      <c r="E1837" t="s">
        <v>684</v>
      </c>
    </row>
    <row r="1838" spans="2:5" x14ac:dyDescent="0.2">
      <c r="B1838" t="s">
        <v>3105</v>
      </c>
      <c r="C1838">
        <v>501298</v>
      </c>
      <c r="D1838" t="s">
        <v>366</v>
      </c>
      <c r="E1838" t="s">
        <v>386</v>
      </c>
    </row>
    <row r="1839" spans="2:5" x14ac:dyDescent="0.2">
      <c r="B1839" t="s">
        <v>3106</v>
      </c>
      <c r="C1839">
        <v>501295</v>
      </c>
      <c r="D1839" t="s">
        <v>3107</v>
      </c>
      <c r="E1839" t="s">
        <v>383</v>
      </c>
    </row>
    <row r="1840" spans="2:5" x14ac:dyDescent="0.2">
      <c r="B1840" t="s">
        <v>3108</v>
      </c>
      <c r="C1840">
        <v>506222</v>
      </c>
      <c r="D1840" t="s">
        <v>3109</v>
      </c>
      <c r="E1840" t="s">
        <v>526</v>
      </c>
    </row>
    <row r="1841" spans="2:5" x14ac:dyDescent="0.2">
      <c r="B1841" t="s">
        <v>3110</v>
      </c>
      <c r="C1841">
        <v>506222</v>
      </c>
      <c r="D1841" t="s">
        <v>3109</v>
      </c>
      <c r="E1841" t="s">
        <v>526</v>
      </c>
    </row>
    <row r="1842" spans="2:5" x14ac:dyDescent="0.2">
      <c r="B1842" t="s">
        <v>3111</v>
      </c>
      <c r="C1842">
        <v>512025</v>
      </c>
      <c r="D1842" t="s">
        <v>366</v>
      </c>
      <c r="E1842" t="s">
        <v>787</v>
      </c>
    </row>
    <row r="1843" spans="2:5" x14ac:dyDescent="0.2">
      <c r="B1843" t="s">
        <v>3112</v>
      </c>
      <c r="C1843">
        <v>539807</v>
      </c>
      <c r="D1843" t="s">
        <v>3113</v>
      </c>
      <c r="E1843" t="s">
        <v>372</v>
      </c>
    </row>
    <row r="1844" spans="2:5" x14ac:dyDescent="0.2">
      <c r="B1844" t="s">
        <v>3114</v>
      </c>
      <c r="C1844">
        <v>533154</v>
      </c>
      <c r="D1844" t="s">
        <v>3115</v>
      </c>
      <c r="E1844" t="s">
        <v>352</v>
      </c>
    </row>
    <row r="1845" spans="2:5" x14ac:dyDescent="0.2">
      <c r="B1845" t="s">
        <v>3116</v>
      </c>
      <c r="C1845">
        <v>533154</v>
      </c>
      <c r="D1845" t="s">
        <v>3115</v>
      </c>
      <c r="E1845" t="s">
        <v>352</v>
      </c>
    </row>
    <row r="1846" spans="2:5" x14ac:dyDescent="0.2">
      <c r="B1846" t="s">
        <v>3117</v>
      </c>
      <c r="C1846">
        <v>541083</v>
      </c>
      <c r="D1846" t="s">
        <v>366</v>
      </c>
      <c r="E1846" t="s">
        <v>1410</v>
      </c>
    </row>
    <row r="1847" spans="2:5" x14ac:dyDescent="0.2">
      <c r="B1847" t="s">
        <v>3118</v>
      </c>
      <c r="C1847">
        <v>532777</v>
      </c>
      <c r="D1847" t="s">
        <v>3119</v>
      </c>
      <c r="E1847" t="s">
        <v>3120</v>
      </c>
    </row>
    <row r="1848" spans="2:5" x14ac:dyDescent="0.2">
      <c r="B1848" t="s">
        <v>3121</v>
      </c>
      <c r="C1848">
        <v>532777</v>
      </c>
      <c r="D1848" t="s">
        <v>3119</v>
      </c>
      <c r="E1848" t="s">
        <v>3120</v>
      </c>
    </row>
    <row r="1849" spans="2:5" x14ac:dyDescent="0.2">
      <c r="B1849" t="s">
        <v>3122</v>
      </c>
      <c r="C1849" t="s">
        <v>366</v>
      </c>
      <c r="D1849" t="s">
        <v>3123</v>
      </c>
      <c r="E1849" t="s">
        <v>377</v>
      </c>
    </row>
    <row r="1850" spans="2:5" x14ac:dyDescent="0.2">
      <c r="B1850" t="s">
        <v>3124</v>
      </c>
      <c r="C1850">
        <v>504810</v>
      </c>
      <c r="D1850" t="s">
        <v>366</v>
      </c>
      <c r="E1850" t="s">
        <v>696</v>
      </c>
    </row>
    <row r="1851" spans="2:5" x14ac:dyDescent="0.2">
      <c r="B1851" t="s">
        <v>3125</v>
      </c>
      <c r="C1851">
        <v>504810</v>
      </c>
      <c r="D1851" t="s">
        <v>366</v>
      </c>
      <c r="E1851" t="s">
        <v>696</v>
      </c>
    </row>
    <row r="1852" spans="2:5" x14ac:dyDescent="0.2">
      <c r="B1852" t="s">
        <v>3126</v>
      </c>
      <c r="C1852">
        <v>500209</v>
      </c>
      <c r="D1852" t="s">
        <v>3127</v>
      </c>
      <c r="E1852" t="s">
        <v>352</v>
      </c>
    </row>
    <row r="1853" spans="2:5" x14ac:dyDescent="0.2">
      <c r="B1853" t="s">
        <v>3128</v>
      </c>
      <c r="C1853">
        <v>530777</v>
      </c>
      <c r="D1853" t="s">
        <v>366</v>
      </c>
      <c r="E1853" t="s">
        <v>486</v>
      </c>
    </row>
    <row r="1854" spans="2:5" x14ac:dyDescent="0.2">
      <c r="B1854" t="s">
        <v>3129</v>
      </c>
      <c r="C1854">
        <v>537985</v>
      </c>
      <c r="D1854" t="s">
        <v>366</v>
      </c>
      <c r="E1854" t="s">
        <v>459</v>
      </c>
    </row>
    <row r="1855" spans="2:5" x14ac:dyDescent="0.2">
      <c r="B1855" t="s">
        <v>3130</v>
      </c>
      <c r="C1855">
        <v>500210</v>
      </c>
      <c r="D1855" t="s">
        <v>3131</v>
      </c>
      <c r="E1855" t="s">
        <v>374</v>
      </c>
    </row>
    <row r="1856" spans="2:5" x14ac:dyDescent="0.2">
      <c r="B1856" t="s">
        <v>3132</v>
      </c>
      <c r="C1856">
        <v>500210</v>
      </c>
      <c r="D1856" t="s">
        <v>3131</v>
      </c>
      <c r="E1856" t="s">
        <v>374</v>
      </c>
    </row>
    <row r="1857" spans="2:5" x14ac:dyDescent="0.2">
      <c r="B1857" t="s">
        <v>3133</v>
      </c>
      <c r="C1857">
        <v>530787</v>
      </c>
      <c r="D1857" t="s">
        <v>366</v>
      </c>
      <c r="E1857" t="s">
        <v>2355</v>
      </c>
    </row>
    <row r="1858" spans="2:5" x14ac:dyDescent="0.2">
      <c r="B1858" t="s">
        <v>3134</v>
      </c>
      <c r="C1858">
        <v>531929</v>
      </c>
      <c r="D1858" t="s">
        <v>3135</v>
      </c>
      <c r="E1858" t="s">
        <v>486</v>
      </c>
    </row>
    <row r="1859" spans="2:5" x14ac:dyDescent="0.2">
      <c r="B1859" t="s">
        <v>3136</v>
      </c>
      <c r="C1859" t="s">
        <v>366</v>
      </c>
      <c r="D1859" t="s">
        <v>3137</v>
      </c>
      <c r="E1859" t="s">
        <v>377</v>
      </c>
    </row>
    <row r="1860" spans="2:5" x14ac:dyDescent="0.2">
      <c r="B1860" t="s">
        <v>3138</v>
      </c>
      <c r="C1860">
        <v>533315</v>
      </c>
      <c r="D1860" t="s">
        <v>366</v>
      </c>
      <c r="E1860" t="s">
        <v>532</v>
      </c>
    </row>
    <row r="1861" spans="2:5" x14ac:dyDescent="0.2">
      <c r="B1861" t="s">
        <v>3139</v>
      </c>
      <c r="C1861">
        <v>517433</v>
      </c>
      <c r="D1861" t="s">
        <v>366</v>
      </c>
      <c r="E1861" t="s">
        <v>352</v>
      </c>
    </row>
    <row r="1862" spans="2:5" x14ac:dyDescent="0.2">
      <c r="B1862" t="s">
        <v>3140</v>
      </c>
      <c r="C1862">
        <v>541983</v>
      </c>
      <c r="D1862" t="s">
        <v>366</v>
      </c>
      <c r="E1862" t="s">
        <v>3141</v>
      </c>
    </row>
    <row r="1863" spans="2:5" x14ac:dyDescent="0.2">
      <c r="B1863" t="s">
        <v>3142</v>
      </c>
      <c r="C1863">
        <v>541983</v>
      </c>
      <c r="D1863" t="s">
        <v>366</v>
      </c>
      <c r="E1863" t="s">
        <v>3141</v>
      </c>
    </row>
    <row r="1864" spans="2:5" x14ac:dyDescent="0.2">
      <c r="B1864" t="s">
        <v>3143</v>
      </c>
      <c r="C1864">
        <v>523840</v>
      </c>
      <c r="D1864" t="s">
        <v>366</v>
      </c>
      <c r="E1864" t="s">
        <v>561</v>
      </c>
    </row>
    <row r="1865" spans="2:5" x14ac:dyDescent="0.2">
      <c r="B1865" t="s">
        <v>3144</v>
      </c>
      <c r="C1865" t="s">
        <v>366</v>
      </c>
      <c r="D1865" t="s">
        <v>3145</v>
      </c>
      <c r="E1865" t="s">
        <v>377</v>
      </c>
    </row>
    <row r="1866" spans="2:5" x14ac:dyDescent="0.2">
      <c r="B1866" t="s">
        <v>3146</v>
      </c>
      <c r="C1866">
        <v>541353</v>
      </c>
      <c r="D1866" t="s">
        <v>366</v>
      </c>
      <c r="E1866" t="s">
        <v>764</v>
      </c>
    </row>
    <row r="1867" spans="2:5" x14ac:dyDescent="0.2">
      <c r="B1867" t="s">
        <v>3147</v>
      </c>
      <c r="C1867">
        <v>532706</v>
      </c>
      <c r="D1867" t="s">
        <v>3148</v>
      </c>
      <c r="E1867" t="s">
        <v>367</v>
      </c>
    </row>
    <row r="1868" spans="2:5" x14ac:dyDescent="0.2">
      <c r="B1868" t="s">
        <v>3149</v>
      </c>
      <c r="C1868">
        <v>539083</v>
      </c>
      <c r="D1868" t="s">
        <v>3150</v>
      </c>
      <c r="E1868" t="s">
        <v>409</v>
      </c>
    </row>
    <row r="1869" spans="2:5" x14ac:dyDescent="0.2">
      <c r="B1869" t="s">
        <v>3151</v>
      </c>
      <c r="C1869">
        <v>532851</v>
      </c>
      <c r="D1869" t="s">
        <v>3152</v>
      </c>
      <c r="E1869" t="s">
        <v>510</v>
      </c>
    </row>
    <row r="1870" spans="2:5" x14ac:dyDescent="0.2">
      <c r="B1870" t="s">
        <v>3153</v>
      </c>
      <c r="C1870">
        <v>532851</v>
      </c>
      <c r="D1870" t="s">
        <v>3152</v>
      </c>
      <c r="E1870" t="s">
        <v>510</v>
      </c>
    </row>
    <row r="1871" spans="2:5" x14ac:dyDescent="0.2">
      <c r="B1871" t="s">
        <v>3154</v>
      </c>
      <c r="C1871">
        <v>500211</v>
      </c>
      <c r="D1871" t="s">
        <v>366</v>
      </c>
      <c r="E1871" t="s">
        <v>551</v>
      </c>
    </row>
    <row r="1872" spans="2:5" x14ac:dyDescent="0.2">
      <c r="B1872" t="s">
        <v>3155</v>
      </c>
      <c r="C1872">
        <v>532774</v>
      </c>
      <c r="D1872" t="s">
        <v>3156</v>
      </c>
      <c r="E1872" t="s">
        <v>352</v>
      </c>
    </row>
    <row r="1873" spans="2:5" x14ac:dyDescent="0.2">
      <c r="B1873" t="s">
        <v>3157</v>
      </c>
      <c r="C1873">
        <v>526871</v>
      </c>
      <c r="D1873" t="s">
        <v>366</v>
      </c>
      <c r="E1873" t="s">
        <v>349</v>
      </c>
    </row>
    <row r="1874" spans="2:5" x14ac:dyDescent="0.2">
      <c r="B1874" t="s">
        <v>3158</v>
      </c>
      <c r="C1874">
        <v>531314</v>
      </c>
      <c r="D1874" t="s">
        <v>3159</v>
      </c>
      <c r="E1874" t="s">
        <v>383</v>
      </c>
    </row>
    <row r="1875" spans="2:5" x14ac:dyDescent="0.2">
      <c r="B1875" t="s">
        <v>3160</v>
      </c>
      <c r="C1875">
        <v>505358</v>
      </c>
      <c r="D1875" t="s">
        <v>366</v>
      </c>
      <c r="E1875" t="s">
        <v>374</v>
      </c>
    </row>
    <row r="1876" spans="2:5" x14ac:dyDescent="0.2">
      <c r="B1876" t="s">
        <v>3161</v>
      </c>
      <c r="C1876">
        <v>505358</v>
      </c>
      <c r="D1876" t="s">
        <v>366</v>
      </c>
      <c r="E1876" t="s">
        <v>374</v>
      </c>
    </row>
    <row r="1877" spans="2:5" x14ac:dyDescent="0.2">
      <c r="B1877" t="s">
        <v>3162</v>
      </c>
      <c r="C1877">
        <v>535958</v>
      </c>
      <c r="D1877" t="s">
        <v>3163</v>
      </c>
      <c r="E1877" t="s">
        <v>480</v>
      </c>
    </row>
    <row r="1878" spans="2:5" x14ac:dyDescent="0.2">
      <c r="B1878" t="s">
        <v>3164</v>
      </c>
      <c r="C1878">
        <v>517423</v>
      </c>
      <c r="D1878" t="s">
        <v>366</v>
      </c>
      <c r="E1878" t="s">
        <v>664</v>
      </c>
    </row>
    <row r="1879" spans="2:5" x14ac:dyDescent="0.2">
      <c r="B1879" t="s">
        <v>3165</v>
      </c>
      <c r="C1879">
        <v>536868</v>
      </c>
      <c r="D1879" t="s">
        <v>366</v>
      </c>
      <c r="E1879" t="s">
        <v>352</v>
      </c>
    </row>
    <row r="1880" spans="2:5" x14ac:dyDescent="0.2">
      <c r="B1880" t="s">
        <v>3166</v>
      </c>
      <c r="C1880">
        <v>539149</v>
      </c>
      <c r="D1880" t="s">
        <v>366</v>
      </c>
      <c r="E1880" t="s">
        <v>450</v>
      </c>
    </row>
    <row r="1881" spans="2:5" x14ac:dyDescent="0.2">
      <c r="B1881" t="s">
        <v>3167</v>
      </c>
      <c r="C1881">
        <v>500212</v>
      </c>
      <c r="D1881" t="s">
        <v>366</v>
      </c>
      <c r="E1881" t="s">
        <v>383</v>
      </c>
    </row>
    <row r="1882" spans="2:5" x14ac:dyDescent="0.2">
      <c r="B1882" t="s">
        <v>3168</v>
      </c>
      <c r="C1882">
        <v>519606</v>
      </c>
      <c r="D1882" t="s">
        <v>366</v>
      </c>
      <c r="E1882" t="s">
        <v>615</v>
      </c>
    </row>
    <row r="1883" spans="2:5" x14ac:dyDescent="0.2">
      <c r="B1883" t="s">
        <v>3169</v>
      </c>
      <c r="C1883">
        <v>531889</v>
      </c>
      <c r="D1883" t="s">
        <v>366</v>
      </c>
      <c r="E1883" t="s">
        <v>908</v>
      </c>
    </row>
    <row r="1884" spans="2:5" x14ac:dyDescent="0.2">
      <c r="B1884" t="s">
        <v>3170</v>
      </c>
      <c r="C1884">
        <v>530921</v>
      </c>
      <c r="D1884" t="s">
        <v>366</v>
      </c>
      <c r="E1884" t="s">
        <v>486</v>
      </c>
    </row>
    <row r="1885" spans="2:5" x14ac:dyDescent="0.2">
      <c r="B1885" t="s">
        <v>3171</v>
      </c>
      <c r="C1885">
        <v>538835</v>
      </c>
      <c r="D1885" t="s">
        <v>3172</v>
      </c>
      <c r="E1885" t="s">
        <v>459</v>
      </c>
    </row>
    <row r="1886" spans="2:5" x14ac:dyDescent="0.2">
      <c r="B1886" t="s">
        <v>3173</v>
      </c>
      <c r="C1886">
        <v>534732</v>
      </c>
      <c r="D1886" t="s">
        <v>366</v>
      </c>
      <c r="E1886" t="s">
        <v>349</v>
      </c>
    </row>
    <row r="1887" spans="2:5" x14ac:dyDescent="0.2">
      <c r="B1887" t="s">
        <v>3174</v>
      </c>
      <c r="C1887">
        <v>506134</v>
      </c>
      <c r="D1887" t="s">
        <v>366</v>
      </c>
      <c r="E1887" t="s">
        <v>486</v>
      </c>
    </row>
    <row r="1888" spans="2:5" x14ac:dyDescent="0.2">
      <c r="B1888" t="s">
        <v>3175</v>
      </c>
      <c r="C1888">
        <v>532326</v>
      </c>
      <c r="D1888" t="s">
        <v>3176</v>
      </c>
      <c r="E1888" t="s">
        <v>459</v>
      </c>
    </row>
    <row r="1889" spans="2:5" x14ac:dyDescent="0.2">
      <c r="B1889" t="s">
        <v>3177</v>
      </c>
      <c r="C1889">
        <v>511391</v>
      </c>
      <c r="D1889" t="s">
        <v>366</v>
      </c>
      <c r="E1889" t="s">
        <v>383</v>
      </c>
    </row>
    <row r="1890" spans="2:5" x14ac:dyDescent="0.2">
      <c r="B1890" t="s">
        <v>3178</v>
      </c>
      <c r="C1890">
        <v>530259</v>
      </c>
      <c r="D1890" t="s">
        <v>366</v>
      </c>
      <c r="E1890" t="s">
        <v>438</v>
      </c>
    </row>
    <row r="1891" spans="2:5" x14ac:dyDescent="0.2">
      <c r="B1891" t="s">
        <v>3179</v>
      </c>
      <c r="C1891">
        <v>539692</v>
      </c>
      <c r="D1891" t="s">
        <v>366</v>
      </c>
      <c r="E1891" t="s">
        <v>383</v>
      </c>
    </row>
    <row r="1892" spans="2:5" x14ac:dyDescent="0.2">
      <c r="B1892" t="s">
        <v>3180</v>
      </c>
      <c r="C1892">
        <v>539448</v>
      </c>
      <c r="D1892" t="s">
        <v>3181</v>
      </c>
      <c r="E1892" t="s">
        <v>2500</v>
      </c>
    </row>
    <row r="1893" spans="2:5" x14ac:dyDescent="0.2">
      <c r="B1893" t="s">
        <v>3182</v>
      </c>
      <c r="C1893">
        <v>526512</v>
      </c>
      <c r="D1893" t="s">
        <v>366</v>
      </c>
      <c r="E1893" t="s">
        <v>429</v>
      </c>
    </row>
    <row r="1894" spans="2:5" x14ac:dyDescent="0.2">
      <c r="B1894" t="s">
        <v>3183</v>
      </c>
      <c r="C1894">
        <v>505737</v>
      </c>
      <c r="D1894" t="s">
        <v>366</v>
      </c>
      <c r="E1894" t="s">
        <v>374</v>
      </c>
    </row>
    <row r="1895" spans="2:5" x14ac:dyDescent="0.2">
      <c r="B1895" t="s">
        <v>3184</v>
      </c>
      <c r="C1895">
        <v>505737</v>
      </c>
      <c r="D1895" t="s">
        <v>366</v>
      </c>
      <c r="E1895" t="s">
        <v>374</v>
      </c>
    </row>
    <row r="1896" spans="2:5" x14ac:dyDescent="0.2">
      <c r="B1896" t="s">
        <v>3185</v>
      </c>
      <c r="C1896" t="s">
        <v>366</v>
      </c>
      <c r="D1896" t="s">
        <v>3186</v>
      </c>
      <c r="E1896" t="s">
        <v>457</v>
      </c>
    </row>
    <row r="1897" spans="2:5" x14ac:dyDescent="0.2">
      <c r="B1897" t="s">
        <v>3187</v>
      </c>
      <c r="C1897">
        <v>509709</v>
      </c>
      <c r="D1897" t="s">
        <v>366</v>
      </c>
      <c r="E1897" t="s">
        <v>486</v>
      </c>
    </row>
    <row r="1898" spans="2:5" x14ac:dyDescent="0.2">
      <c r="B1898" t="s">
        <v>3188</v>
      </c>
      <c r="C1898">
        <v>517044</v>
      </c>
      <c r="D1898" t="s">
        <v>366</v>
      </c>
      <c r="E1898" t="s">
        <v>450</v>
      </c>
    </row>
    <row r="1899" spans="2:5" x14ac:dyDescent="0.2">
      <c r="B1899" t="s">
        <v>3189</v>
      </c>
      <c r="C1899">
        <v>530781</v>
      </c>
      <c r="D1899" t="s">
        <v>366</v>
      </c>
      <c r="E1899" t="s">
        <v>424</v>
      </c>
    </row>
    <row r="1900" spans="2:5" x14ac:dyDescent="0.2">
      <c r="B1900" t="s">
        <v>3190</v>
      </c>
      <c r="C1900">
        <v>502330</v>
      </c>
      <c r="D1900" t="s">
        <v>3191</v>
      </c>
      <c r="E1900" t="s">
        <v>360</v>
      </c>
    </row>
    <row r="1901" spans="2:5" x14ac:dyDescent="0.2">
      <c r="B1901" t="s">
        <v>3192</v>
      </c>
      <c r="C1901">
        <v>500213</v>
      </c>
      <c r="D1901" t="s">
        <v>366</v>
      </c>
      <c r="E1901" t="s">
        <v>1367</v>
      </c>
    </row>
    <row r="1902" spans="2:5" x14ac:dyDescent="0.2">
      <c r="B1902" t="s">
        <v>3193</v>
      </c>
      <c r="C1902">
        <v>532072</v>
      </c>
      <c r="D1902" t="s">
        <v>366</v>
      </c>
      <c r="E1902" t="s">
        <v>369</v>
      </c>
    </row>
    <row r="1903" spans="2:5" x14ac:dyDescent="0.2">
      <c r="B1903" t="s">
        <v>3194</v>
      </c>
      <c r="C1903">
        <v>533181</v>
      </c>
      <c r="D1903" t="s">
        <v>3195</v>
      </c>
      <c r="E1903" t="s">
        <v>3120</v>
      </c>
    </row>
    <row r="1904" spans="2:5" x14ac:dyDescent="0.2">
      <c r="B1904" t="s">
        <v>3196</v>
      </c>
      <c r="C1904">
        <v>533506</v>
      </c>
      <c r="D1904" t="s">
        <v>3197</v>
      </c>
      <c r="E1904" t="s">
        <v>349</v>
      </c>
    </row>
    <row r="1905" spans="2:5" x14ac:dyDescent="0.2">
      <c r="B1905" t="s">
        <v>3198</v>
      </c>
      <c r="C1905">
        <v>533172</v>
      </c>
      <c r="D1905" t="s">
        <v>3199</v>
      </c>
      <c r="E1905" t="s">
        <v>349</v>
      </c>
    </row>
    <row r="1906" spans="2:5" x14ac:dyDescent="0.2">
      <c r="B1906" t="s">
        <v>3200</v>
      </c>
      <c r="C1906">
        <v>504786</v>
      </c>
      <c r="D1906" t="s">
        <v>366</v>
      </c>
      <c r="E1906" t="s">
        <v>1284</v>
      </c>
    </row>
    <row r="1907" spans="2:5" x14ac:dyDescent="0.2">
      <c r="B1907" t="s">
        <v>3201</v>
      </c>
      <c r="C1907">
        <v>523844</v>
      </c>
      <c r="D1907" t="s">
        <v>366</v>
      </c>
      <c r="E1907" t="s">
        <v>1530</v>
      </c>
    </row>
    <row r="1908" spans="2:5" x14ac:dyDescent="0.2">
      <c r="B1908" t="s">
        <v>3202</v>
      </c>
      <c r="C1908">
        <v>523752</v>
      </c>
      <c r="D1908" t="s">
        <v>366</v>
      </c>
      <c r="E1908" t="s">
        <v>374</v>
      </c>
    </row>
    <row r="1909" spans="2:5" x14ac:dyDescent="0.2">
      <c r="B1909" t="s">
        <v>3203</v>
      </c>
      <c r="C1909">
        <v>524164</v>
      </c>
      <c r="D1909" t="s">
        <v>3204</v>
      </c>
      <c r="E1909" t="s">
        <v>404</v>
      </c>
    </row>
    <row r="1910" spans="2:5" x14ac:dyDescent="0.2">
      <c r="B1910" t="s">
        <v>3205</v>
      </c>
      <c r="C1910">
        <v>500214</v>
      </c>
      <c r="D1910" t="s">
        <v>366</v>
      </c>
      <c r="E1910" t="s">
        <v>374</v>
      </c>
    </row>
    <row r="1911" spans="2:5" x14ac:dyDescent="0.2">
      <c r="B1911" t="s">
        <v>3206</v>
      </c>
      <c r="C1911">
        <v>500214</v>
      </c>
      <c r="D1911" t="s">
        <v>366</v>
      </c>
      <c r="E1911" t="s">
        <v>374</v>
      </c>
    </row>
    <row r="1912" spans="2:5" x14ac:dyDescent="0.2">
      <c r="B1912" t="s">
        <v>3207</v>
      </c>
      <c r="C1912">
        <v>523638</v>
      </c>
      <c r="D1912" t="s">
        <v>366</v>
      </c>
      <c r="E1912" t="s">
        <v>721</v>
      </c>
    </row>
    <row r="1913" spans="2:5" x14ac:dyDescent="0.2">
      <c r="B1913" t="s">
        <v>3208</v>
      </c>
      <c r="C1913">
        <v>524494</v>
      </c>
      <c r="D1913" t="s">
        <v>3209</v>
      </c>
      <c r="E1913" t="s">
        <v>404</v>
      </c>
    </row>
    <row r="1914" spans="2:5" x14ac:dyDescent="0.2">
      <c r="B1914" t="s">
        <v>3210</v>
      </c>
      <c r="C1914">
        <v>512405</v>
      </c>
      <c r="D1914" t="s">
        <v>366</v>
      </c>
      <c r="E1914" t="s">
        <v>372</v>
      </c>
    </row>
    <row r="1915" spans="2:5" x14ac:dyDescent="0.2">
      <c r="B1915" t="s">
        <v>3211</v>
      </c>
      <c r="C1915">
        <v>512405</v>
      </c>
      <c r="D1915" t="s">
        <v>366</v>
      </c>
      <c r="E1915" t="s">
        <v>372</v>
      </c>
    </row>
    <row r="1916" spans="2:5" x14ac:dyDescent="0.2">
      <c r="B1916" t="s">
        <v>3212</v>
      </c>
      <c r="C1916">
        <v>532947</v>
      </c>
      <c r="D1916" t="s">
        <v>3213</v>
      </c>
      <c r="E1916" t="s">
        <v>961</v>
      </c>
    </row>
    <row r="1917" spans="2:5" x14ac:dyDescent="0.2">
      <c r="B1917" t="s">
        <v>3214</v>
      </c>
      <c r="C1917">
        <v>540526</v>
      </c>
      <c r="D1917" t="s">
        <v>3215</v>
      </c>
      <c r="E1917" t="s">
        <v>386</v>
      </c>
    </row>
    <row r="1918" spans="2:5" x14ac:dyDescent="0.2">
      <c r="B1918" t="s">
        <v>3216</v>
      </c>
      <c r="C1918">
        <v>541956</v>
      </c>
      <c r="D1918" t="s">
        <v>3217</v>
      </c>
      <c r="E1918" t="s">
        <v>764</v>
      </c>
    </row>
    <row r="1919" spans="2:5" x14ac:dyDescent="0.2">
      <c r="B1919" t="s">
        <v>3218</v>
      </c>
      <c r="C1919">
        <v>540735</v>
      </c>
      <c r="D1919" t="s">
        <v>366</v>
      </c>
      <c r="E1919" t="s">
        <v>459</v>
      </c>
    </row>
    <row r="1920" spans="2:5" x14ac:dyDescent="0.2">
      <c r="B1920" t="s">
        <v>3219</v>
      </c>
      <c r="C1920" t="s">
        <v>366</v>
      </c>
      <c r="D1920" t="s">
        <v>3220</v>
      </c>
      <c r="E1920" t="s">
        <v>377</v>
      </c>
    </row>
    <row r="1921" spans="2:5" x14ac:dyDescent="0.2">
      <c r="B1921" t="s">
        <v>3221</v>
      </c>
      <c r="C1921">
        <v>531337</v>
      </c>
      <c r="D1921" t="s">
        <v>366</v>
      </c>
      <c r="E1921" t="s">
        <v>349</v>
      </c>
    </row>
    <row r="1922" spans="2:5" x14ac:dyDescent="0.2">
      <c r="B1922" t="s">
        <v>3222</v>
      </c>
      <c r="C1922">
        <v>526859</v>
      </c>
      <c r="D1922" t="s">
        <v>366</v>
      </c>
      <c r="E1922" t="s">
        <v>383</v>
      </c>
    </row>
    <row r="1923" spans="2:5" x14ac:dyDescent="0.2">
      <c r="B1923" t="s">
        <v>3223</v>
      </c>
      <c r="C1923">
        <v>533033</v>
      </c>
      <c r="D1923" t="s">
        <v>366</v>
      </c>
      <c r="E1923" t="s">
        <v>374</v>
      </c>
    </row>
    <row r="1924" spans="2:5" x14ac:dyDescent="0.2">
      <c r="B1924" t="s">
        <v>3224</v>
      </c>
      <c r="C1924">
        <v>540134</v>
      </c>
      <c r="D1924" t="s">
        <v>366</v>
      </c>
      <c r="E1924" t="s">
        <v>764</v>
      </c>
    </row>
    <row r="1925" spans="2:5" x14ac:dyDescent="0.2">
      <c r="B1925" t="s">
        <v>3225</v>
      </c>
      <c r="C1925">
        <v>531109</v>
      </c>
      <c r="D1925" t="s">
        <v>366</v>
      </c>
      <c r="E1925" t="s">
        <v>526</v>
      </c>
    </row>
    <row r="1926" spans="2:5" x14ac:dyDescent="0.2">
      <c r="B1926" t="s">
        <v>3226</v>
      </c>
      <c r="C1926">
        <v>524400</v>
      </c>
      <c r="D1926" t="s">
        <v>366</v>
      </c>
      <c r="E1926" t="s">
        <v>404</v>
      </c>
    </row>
    <row r="1927" spans="2:5" x14ac:dyDescent="0.2">
      <c r="B1927" t="s">
        <v>3227</v>
      </c>
      <c r="C1927">
        <v>506161</v>
      </c>
      <c r="D1927" t="s">
        <v>366</v>
      </c>
      <c r="E1927" t="s">
        <v>383</v>
      </c>
    </row>
    <row r="1928" spans="2:5" x14ac:dyDescent="0.2">
      <c r="B1928" t="s">
        <v>3228</v>
      </c>
      <c r="C1928">
        <v>511609</v>
      </c>
      <c r="D1928" t="s">
        <v>366</v>
      </c>
      <c r="E1928" t="s">
        <v>383</v>
      </c>
    </row>
    <row r="1929" spans="2:5" x14ac:dyDescent="0.2">
      <c r="B1929" t="s">
        <v>3229</v>
      </c>
      <c r="C1929">
        <v>532479</v>
      </c>
      <c r="D1929" t="s">
        <v>3230</v>
      </c>
      <c r="E1929" t="s">
        <v>398</v>
      </c>
    </row>
    <row r="1930" spans="2:5" x14ac:dyDescent="0.2">
      <c r="B1930" t="s">
        <v>3231</v>
      </c>
      <c r="C1930">
        <v>508807</v>
      </c>
      <c r="D1930" t="s">
        <v>366</v>
      </c>
      <c r="E1930" t="s">
        <v>721</v>
      </c>
    </row>
    <row r="1931" spans="2:5" x14ac:dyDescent="0.2">
      <c r="B1931" t="s">
        <v>3232</v>
      </c>
      <c r="C1931">
        <v>524622</v>
      </c>
      <c r="D1931" t="s">
        <v>366</v>
      </c>
      <c r="E1931" t="s">
        <v>3120</v>
      </c>
    </row>
    <row r="1932" spans="2:5" x14ac:dyDescent="0.2">
      <c r="B1932" t="s">
        <v>33</v>
      </c>
      <c r="C1932">
        <v>500875</v>
      </c>
      <c r="D1932" t="s">
        <v>303</v>
      </c>
      <c r="E1932" t="s">
        <v>2533</v>
      </c>
    </row>
    <row r="1933" spans="2:5" x14ac:dyDescent="0.2">
      <c r="B1933" t="s">
        <v>3233</v>
      </c>
      <c r="C1933">
        <v>509496</v>
      </c>
      <c r="D1933" t="s">
        <v>3234</v>
      </c>
      <c r="E1933" t="s">
        <v>764</v>
      </c>
    </row>
    <row r="1934" spans="2:5" x14ac:dyDescent="0.2">
      <c r="B1934" t="s">
        <v>3235</v>
      </c>
      <c r="C1934">
        <v>509496</v>
      </c>
      <c r="D1934" t="s">
        <v>3234</v>
      </c>
      <c r="E1934" t="s">
        <v>764</v>
      </c>
    </row>
    <row r="1935" spans="2:5" x14ac:dyDescent="0.2">
      <c r="B1935" t="s">
        <v>3236</v>
      </c>
      <c r="C1935">
        <v>523610</v>
      </c>
      <c r="D1935" t="s">
        <v>3237</v>
      </c>
      <c r="E1935" t="s">
        <v>512</v>
      </c>
    </row>
    <row r="1936" spans="2:5" x14ac:dyDescent="0.2">
      <c r="B1936" t="s">
        <v>3238</v>
      </c>
      <c r="C1936">
        <v>522183</v>
      </c>
      <c r="D1936" t="s">
        <v>366</v>
      </c>
      <c r="E1936" t="s">
        <v>374</v>
      </c>
    </row>
    <row r="1937" spans="2:5" x14ac:dyDescent="0.2">
      <c r="B1937" t="s">
        <v>3239</v>
      </c>
      <c r="C1937">
        <v>507580</v>
      </c>
      <c r="D1937" t="s">
        <v>3240</v>
      </c>
      <c r="E1937" t="s">
        <v>414</v>
      </c>
    </row>
    <row r="1938" spans="2:5" x14ac:dyDescent="0.2">
      <c r="B1938" t="s">
        <v>3241</v>
      </c>
      <c r="C1938">
        <v>530773</v>
      </c>
      <c r="D1938" t="s">
        <v>3242</v>
      </c>
      <c r="E1938" t="s">
        <v>764</v>
      </c>
    </row>
    <row r="1939" spans="2:5" x14ac:dyDescent="0.2">
      <c r="B1939" t="s">
        <v>3243</v>
      </c>
      <c r="C1939">
        <v>522245</v>
      </c>
      <c r="D1939" t="s">
        <v>366</v>
      </c>
      <c r="E1939" t="s">
        <v>551</v>
      </c>
    </row>
    <row r="1940" spans="2:5" x14ac:dyDescent="0.2">
      <c r="B1940" t="s">
        <v>3244</v>
      </c>
      <c r="C1940">
        <v>532341</v>
      </c>
      <c r="D1940" t="s">
        <v>3245</v>
      </c>
      <c r="E1940" t="s">
        <v>352</v>
      </c>
    </row>
    <row r="1941" spans="2:5" x14ac:dyDescent="0.2">
      <c r="B1941" t="s">
        <v>3246</v>
      </c>
      <c r="C1941">
        <v>538539</v>
      </c>
      <c r="D1941" t="s">
        <v>366</v>
      </c>
      <c r="E1941" t="s">
        <v>386</v>
      </c>
    </row>
    <row r="1942" spans="2:5" x14ac:dyDescent="0.2">
      <c r="B1942" t="s">
        <v>3247</v>
      </c>
      <c r="C1942">
        <v>530049</v>
      </c>
      <c r="D1942" t="s">
        <v>366</v>
      </c>
      <c r="E1942" t="s">
        <v>381</v>
      </c>
    </row>
    <row r="1943" spans="2:5" x14ac:dyDescent="0.2">
      <c r="B1943" t="s">
        <v>3248</v>
      </c>
      <c r="C1943">
        <v>523062</v>
      </c>
      <c r="D1943" t="s">
        <v>366</v>
      </c>
      <c r="E1943" t="s">
        <v>383</v>
      </c>
    </row>
    <row r="1944" spans="2:5" x14ac:dyDescent="0.2">
      <c r="B1944" t="s">
        <v>3249</v>
      </c>
      <c r="C1944">
        <v>532940</v>
      </c>
      <c r="D1944" t="s">
        <v>3250</v>
      </c>
      <c r="E1944" t="s">
        <v>764</v>
      </c>
    </row>
    <row r="1945" spans="2:5" x14ac:dyDescent="0.2">
      <c r="B1945" t="s">
        <v>3251</v>
      </c>
      <c r="C1945">
        <v>506522</v>
      </c>
      <c r="D1945" t="s">
        <v>366</v>
      </c>
      <c r="E1945" t="s">
        <v>548</v>
      </c>
    </row>
    <row r="1946" spans="2:5" x14ac:dyDescent="0.2">
      <c r="B1946" t="s">
        <v>3252</v>
      </c>
      <c r="C1946">
        <v>506522</v>
      </c>
      <c r="D1946" t="s">
        <v>366</v>
      </c>
      <c r="E1946" t="s">
        <v>548</v>
      </c>
    </row>
    <row r="1947" spans="2:5" x14ac:dyDescent="0.2">
      <c r="B1947" t="s">
        <v>3253</v>
      </c>
      <c r="C1947">
        <v>530915</v>
      </c>
      <c r="D1947" t="s">
        <v>366</v>
      </c>
      <c r="E1947" t="s">
        <v>615</v>
      </c>
    </row>
    <row r="1948" spans="2:5" x14ac:dyDescent="0.2">
      <c r="B1948" t="s">
        <v>3254</v>
      </c>
      <c r="C1948">
        <v>538422</v>
      </c>
      <c r="D1948" t="s">
        <v>366</v>
      </c>
      <c r="E1948" t="s">
        <v>386</v>
      </c>
    </row>
    <row r="1949" spans="2:5" x14ac:dyDescent="0.2">
      <c r="B1949" t="s">
        <v>3255</v>
      </c>
      <c r="C1949">
        <v>530711</v>
      </c>
      <c r="D1949" t="s">
        <v>366</v>
      </c>
      <c r="E1949" t="s">
        <v>721</v>
      </c>
    </row>
    <row r="1950" spans="2:5" x14ac:dyDescent="0.2">
      <c r="B1950" t="s">
        <v>3256</v>
      </c>
      <c r="C1950">
        <v>507155</v>
      </c>
      <c r="D1950" t="s">
        <v>366</v>
      </c>
      <c r="E1950" t="s">
        <v>998</v>
      </c>
    </row>
    <row r="1951" spans="2:5" x14ac:dyDescent="0.2">
      <c r="B1951" t="s">
        <v>3257</v>
      </c>
      <c r="C1951">
        <v>532825</v>
      </c>
      <c r="D1951" t="s">
        <v>366</v>
      </c>
      <c r="E1951" t="s">
        <v>381</v>
      </c>
    </row>
    <row r="1952" spans="2:5" x14ac:dyDescent="0.2">
      <c r="B1952" t="s">
        <v>3258</v>
      </c>
      <c r="C1952">
        <v>532705</v>
      </c>
      <c r="D1952" t="s">
        <v>3259</v>
      </c>
      <c r="E1952" t="s">
        <v>890</v>
      </c>
    </row>
    <row r="1953" spans="2:5" x14ac:dyDescent="0.2">
      <c r="B1953" t="s">
        <v>3260</v>
      </c>
      <c r="C1953">
        <v>520139</v>
      </c>
      <c r="D1953" t="s">
        <v>366</v>
      </c>
      <c r="E1953" t="s">
        <v>2500</v>
      </c>
    </row>
    <row r="1954" spans="2:5" x14ac:dyDescent="0.2">
      <c r="B1954" t="s">
        <v>3261</v>
      </c>
      <c r="C1954">
        <v>530601</v>
      </c>
      <c r="D1954" t="s">
        <v>366</v>
      </c>
      <c r="E1954" t="s">
        <v>383</v>
      </c>
    </row>
    <row r="1955" spans="2:5" x14ac:dyDescent="0.2">
      <c r="B1955" t="s">
        <v>3262</v>
      </c>
      <c r="C1955">
        <v>507789</v>
      </c>
      <c r="D1955" t="s">
        <v>3263</v>
      </c>
      <c r="E1955" t="s">
        <v>404</v>
      </c>
    </row>
    <row r="1956" spans="2:5" x14ac:dyDescent="0.2">
      <c r="B1956" t="s">
        <v>3264</v>
      </c>
      <c r="C1956">
        <v>532976</v>
      </c>
      <c r="D1956" t="s">
        <v>3265</v>
      </c>
      <c r="E1956" t="s">
        <v>398</v>
      </c>
    </row>
    <row r="1957" spans="2:5" x14ac:dyDescent="0.2">
      <c r="B1957" t="s">
        <v>3266</v>
      </c>
      <c r="C1957">
        <v>512237</v>
      </c>
      <c r="D1957" t="s">
        <v>3267</v>
      </c>
      <c r="E1957" t="s">
        <v>398</v>
      </c>
    </row>
    <row r="1958" spans="2:5" x14ac:dyDescent="0.2">
      <c r="B1958" t="s">
        <v>3268</v>
      </c>
      <c r="C1958">
        <v>523467</v>
      </c>
      <c r="D1958" t="s">
        <v>366</v>
      </c>
      <c r="E1958" t="s">
        <v>894</v>
      </c>
    </row>
    <row r="1959" spans="2:5" x14ac:dyDescent="0.2">
      <c r="B1959" t="s">
        <v>3269</v>
      </c>
      <c r="C1959">
        <v>531339</v>
      </c>
      <c r="D1959" t="s">
        <v>3270</v>
      </c>
      <c r="E1959" t="s">
        <v>764</v>
      </c>
    </row>
    <row r="1960" spans="2:5" x14ac:dyDescent="0.2">
      <c r="B1960" t="s">
        <v>3271</v>
      </c>
      <c r="C1960">
        <v>514312</v>
      </c>
      <c r="D1960" t="s">
        <v>366</v>
      </c>
      <c r="E1960" t="s">
        <v>381</v>
      </c>
    </row>
    <row r="1961" spans="2:5" x14ac:dyDescent="0.2">
      <c r="B1961" t="s">
        <v>3272</v>
      </c>
      <c r="C1961">
        <v>500219</v>
      </c>
      <c r="D1961" t="s">
        <v>3273</v>
      </c>
      <c r="E1961" t="s">
        <v>486</v>
      </c>
    </row>
    <row r="1962" spans="2:5" x14ac:dyDescent="0.2">
      <c r="B1962" t="s">
        <v>3272</v>
      </c>
      <c r="C1962">
        <v>570004</v>
      </c>
      <c r="D1962" t="s">
        <v>3274</v>
      </c>
      <c r="E1962" t="s">
        <v>486</v>
      </c>
    </row>
    <row r="1963" spans="2:5" x14ac:dyDescent="0.2">
      <c r="B1963" t="s">
        <v>3275</v>
      </c>
      <c r="C1963">
        <v>539119</v>
      </c>
      <c r="D1963" t="s">
        <v>366</v>
      </c>
      <c r="E1963" t="s">
        <v>894</v>
      </c>
    </row>
    <row r="1964" spans="2:5" x14ac:dyDescent="0.2">
      <c r="B1964" t="s">
        <v>3276</v>
      </c>
      <c r="C1964">
        <v>532033</v>
      </c>
      <c r="D1964" t="s">
        <v>3277</v>
      </c>
      <c r="E1964" t="s">
        <v>1103</v>
      </c>
    </row>
    <row r="1965" spans="2:5" x14ac:dyDescent="0.2">
      <c r="B1965" t="s">
        <v>3278</v>
      </c>
      <c r="C1965">
        <v>526865</v>
      </c>
      <c r="D1965" t="s">
        <v>366</v>
      </c>
      <c r="E1965" t="s">
        <v>388</v>
      </c>
    </row>
    <row r="1966" spans="2:5" x14ac:dyDescent="0.2">
      <c r="B1966" t="s">
        <v>3279</v>
      </c>
      <c r="C1966">
        <v>526865</v>
      </c>
      <c r="D1966" t="s">
        <v>366</v>
      </c>
      <c r="E1966" t="s">
        <v>388</v>
      </c>
    </row>
    <row r="1967" spans="2:5" x14ac:dyDescent="0.2">
      <c r="B1967" t="s">
        <v>3280</v>
      </c>
      <c r="C1967">
        <v>505212</v>
      </c>
      <c r="D1967" t="s">
        <v>366</v>
      </c>
      <c r="E1967" t="s">
        <v>721</v>
      </c>
    </row>
    <row r="1968" spans="2:5" x14ac:dyDescent="0.2">
      <c r="B1968" t="s">
        <v>3281</v>
      </c>
      <c r="C1968">
        <v>505840</v>
      </c>
      <c r="D1968" t="s">
        <v>366</v>
      </c>
      <c r="E1968" t="s">
        <v>1129</v>
      </c>
    </row>
    <row r="1969" spans="2:5" x14ac:dyDescent="0.2">
      <c r="B1969" t="s">
        <v>3282</v>
      </c>
      <c r="C1969">
        <v>532532</v>
      </c>
      <c r="D1969" t="s">
        <v>3283</v>
      </c>
      <c r="E1969" t="s">
        <v>764</v>
      </c>
    </row>
    <row r="1970" spans="2:5" x14ac:dyDescent="0.2">
      <c r="B1970" t="s">
        <v>3284</v>
      </c>
      <c r="C1970">
        <v>532627</v>
      </c>
      <c r="D1970" t="s">
        <v>3285</v>
      </c>
      <c r="E1970" t="s">
        <v>505</v>
      </c>
    </row>
    <row r="1971" spans="2:5" x14ac:dyDescent="0.2">
      <c r="B1971" t="s">
        <v>3286</v>
      </c>
      <c r="C1971">
        <v>780001</v>
      </c>
      <c r="D1971" t="s">
        <v>366</v>
      </c>
      <c r="E1971" t="s">
        <v>457</v>
      </c>
    </row>
    <row r="1972" spans="2:5" x14ac:dyDescent="0.2">
      <c r="B1972" t="s">
        <v>3287</v>
      </c>
      <c r="C1972" t="s">
        <v>366</v>
      </c>
      <c r="D1972" t="s">
        <v>3288</v>
      </c>
      <c r="E1972" t="s">
        <v>377</v>
      </c>
    </row>
    <row r="1973" spans="2:5" x14ac:dyDescent="0.2">
      <c r="B1973" t="s">
        <v>3289</v>
      </c>
      <c r="C1973" t="s">
        <v>366</v>
      </c>
      <c r="D1973" t="s">
        <v>3290</v>
      </c>
      <c r="E1973" t="s">
        <v>377</v>
      </c>
    </row>
    <row r="1974" spans="2:5" x14ac:dyDescent="0.2">
      <c r="B1974" t="s">
        <v>3291</v>
      </c>
      <c r="C1974" t="s">
        <v>366</v>
      </c>
      <c r="D1974" t="s">
        <v>3290</v>
      </c>
      <c r="E1974" t="s">
        <v>377</v>
      </c>
    </row>
    <row r="1975" spans="2:5" x14ac:dyDescent="0.2">
      <c r="B1975" t="s">
        <v>3292</v>
      </c>
      <c r="C1975">
        <v>538564</v>
      </c>
      <c r="D1975" t="s">
        <v>366</v>
      </c>
      <c r="E1975" t="s">
        <v>773</v>
      </c>
    </row>
    <row r="1976" spans="2:5" x14ac:dyDescent="0.2">
      <c r="B1976" t="s">
        <v>3293</v>
      </c>
      <c r="C1976">
        <v>520051</v>
      </c>
      <c r="D1976" t="s">
        <v>3294</v>
      </c>
      <c r="E1976" t="s">
        <v>721</v>
      </c>
    </row>
    <row r="1977" spans="2:5" x14ac:dyDescent="0.2">
      <c r="B1977" t="s">
        <v>3295</v>
      </c>
      <c r="C1977">
        <v>502901</v>
      </c>
      <c r="D1977" t="s">
        <v>366</v>
      </c>
      <c r="E1977" t="s">
        <v>381</v>
      </c>
    </row>
    <row r="1978" spans="2:5" x14ac:dyDescent="0.2">
      <c r="B1978" t="s">
        <v>3296</v>
      </c>
      <c r="C1978">
        <v>500220</v>
      </c>
      <c r="D1978" t="s">
        <v>366</v>
      </c>
      <c r="E1978" t="s">
        <v>381</v>
      </c>
    </row>
    <row r="1979" spans="2:5" x14ac:dyDescent="0.2">
      <c r="B1979" t="s">
        <v>3297</v>
      </c>
      <c r="C1979">
        <v>540394</v>
      </c>
      <c r="D1979" t="s">
        <v>366</v>
      </c>
      <c r="E1979" t="s">
        <v>388</v>
      </c>
    </row>
    <row r="1980" spans="2:5" x14ac:dyDescent="0.2">
      <c r="B1980" t="s">
        <v>3298</v>
      </c>
      <c r="C1980" t="s">
        <v>366</v>
      </c>
      <c r="D1980" t="s">
        <v>3299</v>
      </c>
      <c r="E1980" t="s">
        <v>377</v>
      </c>
    </row>
    <row r="1981" spans="2:5" x14ac:dyDescent="0.2">
      <c r="B1981" t="s">
        <v>3300</v>
      </c>
      <c r="C1981">
        <v>514318</v>
      </c>
      <c r="D1981" t="s">
        <v>366</v>
      </c>
      <c r="E1981" t="s">
        <v>381</v>
      </c>
    </row>
    <row r="1982" spans="2:5" x14ac:dyDescent="0.2">
      <c r="B1982" t="s">
        <v>3301</v>
      </c>
      <c r="C1982">
        <v>526001</v>
      </c>
      <c r="D1982" t="s">
        <v>366</v>
      </c>
      <c r="E1982" t="s">
        <v>561</v>
      </c>
    </row>
    <row r="1983" spans="2:5" x14ac:dyDescent="0.2">
      <c r="B1983" t="s">
        <v>3302</v>
      </c>
      <c r="C1983">
        <v>520066</v>
      </c>
      <c r="D1983" t="s">
        <v>3303</v>
      </c>
      <c r="E1983" t="s">
        <v>721</v>
      </c>
    </row>
    <row r="1984" spans="2:5" x14ac:dyDescent="0.2">
      <c r="B1984" t="s">
        <v>3304</v>
      </c>
      <c r="C1984">
        <v>509715</v>
      </c>
      <c r="D1984" t="s">
        <v>366</v>
      </c>
      <c r="E1984" t="s">
        <v>773</v>
      </c>
    </row>
    <row r="1985" spans="2:5" x14ac:dyDescent="0.2">
      <c r="B1985" t="s">
        <v>3305</v>
      </c>
      <c r="C1985">
        <v>513252</v>
      </c>
      <c r="D1985" t="s">
        <v>366</v>
      </c>
      <c r="E1985" t="s">
        <v>721</v>
      </c>
    </row>
    <row r="1986" spans="2:5" x14ac:dyDescent="0.2">
      <c r="B1986" t="s">
        <v>3306</v>
      </c>
      <c r="C1986">
        <v>524330</v>
      </c>
      <c r="D1986" t="s">
        <v>3307</v>
      </c>
      <c r="E1986" t="s">
        <v>526</v>
      </c>
    </row>
    <row r="1987" spans="2:5" x14ac:dyDescent="0.2">
      <c r="B1987" t="s">
        <v>3308</v>
      </c>
      <c r="C1987">
        <v>522285</v>
      </c>
      <c r="D1987" t="s">
        <v>3309</v>
      </c>
      <c r="E1987" t="s">
        <v>398</v>
      </c>
    </row>
    <row r="1988" spans="2:5" x14ac:dyDescent="0.2">
      <c r="B1988" t="s">
        <v>3310</v>
      </c>
      <c r="C1988">
        <v>539005</v>
      </c>
      <c r="D1988" t="s">
        <v>366</v>
      </c>
      <c r="E1988" t="s">
        <v>787</v>
      </c>
    </row>
    <row r="1989" spans="2:5" x14ac:dyDescent="0.2">
      <c r="B1989" t="s">
        <v>3311</v>
      </c>
      <c r="C1989">
        <v>531323</v>
      </c>
      <c r="D1989" t="s">
        <v>366</v>
      </c>
      <c r="E1989" t="s">
        <v>381</v>
      </c>
    </row>
    <row r="1990" spans="2:5" x14ac:dyDescent="0.2">
      <c r="B1990" t="s">
        <v>3312</v>
      </c>
      <c r="C1990">
        <v>512233</v>
      </c>
      <c r="D1990" t="s">
        <v>366</v>
      </c>
      <c r="E1990" t="s">
        <v>381</v>
      </c>
    </row>
    <row r="1991" spans="2:5" x14ac:dyDescent="0.2">
      <c r="B1991" t="s">
        <v>3313</v>
      </c>
      <c r="C1991">
        <v>500306</v>
      </c>
      <c r="D1991" t="s">
        <v>366</v>
      </c>
      <c r="E1991" t="s">
        <v>383</v>
      </c>
    </row>
    <row r="1992" spans="2:5" x14ac:dyDescent="0.2">
      <c r="B1992" t="s">
        <v>3314</v>
      </c>
      <c r="C1992">
        <v>533207</v>
      </c>
      <c r="D1992" t="s">
        <v>3315</v>
      </c>
      <c r="E1992" t="s">
        <v>961</v>
      </c>
    </row>
    <row r="1993" spans="2:5" x14ac:dyDescent="0.2">
      <c r="B1993" t="s">
        <v>3316</v>
      </c>
      <c r="C1993">
        <v>506520</v>
      </c>
      <c r="D1993" t="s">
        <v>366</v>
      </c>
      <c r="E1993" t="s">
        <v>414</v>
      </c>
    </row>
    <row r="1994" spans="2:5" x14ac:dyDescent="0.2">
      <c r="B1994" t="s">
        <v>3317</v>
      </c>
      <c r="C1994" t="s">
        <v>366</v>
      </c>
      <c r="D1994" t="s">
        <v>3318</v>
      </c>
      <c r="E1994" t="s">
        <v>457</v>
      </c>
    </row>
    <row r="1995" spans="2:5" x14ac:dyDescent="0.2">
      <c r="B1995" t="s">
        <v>3319</v>
      </c>
      <c r="C1995">
        <v>506910</v>
      </c>
      <c r="D1995" t="s">
        <v>366</v>
      </c>
      <c r="E1995" t="s">
        <v>526</v>
      </c>
    </row>
    <row r="1996" spans="2:5" x14ac:dyDescent="0.2">
      <c r="B1996" t="s">
        <v>3320</v>
      </c>
      <c r="C1996">
        <v>506910</v>
      </c>
      <c r="D1996" t="s">
        <v>366</v>
      </c>
      <c r="E1996" t="s">
        <v>526</v>
      </c>
    </row>
    <row r="1997" spans="2:5" x14ac:dyDescent="0.2">
      <c r="B1997" t="s">
        <v>3321</v>
      </c>
      <c r="C1997">
        <v>506943</v>
      </c>
      <c r="D1997" t="s">
        <v>3322</v>
      </c>
      <c r="E1997" t="s">
        <v>404</v>
      </c>
    </row>
    <row r="1998" spans="2:5" x14ac:dyDescent="0.2">
      <c r="B1998" t="s">
        <v>3323</v>
      </c>
      <c r="C1998">
        <v>514034</v>
      </c>
      <c r="D1998" t="s">
        <v>3324</v>
      </c>
      <c r="E1998" t="s">
        <v>743</v>
      </c>
    </row>
    <row r="1999" spans="2:5" x14ac:dyDescent="0.2">
      <c r="B1999" t="s">
        <v>3325</v>
      </c>
      <c r="C1999">
        <v>532605</v>
      </c>
      <c r="D1999" t="s">
        <v>3326</v>
      </c>
      <c r="E1999" t="s">
        <v>721</v>
      </c>
    </row>
    <row r="2000" spans="2:5" x14ac:dyDescent="0.2">
      <c r="B2000" t="s">
        <v>3327</v>
      </c>
      <c r="C2000">
        <v>500223</v>
      </c>
      <c r="D2000" t="s">
        <v>366</v>
      </c>
      <c r="E2000" t="s">
        <v>381</v>
      </c>
    </row>
    <row r="2001" spans="2:5" x14ac:dyDescent="0.2">
      <c r="B2001" t="s">
        <v>3328</v>
      </c>
      <c r="C2001">
        <v>524592</v>
      </c>
      <c r="D2001" t="s">
        <v>366</v>
      </c>
      <c r="E2001" t="s">
        <v>526</v>
      </c>
    </row>
    <row r="2002" spans="2:5" x14ac:dyDescent="0.2">
      <c r="B2002" t="s">
        <v>3329</v>
      </c>
      <c r="C2002">
        <v>538837</v>
      </c>
      <c r="D2002" t="s">
        <v>366</v>
      </c>
      <c r="E2002" t="s">
        <v>372</v>
      </c>
    </row>
    <row r="2003" spans="2:5" x14ac:dyDescent="0.2">
      <c r="B2003" t="s">
        <v>3330</v>
      </c>
      <c r="C2003">
        <v>524731</v>
      </c>
      <c r="D2003" t="s">
        <v>366</v>
      </c>
      <c r="E2003" t="s">
        <v>404</v>
      </c>
    </row>
    <row r="2004" spans="2:5" x14ac:dyDescent="0.2">
      <c r="B2004" t="s">
        <v>3331</v>
      </c>
      <c r="C2004">
        <v>532617</v>
      </c>
      <c r="D2004" t="s">
        <v>3332</v>
      </c>
      <c r="E2004" t="s">
        <v>2500</v>
      </c>
    </row>
    <row r="2005" spans="2:5" x14ac:dyDescent="0.2">
      <c r="B2005" t="s">
        <v>3333</v>
      </c>
      <c r="C2005">
        <v>532617</v>
      </c>
      <c r="D2005" t="s">
        <v>3332</v>
      </c>
      <c r="E2005" t="s">
        <v>2500</v>
      </c>
    </row>
    <row r="2006" spans="2:5" x14ac:dyDescent="0.2">
      <c r="B2006" t="s">
        <v>3334</v>
      </c>
      <c r="C2006" t="s">
        <v>366</v>
      </c>
      <c r="D2006" t="s">
        <v>3335</v>
      </c>
      <c r="E2006" t="s">
        <v>377</v>
      </c>
    </row>
    <row r="2007" spans="2:5" x14ac:dyDescent="0.2">
      <c r="B2007" t="s">
        <v>3336</v>
      </c>
      <c r="C2007">
        <v>538794</v>
      </c>
      <c r="D2007" t="s">
        <v>366</v>
      </c>
      <c r="E2007" t="s">
        <v>452</v>
      </c>
    </row>
    <row r="2008" spans="2:5" x14ac:dyDescent="0.2">
      <c r="B2008" t="s">
        <v>3337</v>
      </c>
      <c r="C2008" t="s">
        <v>366</v>
      </c>
      <c r="D2008" t="s">
        <v>3338</v>
      </c>
      <c r="E2008" t="s">
        <v>377</v>
      </c>
    </row>
    <row r="2009" spans="2:5" x14ac:dyDescent="0.2">
      <c r="B2009" t="s">
        <v>3339</v>
      </c>
      <c r="C2009">
        <v>517063</v>
      </c>
      <c r="D2009" t="s">
        <v>366</v>
      </c>
      <c r="E2009" t="s">
        <v>851</v>
      </c>
    </row>
    <row r="2010" spans="2:5" x14ac:dyDescent="0.2">
      <c r="B2010" t="s">
        <v>3340</v>
      </c>
      <c r="C2010">
        <v>540850</v>
      </c>
      <c r="D2010" t="s">
        <v>366</v>
      </c>
      <c r="E2010" t="s">
        <v>426</v>
      </c>
    </row>
    <row r="2011" spans="2:5" x14ac:dyDescent="0.2">
      <c r="B2011" t="s">
        <v>3341</v>
      </c>
      <c r="C2011">
        <v>531550</v>
      </c>
      <c r="D2011" t="s">
        <v>366</v>
      </c>
      <c r="E2011" t="s">
        <v>349</v>
      </c>
    </row>
    <row r="2012" spans="2:5" x14ac:dyDescent="0.2">
      <c r="B2012" t="s">
        <v>3342</v>
      </c>
      <c r="C2012">
        <v>532771</v>
      </c>
      <c r="D2012" t="s">
        <v>3343</v>
      </c>
      <c r="E2012" t="s">
        <v>548</v>
      </c>
    </row>
    <row r="2013" spans="2:5" x14ac:dyDescent="0.2">
      <c r="B2013" t="s">
        <v>3344</v>
      </c>
      <c r="C2013">
        <v>540651</v>
      </c>
      <c r="D2013" t="s">
        <v>366</v>
      </c>
      <c r="E2013" t="s">
        <v>664</v>
      </c>
    </row>
    <row r="2014" spans="2:5" x14ac:dyDescent="0.2">
      <c r="B2014" t="s">
        <v>3345</v>
      </c>
      <c r="C2014">
        <v>780019</v>
      </c>
      <c r="D2014" t="s">
        <v>366</v>
      </c>
      <c r="E2014" t="s">
        <v>457</v>
      </c>
    </row>
    <row r="2015" spans="2:5" x14ac:dyDescent="0.2">
      <c r="B2015" t="s">
        <v>3346</v>
      </c>
      <c r="C2015">
        <v>511618</v>
      </c>
      <c r="D2015" t="s">
        <v>3347</v>
      </c>
      <c r="E2015" t="s">
        <v>388</v>
      </c>
    </row>
    <row r="2016" spans="2:5" x14ac:dyDescent="0.2">
      <c r="B2016" t="s">
        <v>3348</v>
      </c>
      <c r="C2016">
        <v>542653</v>
      </c>
      <c r="D2016" t="s">
        <v>3349</v>
      </c>
      <c r="E2016" t="s">
        <v>922</v>
      </c>
    </row>
    <row r="2017" spans="2:5" x14ac:dyDescent="0.2">
      <c r="B2017" t="s">
        <v>3350</v>
      </c>
      <c r="C2017">
        <v>530405</v>
      </c>
      <c r="D2017" t="s">
        <v>366</v>
      </c>
      <c r="E2017" t="s">
        <v>349</v>
      </c>
    </row>
    <row r="2018" spans="2:5" x14ac:dyDescent="0.2">
      <c r="B2018" t="s">
        <v>3351</v>
      </c>
      <c r="C2018">
        <v>533103</v>
      </c>
      <c r="D2018" t="s">
        <v>3352</v>
      </c>
      <c r="E2018" t="s">
        <v>381</v>
      </c>
    </row>
    <row r="2019" spans="2:5" x14ac:dyDescent="0.2">
      <c r="B2019" t="s">
        <v>3353</v>
      </c>
      <c r="C2019">
        <v>511034</v>
      </c>
      <c r="D2019" t="s">
        <v>3354</v>
      </c>
      <c r="E2019" t="s">
        <v>429</v>
      </c>
    </row>
    <row r="2020" spans="2:5" x14ac:dyDescent="0.2">
      <c r="B2020" t="s">
        <v>3355</v>
      </c>
      <c r="C2020">
        <v>507981</v>
      </c>
      <c r="D2020" t="s">
        <v>366</v>
      </c>
      <c r="E2020" t="s">
        <v>567</v>
      </c>
    </row>
    <row r="2021" spans="2:5" x14ac:dyDescent="0.2">
      <c r="B2021" t="s">
        <v>3356</v>
      </c>
      <c r="C2021">
        <v>539947</v>
      </c>
      <c r="D2021" t="s">
        <v>366</v>
      </c>
      <c r="E2021" t="s">
        <v>386</v>
      </c>
    </row>
    <row r="2022" spans="2:5" x14ac:dyDescent="0.2">
      <c r="B2022" t="s">
        <v>3357</v>
      </c>
      <c r="C2022">
        <v>532624</v>
      </c>
      <c r="D2022" t="s">
        <v>3358</v>
      </c>
      <c r="E2022" t="s">
        <v>1602</v>
      </c>
    </row>
    <row r="2023" spans="2:5" x14ac:dyDescent="0.2">
      <c r="B2023" t="s">
        <v>3359</v>
      </c>
      <c r="C2023">
        <v>500227</v>
      </c>
      <c r="D2023" t="s">
        <v>3360</v>
      </c>
      <c r="E2023" t="s">
        <v>414</v>
      </c>
    </row>
    <row r="2024" spans="2:5" x14ac:dyDescent="0.2">
      <c r="B2024" t="s">
        <v>3361</v>
      </c>
      <c r="C2024">
        <v>536773</v>
      </c>
      <c r="D2024" t="s">
        <v>3362</v>
      </c>
      <c r="E2024" t="s">
        <v>349</v>
      </c>
    </row>
    <row r="2025" spans="2:5" x14ac:dyDescent="0.2">
      <c r="B2025" t="s">
        <v>3363</v>
      </c>
      <c r="C2025">
        <v>500378</v>
      </c>
      <c r="D2025" t="s">
        <v>3364</v>
      </c>
      <c r="E2025" t="s">
        <v>764</v>
      </c>
    </row>
    <row r="2026" spans="2:5" x14ac:dyDescent="0.2">
      <c r="B2026" t="s">
        <v>3365</v>
      </c>
      <c r="C2026">
        <v>539597</v>
      </c>
      <c r="D2026" t="s">
        <v>3366</v>
      </c>
      <c r="E2026" t="s">
        <v>689</v>
      </c>
    </row>
    <row r="2027" spans="2:5" x14ac:dyDescent="0.2">
      <c r="B2027" t="s">
        <v>3367</v>
      </c>
      <c r="C2027">
        <v>532508</v>
      </c>
      <c r="D2027" t="s">
        <v>3368</v>
      </c>
      <c r="E2027" t="s">
        <v>398</v>
      </c>
    </row>
    <row r="2028" spans="2:5" x14ac:dyDescent="0.2">
      <c r="B2028" t="s">
        <v>3369</v>
      </c>
      <c r="C2028">
        <v>532286</v>
      </c>
      <c r="D2028" t="s">
        <v>3370</v>
      </c>
      <c r="E2028" t="s">
        <v>398</v>
      </c>
    </row>
    <row r="2029" spans="2:5" x14ac:dyDescent="0.2">
      <c r="B2029" t="s">
        <v>3371</v>
      </c>
      <c r="C2029">
        <v>531543</v>
      </c>
      <c r="D2029" t="s">
        <v>3372</v>
      </c>
      <c r="E2029" t="s">
        <v>381</v>
      </c>
    </row>
    <row r="2030" spans="2:5" x14ac:dyDescent="0.2">
      <c r="B2030" t="s">
        <v>3373</v>
      </c>
      <c r="C2030">
        <v>540311</v>
      </c>
      <c r="D2030" t="s">
        <v>3374</v>
      </c>
      <c r="E2030" t="s">
        <v>489</v>
      </c>
    </row>
    <row r="2031" spans="2:5" x14ac:dyDescent="0.2">
      <c r="B2031" t="s">
        <v>3375</v>
      </c>
      <c r="C2031">
        <v>539225</v>
      </c>
      <c r="D2031" t="s">
        <v>366</v>
      </c>
      <c r="E2031" t="s">
        <v>391</v>
      </c>
    </row>
    <row r="2032" spans="2:5" x14ac:dyDescent="0.2">
      <c r="B2032" t="s">
        <v>3376</v>
      </c>
      <c r="C2032">
        <v>536493</v>
      </c>
      <c r="D2032" t="s">
        <v>366</v>
      </c>
      <c r="E2032" t="s">
        <v>564</v>
      </c>
    </row>
    <row r="2033" spans="2:5" x14ac:dyDescent="0.2">
      <c r="B2033" t="s">
        <v>3377</v>
      </c>
      <c r="C2033">
        <v>532644</v>
      </c>
      <c r="D2033" t="s">
        <v>3378</v>
      </c>
      <c r="E2033" t="s">
        <v>379</v>
      </c>
    </row>
    <row r="2034" spans="2:5" x14ac:dyDescent="0.2">
      <c r="B2034" t="s">
        <v>3379</v>
      </c>
      <c r="C2034">
        <v>500380</v>
      </c>
      <c r="D2034" t="s">
        <v>3380</v>
      </c>
      <c r="E2034" t="s">
        <v>379</v>
      </c>
    </row>
    <row r="2035" spans="2:5" x14ac:dyDescent="0.2">
      <c r="B2035" t="s">
        <v>3381</v>
      </c>
      <c r="C2035">
        <v>532162</v>
      </c>
      <c r="D2035" t="s">
        <v>3382</v>
      </c>
      <c r="E2035" t="s">
        <v>360</v>
      </c>
    </row>
    <row r="2036" spans="2:5" x14ac:dyDescent="0.2">
      <c r="B2036" t="s">
        <v>3383</v>
      </c>
      <c r="C2036">
        <v>530007</v>
      </c>
      <c r="D2036" t="s">
        <v>3384</v>
      </c>
      <c r="E2036" t="s">
        <v>846</v>
      </c>
    </row>
    <row r="2037" spans="2:5" x14ac:dyDescent="0.2">
      <c r="B2037" t="s">
        <v>3385</v>
      </c>
      <c r="C2037">
        <v>538765</v>
      </c>
      <c r="D2037" t="s">
        <v>366</v>
      </c>
      <c r="E2037" t="s">
        <v>3120</v>
      </c>
    </row>
    <row r="2038" spans="2:5" x14ac:dyDescent="0.2">
      <c r="B2038" t="s">
        <v>3386</v>
      </c>
      <c r="C2038">
        <v>523405</v>
      </c>
      <c r="D2038" t="s">
        <v>3387</v>
      </c>
      <c r="E2038" t="s">
        <v>532</v>
      </c>
    </row>
    <row r="2039" spans="2:5" x14ac:dyDescent="0.2">
      <c r="B2039" t="s">
        <v>3388</v>
      </c>
      <c r="C2039">
        <v>522263</v>
      </c>
      <c r="D2039" t="s">
        <v>3389</v>
      </c>
      <c r="E2039" t="s">
        <v>764</v>
      </c>
    </row>
    <row r="2040" spans="2:5" x14ac:dyDescent="0.2">
      <c r="B2040" t="s">
        <v>3390</v>
      </c>
      <c r="C2040">
        <v>522263</v>
      </c>
      <c r="D2040" t="s">
        <v>3389</v>
      </c>
      <c r="E2040" t="s">
        <v>764</v>
      </c>
    </row>
    <row r="2041" spans="2:5" x14ac:dyDescent="0.2">
      <c r="B2041" t="s">
        <v>3391</v>
      </c>
      <c r="C2041">
        <v>511092</v>
      </c>
      <c r="D2041" t="s">
        <v>366</v>
      </c>
      <c r="E2041" t="s">
        <v>369</v>
      </c>
    </row>
    <row r="2042" spans="2:5" x14ac:dyDescent="0.2">
      <c r="B2042" t="s">
        <v>3392</v>
      </c>
      <c r="C2042">
        <v>523712</v>
      </c>
      <c r="D2042" t="s">
        <v>366</v>
      </c>
      <c r="E2042" t="s">
        <v>486</v>
      </c>
    </row>
    <row r="2043" spans="2:5" x14ac:dyDescent="0.2">
      <c r="B2043" t="s">
        <v>3393</v>
      </c>
      <c r="C2043">
        <v>513691</v>
      </c>
      <c r="D2043" t="s">
        <v>3394</v>
      </c>
      <c r="E2043" t="s">
        <v>721</v>
      </c>
    </row>
    <row r="2044" spans="2:5" x14ac:dyDescent="0.2">
      <c r="B2044" t="s">
        <v>3395</v>
      </c>
      <c r="C2044" t="s">
        <v>366</v>
      </c>
      <c r="D2044" t="s">
        <v>3396</v>
      </c>
      <c r="E2044" t="s">
        <v>457</v>
      </c>
    </row>
    <row r="2045" spans="2:5" x14ac:dyDescent="0.2">
      <c r="B2045" t="s">
        <v>3397</v>
      </c>
      <c r="C2045">
        <v>523398</v>
      </c>
      <c r="D2045" t="s">
        <v>3398</v>
      </c>
      <c r="E2045" t="s">
        <v>735</v>
      </c>
    </row>
    <row r="2046" spans="2:5" x14ac:dyDescent="0.2">
      <c r="B2046" t="s">
        <v>3399</v>
      </c>
      <c r="C2046">
        <v>523398</v>
      </c>
      <c r="D2046" t="s">
        <v>3398</v>
      </c>
      <c r="E2046" t="s">
        <v>735</v>
      </c>
    </row>
    <row r="2047" spans="2:5" x14ac:dyDescent="0.2">
      <c r="B2047" t="s">
        <v>3400</v>
      </c>
      <c r="C2047">
        <v>531861</v>
      </c>
      <c r="D2047" t="s">
        <v>366</v>
      </c>
      <c r="E2047" t="s">
        <v>349</v>
      </c>
    </row>
    <row r="2048" spans="2:5" x14ac:dyDescent="0.2">
      <c r="B2048" t="s">
        <v>3401</v>
      </c>
      <c r="C2048">
        <v>534659</v>
      </c>
      <c r="D2048" t="s">
        <v>366</v>
      </c>
      <c r="E2048" t="s">
        <v>352</v>
      </c>
    </row>
    <row r="2049" spans="2:5" x14ac:dyDescent="0.2">
      <c r="B2049" t="s">
        <v>3402</v>
      </c>
      <c r="C2049">
        <v>542446</v>
      </c>
      <c r="D2049" t="s">
        <v>3403</v>
      </c>
      <c r="E2049" t="s">
        <v>450</v>
      </c>
    </row>
    <row r="2050" spans="2:5" x14ac:dyDescent="0.2">
      <c r="B2050" t="s">
        <v>3404</v>
      </c>
      <c r="C2050">
        <v>538092</v>
      </c>
      <c r="D2050" t="s">
        <v>366</v>
      </c>
      <c r="E2050" t="s">
        <v>773</v>
      </c>
    </row>
    <row r="2051" spans="2:5" x14ac:dyDescent="0.2">
      <c r="B2051" t="s">
        <v>3405</v>
      </c>
      <c r="C2051">
        <v>505750</v>
      </c>
      <c r="D2051" t="s">
        <v>366</v>
      </c>
      <c r="E2051" t="s">
        <v>374</v>
      </c>
    </row>
    <row r="2052" spans="2:5" x14ac:dyDescent="0.2">
      <c r="B2052" t="s">
        <v>3406</v>
      </c>
      <c r="C2052">
        <v>508929</v>
      </c>
      <c r="D2052" t="s">
        <v>366</v>
      </c>
      <c r="E2052" t="s">
        <v>452</v>
      </c>
    </row>
    <row r="2053" spans="2:5" x14ac:dyDescent="0.2">
      <c r="B2053" t="s">
        <v>3407</v>
      </c>
      <c r="C2053">
        <v>530985</v>
      </c>
      <c r="D2053" t="s">
        <v>366</v>
      </c>
      <c r="E2053" t="s">
        <v>383</v>
      </c>
    </row>
    <row r="2054" spans="2:5" x14ac:dyDescent="0.2">
      <c r="B2054" t="s">
        <v>3408</v>
      </c>
      <c r="C2054">
        <v>506016</v>
      </c>
      <c r="D2054" t="s">
        <v>366</v>
      </c>
      <c r="E2054" t="s">
        <v>764</v>
      </c>
    </row>
    <row r="2055" spans="2:5" x14ac:dyDescent="0.2">
      <c r="B2055" t="s">
        <v>3409</v>
      </c>
      <c r="C2055">
        <v>504080</v>
      </c>
      <c r="D2055" t="s">
        <v>366</v>
      </c>
      <c r="E2055" t="s">
        <v>664</v>
      </c>
    </row>
    <row r="2056" spans="2:5" x14ac:dyDescent="0.2">
      <c r="B2056" t="s">
        <v>3410</v>
      </c>
      <c r="C2056">
        <v>533148</v>
      </c>
      <c r="D2056" t="s">
        <v>3411</v>
      </c>
      <c r="E2056" t="s">
        <v>505</v>
      </c>
    </row>
    <row r="2057" spans="2:5" x14ac:dyDescent="0.2">
      <c r="B2057" t="s">
        <v>3412</v>
      </c>
      <c r="C2057">
        <v>532642</v>
      </c>
      <c r="D2057" t="s">
        <v>3413</v>
      </c>
      <c r="E2057" t="s">
        <v>532</v>
      </c>
    </row>
    <row r="2058" spans="2:5" x14ac:dyDescent="0.2">
      <c r="B2058" t="s">
        <v>3414</v>
      </c>
      <c r="C2058">
        <v>500228</v>
      </c>
      <c r="D2058" t="s">
        <v>3415</v>
      </c>
      <c r="E2058" t="s">
        <v>398</v>
      </c>
    </row>
    <row r="2059" spans="2:5" x14ac:dyDescent="0.2">
      <c r="B2059" t="s">
        <v>3416</v>
      </c>
      <c r="C2059">
        <v>520057</v>
      </c>
      <c r="D2059" t="s">
        <v>3417</v>
      </c>
      <c r="E2059" t="s">
        <v>721</v>
      </c>
    </row>
    <row r="2060" spans="2:5" x14ac:dyDescent="0.2">
      <c r="B2060" t="s">
        <v>3418</v>
      </c>
      <c r="C2060">
        <v>520057</v>
      </c>
      <c r="D2060" t="s">
        <v>3419</v>
      </c>
      <c r="E2060" t="s">
        <v>721</v>
      </c>
    </row>
    <row r="2061" spans="2:5" x14ac:dyDescent="0.2">
      <c r="B2061" t="s">
        <v>3420</v>
      </c>
      <c r="C2061">
        <v>534600</v>
      </c>
      <c r="D2061" t="s">
        <v>366</v>
      </c>
      <c r="E2061" t="s">
        <v>689</v>
      </c>
    </row>
    <row r="2062" spans="2:5" x14ac:dyDescent="0.2">
      <c r="B2062" t="s">
        <v>3421</v>
      </c>
      <c r="C2062">
        <v>533155</v>
      </c>
      <c r="D2062" t="s">
        <v>3422</v>
      </c>
      <c r="E2062" t="s">
        <v>855</v>
      </c>
    </row>
    <row r="2063" spans="2:5" x14ac:dyDescent="0.2">
      <c r="B2063" t="s">
        <v>3423</v>
      </c>
      <c r="C2063">
        <v>533320</v>
      </c>
      <c r="D2063" t="s">
        <v>3424</v>
      </c>
      <c r="E2063" t="s">
        <v>510</v>
      </c>
    </row>
    <row r="2064" spans="2:5" x14ac:dyDescent="0.2">
      <c r="B2064" t="s">
        <v>3425</v>
      </c>
      <c r="C2064">
        <v>530019</v>
      </c>
      <c r="D2064" t="s">
        <v>3426</v>
      </c>
      <c r="E2064" t="s">
        <v>404</v>
      </c>
    </row>
    <row r="2065" spans="2:5" x14ac:dyDescent="0.2">
      <c r="B2065" t="s">
        <v>3427</v>
      </c>
      <c r="C2065" t="s">
        <v>366</v>
      </c>
      <c r="D2065" t="s">
        <v>3428</v>
      </c>
      <c r="E2065" t="s">
        <v>457</v>
      </c>
    </row>
    <row r="2066" spans="2:5" x14ac:dyDescent="0.2">
      <c r="B2066" t="s">
        <v>3429</v>
      </c>
      <c r="C2066">
        <v>516078</v>
      </c>
      <c r="D2066" t="s">
        <v>366</v>
      </c>
      <c r="E2066" t="s">
        <v>561</v>
      </c>
    </row>
    <row r="2067" spans="2:5" x14ac:dyDescent="0.2">
      <c r="B2067" t="s">
        <v>3430</v>
      </c>
      <c r="C2067">
        <v>511060</v>
      </c>
      <c r="D2067" t="s">
        <v>366</v>
      </c>
      <c r="E2067" t="s">
        <v>787</v>
      </c>
    </row>
    <row r="2068" spans="2:5" x14ac:dyDescent="0.2">
      <c r="B2068" t="s">
        <v>3431</v>
      </c>
      <c r="C2068">
        <v>539216</v>
      </c>
      <c r="D2068" t="s">
        <v>366</v>
      </c>
      <c r="E2068" t="s">
        <v>381</v>
      </c>
    </row>
    <row r="2069" spans="2:5" x14ac:dyDescent="0.2">
      <c r="B2069" t="s">
        <v>3432</v>
      </c>
      <c r="C2069">
        <v>507987</v>
      </c>
      <c r="D2069" t="s">
        <v>366</v>
      </c>
      <c r="E2069" t="s">
        <v>383</v>
      </c>
    </row>
    <row r="2070" spans="2:5" x14ac:dyDescent="0.2">
      <c r="B2070" t="s">
        <v>3433</v>
      </c>
      <c r="C2070">
        <v>534623</v>
      </c>
      <c r="D2070" t="s">
        <v>366</v>
      </c>
      <c r="E2070" t="s">
        <v>3120</v>
      </c>
    </row>
    <row r="2071" spans="2:5" x14ac:dyDescent="0.2">
      <c r="B2071" t="s">
        <v>3434</v>
      </c>
      <c r="C2071">
        <v>535648</v>
      </c>
      <c r="D2071" t="s">
        <v>3435</v>
      </c>
      <c r="E2071" t="s">
        <v>890</v>
      </c>
    </row>
    <row r="2072" spans="2:5" x14ac:dyDescent="0.2">
      <c r="B2072" t="s">
        <v>3436</v>
      </c>
      <c r="C2072">
        <v>531035</v>
      </c>
      <c r="D2072" t="s">
        <v>366</v>
      </c>
      <c r="E2072" t="s">
        <v>1024</v>
      </c>
    </row>
    <row r="2073" spans="2:5" x14ac:dyDescent="0.2">
      <c r="B2073" t="s">
        <v>3437</v>
      </c>
      <c r="C2073">
        <v>519248</v>
      </c>
      <c r="D2073" t="s">
        <v>3438</v>
      </c>
      <c r="E2073" t="s">
        <v>615</v>
      </c>
    </row>
    <row r="2074" spans="2:5" x14ac:dyDescent="0.2">
      <c r="B2074" t="s">
        <v>3439</v>
      </c>
      <c r="C2074">
        <v>542544</v>
      </c>
      <c r="D2074" t="s">
        <v>3440</v>
      </c>
      <c r="E2074" t="s">
        <v>349</v>
      </c>
    </row>
    <row r="2075" spans="2:5" x14ac:dyDescent="0.2">
      <c r="B2075" t="s">
        <v>3441</v>
      </c>
      <c r="C2075">
        <v>532926</v>
      </c>
      <c r="D2075" t="s">
        <v>3442</v>
      </c>
      <c r="E2075" t="s">
        <v>2181</v>
      </c>
    </row>
    <row r="2076" spans="2:5" x14ac:dyDescent="0.2">
      <c r="B2076" t="s">
        <v>3443</v>
      </c>
      <c r="C2076">
        <v>504076</v>
      </c>
      <c r="D2076" t="s">
        <v>366</v>
      </c>
      <c r="E2076" t="s">
        <v>409</v>
      </c>
    </row>
    <row r="2077" spans="2:5" x14ac:dyDescent="0.2">
      <c r="B2077" t="s">
        <v>3444</v>
      </c>
      <c r="C2077">
        <v>514448</v>
      </c>
      <c r="D2077" t="s">
        <v>366</v>
      </c>
      <c r="E2077" t="s">
        <v>526</v>
      </c>
    </row>
    <row r="2078" spans="2:5" x14ac:dyDescent="0.2">
      <c r="B2078" t="s">
        <v>3445</v>
      </c>
      <c r="C2078">
        <v>513250</v>
      </c>
      <c r="D2078" t="s">
        <v>3446</v>
      </c>
      <c r="E2078" t="s">
        <v>409</v>
      </c>
    </row>
    <row r="2079" spans="2:5" x14ac:dyDescent="0.2">
      <c r="B2079" t="s">
        <v>3447</v>
      </c>
      <c r="C2079">
        <v>539246</v>
      </c>
      <c r="D2079" t="s">
        <v>366</v>
      </c>
      <c r="E2079" t="s">
        <v>388</v>
      </c>
    </row>
    <row r="2080" spans="2:5" x14ac:dyDescent="0.2">
      <c r="B2080" t="s">
        <v>3448</v>
      </c>
      <c r="C2080">
        <v>532673</v>
      </c>
      <c r="D2080" t="s">
        <v>3449</v>
      </c>
      <c r="E2080" t="s">
        <v>1065</v>
      </c>
    </row>
    <row r="2081" spans="2:5" x14ac:dyDescent="0.2">
      <c r="B2081" t="s">
        <v>3450</v>
      </c>
      <c r="C2081">
        <v>539686</v>
      </c>
      <c r="D2081" t="s">
        <v>366</v>
      </c>
      <c r="E2081" t="s">
        <v>505</v>
      </c>
    </row>
    <row r="2082" spans="2:5" x14ac:dyDescent="0.2">
      <c r="B2082" t="s">
        <v>3451</v>
      </c>
      <c r="C2082">
        <v>532889</v>
      </c>
      <c r="D2082" t="s">
        <v>3452</v>
      </c>
      <c r="E2082" t="s">
        <v>381</v>
      </c>
    </row>
    <row r="2083" spans="2:5" x14ac:dyDescent="0.2">
      <c r="B2083" t="s">
        <v>3453</v>
      </c>
      <c r="C2083">
        <v>511728</v>
      </c>
      <c r="D2083" t="s">
        <v>366</v>
      </c>
      <c r="E2083" t="s">
        <v>383</v>
      </c>
    </row>
    <row r="2084" spans="2:5" x14ac:dyDescent="0.2">
      <c r="B2084" t="s">
        <v>3454</v>
      </c>
      <c r="C2084">
        <v>514360</v>
      </c>
      <c r="D2084" t="s">
        <v>366</v>
      </c>
      <c r="E2084" t="s">
        <v>764</v>
      </c>
    </row>
    <row r="2085" spans="2:5" x14ac:dyDescent="0.2">
      <c r="B2085" t="s">
        <v>3455</v>
      </c>
      <c r="C2085">
        <v>542323</v>
      </c>
      <c r="D2085" t="s">
        <v>3456</v>
      </c>
      <c r="E2085" t="s">
        <v>505</v>
      </c>
    </row>
    <row r="2086" spans="2:5" x14ac:dyDescent="0.2">
      <c r="B2086" t="s">
        <v>3457</v>
      </c>
      <c r="C2086">
        <v>540756</v>
      </c>
      <c r="D2086" t="s">
        <v>366</v>
      </c>
      <c r="E2086" t="s">
        <v>3141</v>
      </c>
    </row>
    <row r="2087" spans="2:5" x14ac:dyDescent="0.2">
      <c r="B2087" t="s">
        <v>3458</v>
      </c>
      <c r="C2087">
        <v>539393</v>
      </c>
      <c r="D2087" t="s">
        <v>366</v>
      </c>
      <c r="E2087" t="s">
        <v>1044</v>
      </c>
    </row>
    <row r="2088" spans="2:5" x14ac:dyDescent="0.2">
      <c r="B2088" t="s">
        <v>3459</v>
      </c>
      <c r="C2088">
        <v>524322</v>
      </c>
      <c r="D2088" t="s">
        <v>366</v>
      </c>
      <c r="E2088" t="s">
        <v>404</v>
      </c>
    </row>
    <row r="2089" spans="2:5" x14ac:dyDescent="0.2">
      <c r="B2089" t="s">
        <v>3460</v>
      </c>
      <c r="C2089">
        <v>524109</v>
      </c>
      <c r="D2089" t="s">
        <v>3461</v>
      </c>
      <c r="E2089" t="s">
        <v>374</v>
      </c>
    </row>
    <row r="2090" spans="2:5" x14ac:dyDescent="0.2">
      <c r="B2090" t="s">
        <v>3462</v>
      </c>
      <c r="C2090">
        <v>524675</v>
      </c>
      <c r="D2090" t="s">
        <v>366</v>
      </c>
      <c r="E2090" t="s">
        <v>388</v>
      </c>
    </row>
    <row r="2091" spans="2:5" x14ac:dyDescent="0.2">
      <c r="B2091" t="s">
        <v>3463</v>
      </c>
      <c r="C2091">
        <v>531778</v>
      </c>
      <c r="D2091" t="s">
        <v>366</v>
      </c>
      <c r="E2091" t="s">
        <v>346</v>
      </c>
    </row>
    <row r="2092" spans="2:5" x14ac:dyDescent="0.2">
      <c r="B2092" t="s">
        <v>3464</v>
      </c>
      <c r="C2092">
        <v>504840</v>
      </c>
      <c r="D2092" t="s">
        <v>366</v>
      </c>
      <c r="E2092" t="s">
        <v>561</v>
      </c>
    </row>
    <row r="2093" spans="2:5" x14ac:dyDescent="0.2">
      <c r="B2093" t="s">
        <v>3465</v>
      </c>
      <c r="C2093">
        <v>531780</v>
      </c>
      <c r="D2093" t="s">
        <v>366</v>
      </c>
      <c r="E2093" t="s">
        <v>388</v>
      </c>
    </row>
    <row r="2094" spans="2:5" x14ac:dyDescent="0.2">
      <c r="B2094" t="s">
        <v>3466</v>
      </c>
      <c r="C2094">
        <v>500233</v>
      </c>
      <c r="D2094" t="s">
        <v>3467</v>
      </c>
      <c r="E2094" t="s">
        <v>643</v>
      </c>
    </row>
    <row r="2095" spans="2:5" x14ac:dyDescent="0.2">
      <c r="B2095" t="s">
        <v>3468</v>
      </c>
      <c r="C2095">
        <v>500234</v>
      </c>
      <c r="D2095" t="s">
        <v>3469</v>
      </c>
      <c r="E2095" t="s">
        <v>379</v>
      </c>
    </row>
    <row r="2096" spans="2:5" x14ac:dyDescent="0.2">
      <c r="B2096" t="s">
        <v>3470</v>
      </c>
      <c r="C2096">
        <v>521054</v>
      </c>
      <c r="D2096" t="s">
        <v>366</v>
      </c>
      <c r="E2096" t="s">
        <v>381</v>
      </c>
    </row>
    <row r="2097" spans="2:5" x14ac:dyDescent="0.2">
      <c r="B2097" t="s">
        <v>3471</v>
      </c>
      <c r="C2097">
        <v>530201</v>
      </c>
      <c r="D2097" t="s">
        <v>366</v>
      </c>
      <c r="E2097" t="s">
        <v>381</v>
      </c>
    </row>
    <row r="2098" spans="2:5" x14ac:dyDescent="0.2">
      <c r="B2098" t="s">
        <v>3472</v>
      </c>
      <c r="C2098">
        <v>539014</v>
      </c>
      <c r="D2098" t="s">
        <v>366</v>
      </c>
      <c r="E2098" t="s">
        <v>388</v>
      </c>
    </row>
    <row r="2099" spans="2:5" x14ac:dyDescent="0.2">
      <c r="B2099" t="s">
        <v>3473</v>
      </c>
      <c r="C2099">
        <v>522287</v>
      </c>
      <c r="D2099" t="s">
        <v>3474</v>
      </c>
      <c r="E2099" t="s">
        <v>409</v>
      </c>
    </row>
    <row r="2100" spans="2:5" x14ac:dyDescent="0.2">
      <c r="B2100" t="s">
        <v>3475</v>
      </c>
      <c r="C2100" t="s">
        <v>366</v>
      </c>
      <c r="D2100" t="s">
        <v>3476</v>
      </c>
      <c r="E2100" t="s">
        <v>457</v>
      </c>
    </row>
    <row r="2101" spans="2:5" x14ac:dyDescent="0.2">
      <c r="B2101" t="s">
        <v>3477</v>
      </c>
      <c r="C2101">
        <v>513509</v>
      </c>
      <c r="D2101" t="s">
        <v>3478</v>
      </c>
      <c r="E2101" t="s">
        <v>721</v>
      </c>
    </row>
    <row r="2102" spans="2:5" x14ac:dyDescent="0.2">
      <c r="B2102" t="s">
        <v>3479</v>
      </c>
      <c r="C2102">
        <v>533302</v>
      </c>
      <c r="D2102" t="s">
        <v>3480</v>
      </c>
      <c r="E2102" t="s">
        <v>386</v>
      </c>
    </row>
    <row r="2103" spans="2:5" x14ac:dyDescent="0.2">
      <c r="B2103" t="s">
        <v>3481</v>
      </c>
      <c r="C2103">
        <v>500235</v>
      </c>
      <c r="D2103" t="s">
        <v>3482</v>
      </c>
      <c r="E2103" t="s">
        <v>398</v>
      </c>
    </row>
    <row r="2104" spans="2:5" x14ac:dyDescent="0.2">
      <c r="B2104" t="s">
        <v>3483</v>
      </c>
      <c r="C2104">
        <v>532468</v>
      </c>
      <c r="D2104" t="s">
        <v>366</v>
      </c>
      <c r="E2104" t="s">
        <v>532</v>
      </c>
    </row>
    <row r="2105" spans="2:5" x14ac:dyDescent="0.2">
      <c r="B2105" t="s">
        <v>3484</v>
      </c>
      <c r="C2105">
        <v>514322</v>
      </c>
      <c r="D2105" t="s">
        <v>366</v>
      </c>
      <c r="E2105" t="s">
        <v>381</v>
      </c>
    </row>
    <row r="2106" spans="2:5" x14ac:dyDescent="0.2">
      <c r="B2106" t="s">
        <v>3485</v>
      </c>
      <c r="C2106">
        <v>511131</v>
      </c>
      <c r="D2106" t="s">
        <v>366</v>
      </c>
      <c r="E2106" t="s">
        <v>452</v>
      </c>
    </row>
    <row r="2107" spans="2:5" x14ac:dyDescent="0.2">
      <c r="B2107" t="s">
        <v>3486</v>
      </c>
      <c r="C2107">
        <v>526668</v>
      </c>
      <c r="D2107" t="s">
        <v>3487</v>
      </c>
      <c r="E2107" t="s">
        <v>567</v>
      </c>
    </row>
    <row r="2108" spans="2:5" x14ac:dyDescent="0.2">
      <c r="B2108" t="s">
        <v>3488</v>
      </c>
      <c r="C2108">
        <v>532741</v>
      </c>
      <c r="D2108" t="s">
        <v>3489</v>
      </c>
      <c r="E2108" t="s">
        <v>398</v>
      </c>
    </row>
    <row r="2109" spans="2:5" x14ac:dyDescent="0.2">
      <c r="B2109" t="s">
        <v>3490</v>
      </c>
      <c r="C2109">
        <v>524604</v>
      </c>
      <c r="D2109" t="s">
        <v>366</v>
      </c>
      <c r="E2109" t="s">
        <v>404</v>
      </c>
    </row>
    <row r="2110" spans="2:5" x14ac:dyDescent="0.2">
      <c r="B2110" t="s">
        <v>3491</v>
      </c>
      <c r="C2110">
        <v>780003</v>
      </c>
      <c r="D2110" t="s">
        <v>366</v>
      </c>
      <c r="E2110" t="s">
        <v>457</v>
      </c>
    </row>
    <row r="2111" spans="2:5" x14ac:dyDescent="0.2">
      <c r="B2111" t="s">
        <v>3492</v>
      </c>
      <c r="C2111">
        <v>506184</v>
      </c>
      <c r="D2111" t="s">
        <v>3493</v>
      </c>
      <c r="E2111" t="s">
        <v>480</v>
      </c>
    </row>
    <row r="2112" spans="2:5" x14ac:dyDescent="0.2">
      <c r="B2112" t="s">
        <v>3494</v>
      </c>
      <c r="C2112">
        <v>538896</v>
      </c>
      <c r="D2112" t="s">
        <v>366</v>
      </c>
      <c r="E2112" t="s">
        <v>414</v>
      </c>
    </row>
    <row r="2113" spans="2:5" x14ac:dyDescent="0.2">
      <c r="B2113" t="s">
        <v>3495</v>
      </c>
      <c r="C2113">
        <v>541005</v>
      </c>
      <c r="D2113" t="s">
        <v>366</v>
      </c>
      <c r="E2113" t="s">
        <v>773</v>
      </c>
    </row>
    <row r="2114" spans="2:5" x14ac:dyDescent="0.2">
      <c r="B2114" t="s">
        <v>3496</v>
      </c>
      <c r="C2114">
        <v>521242</v>
      </c>
      <c r="D2114" t="s">
        <v>366</v>
      </c>
      <c r="E2114" t="s">
        <v>381</v>
      </c>
    </row>
    <row r="2115" spans="2:5" x14ac:dyDescent="0.2">
      <c r="B2115" t="s">
        <v>3497</v>
      </c>
      <c r="C2115">
        <v>500236</v>
      </c>
      <c r="D2115" t="s">
        <v>3498</v>
      </c>
      <c r="E2115" t="s">
        <v>732</v>
      </c>
    </row>
    <row r="2116" spans="2:5" x14ac:dyDescent="0.2">
      <c r="B2116" t="s">
        <v>3499</v>
      </c>
      <c r="C2116">
        <v>513456</v>
      </c>
      <c r="D2116" t="s">
        <v>366</v>
      </c>
      <c r="E2116" t="s">
        <v>689</v>
      </c>
    </row>
    <row r="2117" spans="2:5" x14ac:dyDescent="0.2">
      <c r="B2117" t="s">
        <v>3500</v>
      </c>
      <c r="C2117">
        <v>506525</v>
      </c>
      <c r="D2117" t="s">
        <v>3501</v>
      </c>
      <c r="E2117" t="s">
        <v>414</v>
      </c>
    </row>
    <row r="2118" spans="2:5" x14ac:dyDescent="0.2">
      <c r="B2118" t="s">
        <v>3502</v>
      </c>
      <c r="C2118">
        <v>507779</v>
      </c>
      <c r="D2118" t="s">
        <v>366</v>
      </c>
      <c r="E2118" t="s">
        <v>561</v>
      </c>
    </row>
    <row r="2119" spans="2:5" x14ac:dyDescent="0.2">
      <c r="B2119" t="s">
        <v>3503</v>
      </c>
      <c r="C2119">
        <v>500165</v>
      </c>
      <c r="D2119" t="s">
        <v>3504</v>
      </c>
      <c r="E2119" t="s">
        <v>643</v>
      </c>
    </row>
    <row r="2120" spans="2:5" x14ac:dyDescent="0.2">
      <c r="B2120" t="s">
        <v>3505</v>
      </c>
      <c r="C2120">
        <v>540515</v>
      </c>
      <c r="D2120" t="s">
        <v>366</v>
      </c>
      <c r="E2120" t="s">
        <v>349</v>
      </c>
    </row>
    <row r="2121" spans="2:5" x14ac:dyDescent="0.2">
      <c r="B2121" t="s">
        <v>3506</v>
      </c>
      <c r="C2121">
        <v>512399</v>
      </c>
      <c r="D2121" t="s">
        <v>366</v>
      </c>
      <c r="E2121" t="s">
        <v>349</v>
      </c>
    </row>
    <row r="2122" spans="2:5" x14ac:dyDescent="0.2">
      <c r="B2122" t="s">
        <v>3507</v>
      </c>
      <c r="C2122">
        <v>512036</v>
      </c>
      <c r="D2122" t="s">
        <v>366</v>
      </c>
      <c r="E2122" t="s">
        <v>381</v>
      </c>
    </row>
    <row r="2123" spans="2:5" x14ac:dyDescent="0.2">
      <c r="B2123" t="s">
        <v>3508</v>
      </c>
      <c r="C2123">
        <v>539679</v>
      </c>
      <c r="D2123" t="s">
        <v>366</v>
      </c>
      <c r="E2123" t="s">
        <v>383</v>
      </c>
    </row>
    <row r="2124" spans="2:5" x14ac:dyDescent="0.2">
      <c r="B2124" t="s">
        <v>3509</v>
      </c>
      <c r="C2124" t="s">
        <v>366</v>
      </c>
      <c r="D2124" t="s">
        <v>3510</v>
      </c>
      <c r="E2124" t="s">
        <v>377</v>
      </c>
    </row>
    <row r="2125" spans="2:5" x14ac:dyDescent="0.2">
      <c r="B2125" t="s">
        <v>3511</v>
      </c>
      <c r="C2125">
        <v>526115</v>
      </c>
      <c r="D2125" t="s">
        <v>366</v>
      </c>
      <c r="E2125" t="s">
        <v>480</v>
      </c>
    </row>
    <row r="2126" spans="2:5" x14ac:dyDescent="0.2">
      <c r="B2126" t="s">
        <v>3512</v>
      </c>
      <c r="C2126">
        <v>541161</v>
      </c>
      <c r="D2126" t="s">
        <v>3513</v>
      </c>
      <c r="E2126" t="s">
        <v>452</v>
      </c>
    </row>
    <row r="2127" spans="2:5" x14ac:dyDescent="0.2">
      <c r="B2127" t="s">
        <v>3514</v>
      </c>
      <c r="C2127">
        <v>533451</v>
      </c>
      <c r="D2127" t="s">
        <v>3515</v>
      </c>
      <c r="E2127" t="s">
        <v>505</v>
      </c>
    </row>
    <row r="2128" spans="2:5" x14ac:dyDescent="0.2">
      <c r="B2128" t="s">
        <v>3516</v>
      </c>
      <c r="C2128">
        <v>538928</v>
      </c>
      <c r="D2128" t="s">
        <v>366</v>
      </c>
      <c r="E2128" t="s">
        <v>383</v>
      </c>
    </row>
    <row r="2129" spans="2:5" x14ac:dyDescent="0.2">
      <c r="B2129" t="s">
        <v>3517</v>
      </c>
      <c r="C2129">
        <v>537784</v>
      </c>
      <c r="D2129" t="s">
        <v>366</v>
      </c>
      <c r="E2129" t="s">
        <v>787</v>
      </c>
    </row>
    <row r="2130" spans="2:5" x14ac:dyDescent="0.2">
      <c r="B2130" t="s">
        <v>3518</v>
      </c>
      <c r="C2130">
        <v>590003</v>
      </c>
      <c r="D2130" t="s">
        <v>3519</v>
      </c>
      <c r="E2130" t="s">
        <v>684</v>
      </c>
    </row>
    <row r="2131" spans="2:5" x14ac:dyDescent="0.2">
      <c r="B2131" t="s">
        <v>3520</v>
      </c>
      <c r="C2131">
        <v>531687</v>
      </c>
      <c r="D2131" t="s">
        <v>3521</v>
      </c>
      <c r="E2131" t="s">
        <v>564</v>
      </c>
    </row>
    <row r="2132" spans="2:5" x14ac:dyDescent="0.2">
      <c r="B2132" t="s">
        <v>3522</v>
      </c>
      <c r="C2132">
        <v>539533</v>
      </c>
      <c r="D2132" t="s">
        <v>366</v>
      </c>
      <c r="E2132" t="s">
        <v>349</v>
      </c>
    </row>
    <row r="2133" spans="2:5" x14ac:dyDescent="0.2">
      <c r="B2133" t="s">
        <v>3523</v>
      </c>
      <c r="C2133">
        <v>502933</v>
      </c>
      <c r="D2133" t="s">
        <v>366</v>
      </c>
      <c r="E2133" t="s">
        <v>381</v>
      </c>
    </row>
    <row r="2134" spans="2:5" x14ac:dyDescent="0.2">
      <c r="B2134" t="s">
        <v>3524</v>
      </c>
      <c r="C2134">
        <v>532925</v>
      </c>
      <c r="D2134" t="s">
        <v>3525</v>
      </c>
      <c r="E2134" t="s">
        <v>764</v>
      </c>
    </row>
    <row r="2135" spans="2:5" x14ac:dyDescent="0.2">
      <c r="B2135" t="s">
        <v>3526</v>
      </c>
      <c r="C2135">
        <v>532899</v>
      </c>
      <c r="D2135" t="s">
        <v>3527</v>
      </c>
      <c r="E2135" t="s">
        <v>564</v>
      </c>
    </row>
    <row r="2136" spans="2:5" x14ac:dyDescent="0.2">
      <c r="B2136" t="s">
        <v>3528</v>
      </c>
      <c r="C2136">
        <v>524444</v>
      </c>
      <c r="D2136" t="s">
        <v>366</v>
      </c>
      <c r="E2136" t="s">
        <v>615</v>
      </c>
    </row>
    <row r="2137" spans="2:5" x14ac:dyDescent="0.2">
      <c r="B2137" t="s">
        <v>3529</v>
      </c>
      <c r="C2137">
        <v>535136</v>
      </c>
      <c r="D2137" t="s">
        <v>366</v>
      </c>
      <c r="E2137" t="s">
        <v>381</v>
      </c>
    </row>
    <row r="2138" spans="2:5" x14ac:dyDescent="0.2">
      <c r="B2138" t="s">
        <v>3530</v>
      </c>
      <c r="C2138">
        <v>590041</v>
      </c>
      <c r="D2138" t="s">
        <v>3531</v>
      </c>
      <c r="E2138" t="s">
        <v>512</v>
      </c>
    </row>
    <row r="2139" spans="2:5" x14ac:dyDescent="0.2">
      <c r="B2139" t="s">
        <v>3532</v>
      </c>
      <c r="C2139">
        <v>530255</v>
      </c>
      <c r="D2139" t="s">
        <v>366</v>
      </c>
      <c r="E2139" t="s">
        <v>360</v>
      </c>
    </row>
    <row r="2140" spans="2:5" x14ac:dyDescent="0.2">
      <c r="B2140" t="s">
        <v>3533</v>
      </c>
      <c r="C2140">
        <v>539276</v>
      </c>
      <c r="D2140" t="s">
        <v>3534</v>
      </c>
      <c r="E2140" t="s">
        <v>3141</v>
      </c>
    </row>
    <row r="2141" spans="2:5" x14ac:dyDescent="0.2">
      <c r="B2141" t="s">
        <v>3535</v>
      </c>
      <c r="C2141">
        <v>504084</v>
      </c>
      <c r="D2141" t="s">
        <v>366</v>
      </c>
      <c r="E2141" t="s">
        <v>664</v>
      </c>
    </row>
    <row r="2142" spans="2:5" x14ac:dyDescent="0.2">
      <c r="B2142" t="s">
        <v>3536</v>
      </c>
      <c r="C2142">
        <v>539562</v>
      </c>
      <c r="D2142" t="s">
        <v>366</v>
      </c>
      <c r="E2142" t="s">
        <v>349</v>
      </c>
    </row>
    <row r="2143" spans="2:5" x14ac:dyDescent="0.2">
      <c r="B2143" t="s">
        <v>3537</v>
      </c>
      <c r="C2143">
        <v>530357</v>
      </c>
      <c r="D2143" t="s">
        <v>366</v>
      </c>
      <c r="E2143" t="s">
        <v>349</v>
      </c>
    </row>
    <row r="2144" spans="2:5" x14ac:dyDescent="0.2">
      <c r="B2144" t="s">
        <v>3538</v>
      </c>
      <c r="C2144">
        <v>530357</v>
      </c>
      <c r="D2144" t="s">
        <v>366</v>
      </c>
      <c r="E2144" t="s">
        <v>349</v>
      </c>
    </row>
    <row r="2145" spans="2:5" x14ac:dyDescent="0.2">
      <c r="B2145" t="s">
        <v>3539</v>
      </c>
      <c r="C2145">
        <v>526067</v>
      </c>
      <c r="D2145" t="s">
        <v>366</v>
      </c>
      <c r="E2145" t="s">
        <v>561</v>
      </c>
    </row>
    <row r="2146" spans="2:5" x14ac:dyDescent="0.2">
      <c r="B2146" t="s">
        <v>3540</v>
      </c>
      <c r="C2146">
        <v>531784</v>
      </c>
      <c r="D2146" t="s">
        <v>366</v>
      </c>
      <c r="E2146" t="s">
        <v>764</v>
      </c>
    </row>
    <row r="2147" spans="2:5" x14ac:dyDescent="0.2">
      <c r="B2147" t="s">
        <v>3541</v>
      </c>
      <c r="C2147">
        <v>590066</v>
      </c>
      <c r="D2147" t="s">
        <v>3542</v>
      </c>
      <c r="E2147" t="s">
        <v>379</v>
      </c>
    </row>
    <row r="2148" spans="2:5" x14ac:dyDescent="0.2">
      <c r="B2148" t="s">
        <v>3543</v>
      </c>
      <c r="C2148">
        <v>533192</v>
      </c>
      <c r="D2148" t="s">
        <v>3544</v>
      </c>
      <c r="E2148" t="s">
        <v>1065</v>
      </c>
    </row>
    <row r="2149" spans="2:5" x14ac:dyDescent="0.2">
      <c r="B2149" t="s">
        <v>3545</v>
      </c>
      <c r="C2149">
        <v>540385</v>
      </c>
      <c r="D2149" t="s">
        <v>366</v>
      </c>
      <c r="E2149" t="s">
        <v>349</v>
      </c>
    </row>
    <row r="2150" spans="2:5" x14ac:dyDescent="0.2">
      <c r="B2150" t="s">
        <v>3546</v>
      </c>
      <c r="C2150">
        <v>532054</v>
      </c>
      <c r="D2150" t="s">
        <v>3547</v>
      </c>
      <c r="E2150" t="s">
        <v>480</v>
      </c>
    </row>
    <row r="2151" spans="2:5" x14ac:dyDescent="0.2">
      <c r="B2151" t="s">
        <v>3548</v>
      </c>
      <c r="C2151">
        <v>532714</v>
      </c>
      <c r="D2151" t="s">
        <v>3549</v>
      </c>
      <c r="E2151" t="s">
        <v>409</v>
      </c>
    </row>
    <row r="2152" spans="2:5" x14ac:dyDescent="0.2">
      <c r="B2152" t="s">
        <v>3550</v>
      </c>
      <c r="C2152">
        <v>508993</v>
      </c>
      <c r="D2152" t="s">
        <v>366</v>
      </c>
      <c r="E2152" t="s">
        <v>452</v>
      </c>
    </row>
    <row r="2153" spans="2:5" x14ac:dyDescent="0.2">
      <c r="B2153" t="s">
        <v>3551</v>
      </c>
      <c r="C2153">
        <v>518011</v>
      </c>
      <c r="D2153" t="s">
        <v>366</v>
      </c>
      <c r="E2153" t="s">
        <v>379</v>
      </c>
    </row>
    <row r="2154" spans="2:5" x14ac:dyDescent="0.2">
      <c r="B2154" t="s">
        <v>3552</v>
      </c>
      <c r="C2154" t="s">
        <v>366</v>
      </c>
      <c r="D2154" t="s">
        <v>3553</v>
      </c>
      <c r="E2154" t="s">
        <v>377</v>
      </c>
    </row>
    <row r="2155" spans="2:5" x14ac:dyDescent="0.2">
      <c r="B2155" t="s">
        <v>3554</v>
      </c>
      <c r="C2155">
        <v>517569</v>
      </c>
      <c r="D2155" t="s">
        <v>3555</v>
      </c>
      <c r="E2155" t="s">
        <v>664</v>
      </c>
    </row>
    <row r="2156" spans="2:5" x14ac:dyDescent="0.2">
      <c r="B2156" t="s">
        <v>3556</v>
      </c>
      <c r="C2156">
        <v>519602</v>
      </c>
      <c r="D2156" t="s">
        <v>3557</v>
      </c>
      <c r="E2156" t="s">
        <v>459</v>
      </c>
    </row>
    <row r="2157" spans="2:5" x14ac:dyDescent="0.2">
      <c r="B2157" t="s">
        <v>3558</v>
      </c>
      <c r="C2157">
        <v>506528</v>
      </c>
      <c r="D2157" t="s">
        <v>366</v>
      </c>
      <c r="E2157" t="s">
        <v>526</v>
      </c>
    </row>
    <row r="2158" spans="2:5" x14ac:dyDescent="0.2">
      <c r="B2158" t="s">
        <v>3559</v>
      </c>
      <c r="C2158">
        <v>531163</v>
      </c>
      <c r="D2158" t="s">
        <v>3560</v>
      </c>
      <c r="E2158" t="s">
        <v>526</v>
      </c>
    </row>
    <row r="2159" spans="2:5" x14ac:dyDescent="0.2">
      <c r="B2159" t="s">
        <v>3561</v>
      </c>
      <c r="C2159">
        <v>506530</v>
      </c>
      <c r="D2159" t="s">
        <v>366</v>
      </c>
      <c r="E2159" t="s">
        <v>561</v>
      </c>
    </row>
    <row r="2160" spans="2:5" x14ac:dyDescent="0.2">
      <c r="B2160" t="s">
        <v>3562</v>
      </c>
      <c r="C2160">
        <v>505890</v>
      </c>
      <c r="D2160" t="s">
        <v>366</v>
      </c>
      <c r="E2160" t="s">
        <v>374</v>
      </c>
    </row>
    <row r="2161" spans="2:5" x14ac:dyDescent="0.2">
      <c r="B2161" t="s">
        <v>3563</v>
      </c>
      <c r="C2161">
        <v>505890</v>
      </c>
      <c r="D2161" t="s">
        <v>366</v>
      </c>
      <c r="E2161" t="s">
        <v>374</v>
      </c>
    </row>
    <row r="2162" spans="2:5" x14ac:dyDescent="0.2">
      <c r="B2162" t="s">
        <v>3564</v>
      </c>
      <c r="C2162">
        <v>540953</v>
      </c>
      <c r="D2162" t="s">
        <v>366</v>
      </c>
      <c r="E2162" t="s">
        <v>480</v>
      </c>
    </row>
    <row r="2163" spans="2:5" x14ac:dyDescent="0.2">
      <c r="B2163" t="s">
        <v>3565</v>
      </c>
      <c r="C2163">
        <v>530163</v>
      </c>
      <c r="D2163" t="s">
        <v>366</v>
      </c>
      <c r="E2163" t="s">
        <v>404</v>
      </c>
    </row>
    <row r="2164" spans="2:5" x14ac:dyDescent="0.2">
      <c r="B2164" t="s">
        <v>3566</v>
      </c>
      <c r="C2164">
        <v>532686</v>
      </c>
      <c r="D2164" t="s">
        <v>3567</v>
      </c>
      <c r="E2164" t="s">
        <v>489</v>
      </c>
    </row>
    <row r="2165" spans="2:5" x14ac:dyDescent="0.2">
      <c r="B2165" t="s">
        <v>3568</v>
      </c>
      <c r="C2165">
        <v>532686</v>
      </c>
      <c r="D2165" t="s">
        <v>3567</v>
      </c>
      <c r="E2165" t="s">
        <v>489</v>
      </c>
    </row>
    <row r="2166" spans="2:5" x14ac:dyDescent="0.2">
      <c r="B2166" t="s">
        <v>3569</v>
      </c>
      <c r="C2166">
        <v>507180</v>
      </c>
      <c r="D2166" t="s">
        <v>3570</v>
      </c>
      <c r="E2166" t="s">
        <v>1065</v>
      </c>
    </row>
    <row r="2167" spans="2:5" x14ac:dyDescent="0.2">
      <c r="B2167" t="s">
        <v>3571</v>
      </c>
      <c r="C2167">
        <v>524174</v>
      </c>
      <c r="D2167" t="s">
        <v>366</v>
      </c>
      <c r="E2167" t="s">
        <v>414</v>
      </c>
    </row>
    <row r="2168" spans="2:5" x14ac:dyDescent="0.2">
      <c r="B2168" t="s">
        <v>3572</v>
      </c>
      <c r="C2168">
        <v>533289</v>
      </c>
      <c r="D2168" t="s">
        <v>3573</v>
      </c>
      <c r="E2168" t="s">
        <v>687</v>
      </c>
    </row>
    <row r="2169" spans="2:5" x14ac:dyDescent="0.2">
      <c r="B2169" t="s">
        <v>3574</v>
      </c>
      <c r="C2169">
        <v>502937</v>
      </c>
      <c r="D2169" t="s">
        <v>3575</v>
      </c>
      <c r="E2169" t="s">
        <v>355</v>
      </c>
    </row>
    <row r="2170" spans="2:5" x14ac:dyDescent="0.2">
      <c r="B2170" t="s">
        <v>3576</v>
      </c>
      <c r="C2170">
        <v>532732</v>
      </c>
      <c r="D2170" t="s">
        <v>3577</v>
      </c>
      <c r="E2170" t="s">
        <v>480</v>
      </c>
    </row>
    <row r="2171" spans="2:5" x14ac:dyDescent="0.2">
      <c r="B2171" t="s">
        <v>3578</v>
      </c>
      <c r="C2171">
        <v>507948</v>
      </c>
      <c r="D2171" t="s">
        <v>366</v>
      </c>
      <c r="E2171" t="s">
        <v>383</v>
      </c>
    </row>
    <row r="2172" spans="2:5" x14ac:dyDescent="0.2">
      <c r="B2172" t="s">
        <v>3579</v>
      </c>
      <c r="C2172">
        <v>512597</v>
      </c>
      <c r="D2172" t="s">
        <v>3580</v>
      </c>
      <c r="E2172" t="s">
        <v>383</v>
      </c>
    </row>
    <row r="2173" spans="2:5" x14ac:dyDescent="0.2">
      <c r="B2173" t="s">
        <v>3581</v>
      </c>
      <c r="C2173" t="s">
        <v>366</v>
      </c>
      <c r="D2173" t="s">
        <v>3582</v>
      </c>
      <c r="E2173" t="s">
        <v>383</v>
      </c>
    </row>
    <row r="2174" spans="2:5" x14ac:dyDescent="0.2">
      <c r="B2174" t="s">
        <v>3583</v>
      </c>
      <c r="C2174">
        <v>500239</v>
      </c>
      <c r="D2174" t="s">
        <v>366</v>
      </c>
      <c r="E2174" t="s">
        <v>381</v>
      </c>
    </row>
    <row r="2175" spans="2:5" x14ac:dyDescent="0.2">
      <c r="B2175" t="s">
        <v>3584</v>
      </c>
      <c r="C2175">
        <v>531609</v>
      </c>
      <c r="D2175" t="s">
        <v>366</v>
      </c>
      <c r="E2175" t="s">
        <v>561</v>
      </c>
    </row>
    <row r="2176" spans="2:5" x14ac:dyDescent="0.2">
      <c r="B2176" t="s">
        <v>3585</v>
      </c>
      <c r="C2176">
        <v>540775</v>
      </c>
      <c r="D2176" t="s">
        <v>3586</v>
      </c>
      <c r="E2176" t="s">
        <v>792</v>
      </c>
    </row>
    <row r="2177" spans="2:5" x14ac:dyDescent="0.2">
      <c r="B2177" t="s">
        <v>3587</v>
      </c>
      <c r="C2177">
        <v>540775</v>
      </c>
      <c r="D2177" t="s">
        <v>3586</v>
      </c>
      <c r="E2177" t="s">
        <v>792</v>
      </c>
    </row>
    <row r="2178" spans="2:5" x14ac:dyDescent="0.2">
      <c r="B2178" t="s">
        <v>3588</v>
      </c>
      <c r="C2178">
        <v>590068</v>
      </c>
      <c r="D2178" t="s">
        <v>3589</v>
      </c>
      <c r="E2178" t="s">
        <v>388</v>
      </c>
    </row>
    <row r="2179" spans="2:5" x14ac:dyDescent="0.2">
      <c r="B2179" t="s">
        <v>3590</v>
      </c>
      <c r="C2179">
        <v>507794</v>
      </c>
      <c r="D2179" t="s">
        <v>366</v>
      </c>
      <c r="E2179" t="s">
        <v>874</v>
      </c>
    </row>
    <row r="2180" spans="2:5" x14ac:dyDescent="0.2">
      <c r="B2180" t="s">
        <v>3591</v>
      </c>
      <c r="C2180">
        <v>504269</v>
      </c>
      <c r="D2180" t="s">
        <v>3592</v>
      </c>
      <c r="E2180" t="s">
        <v>1129</v>
      </c>
    </row>
    <row r="2181" spans="2:5" x14ac:dyDescent="0.2">
      <c r="B2181" t="s">
        <v>3593</v>
      </c>
      <c r="C2181">
        <v>590068</v>
      </c>
      <c r="D2181" t="s">
        <v>3589</v>
      </c>
      <c r="E2181" t="s">
        <v>388</v>
      </c>
    </row>
    <row r="2182" spans="2:5" x14ac:dyDescent="0.2">
      <c r="B2182" t="s">
        <v>3594</v>
      </c>
      <c r="C2182">
        <v>519064</v>
      </c>
      <c r="D2182" t="s">
        <v>366</v>
      </c>
      <c r="E2182" t="s">
        <v>564</v>
      </c>
    </row>
    <row r="2183" spans="2:5" x14ac:dyDescent="0.2">
      <c r="B2183" t="s">
        <v>3595</v>
      </c>
      <c r="C2183">
        <v>531892</v>
      </c>
      <c r="D2183" t="s">
        <v>3596</v>
      </c>
      <c r="E2183" t="s">
        <v>349</v>
      </c>
    </row>
    <row r="2184" spans="2:5" x14ac:dyDescent="0.2">
      <c r="B2184" t="s">
        <v>3597</v>
      </c>
      <c r="C2184">
        <v>506178</v>
      </c>
      <c r="D2184" t="s">
        <v>366</v>
      </c>
      <c r="E2184" t="s">
        <v>388</v>
      </c>
    </row>
    <row r="2185" spans="2:5" x14ac:dyDescent="0.2">
      <c r="B2185" t="s">
        <v>3598</v>
      </c>
      <c r="C2185">
        <v>521127</v>
      </c>
      <c r="D2185" t="s">
        <v>366</v>
      </c>
      <c r="E2185" t="s">
        <v>381</v>
      </c>
    </row>
    <row r="2186" spans="2:5" x14ac:dyDescent="0.2">
      <c r="B2186" t="s">
        <v>3599</v>
      </c>
      <c r="C2186">
        <v>539788</v>
      </c>
      <c r="D2186" t="s">
        <v>366</v>
      </c>
      <c r="E2186" t="s">
        <v>400</v>
      </c>
    </row>
    <row r="2187" spans="2:5" x14ac:dyDescent="0.2">
      <c r="B2187" t="s">
        <v>3600</v>
      </c>
      <c r="C2187">
        <v>507435</v>
      </c>
      <c r="D2187" t="s">
        <v>366</v>
      </c>
      <c r="E2187" t="s">
        <v>998</v>
      </c>
    </row>
    <row r="2188" spans="2:5" x14ac:dyDescent="0.2">
      <c r="B2188" t="s">
        <v>3601</v>
      </c>
      <c r="C2188">
        <v>507435</v>
      </c>
      <c r="D2188" t="s">
        <v>366</v>
      </c>
      <c r="E2188" t="s">
        <v>998</v>
      </c>
    </row>
    <row r="2189" spans="2:5" x14ac:dyDescent="0.2">
      <c r="B2189" t="s">
        <v>3602</v>
      </c>
      <c r="C2189">
        <v>535730</v>
      </c>
      <c r="D2189" t="s">
        <v>366</v>
      </c>
      <c r="E2189" t="s">
        <v>381</v>
      </c>
    </row>
    <row r="2190" spans="2:5" x14ac:dyDescent="0.2">
      <c r="B2190" t="s">
        <v>3603</v>
      </c>
      <c r="C2190">
        <v>531692</v>
      </c>
      <c r="D2190" t="s">
        <v>366</v>
      </c>
      <c r="E2190" t="s">
        <v>567</v>
      </c>
    </row>
    <row r="2191" spans="2:5" x14ac:dyDescent="0.2">
      <c r="B2191" t="s">
        <v>3604</v>
      </c>
      <c r="C2191">
        <v>513693</v>
      </c>
      <c r="D2191" t="s">
        <v>366</v>
      </c>
      <c r="E2191" t="s">
        <v>398</v>
      </c>
    </row>
    <row r="2192" spans="2:5" x14ac:dyDescent="0.2">
      <c r="B2192" t="s">
        <v>3605</v>
      </c>
      <c r="C2192">
        <v>540812</v>
      </c>
      <c r="D2192" t="s">
        <v>366</v>
      </c>
      <c r="E2192" t="s">
        <v>836</v>
      </c>
    </row>
    <row r="2193" spans="2:5" x14ac:dyDescent="0.2">
      <c r="B2193" t="s">
        <v>3606</v>
      </c>
      <c r="C2193">
        <v>507946</v>
      </c>
      <c r="D2193" t="s">
        <v>366</v>
      </c>
      <c r="E2193" t="s">
        <v>388</v>
      </c>
    </row>
    <row r="2194" spans="2:5" x14ac:dyDescent="0.2">
      <c r="B2194" t="s">
        <v>3607</v>
      </c>
      <c r="C2194">
        <v>507946</v>
      </c>
      <c r="D2194" t="s">
        <v>366</v>
      </c>
      <c r="E2194" t="s">
        <v>388</v>
      </c>
    </row>
    <row r="2195" spans="2:5" x14ac:dyDescent="0.2">
      <c r="B2195" t="s">
        <v>3608</v>
      </c>
      <c r="C2195">
        <v>535566</v>
      </c>
      <c r="D2195" t="s">
        <v>366</v>
      </c>
      <c r="E2195" t="s">
        <v>383</v>
      </c>
    </row>
    <row r="2196" spans="2:5" x14ac:dyDescent="0.2">
      <c r="B2196" t="s">
        <v>3609</v>
      </c>
      <c r="C2196">
        <v>524699</v>
      </c>
      <c r="D2196" t="s">
        <v>366</v>
      </c>
      <c r="E2196" t="s">
        <v>414</v>
      </c>
    </row>
    <row r="2197" spans="2:5" x14ac:dyDescent="0.2">
      <c r="B2197" t="s">
        <v>3610</v>
      </c>
      <c r="C2197">
        <v>522101</v>
      </c>
      <c r="D2197" t="s">
        <v>366</v>
      </c>
      <c r="E2197" t="s">
        <v>374</v>
      </c>
    </row>
    <row r="2198" spans="2:5" x14ac:dyDescent="0.2">
      <c r="B2198" t="s">
        <v>3611</v>
      </c>
      <c r="C2198">
        <v>523218</v>
      </c>
      <c r="D2198" t="s">
        <v>3612</v>
      </c>
      <c r="E2198" t="s">
        <v>908</v>
      </c>
    </row>
    <row r="2199" spans="2:5" x14ac:dyDescent="0.2">
      <c r="B2199" t="s">
        <v>3613</v>
      </c>
      <c r="C2199">
        <v>524500</v>
      </c>
      <c r="D2199" t="s">
        <v>3614</v>
      </c>
      <c r="E2199" t="s">
        <v>404</v>
      </c>
    </row>
    <row r="2200" spans="2:5" x14ac:dyDescent="0.2">
      <c r="B2200" t="s">
        <v>3615</v>
      </c>
      <c r="C2200">
        <v>524500</v>
      </c>
      <c r="D2200" t="s">
        <v>3614</v>
      </c>
      <c r="E2200" t="s">
        <v>404</v>
      </c>
    </row>
    <row r="2201" spans="2:5" x14ac:dyDescent="0.2">
      <c r="B2201" t="s">
        <v>3616</v>
      </c>
      <c r="C2201">
        <v>532067</v>
      </c>
      <c r="D2201" t="s">
        <v>366</v>
      </c>
      <c r="E2201" t="s">
        <v>510</v>
      </c>
    </row>
    <row r="2202" spans="2:5" x14ac:dyDescent="0.2">
      <c r="B2202" t="s">
        <v>3617</v>
      </c>
      <c r="C2202">
        <v>532067</v>
      </c>
      <c r="D2202" t="s">
        <v>366</v>
      </c>
      <c r="E2202" t="s">
        <v>510</v>
      </c>
    </row>
    <row r="2203" spans="2:5" x14ac:dyDescent="0.2">
      <c r="B2203" t="s">
        <v>3618</v>
      </c>
      <c r="C2203">
        <v>530313</v>
      </c>
      <c r="D2203" t="s">
        <v>3619</v>
      </c>
      <c r="E2203" t="s">
        <v>404</v>
      </c>
    </row>
    <row r="2204" spans="2:5" x14ac:dyDescent="0.2">
      <c r="B2204" t="s">
        <v>3620</v>
      </c>
      <c r="C2204">
        <v>500240</v>
      </c>
      <c r="D2204" t="s">
        <v>366</v>
      </c>
      <c r="E2204" t="s">
        <v>1024</v>
      </c>
    </row>
    <row r="2205" spans="2:5" x14ac:dyDescent="0.2">
      <c r="B2205" t="s">
        <v>3621</v>
      </c>
      <c r="C2205">
        <v>531274</v>
      </c>
      <c r="D2205" t="s">
        <v>366</v>
      </c>
      <c r="E2205" t="s">
        <v>383</v>
      </c>
    </row>
    <row r="2206" spans="2:5" x14ac:dyDescent="0.2">
      <c r="B2206" t="s">
        <v>3622</v>
      </c>
      <c r="C2206">
        <v>524019</v>
      </c>
      <c r="D2206" t="s">
        <v>3623</v>
      </c>
      <c r="E2206" t="s">
        <v>486</v>
      </c>
    </row>
    <row r="2207" spans="2:5" x14ac:dyDescent="0.2">
      <c r="B2207" t="s">
        <v>3624</v>
      </c>
      <c r="C2207">
        <v>524019</v>
      </c>
      <c r="D2207" t="s">
        <v>3623</v>
      </c>
      <c r="E2207" t="s">
        <v>486</v>
      </c>
    </row>
    <row r="2208" spans="2:5" x14ac:dyDescent="0.2">
      <c r="B2208" t="s">
        <v>3625</v>
      </c>
      <c r="C2208">
        <v>530215</v>
      </c>
      <c r="D2208" t="s">
        <v>366</v>
      </c>
      <c r="E2208" t="s">
        <v>452</v>
      </c>
    </row>
    <row r="2209" spans="2:5" x14ac:dyDescent="0.2">
      <c r="B2209" t="s">
        <v>3626</v>
      </c>
      <c r="C2209">
        <v>512329</v>
      </c>
      <c r="D2209" t="s">
        <v>366</v>
      </c>
      <c r="E2209" t="s">
        <v>787</v>
      </c>
    </row>
    <row r="2210" spans="2:5" x14ac:dyDescent="0.2">
      <c r="B2210" t="s">
        <v>3627</v>
      </c>
      <c r="C2210">
        <v>540680</v>
      </c>
      <c r="D2210" t="s">
        <v>3628</v>
      </c>
      <c r="E2210" t="s">
        <v>398</v>
      </c>
    </row>
    <row r="2211" spans="2:5" x14ac:dyDescent="0.2">
      <c r="B2211" t="s">
        <v>3629</v>
      </c>
      <c r="C2211">
        <v>531413</v>
      </c>
      <c r="D2211" t="s">
        <v>366</v>
      </c>
      <c r="E2211" t="s">
        <v>2355</v>
      </c>
    </row>
    <row r="2212" spans="2:5" x14ac:dyDescent="0.2">
      <c r="B2212" t="s">
        <v>3630</v>
      </c>
      <c r="C2212">
        <v>537750</v>
      </c>
      <c r="D2212" t="s">
        <v>366</v>
      </c>
      <c r="E2212" t="s">
        <v>386</v>
      </c>
    </row>
    <row r="2213" spans="2:5" x14ac:dyDescent="0.2">
      <c r="B2213" t="s">
        <v>3631</v>
      </c>
      <c r="C2213">
        <v>532967</v>
      </c>
      <c r="D2213" t="s">
        <v>3632</v>
      </c>
      <c r="E2213" t="s">
        <v>526</v>
      </c>
    </row>
    <row r="2214" spans="2:5" x14ac:dyDescent="0.2">
      <c r="B2214" t="s">
        <v>3633</v>
      </c>
      <c r="C2214">
        <v>500241</v>
      </c>
      <c r="D2214" t="s">
        <v>3634</v>
      </c>
      <c r="E2214" t="s">
        <v>374</v>
      </c>
    </row>
    <row r="2215" spans="2:5" x14ac:dyDescent="0.2">
      <c r="B2215" t="s">
        <v>3635</v>
      </c>
      <c r="C2215">
        <v>533193</v>
      </c>
      <c r="D2215" t="s">
        <v>3636</v>
      </c>
      <c r="E2215" t="s">
        <v>664</v>
      </c>
    </row>
    <row r="2216" spans="2:5" x14ac:dyDescent="0.2">
      <c r="B2216" t="s">
        <v>3637</v>
      </c>
      <c r="C2216">
        <v>500245</v>
      </c>
      <c r="D2216" t="s">
        <v>366</v>
      </c>
      <c r="E2216" t="s">
        <v>398</v>
      </c>
    </row>
    <row r="2217" spans="2:5" x14ac:dyDescent="0.2">
      <c r="B2217" t="s">
        <v>3638</v>
      </c>
      <c r="C2217">
        <v>500243</v>
      </c>
      <c r="D2217" t="s">
        <v>3639</v>
      </c>
      <c r="E2217" t="s">
        <v>374</v>
      </c>
    </row>
    <row r="2218" spans="2:5" x14ac:dyDescent="0.2">
      <c r="B2218" t="s">
        <v>3640</v>
      </c>
      <c r="C2218">
        <v>533293</v>
      </c>
      <c r="D2218" t="s">
        <v>3641</v>
      </c>
      <c r="E2218" t="s">
        <v>721</v>
      </c>
    </row>
    <row r="2219" spans="2:5" x14ac:dyDescent="0.2">
      <c r="B2219" t="s">
        <v>3642</v>
      </c>
      <c r="C2219">
        <v>505283</v>
      </c>
      <c r="D2219" t="s">
        <v>366</v>
      </c>
      <c r="E2219" t="s">
        <v>374</v>
      </c>
    </row>
    <row r="2220" spans="2:5" x14ac:dyDescent="0.2">
      <c r="B2220" t="s">
        <v>3643</v>
      </c>
      <c r="C2220">
        <v>530145</v>
      </c>
      <c r="D2220" t="s">
        <v>366</v>
      </c>
      <c r="E2220" t="s">
        <v>486</v>
      </c>
    </row>
    <row r="2221" spans="2:5" x14ac:dyDescent="0.2">
      <c r="B2221" t="s">
        <v>3644</v>
      </c>
      <c r="C2221">
        <v>521248</v>
      </c>
      <c r="D2221" t="s">
        <v>3645</v>
      </c>
      <c r="E2221" t="s">
        <v>480</v>
      </c>
    </row>
    <row r="2222" spans="2:5" x14ac:dyDescent="0.2">
      <c r="B2222" t="s">
        <v>3646</v>
      </c>
      <c r="C2222">
        <v>532304</v>
      </c>
      <c r="D2222" t="s">
        <v>366</v>
      </c>
      <c r="E2222" t="s">
        <v>349</v>
      </c>
    </row>
    <row r="2223" spans="2:5" x14ac:dyDescent="0.2">
      <c r="B2223" t="s">
        <v>3647</v>
      </c>
      <c r="C2223">
        <v>532304</v>
      </c>
      <c r="D2223" t="s">
        <v>366</v>
      </c>
      <c r="E2223" t="s">
        <v>349</v>
      </c>
    </row>
    <row r="2224" spans="2:5" x14ac:dyDescent="0.2">
      <c r="B2224" t="s">
        <v>3648</v>
      </c>
      <c r="C2224">
        <v>530235</v>
      </c>
      <c r="D2224" t="s">
        <v>366</v>
      </c>
      <c r="E2224" t="s">
        <v>383</v>
      </c>
    </row>
    <row r="2225" spans="2:5" x14ac:dyDescent="0.2">
      <c r="B2225" t="s">
        <v>3649</v>
      </c>
      <c r="C2225">
        <v>526409</v>
      </c>
      <c r="D2225" t="s">
        <v>366</v>
      </c>
      <c r="E2225" t="s">
        <v>486</v>
      </c>
    </row>
    <row r="2226" spans="2:5" x14ac:dyDescent="0.2">
      <c r="B2226" t="s">
        <v>3650</v>
      </c>
      <c r="C2226">
        <v>526409</v>
      </c>
      <c r="D2226" t="s">
        <v>366</v>
      </c>
      <c r="E2226" t="s">
        <v>486</v>
      </c>
    </row>
    <row r="2227" spans="2:5" x14ac:dyDescent="0.2">
      <c r="B2227" t="s">
        <v>3651</v>
      </c>
      <c r="C2227">
        <v>523652</v>
      </c>
      <c r="D2227" t="s">
        <v>366</v>
      </c>
      <c r="E2227" t="s">
        <v>486</v>
      </c>
    </row>
    <row r="2228" spans="2:5" x14ac:dyDescent="0.2">
      <c r="B2228" t="s">
        <v>3652</v>
      </c>
      <c r="C2228">
        <v>521238</v>
      </c>
      <c r="D2228" t="s">
        <v>366</v>
      </c>
      <c r="E2228" t="s">
        <v>691</v>
      </c>
    </row>
    <row r="2229" spans="2:5" x14ac:dyDescent="0.2">
      <c r="B2229" t="s">
        <v>3653</v>
      </c>
      <c r="C2229" t="s">
        <v>366</v>
      </c>
      <c r="D2229" t="s">
        <v>3654</v>
      </c>
      <c r="E2229" t="s">
        <v>377</v>
      </c>
    </row>
    <row r="2230" spans="2:5" x14ac:dyDescent="0.2">
      <c r="B2230" t="s">
        <v>3655</v>
      </c>
      <c r="C2230">
        <v>530771</v>
      </c>
      <c r="D2230" t="s">
        <v>366</v>
      </c>
      <c r="E2230" t="s">
        <v>383</v>
      </c>
    </row>
    <row r="2231" spans="2:5" x14ac:dyDescent="0.2">
      <c r="B2231" t="s">
        <v>3656</v>
      </c>
      <c r="C2231">
        <v>514221</v>
      </c>
      <c r="D2231" t="s">
        <v>366</v>
      </c>
      <c r="E2231" t="s">
        <v>381</v>
      </c>
    </row>
    <row r="2232" spans="2:5" x14ac:dyDescent="0.2">
      <c r="B2232" t="s">
        <v>3657</v>
      </c>
      <c r="C2232">
        <v>517170</v>
      </c>
      <c r="D2232" t="s">
        <v>3658</v>
      </c>
      <c r="E2232" t="s">
        <v>664</v>
      </c>
    </row>
    <row r="2233" spans="2:5" x14ac:dyDescent="0.2">
      <c r="B2233" t="s">
        <v>3659</v>
      </c>
      <c r="C2233">
        <v>524520</v>
      </c>
      <c r="D2233" t="s">
        <v>366</v>
      </c>
      <c r="E2233" t="s">
        <v>555</v>
      </c>
    </row>
    <row r="2234" spans="2:5" x14ac:dyDescent="0.2">
      <c r="B2234" t="s">
        <v>3660</v>
      </c>
      <c r="C2234">
        <v>524520</v>
      </c>
      <c r="D2234" t="s">
        <v>366</v>
      </c>
      <c r="E2234" t="s">
        <v>555</v>
      </c>
    </row>
    <row r="2235" spans="2:5" x14ac:dyDescent="0.2">
      <c r="B2235" t="s">
        <v>3661</v>
      </c>
      <c r="C2235">
        <v>531578</v>
      </c>
      <c r="D2235" t="s">
        <v>366</v>
      </c>
      <c r="E2235" t="s">
        <v>452</v>
      </c>
    </row>
    <row r="2236" spans="2:5" x14ac:dyDescent="0.2">
      <c r="B2236" t="s">
        <v>3662</v>
      </c>
      <c r="C2236">
        <v>519415</v>
      </c>
      <c r="D2236" t="s">
        <v>366</v>
      </c>
      <c r="E2236" t="s">
        <v>426</v>
      </c>
    </row>
    <row r="2237" spans="2:5" x14ac:dyDescent="0.2">
      <c r="B2237" t="s">
        <v>3663</v>
      </c>
      <c r="C2237">
        <v>540468</v>
      </c>
      <c r="D2237" t="s">
        <v>366</v>
      </c>
      <c r="E2237" t="s">
        <v>1329</v>
      </c>
    </row>
    <row r="2238" spans="2:5" x14ac:dyDescent="0.2">
      <c r="B2238" t="s">
        <v>3664</v>
      </c>
      <c r="C2238">
        <v>532942</v>
      </c>
      <c r="D2238" t="s">
        <v>3665</v>
      </c>
      <c r="E2238" t="s">
        <v>764</v>
      </c>
    </row>
    <row r="2239" spans="2:5" x14ac:dyDescent="0.2">
      <c r="B2239" t="s">
        <v>3666</v>
      </c>
      <c r="C2239">
        <v>512559</v>
      </c>
      <c r="D2239" t="s">
        <v>3667</v>
      </c>
      <c r="E2239" t="s">
        <v>564</v>
      </c>
    </row>
    <row r="2240" spans="2:5" x14ac:dyDescent="0.2">
      <c r="B2240" t="s">
        <v>3668</v>
      </c>
      <c r="C2240">
        <v>523207</v>
      </c>
      <c r="D2240" t="s">
        <v>3669</v>
      </c>
      <c r="E2240" t="s">
        <v>912</v>
      </c>
    </row>
    <row r="2241" spans="2:5" x14ac:dyDescent="0.2">
      <c r="B2241" t="s">
        <v>3670</v>
      </c>
      <c r="C2241">
        <v>532924</v>
      </c>
      <c r="D2241" t="s">
        <v>3671</v>
      </c>
      <c r="E2241" t="s">
        <v>452</v>
      </c>
    </row>
    <row r="2242" spans="2:5" x14ac:dyDescent="0.2">
      <c r="B2242" t="s">
        <v>3672</v>
      </c>
      <c r="C2242">
        <v>539910</v>
      </c>
      <c r="D2242" t="s">
        <v>366</v>
      </c>
      <c r="E2242" t="s">
        <v>369</v>
      </c>
    </row>
    <row r="2243" spans="2:5" x14ac:dyDescent="0.2">
      <c r="B2243" t="s">
        <v>3673</v>
      </c>
      <c r="C2243">
        <v>514128</v>
      </c>
      <c r="D2243" t="s">
        <v>366</v>
      </c>
      <c r="E2243" t="s">
        <v>381</v>
      </c>
    </row>
    <row r="2244" spans="2:5" x14ac:dyDescent="0.2">
      <c r="B2244" t="s">
        <v>3674</v>
      </c>
      <c r="C2244">
        <v>524280</v>
      </c>
      <c r="D2244" t="s">
        <v>3675</v>
      </c>
      <c r="E2244" t="s">
        <v>404</v>
      </c>
    </row>
    <row r="2245" spans="2:5" x14ac:dyDescent="0.2">
      <c r="B2245" t="s">
        <v>3676</v>
      </c>
      <c r="C2245">
        <v>500247</v>
      </c>
      <c r="D2245" t="s">
        <v>3677</v>
      </c>
      <c r="E2245" t="s">
        <v>684</v>
      </c>
    </row>
    <row r="2246" spans="2:5" x14ac:dyDescent="0.2">
      <c r="B2246" t="s">
        <v>3678</v>
      </c>
      <c r="C2246">
        <v>590097</v>
      </c>
      <c r="D2246" t="s">
        <v>3679</v>
      </c>
      <c r="E2246" t="s">
        <v>349</v>
      </c>
    </row>
    <row r="2247" spans="2:5" x14ac:dyDescent="0.2">
      <c r="B2247" t="s">
        <v>3680</v>
      </c>
      <c r="C2247">
        <v>590107</v>
      </c>
      <c r="D2247" t="s">
        <v>3681</v>
      </c>
      <c r="E2247" t="s">
        <v>349</v>
      </c>
    </row>
    <row r="2248" spans="2:5" x14ac:dyDescent="0.2">
      <c r="B2248" t="s">
        <v>3682</v>
      </c>
      <c r="C2248">
        <v>532985</v>
      </c>
      <c r="D2248" t="s">
        <v>3683</v>
      </c>
      <c r="E2248" t="s">
        <v>349</v>
      </c>
    </row>
    <row r="2249" spans="2:5" x14ac:dyDescent="0.2">
      <c r="B2249" t="s">
        <v>3684</v>
      </c>
      <c r="C2249">
        <v>507474</v>
      </c>
      <c r="D2249" t="s">
        <v>366</v>
      </c>
      <c r="E2249" t="s">
        <v>446</v>
      </c>
    </row>
    <row r="2250" spans="2:5" x14ac:dyDescent="0.2">
      <c r="B2250" t="s">
        <v>3685</v>
      </c>
      <c r="C2250" t="s">
        <v>366</v>
      </c>
      <c r="D2250" t="s">
        <v>3686</v>
      </c>
      <c r="E2250" t="s">
        <v>457</v>
      </c>
    </row>
    <row r="2251" spans="2:5" x14ac:dyDescent="0.2">
      <c r="B2251" t="s">
        <v>3687</v>
      </c>
      <c r="C2251">
        <v>530299</v>
      </c>
      <c r="D2251" t="s">
        <v>3688</v>
      </c>
      <c r="E2251" t="s">
        <v>388</v>
      </c>
    </row>
    <row r="2252" spans="2:5" x14ac:dyDescent="0.2">
      <c r="B2252" t="s">
        <v>3689</v>
      </c>
      <c r="C2252" t="s">
        <v>366</v>
      </c>
      <c r="D2252" t="s">
        <v>3690</v>
      </c>
      <c r="E2252" t="s">
        <v>457</v>
      </c>
    </row>
    <row r="2253" spans="2:5" x14ac:dyDescent="0.2">
      <c r="B2253" t="s">
        <v>3691</v>
      </c>
      <c r="C2253">
        <v>511138</v>
      </c>
      <c r="D2253" t="s">
        <v>366</v>
      </c>
      <c r="E2253" t="s">
        <v>383</v>
      </c>
    </row>
    <row r="2254" spans="2:5" x14ac:dyDescent="0.2">
      <c r="B2254" t="s">
        <v>3692</v>
      </c>
      <c r="C2254">
        <v>539599</v>
      </c>
      <c r="D2254" t="s">
        <v>366</v>
      </c>
      <c r="E2254" t="s">
        <v>400</v>
      </c>
    </row>
    <row r="2255" spans="2:5" x14ac:dyDescent="0.2">
      <c r="B2255" t="s">
        <v>3693</v>
      </c>
      <c r="C2255">
        <v>523323</v>
      </c>
      <c r="D2255" t="s">
        <v>366</v>
      </c>
      <c r="E2255" t="s">
        <v>555</v>
      </c>
    </row>
    <row r="2256" spans="2:5" x14ac:dyDescent="0.2">
      <c r="B2256" t="s">
        <v>3694</v>
      </c>
      <c r="C2256">
        <v>505585</v>
      </c>
      <c r="D2256" t="s">
        <v>366</v>
      </c>
      <c r="E2256" t="s">
        <v>787</v>
      </c>
    </row>
    <row r="2257" spans="2:5" x14ac:dyDescent="0.2">
      <c r="B2257" t="s">
        <v>3695</v>
      </c>
      <c r="C2257">
        <v>507598</v>
      </c>
      <c r="D2257" t="s">
        <v>366</v>
      </c>
      <c r="E2257" t="s">
        <v>446</v>
      </c>
    </row>
    <row r="2258" spans="2:5" x14ac:dyDescent="0.2">
      <c r="B2258" t="s">
        <v>3696</v>
      </c>
      <c r="C2258">
        <v>532400</v>
      </c>
      <c r="D2258" t="s">
        <v>3697</v>
      </c>
      <c r="E2258" t="s">
        <v>352</v>
      </c>
    </row>
    <row r="2259" spans="2:5" x14ac:dyDescent="0.2">
      <c r="B2259" t="s">
        <v>3698</v>
      </c>
      <c r="C2259">
        <v>542651</v>
      </c>
      <c r="D2259" t="s">
        <v>3699</v>
      </c>
      <c r="E2259" t="s">
        <v>3700</v>
      </c>
    </row>
    <row r="2260" spans="2:5" x14ac:dyDescent="0.2">
      <c r="B2260" t="s">
        <v>3701</v>
      </c>
      <c r="C2260">
        <v>542459</v>
      </c>
      <c r="D2260" t="s">
        <v>3702</v>
      </c>
      <c r="E2260" t="s">
        <v>3700</v>
      </c>
    </row>
    <row r="2261" spans="2:5" x14ac:dyDescent="0.2">
      <c r="B2261" t="s">
        <v>3703</v>
      </c>
      <c r="C2261">
        <v>501261</v>
      </c>
      <c r="D2261" t="s">
        <v>366</v>
      </c>
      <c r="E2261" t="s">
        <v>349</v>
      </c>
    </row>
    <row r="2262" spans="2:5" x14ac:dyDescent="0.2">
      <c r="B2262" t="s">
        <v>3704</v>
      </c>
      <c r="C2262">
        <v>530813</v>
      </c>
      <c r="D2262" t="s">
        <v>3705</v>
      </c>
      <c r="E2262" t="s">
        <v>426</v>
      </c>
    </row>
    <row r="2263" spans="2:5" x14ac:dyDescent="0.2">
      <c r="B2263" t="s">
        <v>3706</v>
      </c>
      <c r="C2263">
        <v>524518</v>
      </c>
      <c r="D2263" t="s">
        <v>3707</v>
      </c>
      <c r="E2263" t="s">
        <v>404</v>
      </c>
    </row>
    <row r="2264" spans="2:5" x14ac:dyDescent="0.2">
      <c r="B2264" t="s">
        <v>3708</v>
      </c>
      <c r="C2264">
        <v>530139</v>
      </c>
      <c r="D2264" t="s">
        <v>366</v>
      </c>
      <c r="E2264" t="s">
        <v>383</v>
      </c>
    </row>
    <row r="2265" spans="2:5" x14ac:dyDescent="0.2">
      <c r="B2265" t="s">
        <v>3709</v>
      </c>
      <c r="C2265">
        <v>531328</v>
      </c>
      <c r="D2265" t="s">
        <v>366</v>
      </c>
      <c r="E2265" t="s">
        <v>1329</v>
      </c>
    </row>
    <row r="2266" spans="2:5" x14ac:dyDescent="0.2">
      <c r="B2266" t="s">
        <v>3710</v>
      </c>
      <c r="C2266">
        <v>533482</v>
      </c>
      <c r="D2266" t="s">
        <v>3711</v>
      </c>
      <c r="E2266" t="s">
        <v>764</v>
      </c>
    </row>
    <row r="2267" spans="2:5" x14ac:dyDescent="0.2">
      <c r="B2267" t="s">
        <v>3712</v>
      </c>
      <c r="C2267" t="s">
        <v>366</v>
      </c>
      <c r="D2267" t="s">
        <v>3713</v>
      </c>
      <c r="E2267" t="s">
        <v>377</v>
      </c>
    </row>
    <row r="2268" spans="2:5" x14ac:dyDescent="0.2">
      <c r="B2268" t="s">
        <v>3714</v>
      </c>
      <c r="C2268">
        <v>539384</v>
      </c>
      <c r="D2268" t="s">
        <v>366</v>
      </c>
      <c r="E2268" t="s">
        <v>383</v>
      </c>
    </row>
    <row r="2269" spans="2:5" x14ac:dyDescent="0.2">
      <c r="B2269" t="s">
        <v>3715</v>
      </c>
      <c r="C2269">
        <v>504392</v>
      </c>
      <c r="D2269" t="s">
        <v>366</v>
      </c>
      <c r="E2269" t="s">
        <v>349</v>
      </c>
    </row>
    <row r="2270" spans="2:5" x14ac:dyDescent="0.2">
      <c r="B2270" t="s">
        <v>3716</v>
      </c>
      <c r="C2270">
        <v>526423</v>
      </c>
      <c r="D2270" t="s">
        <v>366</v>
      </c>
      <c r="E2270" t="s">
        <v>486</v>
      </c>
    </row>
    <row r="2271" spans="2:5" x14ac:dyDescent="0.2">
      <c r="B2271" t="s">
        <v>3717</v>
      </c>
      <c r="C2271">
        <v>526423</v>
      </c>
      <c r="D2271" t="s">
        <v>366</v>
      </c>
      <c r="E2271" t="s">
        <v>486</v>
      </c>
    </row>
    <row r="2272" spans="2:5" x14ac:dyDescent="0.2">
      <c r="B2272" t="s">
        <v>3718</v>
      </c>
      <c r="C2272">
        <v>533210</v>
      </c>
      <c r="D2272" t="s">
        <v>366</v>
      </c>
      <c r="E2272" t="s">
        <v>615</v>
      </c>
    </row>
    <row r="2273" spans="2:5" x14ac:dyDescent="0.2">
      <c r="B2273" t="s">
        <v>3719</v>
      </c>
      <c r="C2273" t="s">
        <v>366</v>
      </c>
      <c r="D2273" t="s">
        <v>3720</v>
      </c>
      <c r="E2273" t="s">
        <v>377</v>
      </c>
    </row>
    <row r="2274" spans="2:5" x14ac:dyDescent="0.2">
      <c r="B2274" t="s">
        <v>3721</v>
      </c>
      <c r="C2274">
        <v>523550</v>
      </c>
      <c r="D2274" t="s">
        <v>366</v>
      </c>
      <c r="E2274" t="s">
        <v>355</v>
      </c>
    </row>
    <row r="2275" spans="2:5" x14ac:dyDescent="0.2">
      <c r="B2275" t="s">
        <v>3722</v>
      </c>
      <c r="C2275">
        <v>500249</v>
      </c>
      <c r="D2275" t="s">
        <v>3723</v>
      </c>
      <c r="E2275" t="s">
        <v>374</v>
      </c>
    </row>
    <row r="2276" spans="2:5" x14ac:dyDescent="0.2">
      <c r="B2276" t="s">
        <v>3724</v>
      </c>
      <c r="C2276">
        <v>519421</v>
      </c>
      <c r="D2276" t="s">
        <v>366</v>
      </c>
      <c r="E2276" t="s">
        <v>426</v>
      </c>
    </row>
    <row r="2277" spans="2:5" x14ac:dyDescent="0.2">
      <c r="B2277" t="s">
        <v>3725</v>
      </c>
      <c r="C2277" t="s">
        <v>366</v>
      </c>
      <c r="D2277" t="s">
        <v>3726</v>
      </c>
      <c r="E2277" t="s">
        <v>377</v>
      </c>
    </row>
    <row r="2278" spans="2:5" x14ac:dyDescent="0.2">
      <c r="B2278" t="s">
        <v>3727</v>
      </c>
      <c r="C2278">
        <v>503626</v>
      </c>
      <c r="D2278" t="s">
        <v>366</v>
      </c>
      <c r="E2278" t="s">
        <v>349</v>
      </c>
    </row>
    <row r="2279" spans="2:5" x14ac:dyDescent="0.2">
      <c r="B2279" t="s">
        <v>3728</v>
      </c>
      <c r="C2279">
        <v>532997</v>
      </c>
      <c r="D2279" t="s">
        <v>3729</v>
      </c>
      <c r="E2279" t="s">
        <v>505</v>
      </c>
    </row>
    <row r="2280" spans="2:5" x14ac:dyDescent="0.2">
      <c r="B2280" t="s">
        <v>3730</v>
      </c>
      <c r="C2280">
        <v>530149</v>
      </c>
      <c r="D2280" t="s">
        <v>366</v>
      </c>
      <c r="E2280" t="s">
        <v>381</v>
      </c>
    </row>
    <row r="2281" spans="2:5" x14ac:dyDescent="0.2">
      <c r="B2281" t="s">
        <v>3731</v>
      </c>
      <c r="C2281">
        <v>532081</v>
      </c>
      <c r="D2281" t="s">
        <v>3732</v>
      </c>
      <c r="E2281" t="s">
        <v>369</v>
      </c>
    </row>
    <row r="2282" spans="2:5" x14ac:dyDescent="0.2">
      <c r="B2282" t="s">
        <v>3733</v>
      </c>
      <c r="C2282">
        <v>532937</v>
      </c>
      <c r="D2282" t="s">
        <v>366</v>
      </c>
      <c r="E2282" t="s">
        <v>360</v>
      </c>
    </row>
    <row r="2283" spans="2:5" x14ac:dyDescent="0.2">
      <c r="B2283" t="s">
        <v>3734</v>
      </c>
      <c r="C2283">
        <v>539408</v>
      </c>
      <c r="D2283" t="s">
        <v>366</v>
      </c>
      <c r="E2283" t="s">
        <v>383</v>
      </c>
    </row>
    <row r="2284" spans="2:5" x14ac:dyDescent="0.2">
      <c r="B2284" t="s">
        <v>3735</v>
      </c>
      <c r="C2284">
        <v>505299</v>
      </c>
      <c r="D2284" t="s">
        <v>366</v>
      </c>
      <c r="E2284" t="s">
        <v>374</v>
      </c>
    </row>
    <row r="2285" spans="2:5" x14ac:dyDescent="0.2">
      <c r="B2285" t="s">
        <v>3736</v>
      </c>
      <c r="C2285">
        <v>513703</v>
      </c>
      <c r="D2285" t="s">
        <v>366</v>
      </c>
      <c r="E2285" t="s">
        <v>381</v>
      </c>
    </row>
    <row r="2286" spans="2:5" x14ac:dyDescent="0.2">
      <c r="B2286" t="s">
        <v>3737</v>
      </c>
      <c r="C2286">
        <v>523594</v>
      </c>
      <c r="D2286" t="s">
        <v>366</v>
      </c>
      <c r="E2286" t="s">
        <v>486</v>
      </c>
    </row>
    <row r="2287" spans="2:5" x14ac:dyDescent="0.2">
      <c r="B2287" t="s">
        <v>3738</v>
      </c>
      <c r="C2287">
        <v>511048</v>
      </c>
      <c r="D2287" t="s">
        <v>366</v>
      </c>
      <c r="E2287" t="s">
        <v>388</v>
      </c>
    </row>
    <row r="2288" spans="2:5" x14ac:dyDescent="0.2">
      <c r="B2288" t="s">
        <v>3739</v>
      </c>
      <c r="C2288">
        <v>514240</v>
      </c>
      <c r="D2288" t="s">
        <v>366</v>
      </c>
      <c r="E2288" t="s">
        <v>381</v>
      </c>
    </row>
    <row r="2289" spans="2:5" x14ac:dyDescent="0.2">
      <c r="B2289" t="s">
        <v>3740</v>
      </c>
      <c r="C2289">
        <v>536170</v>
      </c>
      <c r="D2289" t="s">
        <v>366</v>
      </c>
      <c r="E2289" t="s">
        <v>388</v>
      </c>
    </row>
    <row r="2290" spans="2:5" x14ac:dyDescent="0.2">
      <c r="B2290" t="s">
        <v>3741</v>
      </c>
      <c r="C2290">
        <v>530421</v>
      </c>
      <c r="D2290" t="s">
        <v>366</v>
      </c>
      <c r="E2290" t="s">
        <v>414</v>
      </c>
    </row>
    <row r="2291" spans="2:5" x14ac:dyDescent="0.2">
      <c r="B2291" t="s">
        <v>3742</v>
      </c>
      <c r="C2291">
        <v>531206</v>
      </c>
      <c r="D2291" t="s">
        <v>366</v>
      </c>
      <c r="E2291" t="s">
        <v>383</v>
      </c>
    </row>
    <row r="2292" spans="2:5" x14ac:dyDescent="0.2">
      <c r="B2292" t="s">
        <v>3743</v>
      </c>
      <c r="C2292">
        <v>531882</v>
      </c>
      <c r="D2292" t="s">
        <v>3744</v>
      </c>
      <c r="E2292" t="s">
        <v>426</v>
      </c>
    </row>
    <row r="2293" spans="2:5" x14ac:dyDescent="0.2">
      <c r="B2293" t="s">
        <v>3745</v>
      </c>
      <c r="C2293">
        <v>539997</v>
      </c>
      <c r="D2293" t="s">
        <v>366</v>
      </c>
      <c r="E2293" t="s">
        <v>404</v>
      </c>
    </row>
    <row r="2294" spans="2:5" x14ac:dyDescent="0.2">
      <c r="B2294" t="s">
        <v>3746</v>
      </c>
      <c r="C2294">
        <v>537669</v>
      </c>
      <c r="D2294" t="s">
        <v>366</v>
      </c>
      <c r="E2294" t="s">
        <v>444</v>
      </c>
    </row>
    <row r="2295" spans="2:5" x14ac:dyDescent="0.2">
      <c r="B2295" t="s">
        <v>3747</v>
      </c>
      <c r="C2295">
        <v>533519</v>
      </c>
      <c r="D2295" t="s">
        <v>3748</v>
      </c>
      <c r="E2295" t="s">
        <v>532</v>
      </c>
    </row>
    <row r="2296" spans="2:5" x14ac:dyDescent="0.2">
      <c r="B2296" t="s">
        <v>3749</v>
      </c>
      <c r="C2296">
        <v>540115</v>
      </c>
      <c r="D2296" t="s">
        <v>3750</v>
      </c>
      <c r="E2296" t="s">
        <v>372</v>
      </c>
    </row>
    <row r="2297" spans="2:5" x14ac:dyDescent="0.2">
      <c r="B2297" t="s">
        <v>3751</v>
      </c>
      <c r="C2297">
        <v>526947</v>
      </c>
      <c r="D2297" t="s">
        <v>3752</v>
      </c>
      <c r="E2297" t="s">
        <v>1410</v>
      </c>
    </row>
    <row r="2298" spans="2:5" x14ac:dyDescent="0.2">
      <c r="B2298" t="s">
        <v>3753</v>
      </c>
      <c r="C2298">
        <v>505693</v>
      </c>
      <c r="D2298" t="s">
        <v>3754</v>
      </c>
      <c r="E2298" t="s">
        <v>551</v>
      </c>
    </row>
    <row r="2299" spans="2:5" x14ac:dyDescent="0.2">
      <c r="B2299" t="s">
        <v>3755</v>
      </c>
      <c r="C2299">
        <v>524202</v>
      </c>
      <c r="D2299" t="s">
        <v>366</v>
      </c>
      <c r="E2299" t="s">
        <v>446</v>
      </c>
    </row>
    <row r="2300" spans="2:5" x14ac:dyDescent="0.2">
      <c r="B2300" t="s">
        <v>3756</v>
      </c>
      <c r="C2300">
        <v>524202</v>
      </c>
      <c r="D2300" t="s">
        <v>366</v>
      </c>
      <c r="E2300" t="s">
        <v>446</v>
      </c>
    </row>
    <row r="2301" spans="2:5" x14ac:dyDescent="0.2">
      <c r="B2301" t="s">
        <v>3757</v>
      </c>
      <c r="C2301">
        <v>540026</v>
      </c>
      <c r="D2301" t="s">
        <v>366</v>
      </c>
      <c r="E2301" t="s">
        <v>452</v>
      </c>
    </row>
    <row r="2302" spans="2:5" x14ac:dyDescent="0.2">
      <c r="B2302" t="s">
        <v>3758</v>
      </c>
      <c r="C2302">
        <v>530577</v>
      </c>
      <c r="D2302" t="s">
        <v>366</v>
      </c>
      <c r="E2302" t="s">
        <v>383</v>
      </c>
    </row>
    <row r="2303" spans="2:5" x14ac:dyDescent="0.2">
      <c r="B2303" t="s">
        <v>3759</v>
      </c>
      <c r="C2303">
        <v>524522</v>
      </c>
      <c r="D2303" t="s">
        <v>366</v>
      </c>
      <c r="E2303" t="s">
        <v>414</v>
      </c>
    </row>
    <row r="2304" spans="2:5" x14ac:dyDescent="0.2">
      <c r="B2304" t="s">
        <v>3760</v>
      </c>
      <c r="C2304" t="s">
        <v>366</v>
      </c>
      <c r="D2304" t="s">
        <v>3761</v>
      </c>
      <c r="E2304" t="s">
        <v>377</v>
      </c>
    </row>
    <row r="2305" spans="2:5" x14ac:dyDescent="0.2">
      <c r="B2305" t="s">
        <v>3762</v>
      </c>
      <c r="C2305">
        <v>531842</v>
      </c>
      <c r="D2305" t="s">
        <v>366</v>
      </c>
      <c r="E2305" t="s">
        <v>388</v>
      </c>
    </row>
    <row r="2306" spans="2:5" x14ac:dyDescent="0.2">
      <c r="B2306" t="s">
        <v>3763</v>
      </c>
      <c r="C2306">
        <v>535387</v>
      </c>
      <c r="D2306" t="s">
        <v>366</v>
      </c>
      <c r="E2306" t="s">
        <v>381</v>
      </c>
    </row>
    <row r="2307" spans="2:5" x14ac:dyDescent="0.2">
      <c r="B2307" t="s">
        <v>3764</v>
      </c>
      <c r="C2307">
        <v>535387</v>
      </c>
      <c r="D2307" t="s">
        <v>366</v>
      </c>
      <c r="E2307" t="s">
        <v>381</v>
      </c>
    </row>
    <row r="2308" spans="2:5" x14ac:dyDescent="0.2">
      <c r="B2308" t="s">
        <v>3765</v>
      </c>
      <c r="C2308">
        <v>505302</v>
      </c>
      <c r="D2308" t="s">
        <v>366</v>
      </c>
      <c r="E2308" t="s">
        <v>374</v>
      </c>
    </row>
    <row r="2309" spans="2:5" x14ac:dyDescent="0.2">
      <c r="B2309" t="s">
        <v>3766</v>
      </c>
      <c r="C2309">
        <v>504258</v>
      </c>
      <c r="D2309" t="s">
        <v>366</v>
      </c>
      <c r="E2309" t="s">
        <v>664</v>
      </c>
    </row>
    <row r="2310" spans="2:5" x14ac:dyDescent="0.2">
      <c r="B2310" t="s">
        <v>3767</v>
      </c>
      <c r="C2310" t="s">
        <v>366</v>
      </c>
      <c r="D2310" t="s">
        <v>3768</v>
      </c>
      <c r="E2310" t="s">
        <v>457</v>
      </c>
    </row>
    <row r="2311" spans="2:5" x14ac:dyDescent="0.2">
      <c r="B2311" t="s">
        <v>3769</v>
      </c>
      <c r="C2311">
        <v>500252</v>
      </c>
      <c r="D2311" t="s">
        <v>3770</v>
      </c>
      <c r="E2311" t="s">
        <v>374</v>
      </c>
    </row>
    <row r="2312" spans="2:5" x14ac:dyDescent="0.2">
      <c r="B2312" t="s">
        <v>3771</v>
      </c>
      <c r="C2312">
        <v>502958</v>
      </c>
      <c r="D2312" t="s">
        <v>366</v>
      </c>
      <c r="E2312" t="s">
        <v>381</v>
      </c>
    </row>
    <row r="2313" spans="2:5" x14ac:dyDescent="0.2">
      <c r="B2313" t="s">
        <v>3772</v>
      </c>
      <c r="C2313">
        <v>506079</v>
      </c>
      <c r="D2313" t="s">
        <v>3773</v>
      </c>
      <c r="E2313" t="s">
        <v>689</v>
      </c>
    </row>
    <row r="2314" spans="2:5" x14ac:dyDescent="0.2">
      <c r="B2314" t="s">
        <v>3774</v>
      </c>
      <c r="C2314">
        <v>534690</v>
      </c>
      <c r="D2314" t="s">
        <v>3775</v>
      </c>
      <c r="E2314" t="s">
        <v>684</v>
      </c>
    </row>
    <row r="2315" spans="2:5" x14ac:dyDescent="0.2">
      <c r="B2315" t="s">
        <v>3776</v>
      </c>
      <c r="C2315">
        <v>590075</v>
      </c>
      <c r="D2315" t="s">
        <v>3777</v>
      </c>
      <c r="E2315" t="s">
        <v>381</v>
      </c>
    </row>
    <row r="2316" spans="2:5" x14ac:dyDescent="0.2">
      <c r="B2316" t="s">
        <v>3778</v>
      </c>
      <c r="C2316">
        <v>539841</v>
      </c>
      <c r="D2316" t="s">
        <v>366</v>
      </c>
      <c r="E2316" t="s">
        <v>687</v>
      </c>
    </row>
    <row r="2317" spans="2:5" x14ac:dyDescent="0.2">
      <c r="B2317" t="s">
        <v>3779</v>
      </c>
      <c r="C2317">
        <v>509048</v>
      </c>
      <c r="D2317" t="s">
        <v>366</v>
      </c>
      <c r="E2317" t="s">
        <v>452</v>
      </c>
    </row>
    <row r="2318" spans="2:5" x14ac:dyDescent="0.2">
      <c r="B2318" t="s">
        <v>3780</v>
      </c>
      <c r="C2318">
        <v>532275</v>
      </c>
      <c r="D2318" t="s">
        <v>366</v>
      </c>
      <c r="E2318" t="s">
        <v>383</v>
      </c>
    </row>
    <row r="2319" spans="2:5" x14ac:dyDescent="0.2">
      <c r="B2319" t="s">
        <v>3781</v>
      </c>
      <c r="C2319">
        <v>533012</v>
      </c>
      <c r="D2319" t="s">
        <v>3782</v>
      </c>
      <c r="E2319" t="s">
        <v>452</v>
      </c>
    </row>
    <row r="2320" spans="2:5" x14ac:dyDescent="0.2">
      <c r="B2320" t="s">
        <v>3783</v>
      </c>
      <c r="C2320">
        <v>540005</v>
      </c>
      <c r="D2320" t="s">
        <v>3784</v>
      </c>
      <c r="E2320" t="s">
        <v>352</v>
      </c>
    </row>
    <row r="2321" spans="2:5" x14ac:dyDescent="0.2">
      <c r="B2321" t="s">
        <v>3785</v>
      </c>
      <c r="C2321">
        <v>500510</v>
      </c>
      <c r="D2321" t="s">
        <v>3786</v>
      </c>
      <c r="E2321" t="s">
        <v>764</v>
      </c>
    </row>
    <row r="2322" spans="2:5" x14ac:dyDescent="0.2">
      <c r="B2322" t="s">
        <v>3787</v>
      </c>
      <c r="C2322">
        <v>540702</v>
      </c>
      <c r="D2322" t="s">
        <v>3788</v>
      </c>
      <c r="E2322" t="s">
        <v>555</v>
      </c>
    </row>
    <row r="2323" spans="2:5" x14ac:dyDescent="0.2">
      <c r="B2323" t="s">
        <v>3789</v>
      </c>
      <c r="C2323">
        <v>531164</v>
      </c>
      <c r="D2323" t="s">
        <v>366</v>
      </c>
      <c r="E2323" t="s">
        <v>480</v>
      </c>
    </row>
    <row r="2324" spans="2:5" x14ac:dyDescent="0.2">
      <c r="B2324" t="s">
        <v>3790</v>
      </c>
      <c r="C2324">
        <v>539909</v>
      </c>
      <c r="D2324" t="s">
        <v>366</v>
      </c>
      <c r="E2324" t="s">
        <v>383</v>
      </c>
    </row>
    <row r="2325" spans="2:5" x14ac:dyDescent="0.2">
      <c r="B2325" t="s">
        <v>3791</v>
      </c>
      <c r="C2325" t="s">
        <v>366</v>
      </c>
      <c r="D2325" t="s">
        <v>3792</v>
      </c>
      <c r="E2325" t="s">
        <v>377</v>
      </c>
    </row>
    <row r="2326" spans="2:5" x14ac:dyDescent="0.2">
      <c r="B2326" t="s">
        <v>3793</v>
      </c>
      <c r="C2326">
        <v>540222</v>
      </c>
      <c r="D2326" t="s">
        <v>3794</v>
      </c>
      <c r="E2326" t="s">
        <v>404</v>
      </c>
    </row>
    <row r="2327" spans="2:5" x14ac:dyDescent="0.2">
      <c r="B2327" t="s">
        <v>3795</v>
      </c>
      <c r="C2327">
        <v>532829</v>
      </c>
      <c r="D2327" t="s">
        <v>366</v>
      </c>
      <c r="E2327" t="s">
        <v>792</v>
      </c>
    </row>
    <row r="2328" spans="2:5" x14ac:dyDescent="0.2">
      <c r="B2328" t="s">
        <v>3796</v>
      </c>
      <c r="C2328" t="s">
        <v>366</v>
      </c>
      <c r="D2328" t="s">
        <v>3797</v>
      </c>
      <c r="E2328" t="s">
        <v>377</v>
      </c>
    </row>
    <row r="2329" spans="2:5" x14ac:dyDescent="0.2">
      <c r="B2329" t="s">
        <v>3798</v>
      </c>
      <c r="C2329">
        <v>531288</v>
      </c>
      <c r="D2329" t="s">
        <v>366</v>
      </c>
      <c r="E2329" t="s">
        <v>383</v>
      </c>
    </row>
    <row r="2330" spans="2:5" x14ac:dyDescent="0.2">
      <c r="B2330" t="s">
        <v>3799</v>
      </c>
      <c r="C2330">
        <v>540360</v>
      </c>
      <c r="D2330" t="s">
        <v>366</v>
      </c>
      <c r="E2330" t="s">
        <v>349</v>
      </c>
    </row>
    <row r="2331" spans="2:5" x14ac:dyDescent="0.2">
      <c r="B2331" t="s">
        <v>3800</v>
      </c>
      <c r="C2331">
        <v>508306</v>
      </c>
      <c r="D2331" t="s">
        <v>366</v>
      </c>
      <c r="E2331" t="s">
        <v>773</v>
      </c>
    </row>
    <row r="2332" spans="2:5" x14ac:dyDescent="0.2">
      <c r="B2332" t="s">
        <v>3801</v>
      </c>
      <c r="C2332">
        <v>517415</v>
      </c>
      <c r="D2332" t="s">
        <v>366</v>
      </c>
      <c r="E2332" t="s">
        <v>696</v>
      </c>
    </row>
    <row r="2333" spans="2:5" x14ac:dyDescent="0.2">
      <c r="B2333" t="s">
        <v>3802</v>
      </c>
      <c r="C2333">
        <v>517518</v>
      </c>
      <c r="D2333" t="s">
        <v>3803</v>
      </c>
      <c r="E2333" t="s">
        <v>374</v>
      </c>
    </row>
    <row r="2334" spans="2:5" x14ac:dyDescent="0.2">
      <c r="B2334" t="s">
        <v>3804</v>
      </c>
      <c r="C2334">
        <v>509046</v>
      </c>
      <c r="D2334" t="s">
        <v>366</v>
      </c>
      <c r="E2334" t="s">
        <v>787</v>
      </c>
    </row>
    <row r="2335" spans="2:5" x14ac:dyDescent="0.2">
      <c r="B2335" t="s">
        <v>3805</v>
      </c>
      <c r="C2335">
        <v>780021</v>
      </c>
      <c r="D2335" t="s">
        <v>366</v>
      </c>
      <c r="E2335" t="s">
        <v>457</v>
      </c>
    </row>
    <row r="2336" spans="2:5" x14ac:dyDescent="0.2">
      <c r="B2336" t="s">
        <v>3806</v>
      </c>
      <c r="C2336">
        <v>541233</v>
      </c>
      <c r="D2336" t="s">
        <v>3807</v>
      </c>
      <c r="E2336" t="s">
        <v>567</v>
      </c>
    </row>
    <row r="2337" spans="2:5" x14ac:dyDescent="0.2">
      <c r="B2337" t="s">
        <v>3808</v>
      </c>
      <c r="C2337">
        <v>533602</v>
      </c>
      <c r="D2337" t="s">
        <v>366</v>
      </c>
      <c r="E2337" t="s">
        <v>386</v>
      </c>
    </row>
    <row r="2338" spans="2:5" x14ac:dyDescent="0.2">
      <c r="B2338" t="s">
        <v>3809</v>
      </c>
      <c r="C2338">
        <v>541196</v>
      </c>
      <c r="D2338" t="s">
        <v>366</v>
      </c>
      <c r="E2338" t="s">
        <v>450</v>
      </c>
    </row>
    <row r="2339" spans="2:5" x14ac:dyDescent="0.2">
      <c r="B2339" t="s">
        <v>3810</v>
      </c>
      <c r="C2339" t="s">
        <v>366</v>
      </c>
      <c r="D2339" t="s">
        <v>3811</v>
      </c>
      <c r="E2339" t="s">
        <v>377</v>
      </c>
    </row>
    <row r="2340" spans="2:5" x14ac:dyDescent="0.2">
      <c r="B2340" t="s">
        <v>3812</v>
      </c>
      <c r="C2340" t="s">
        <v>366</v>
      </c>
      <c r="D2340" t="s">
        <v>3811</v>
      </c>
      <c r="E2340" t="s">
        <v>377</v>
      </c>
    </row>
    <row r="2341" spans="2:5" x14ac:dyDescent="0.2">
      <c r="B2341" t="s">
        <v>3813</v>
      </c>
      <c r="C2341">
        <v>500250</v>
      </c>
      <c r="D2341" t="s">
        <v>3814</v>
      </c>
      <c r="E2341" t="s">
        <v>721</v>
      </c>
    </row>
    <row r="2342" spans="2:5" x14ac:dyDescent="0.2">
      <c r="B2342" t="s">
        <v>3815</v>
      </c>
      <c r="C2342">
        <v>533007</v>
      </c>
      <c r="D2342" t="s">
        <v>3816</v>
      </c>
      <c r="E2342" t="s">
        <v>1284</v>
      </c>
    </row>
    <row r="2343" spans="2:5" x14ac:dyDescent="0.2">
      <c r="B2343" t="s">
        <v>3817</v>
      </c>
      <c r="C2343" t="s">
        <v>366</v>
      </c>
      <c r="D2343" t="s">
        <v>3818</v>
      </c>
      <c r="E2343" t="s">
        <v>377</v>
      </c>
    </row>
    <row r="2344" spans="2:5" x14ac:dyDescent="0.2">
      <c r="B2344" t="s">
        <v>3819</v>
      </c>
      <c r="C2344">
        <v>526596</v>
      </c>
      <c r="D2344" t="s">
        <v>3820</v>
      </c>
      <c r="E2344" t="s">
        <v>792</v>
      </c>
    </row>
    <row r="2345" spans="2:5" x14ac:dyDescent="0.2">
      <c r="B2345" t="s">
        <v>3821</v>
      </c>
      <c r="C2345">
        <v>511593</v>
      </c>
      <c r="D2345" t="s">
        <v>366</v>
      </c>
      <c r="E2345" t="s">
        <v>383</v>
      </c>
    </row>
    <row r="2346" spans="2:5" x14ac:dyDescent="0.2">
      <c r="B2346" t="s">
        <v>3822</v>
      </c>
      <c r="C2346">
        <v>531027</v>
      </c>
      <c r="D2346" t="s">
        <v>366</v>
      </c>
      <c r="E2346" t="s">
        <v>349</v>
      </c>
    </row>
    <row r="2347" spans="2:5" x14ac:dyDescent="0.2">
      <c r="B2347" t="s">
        <v>3823</v>
      </c>
      <c r="C2347">
        <v>500253</v>
      </c>
      <c r="D2347" t="s">
        <v>3824</v>
      </c>
      <c r="E2347" t="s">
        <v>424</v>
      </c>
    </row>
    <row r="2348" spans="2:5" x14ac:dyDescent="0.2">
      <c r="B2348" t="s">
        <v>3825</v>
      </c>
      <c r="C2348">
        <v>539927</v>
      </c>
      <c r="D2348" t="s">
        <v>366</v>
      </c>
      <c r="E2348" t="s">
        <v>450</v>
      </c>
    </row>
    <row r="2349" spans="2:5" x14ac:dyDescent="0.2">
      <c r="B2349" t="s">
        <v>3826</v>
      </c>
      <c r="C2349">
        <v>507759</v>
      </c>
      <c r="D2349" t="s">
        <v>366</v>
      </c>
      <c r="E2349" t="s">
        <v>414</v>
      </c>
    </row>
    <row r="2350" spans="2:5" x14ac:dyDescent="0.2">
      <c r="B2350" t="s">
        <v>3827</v>
      </c>
      <c r="C2350">
        <v>517463</v>
      </c>
      <c r="D2350" t="s">
        <v>3828</v>
      </c>
      <c r="E2350" t="s">
        <v>908</v>
      </c>
    </row>
    <row r="2351" spans="2:5" x14ac:dyDescent="0.2">
      <c r="B2351" t="s">
        <v>3829</v>
      </c>
      <c r="C2351">
        <v>531241</v>
      </c>
      <c r="D2351" t="s">
        <v>3830</v>
      </c>
      <c r="E2351" t="s">
        <v>912</v>
      </c>
    </row>
    <row r="2352" spans="2:5" x14ac:dyDescent="0.2">
      <c r="B2352" t="s">
        <v>3831</v>
      </c>
      <c r="C2352">
        <v>531633</v>
      </c>
      <c r="D2352" t="s">
        <v>3832</v>
      </c>
      <c r="E2352" t="s">
        <v>404</v>
      </c>
    </row>
    <row r="2353" spans="2:5" x14ac:dyDescent="0.2">
      <c r="B2353" t="s">
        <v>3833</v>
      </c>
      <c r="C2353">
        <v>523457</v>
      </c>
      <c r="D2353" t="s">
        <v>3834</v>
      </c>
      <c r="E2353" t="s">
        <v>1400</v>
      </c>
    </row>
    <row r="2354" spans="2:5" x14ac:dyDescent="0.2">
      <c r="B2354" t="s">
        <v>3835</v>
      </c>
      <c r="C2354">
        <v>523457</v>
      </c>
      <c r="D2354" t="s">
        <v>3836</v>
      </c>
      <c r="E2354" t="s">
        <v>1400</v>
      </c>
    </row>
    <row r="2355" spans="2:5" x14ac:dyDescent="0.2">
      <c r="B2355" t="s">
        <v>3837</v>
      </c>
      <c r="C2355">
        <v>524748</v>
      </c>
      <c r="D2355" t="s">
        <v>366</v>
      </c>
      <c r="E2355" t="s">
        <v>414</v>
      </c>
    </row>
    <row r="2356" spans="2:5" x14ac:dyDescent="0.2">
      <c r="B2356" t="s">
        <v>3838</v>
      </c>
      <c r="C2356">
        <v>526604</v>
      </c>
      <c r="D2356" t="s">
        <v>366</v>
      </c>
      <c r="E2356" t="s">
        <v>374</v>
      </c>
    </row>
    <row r="2357" spans="2:5" x14ac:dyDescent="0.2">
      <c r="B2357" t="s">
        <v>3839</v>
      </c>
      <c r="C2357">
        <v>507912</v>
      </c>
      <c r="D2357" t="s">
        <v>366</v>
      </c>
      <c r="E2357" t="s">
        <v>349</v>
      </c>
    </row>
    <row r="2358" spans="2:5" x14ac:dyDescent="0.2">
      <c r="B2358" t="s">
        <v>3840</v>
      </c>
      <c r="C2358">
        <v>540192</v>
      </c>
      <c r="D2358" t="s">
        <v>366</v>
      </c>
      <c r="E2358" t="s">
        <v>349</v>
      </c>
    </row>
    <row r="2359" spans="2:5" x14ac:dyDescent="0.2">
      <c r="B2359" t="s">
        <v>3841</v>
      </c>
      <c r="C2359">
        <v>512455</v>
      </c>
      <c r="D2359" t="s">
        <v>366</v>
      </c>
      <c r="E2359" t="s">
        <v>398</v>
      </c>
    </row>
    <row r="2360" spans="2:5" x14ac:dyDescent="0.2">
      <c r="B2360" t="s">
        <v>3842</v>
      </c>
      <c r="C2360">
        <v>539992</v>
      </c>
      <c r="D2360" t="s">
        <v>3843</v>
      </c>
      <c r="E2360" t="s">
        <v>374</v>
      </c>
    </row>
    <row r="2361" spans="2:5" x14ac:dyDescent="0.2">
      <c r="B2361" t="s">
        <v>3844</v>
      </c>
      <c r="C2361">
        <v>590082</v>
      </c>
      <c r="D2361" t="s">
        <v>366</v>
      </c>
      <c r="E2361" t="s">
        <v>349</v>
      </c>
    </row>
    <row r="2362" spans="2:5" x14ac:dyDescent="0.2">
      <c r="B2362" t="s">
        <v>3845</v>
      </c>
      <c r="C2362">
        <v>532740</v>
      </c>
      <c r="D2362" t="s">
        <v>3846</v>
      </c>
      <c r="E2362" t="s">
        <v>374</v>
      </c>
    </row>
    <row r="2363" spans="2:5" x14ac:dyDescent="0.2">
      <c r="B2363" t="s">
        <v>3847</v>
      </c>
      <c r="C2363">
        <v>526568</v>
      </c>
      <c r="D2363" t="s">
        <v>366</v>
      </c>
      <c r="E2363" t="s">
        <v>773</v>
      </c>
    </row>
    <row r="2364" spans="2:5" x14ac:dyDescent="0.2">
      <c r="B2364" t="s">
        <v>3848</v>
      </c>
      <c r="C2364">
        <v>534422</v>
      </c>
      <c r="D2364" t="s">
        <v>366</v>
      </c>
      <c r="E2364" t="s">
        <v>836</v>
      </c>
    </row>
    <row r="2365" spans="2:5" x14ac:dyDescent="0.2">
      <c r="B2365" t="s">
        <v>3849</v>
      </c>
      <c r="C2365">
        <v>500284</v>
      </c>
      <c r="D2365" t="s">
        <v>366</v>
      </c>
      <c r="E2365" t="s">
        <v>414</v>
      </c>
    </row>
    <row r="2366" spans="2:5" x14ac:dyDescent="0.2">
      <c r="B2366" t="s">
        <v>3850</v>
      </c>
      <c r="C2366">
        <v>530065</v>
      </c>
      <c r="D2366" t="s">
        <v>366</v>
      </c>
      <c r="E2366" t="s">
        <v>567</v>
      </c>
    </row>
    <row r="2367" spans="2:5" x14ac:dyDescent="0.2">
      <c r="B2367" t="s">
        <v>3851</v>
      </c>
      <c r="C2367">
        <v>540952</v>
      </c>
      <c r="D2367" t="s">
        <v>366</v>
      </c>
      <c r="E2367" t="s">
        <v>480</v>
      </c>
    </row>
    <row r="2368" spans="2:5" x14ac:dyDescent="0.2">
      <c r="B2368" t="s">
        <v>3852</v>
      </c>
      <c r="C2368">
        <v>523475</v>
      </c>
      <c r="D2368" t="s">
        <v>366</v>
      </c>
      <c r="E2368" t="s">
        <v>426</v>
      </c>
    </row>
    <row r="2369" spans="2:5" x14ac:dyDescent="0.2">
      <c r="B2369" t="s">
        <v>3853</v>
      </c>
      <c r="C2369">
        <v>532998</v>
      </c>
      <c r="D2369" t="s">
        <v>3854</v>
      </c>
      <c r="E2369" t="s">
        <v>836</v>
      </c>
    </row>
    <row r="2370" spans="2:5" x14ac:dyDescent="0.2">
      <c r="B2370" t="s">
        <v>3855</v>
      </c>
      <c r="C2370">
        <v>533343</v>
      </c>
      <c r="D2370" t="s">
        <v>3856</v>
      </c>
      <c r="E2370" t="s">
        <v>480</v>
      </c>
    </row>
    <row r="2371" spans="2:5" x14ac:dyDescent="0.2">
      <c r="B2371" t="s">
        <v>3857</v>
      </c>
      <c r="C2371">
        <v>539227</v>
      </c>
      <c r="D2371" t="s">
        <v>366</v>
      </c>
      <c r="E2371" t="s">
        <v>374</v>
      </c>
    </row>
    <row r="2372" spans="2:5" x14ac:dyDescent="0.2">
      <c r="B2372" t="s">
        <v>3858</v>
      </c>
      <c r="C2372">
        <v>514036</v>
      </c>
      <c r="D2372" t="s">
        <v>366</v>
      </c>
      <c r="E2372" t="s">
        <v>381</v>
      </c>
    </row>
    <row r="2373" spans="2:5" x14ac:dyDescent="0.2">
      <c r="B2373" t="s">
        <v>3859</v>
      </c>
      <c r="C2373">
        <v>532783</v>
      </c>
      <c r="D2373" t="s">
        <v>3860</v>
      </c>
      <c r="E2373" t="s">
        <v>426</v>
      </c>
    </row>
    <row r="2374" spans="2:5" x14ac:dyDescent="0.2">
      <c r="B2374" t="s">
        <v>3861</v>
      </c>
      <c r="C2374">
        <v>526179</v>
      </c>
      <c r="D2374" t="s">
        <v>366</v>
      </c>
      <c r="E2374" t="s">
        <v>603</v>
      </c>
    </row>
    <row r="2375" spans="2:5" x14ac:dyDescent="0.2">
      <c r="B2375" t="s">
        <v>3862</v>
      </c>
      <c r="C2375">
        <v>512048</v>
      </c>
      <c r="D2375" t="s">
        <v>366</v>
      </c>
      <c r="E2375" t="s">
        <v>452</v>
      </c>
    </row>
    <row r="2376" spans="2:5" x14ac:dyDescent="0.2">
      <c r="B2376" t="s">
        <v>3863</v>
      </c>
      <c r="C2376">
        <v>532796</v>
      </c>
      <c r="D2376" t="s">
        <v>3864</v>
      </c>
      <c r="E2376" t="s">
        <v>721</v>
      </c>
    </row>
    <row r="2377" spans="2:5" x14ac:dyDescent="0.2">
      <c r="B2377" t="s">
        <v>3865</v>
      </c>
      <c r="C2377">
        <v>517206</v>
      </c>
      <c r="D2377" t="s">
        <v>3866</v>
      </c>
      <c r="E2377" t="s">
        <v>721</v>
      </c>
    </row>
    <row r="2378" spans="2:5" x14ac:dyDescent="0.2">
      <c r="B2378" t="s">
        <v>3867</v>
      </c>
      <c r="C2378">
        <v>500257</v>
      </c>
      <c r="D2378" t="s">
        <v>3868</v>
      </c>
      <c r="E2378" t="s">
        <v>404</v>
      </c>
    </row>
    <row r="2379" spans="2:5" x14ac:dyDescent="0.2">
      <c r="B2379" t="s">
        <v>3869</v>
      </c>
      <c r="C2379">
        <v>539542</v>
      </c>
      <c r="D2379" t="s">
        <v>3870</v>
      </c>
      <c r="E2379" t="s">
        <v>480</v>
      </c>
    </row>
    <row r="2380" spans="2:5" x14ac:dyDescent="0.2">
      <c r="B2380" t="s">
        <v>3871</v>
      </c>
      <c r="C2380">
        <v>531402</v>
      </c>
      <c r="D2380" t="s">
        <v>366</v>
      </c>
      <c r="E2380" t="s">
        <v>388</v>
      </c>
    </row>
    <row r="2381" spans="2:5" x14ac:dyDescent="0.2">
      <c r="B2381" t="s">
        <v>3872</v>
      </c>
      <c r="C2381">
        <v>500259</v>
      </c>
      <c r="D2381" t="s">
        <v>3873</v>
      </c>
      <c r="E2381" t="s">
        <v>404</v>
      </c>
    </row>
    <row r="2382" spans="2:5" x14ac:dyDescent="0.2">
      <c r="B2382" t="s">
        <v>3874</v>
      </c>
      <c r="C2382">
        <v>530689</v>
      </c>
      <c r="D2382" t="s">
        <v>366</v>
      </c>
      <c r="E2382" t="s">
        <v>548</v>
      </c>
    </row>
    <row r="2383" spans="2:5" x14ac:dyDescent="0.2">
      <c r="B2383" t="s">
        <v>3875</v>
      </c>
      <c r="C2383">
        <v>505320</v>
      </c>
      <c r="D2383" t="s">
        <v>366</v>
      </c>
      <c r="E2383" t="s">
        <v>374</v>
      </c>
    </row>
    <row r="2384" spans="2:5" x14ac:dyDescent="0.2">
      <c r="B2384" t="s">
        <v>3876</v>
      </c>
      <c r="C2384">
        <v>534532</v>
      </c>
      <c r="D2384" t="s">
        <v>3877</v>
      </c>
      <c r="E2384" t="s">
        <v>480</v>
      </c>
    </row>
    <row r="2385" spans="2:5" x14ac:dyDescent="0.2">
      <c r="B2385" t="s">
        <v>3878</v>
      </c>
      <c r="C2385">
        <v>526935</v>
      </c>
      <c r="D2385" t="s">
        <v>366</v>
      </c>
      <c r="E2385" t="s">
        <v>349</v>
      </c>
    </row>
    <row r="2386" spans="2:5" x14ac:dyDescent="0.2">
      <c r="B2386" t="s">
        <v>3879</v>
      </c>
      <c r="C2386">
        <v>538890</v>
      </c>
      <c r="D2386" t="s">
        <v>366</v>
      </c>
      <c r="E2386" t="s">
        <v>381</v>
      </c>
    </row>
    <row r="2387" spans="2:5" x14ac:dyDescent="0.2">
      <c r="B2387" t="s">
        <v>3880</v>
      </c>
      <c r="C2387">
        <v>538890</v>
      </c>
      <c r="D2387" t="s">
        <v>366</v>
      </c>
      <c r="E2387" t="s">
        <v>381</v>
      </c>
    </row>
    <row r="2388" spans="2:5" x14ac:dyDescent="0.2">
      <c r="B2388" t="s">
        <v>3881</v>
      </c>
      <c r="C2388" t="s">
        <v>366</v>
      </c>
      <c r="D2388" t="s">
        <v>3882</v>
      </c>
      <c r="E2388" t="s">
        <v>377</v>
      </c>
    </row>
    <row r="2389" spans="2:5" x14ac:dyDescent="0.2">
      <c r="B2389" t="s">
        <v>3883</v>
      </c>
      <c r="C2389">
        <v>506543</v>
      </c>
      <c r="D2389" t="s">
        <v>366</v>
      </c>
      <c r="E2389" t="s">
        <v>874</v>
      </c>
    </row>
    <row r="2390" spans="2:5" x14ac:dyDescent="0.2">
      <c r="B2390" t="s">
        <v>3884</v>
      </c>
      <c r="C2390">
        <v>532906</v>
      </c>
      <c r="D2390" t="s">
        <v>3885</v>
      </c>
      <c r="E2390" t="s">
        <v>764</v>
      </c>
    </row>
    <row r="2391" spans="2:5" x14ac:dyDescent="0.2">
      <c r="B2391" t="s">
        <v>3886</v>
      </c>
      <c r="C2391">
        <v>507836</v>
      </c>
      <c r="D2391" t="s">
        <v>366</v>
      </c>
      <c r="E2391" t="s">
        <v>567</v>
      </c>
    </row>
    <row r="2392" spans="2:5" x14ac:dyDescent="0.2">
      <c r="B2392" t="s">
        <v>3887</v>
      </c>
      <c r="C2392">
        <v>507836</v>
      </c>
      <c r="D2392" t="s">
        <v>366</v>
      </c>
      <c r="E2392" t="s">
        <v>567</v>
      </c>
    </row>
    <row r="2393" spans="2:5" x14ac:dyDescent="0.2">
      <c r="B2393" t="s">
        <v>3888</v>
      </c>
      <c r="C2393">
        <v>541973</v>
      </c>
      <c r="D2393" t="s">
        <v>366</v>
      </c>
      <c r="E2393" t="s">
        <v>567</v>
      </c>
    </row>
    <row r="2394" spans="2:5" x14ac:dyDescent="0.2">
      <c r="B2394" t="s">
        <v>3889</v>
      </c>
      <c r="C2394">
        <v>523248</v>
      </c>
      <c r="D2394" t="s">
        <v>366</v>
      </c>
      <c r="E2394" t="s">
        <v>486</v>
      </c>
    </row>
    <row r="2395" spans="2:5" x14ac:dyDescent="0.2">
      <c r="B2395" t="s">
        <v>3890</v>
      </c>
      <c r="C2395">
        <v>501471</v>
      </c>
      <c r="D2395" t="s">
        <v>366</v>
      </c>
      <c r="E2395" t="s">
        <v>388</v>
      </c>
    </row>
    <row r="2396" spans="2:5" x14ac:dyDescent="0.2">
      <c r="B2396" t="s">
        <v>3891</v>
      </c>
      <c r="C2396" t="s">
        <v>366</v>
      </c>
      <c r="D2396" t="s">
        <v>3892</v>
      </c>
      <c r="E2396" t="s">
        <v>377</v>
      </c>
    </row>
    <row r="2397" spans="2:5" x14ac:dyDescent="0.2">
      <c r="B2397" t="s">
        <v>3893</v>
      </c>
      <c r="C2397">
        <v>512600</v>
      </c>
      <c r="D2397" t="s">
        <v>366</v>
      </c>
      <c r="E2397" t="s">
        <v>388</v>
      </c>
    </row>
    <row r="2398" spans="2:5" x14ac:dyDescent="0.2">
      <c r="B2398" t="s">
        <v>3894</v>
      </c>
      <c r="C2398" t="s">
        <v>366</v>
      </c>
      <c r="D2398" t="s">
        <v>3895</v>
      </c>
      <c r="E2398" t="s">
        <v>377</v>
      </c>
    </row>
    <row r="2399" spans="2:5" x14ac:dyDescent="0.2">
      <c r="B2399" t="s">
        <v>3896</v>
      </c>
      <c r="C2399">
        <v>539894</v>
      </c>
      <c r="D2399" t="s">
        <v>366</v>
      </c>
      <c r="E2399" t="s">
        <v>764</v>
      </c>
    </row>
    <row r="2400" spans="2:5" x14ac:dyDescent="0.2">
      <c r="B2400" t="s">
        <v>3897</v>
      </c>
      <c r="C2400">
        <v>515093</v>
      </c>
      <c r="D2400" t="s">
        <v>3898</v>
      </c>
      <c r="E2400" t="s">
        <v>894</v>
      </c>
    </row>
    <row r="2401" spans="2:5" x14ac:dyDescent="0.2">
      <c r="B2401" t="s">
        <v>3899</v>
      </c>
      <c r="C2401">
        <v>780009</v>
      </c>
      <c r="D2401" t="s">
        <v>366</v>
      </c>
      <c r="E2401" t="s">
        <v>457</v>
      </c>
    </row>
    <row r="2402" spans="2:5" x14ac:dyDescent="0.2">
      <c r="B2402" t="s">
        <v>3900</v>
      </c>
      <c r="C2402">
        <v>531497</v>
      </c>
      <c r="D2402" t="s">
        <v>3901</v>
      </c>
      <c r="E2402" t="s">
        <v>764</v>
      </c>
    </row>
    <row r="2403" spans="2:5" x14ac:dyDescent="0.2">
      <c r="B2403" t="s">
        <v>3902</v>
      </c>
      <c r="C2403">
        <v>519279</v>
      </c>
      <c r="D2403" t="s">
        <v>366</v>
      </c>
      <c r="E2403" t="s">
        <v>564</v>
      </c>
    </row>
    <row r="2404" spans="2:5" x14ac:dyDescent="0.2">
      <c r="B2404" t="s">
        <v>3903</v>
      </c>
      <c r="C2404">
        <v>515059</v>
      </c>
      <c r="D2404" t="s">
        <v>366</v>
      </c>
      <c r="E2404" t="s">
        <v>615</v>
      </c>
    </row>
    <row r="2405" spans="2:5" x14ac:dyDescent="0.2">
      <c r="B2405" t="s">
        <v>3904</v>
      </c>
      <c r="C2405">
        <v>511000</v>
      </c>
      <c r="D2405" t="s">
        <v>366</v>
      </c>
      <c r="E2405" t="s">
        <v>383</v>
      </c>
    </row>
    <row r="2406" spans="2:5" x14ac:dyDescent="0.2">
      <c r="B2406" t="s">
        <v>3905</v>
      </c>
      <c r="C2406">
        <v>531910</v>
      </c>
      <c r="D2406" t="s">
        <v>366</v>
      </c>
      <c r="E2406" t="s">
        <v>404</v>
      </c>
    </row>
    <row r="2407" spans="2:5" x14ac:dyDescent="0.2">
      <c r="B2407" t="s">
        <v>3906</v>
      </c>
      <c r="C2407" t="s">
        <v>366</v>
      </c>
      <c r="D2407" t="s">
        <v>3907</v>
      </c>
      <c r="E2407" t="s">
        <v>377</v>
      </c>
    </row>
    <row r="2408" spans="2:5" x14ac:dyDescent="0.2">
      <c r="B2408" t="s">
        <v>3908</v>
      </c>
      <c r="C2408" t="s">
        <v>366</v>
      </c>
      <c r="D2408" t="s">
        <v>3909</v>
      </c>
      <c r="E2408" t="s">
        <v>377</v>
      </c>
    </row>
    <row r="2409" spans="2:5" x14ac:dyDescent="0.2">
      <c r="B2409" t="s">
        <v>3910</v>
      </c>
      <c r="C2409">
        <v>590134</v>
      </c>
      <c r="D2409" t="s">
        <v>3911</v>
      </c>
      <c r="E2409" t="s">
        <v>874</v>
      </c>
    </row>
    <row r="2410" spans="2:5" x14ac:dyDescent="0.2">
      <c r="B2410" t="s">
        <v>3912</v>
      </c>
      <c r="C2410">
        <v>538401</v>
      </c>
      <c r="D2410" t="s">
        <v>366</v>
      </c>
      <c r="E2410" t="s">
        <v>908</v>
      </c>
    </row>
    <row r="2411" spans="2:5" x14ac:dyDescent="0.2">
      <c r="B2411" t="s">
        <v>3913</v>
      </c>
      <c r="C2411">
        <v>500264</v>
      </c>
      <c r="D2411" t="s">
        <v>366</v>
      </c>
      <c r="E2411" t="s">
        <v>381</v>
      </c>
    </row>
    <row r="2412" spans="2:5" x14ac:dyDescent="0.2">
      <c r="B2412" t="s">
        <v>3914</v>
      </c>
      <c r="C2412">
        <v>540650</v>
      </c>
      <c r="D2412" t="s">
        <v>3915</v>
      </c>
      <c r="E2412" t="s">
        <v>1065</v>
      </c>
    </row>
    <row r="2413" spans="2:5" x14ac:dyDescent="0.2">
      <c r="B2413" t="s">
        <v>3916</v>
      </c>
      <c r="C2413">
        <v>524000</v>
      </c>
      <c r="D2413" t="s">
        <v>3917</v>
      </c>
      <c r="E2413" t="s">
        <v>383</v>
      </c>
    </row>
    <row r="2414" spans="2:5" x14ac:dyDescent="0.2">
      <c r="B2414" t="s">
        <v>3918</v>
      </c>
      <c r="C2414">
        <v>517449</v>
      </c>
      <c r="D2414" t="s">
        <v>366</v>
      </c>
      <c r="E2414" t="s">
        <v>1284</v>
      </c>
    </row>
    <row r="2415" spans="2:5" x14ac:dyDescent="0.2">
      <c r="B2415" t="s">
        <v>3919</v>
      </c>
      <c r="C2415">
        <v>512377</v>
      </c>
      <c r="D2415" t="s">
        <v>366</v>
      </c>
      <c r="E2415" t="s">
        <v>787</v>
      </c>
    </row>
    <row r="2416" spans="2:5" x14ac:dyDescent="0.2">
      <c r="B2416" t="s">
        <v>3920</v>
      </c>
      <c r="C2416">
        <v>532896</v>
      </c>
      <c r="D2416" t="s">
        <v>3921</v>
      </c>
      <c r="E2416" t="s">
        <v>360</v>
      </c>
    </row>
    <row r="2417" spans="2:5" x14ac:dyDescent="0.2">
      <c r="B2417" t="s">
        <v>3922</v>
      </c>
      <c r="C2417">
        <v>523384</v>
      </c>
      <c r="D2417" t="s">
        <v>3923</v>
      </c>
      <c r="E2417" t="s">
        <v>383</v>
      </c>
    </row>
    <row r="2418" spans="2:5" x14ac:dyDescent="0.2">
      <c r="B2418" t="s">
        <v>3924</v>
      </c>
      <c r="C2418">
        <v>519612</v>
      </c>
      <c r="D2418" t="s">
        <v>366</v>
      </c>
      <c r="E2418" t="s">
        <v>426</v>
      </c>
    </row>
    <row r="2419" spans="2:5" x14ac:dyDescent="0.2">
      <c r="B2419" t="s">
        <v>3925</v>
      </c>
      <c r="C2419">
        <v>514450</v>
      </c>
      <c r="D2419" t="s">
        <v>366</v>
      </c>
      <c r="E2419" t="s">
        <v>1284</v>
      </c>
    </row>
    <row r="2420" spans="2:5" x14ac:dyDescent="0.2">
      <c r="B2420" t="s">
        <v>3926</v>
      </c>
      <c r="C2420">
        <v>513460</v>
      </c>
      <c r="D2420" t="s">
        <v>366</v>
      </c>
      <c r="E2420" t="s">
        <v>689</v>
      </c>
    </row>
    <row r="2421" spans="2:5" x14ac:dyDescent="0.2">
      <c r="B2421" t="s">
        <v>3927</v>
      </c>
      <c r="C2421">
        <v>513554</v>
      </c>
      <c r="D2421" t="s">
        <v>3928</v>
      </c>
      <c r="E2421" t="s">
        <v>689</v>
      </c>
    </row>
    <row r="2422" spans="2:5" x14ac:dyDescent="0.2">
      <c r="B2422" t="s">
        <v>3929</v>
      </c>
      <c r="C2422">
        <v>531515</v>
      </c>
      <c r="D2422" t="s">
        <v>366</v>
      </c>
      <c r="E2422" t="s">
        <v>388</v>
      </c>
    </row>
    <row r="2423" spans="2:5" x14ac:dyDescent="0.2">
      <c r="B2423" t="s">
        <v>3930</v>
      </c>
      <c r="C2423">
        <v>539957</v>
      </c>
      <c r="D2423" t="s">
        <v>3931</v>
      </c>
      <c r="E2423" t="s">
        <v>391</v>
      </c>
    </row>
    <row r="2424" spans="2:5" x14ac:dyDescent="0.2">
      <c r="B2424" t="s">
        <v>3932</v>
      </c>
      <c r="C2424">
        <v>500108</v>
      </c>
      <c r="D2424" t="s">
        <v>3933</v>
      </c>
      <c r="E2424" t="s">
        <v>1308</v>
      </c>
    </row>
    <row r="2425" spans="2:5" x14ac:dyDescent="0.2">
      <c r="B2425" t="s">
        <v>3934</v>
      </c>
      <c r="C2425">
        <v>530441</v>
      </c>
      <c r="D2425" t="s">
        <v>366</v>
      </c>
      <c r="E2425" t="s">
        <v>787</v>
      </c>
    </row>
    <row r="2426" spans="2:5" x14ac:dyDescent="0.2">
      <c r="B2426" t="s">
        <v>3935</v>
      </c>
      <c r="C2426">
        <v>530441</v>
      </c>
      <c r="D2426" t="s">
        <v>366</v>
      </c>
      <c r="E2426" t="s">
        <v>787</v>
      </c>
    </row>
    <row r="2427" spans="2:5" x14ac:dyDescent="0.2">
      <c r="B2427" t="s">
        <v>3936</v>
      </c>
      <c r="C2427">
        <v>505523</v>
      </c>
      <c r="D2427" t="s">
        <v>366</v>
      </c>
      <c r="E2427" t="s">
        <v>388</v>
      </c>
    </row>
    <row r="2428" spans="2:5" x14ac:dyDescent="0.2">
      <c r="B2428" t="s">
        <v>3937</v>
      </c>
      <c r="C2428">
        <v>500266</v>
      </c>
      <c r="D2428" t="s">
        <v>3938</v>
      </c>
      <c r="E2428" t="s">
        <v>386</v>
      </c>
    </row>
    <row r="2429" spans="2:5" x14ac:dyDescent="0.2">
      <c r="B2429" t="s">
        <v>3939</v>
      </c>
      <c r="C2429">
        <v>500265</v>
      </c>
      <c r="D2429" t="s">
        <v>3940</v>
      </c>
      <c r="E2429" t="s">
        <v>764</v>
      </c>
    </row>
    <row r="2430" spans="2:5" x14ac:dyDescent="0.2">
      <c r="B2430" t="s">
        <v>3941</v>
      </c>
      <c r="C2430">
        <v>526795</v>
      </c>
      <c r="D2430" t="s">
        <v>366</v>
      </c>
      <c r="E2430" t="s">
        <v>438</v>
      </c>
    </row>
    <row r="2431" spans="2:5" x14ac:dyDescent="0.2">
      <c r="B2431" t="s">
        <v>3942</v>
      </c>
      <c r="C2431">
        <v>512337</v>
      </c>
      <c r="D2431" t="s">
        <v>366</v>
      </c>
      <c r="E2431" t="s">
        <v>388</v>
      </c>
    </row>
    <row r="2432" spans="2:5" x14ac:dyDescent="0.2">
      <c r="B2432" t="s">
        <v>3943</v>
      </c>
      <c r="C2432">
        <v>539383</v>
      </c>
      <c r="D2432" t="s">
        <v>366</v>
      </c>
      <c r="E2432" t="s">
        <v>352</v>
      </c>
    </row>
    <row r="2433" spans="2:5" x14ac:dyDescent="0.2">
      <c r="B2433" t="s">
        <v>3944</v>
      </c>
      <c r="C2433">
        <v>531648</v>
      </c>
      <c r="D2433" t="s">
        <v>366</v>
      </c>
      <c r="E2433" t="s">
        <v>440</v>
      </c>
    </row>
    <row r="2434" spans="2:5" x14ac:dyDescent="0.2">
      <c r="B2434" t="s">
        <v>3945</v>
      </c>
      <c r="C2434">
        <v>542677</v>
      </c>
      <c r="D2434" t="s">
        <v>3946</v>
      </c>
      <c r="E2434" t="s">
        <v>452</v>
      </c>
    </row>
    <row r="2435" spans="2:5" x14ac:dyDescent="0.2">
      <c r="B2435" t="s">
        <v>3947</v>
      </c>
      <c r="C2435" t="s">
        <v>366</v>
      </c>
      <c r="D2435" t="s">
        <v>3948</v>
      </c>
      <c r="E2435" t="s">
        <v>377</v>
      </c>
    </row>
    <row r="2436" spans="2:5" x14ac:dyDescent="0.2">
      <c r="B2436" t="s">
        <v>3949</v>
      </c>
      <c r="C2436" t="s">
        <v>366</v>
      </c>
      <c r="D2436" t="s">
        <v>3950</v>
      </c>
      <c r="E2436" t="s">
        <v>377</v>
      </c>
    </row>
    <row r="2437" spans="2:5" x14ac:dyDescent="0.2">
      <c r="B2437" t="s">
        <v>3951</v>
      </c>
      <c r="C2437">
        <v>532720</v>
      </c>
      <c r="D2437" t="s">
        <v>3952</v>
      </c>
      <c r="E2437" t="s">
        <v>383</v>
      </c>
    </row>
    <row r="2438" spans="2:5" x14ac:dyDescent="0.2">
      <c r="B2438" t="s">
        <v>3953</v>
      </c>
      <c r="C2438">
        <v>500520</v>
      </c>
      <c r="D2438" t="s">
        <v>3954</v>
      </c>
      <c r="E2438" t="s">
        <v>2292</v>
      </c>
    </row>
    <row r="2439" spans="2:5" x14ac:dyDescent="0.2">
      <c r="B2439" t="s">
        <v>3955</v>
      </c>
      <c r="C2439">
        <v>532756</v>
      </c>
      <c r="D2439" t="s">
        <v>3956</v>
      </c>
      <c r="E2439" t="s">
        <v>1284</v>
      </c>
    </row>
    <row r="2440" spans="2:5" x14ac:dyDescent="0.2">
      <c r="B2440" t="s">
        <v>3957</v>
      </c>
      <c r="C2440">
        <v>533088</v>
      </c>
      <c r="D2440" t="s">
        <v>3958</v>
      </c>
      <c r="E2440" t="s">
        <v>567</v>
      </c>
    </row>
    <row r="2441" spans="2:5" x14ac:dyDescent="0.2">
      <c r="B2441" t="s">
        <v>3959</v>
      </c>
      <c r="C2441">
        <v>533088</v>
      </c>
      <c r="D2441" t="s">
        <v>3958</v>
      </c>
      <c r="E2441" t="s">
        <v>567</v>
      </c>
    </row>
    <row r="2442" spans="2:5" x14ac:dyDescent="0.2">
      <c r="B2442" t="s">
        <v>3960</v>
      </c>
      <c r="C2442">
        <v>532313</v>
      </c>
      <c r="D2442" t="s">
        <v>3961</v>
      </c>
      <c r="E2442" t="s">
        <v>452</v>
      </c>
    </row>
    <row r="2443" spans="2:5" x14ac:dyDescent="0.2">
      <c r="B2443" t="s">
        <v>3962</v>
      </c>
      <c r="C2443">
        <v>540768</v>
      </c>
      <c r="D2443" t="s">
        <v>3963</v>
      </c>
      <c r="E2443" t="s">
        <v>687</v>
      </c>
    </row>
    <row r="2444" spans="2:5" x14ac:dyDescent="0.2">
      <c r="B2444" t="s">
        <v>3964</v>
      </c>
      <c r="C2444">
        <v>542503</v>
      </c>
      <c r="D2444" t="s">
        <v>3965</v>
      </c>
      <c r="E2444" t="s">
        <v>2340</v>
      </c>
    </row>
    <row r="2445" spans="2:5" x14ac:dyDescent="0.2">
      <c r="B2445" t="s">
        <v>3966</v>
      </c>
      <c r="C2445">
        <v>590078</v>
      </c>
      <c r="D2445" t="s">
        <v>3967</v>
      </c>
      <c r="E2445" t="s">
        <v>398</v>
      </c>
    </row>
    <row r="2446" spans="2:5" x14ac:dyDescent="0.2">
      <c r="B2446" t="s">
        <v>3968</v>
      </c>
      <c r="C2446">
        <v>513430</v>
      </c>
      <c r="D2446" t="s">
        <v>366</v>
      </c>
      <c r="E2446" t="s">
        <v>671</v>
      </c>
    </row>
    <row r="2447" spans="2:5" x14ac:dyDescent="0.2">
      <c r="B2447" t="s">
        <v>3969</v>
      </c>
      <c r="C2447">
        <v>539289</v>
      </c>
      <c r="D2447" t="s">
        <v>3970</v>
      </c>
      <c r="E2447" t="s">
        <v>352</v>
      </c>
    </row>
    <row r="2448" spans="2:5" x14ac:dyDescent="0.2">
      <c r="B2448" t="s">
        <v>3971</v>
      </c>
      <c r="C2448">
        <v>500267</v>
      </c>
      <c r="D2448" t="s">
        <v>366</v>
      </c>
      <c r="E2448" t="s">
        <v>1024</v>
      </c>
    </row>
    <row r="2449" spans="2:5" x14ac:dyDescent="0.2">
      <c r="B2449" t="s">
        <v>3972</v>
      </c>
      <c r="C2449">
        <v>539229</v>
      </c>
      <c r="D2449" t="s">
        <v>366</v>
      </c>
      <c r="E2449" t="s">
        <v>355</v>
      </c>
    </row>
    <row r="2450" spans="2:5" x14ac:dyDescent="0.2">
      <c r="B2450" t="s">
        <v>3973</v>
      </c>
      <c r="C2450">
        <v>506919</v>
      </c>
      <c r="D2450" t="s">
        <v>366</v>
      </c>
      <c r="E2450" t="s">
        <v>404</v>
      </c>
    </row>
    <row r="2451" spans="2:5" x14ac:dyDescent="0.2">
      <c r="B2451" t="s">
        <v>3974</v>
      </c>
      <c r="C2451">
        <v>539400</v>
      </c>
      <c r="D2451" t="s">
        <v>366</v>
      </c>
      <c r="E2451" t="s">
        <v>480</v>
      </c>
    </row>
    <row r="2452" spans="2:5" x14ac:dyDescent="0.2">
      <c r="B2452" t="s">
        <v>3975</v>
      </c>
      <c r="C2452">
        <v>539400</v>
      </c>
      <c r="D2452" t="s">
        <v>366</v>
      </c>
      <c r="E2452" t="s">
        <v>480</v>
      </c>
    </row>
    <row r="2453" spans="2:5" x14ac:dyDescent="0.2">
      <c r="B2453" t="s">
        <v>3976</v>
      </c>
      <c r="C2453">
        <v>532728</v>
      </c>
      <c r="D2453" t="s">
        <v>3977</v>
      </c>
      <c r="E2453" t="s">
        <v>360</v>
      </c>
    </row>
    <row r="2454" spans="2:5" x14ac:dyDescent="0.2">
      <c r="B2454" t="s">
        <v>3978</v>
      </c>
      <c r="C2454">
        <v>513269</v>
      </c>
      <c r="D2454" t="s">
        <v>3979</v>
      </c>
      <c r="E2454" t="s">
        <v>764</v>
      </c>
    </row>
    <row r="2455" spans="2:5" x14ac:dyDescent="0.2">
      <c r="B2455" t="s">
        <v>3980</v>
      </c>
      <c r="C2455">
        <v>513269</v>
      </c>
      <c r="D2455" t="s">
        <v>3979</v>
      </c>
      <c r="E2455" t="s">
        <v>764</v>
      </c>
    </row>
    <row r="2456" spans="2:5" x14ac:dyDescent="0.2">
      <c r="B2456" t="s">
        <v>3981</v>
      </c>
      <c r="C2456">
        <v>533169</v>
      </c>
      <c r="D2456" t="s">
        <v>3982</v>
      </c>
      <c r="E2456" t="s">
        <v>764</v>
      </c>
    </row>
    <row r="2457" spans="2:5" x14ac:dyDescent="0.2">
      <c r="B2457" t="s">
        <v>3983</v>
      </c>
      <c r="C2457">
        <v>539045</v>
      </c>
      <c r="D2457" t="s">
        <v>3984</v>
      </c>
      <c r="E2457" t="s">
        <v>671</v>
      </c>
    </row>
    <row r="2458" spans="2:5" x14ac:dyDescent="0.2">
      <c r="B2458" t="s">
        <v>3985</v>
      </c>
      <c r="C2458">
        <v>539046</v>
      </c>
      <c r="D2458" t="s">
        <v>3986</v>
      </c>
      <c r="E2458" t="s">
        <v>398</v>
      </c>
    </row>
    <row r="2459" spans="2:5" x14ac:dyDescent="0.2">
      <c r="B2459" t="s">
        <v>3987</v>
      </c>
      <c r="C2459">
        <v>532932</v>
      </c>
      <c r="D2459" t="s">
        <v>3988</v>
      </c>
      <c r="E2459" t="s">
        <v>561</v>
      </c>
    </row>
    <row r="2460" spans="2:5" x14ac:dyDescent="0.2">
      <c r="B2460" t="s">
        <v>3989</v>
      </c>
      <c r="C2460">
        <v>539044</v>
      </c>
      <c r="D2460" t="s">
        <v>3990</v>
      </c>
      <c r="E2460" t="s">
        <v>398</v>
      </c>
    </row>
    <row r="2461" spans="2:5" x14ac:dyDescent="0.2">
      <c r="B2461" t="s">
        <v>3991</v>
      </c>
      <c r="C2461">
        <v>500268</v>
      </c>
      <c r="D2461" t="s">
        <v>3992</v>
      </c>
      <c r="E2461" t="s">
        <v>580</v>
      </c>
    </row>
    <row r="2462" spans="2:5" x14ac:dyDescent="0.2">
      <c r="B2462" t="s">
        <v>3993</v>
      </c>
      <c r="C2462">
        <v>531213</v>
      </c>
      <c r="D2462" t="s">
        <v>3994</v>
      </c>
      <c r="E2462" t="s">
        <v>383</v>
      </c>
    </row>
    <row r="2463" spans="2:5" x14ac:dyDescent="0.2">
      <c r="B2463" t="s">
        <v>3995</v>
      </c>
      <c r="C2463">
        <v>540402</v>
      </c>
      <c r="D2463" t="s">
        <v>366</v>
      </c>
      <c r="E2463" t="s">
        <v>452</v>
      </c>
    </row>
    <row r="2464" spans="2:5" x14ac:dyDescent="0.2">
      <c r="B2464" t="s">
        <v>3996</v>
      </c>
      <c r="C2464" t="s">
        <v>366</v>
      </c>
      <c r="D2464" t="s">
        <v>3997</v>
      </c>
      <c r="E2464" t="s">
        <v>377</v>
      </c>
    </row>
    <row r="2465" spans="2:5" x14ac:dyDescent="0.2">
      <c r="B2465" t="s">
        <v>3998</v>
      </c>
      <c r="C2465">
        <v>533204</v>
      </c>
      <c r="D2465" t="s">
        <v>3999</v>
      </c>
      <c r="E2465" t="s">
        <v>381</v>
      </c>
    </row>
    <row r="2466" spans="2:5" x14ac:dyDescent="0.2">
      <c r="B2466" t="s">
        <v>4000</v>
      </c>
      <c r="C2466">
        <v>505850</v>
      </c>
      <c r="D2466" t="s">
        <v>4001</v>
      </c>
      <c r="E2466" t="s">
        <v>383</v>
      </c>
    </row>
    <row r="2467" spans="2:5" x14ac:dyDescent="0.2">
      <c r="B2467" t="s">
        <v>4002</v>
      </c>
      <c r="C2467">
        <v>502157</v>
      </c>
      <c r="D2467" t="s">
        <v>4003</v>
      </c>
      <c r="E2467" t="s">
        <v>379</v>
      </c>
    </row>
    <row r="2468" spans="2:5" x14ac:dyDescent="0.2">
      <c r="B2468" t="s">
        <v>4004</v>
      </c>
      <c r="C2468">
        <v>532637</v>
      </c>
      <c r="D2468" t="s">
        <v>4005</v>
      </c>
      <c r="E2468" t="s">
        <v>404</v>
      </c>
    </row>
    <row r="2469" spans="2:5" x14ac:dyDescent="0.2">
      <c r="B2469" t="s">
        <v>4006</v>
      </c>
      <c r="C2469">
        <v>537800</v>
      </c>
      <c r="D2469" t="s">
        <v>366</v>
      </c>
      <c r="E2469" t="s">
        <v>383</v>
      </c>
    </row>
    <row r="2470" spans="2:5" x14ac:dyDescent="0.2">
      <c r="B2470" t="s">
        <v>4007</v>
      </c>
      <c r="C2470">
        <v>514418</v>
      </c>
      <c r="D2470" t="s">
        <v>366</v>
      </c>
      <c r="E2470" t="s">
        <v>414</v>
      </c>
    </row>
    <row r="2471" spans="2:5" x14ac:dyDescent="0.2">
      <c r="B2471" t="s">
        <v>4008</v>
      </c>
      <c r="C2471">
        <v>539275</v>
      </c>
      <c r="D2471" t="s">
        <v>366</v>
      </c>
      <c r="E2471" t="s">
        <v>564</v>
      </c>
    </row>
    <row r="2472" spans="2:5" x14ac:dyDescent="0.2">
      <c r="B2472" t="s">
        <v>4009</v>
      </c>
      <c r="C2472">
        <v>516007</v>
      </c>
      <c r="D2472" t="s">
        <v>4010</v>
      </c>
      <c r="E2472" t="s">
        <v>861</v>
      </c>
    </row>
    <row r="2473" spans="2:5" x14ac:dyDescent="0.2">
      <c r="B2473" t="s">
        <v>4011</v>
      </c>
      <c r="C2473">
        <v>530011</v>
      </c>
      <c r="D2473" t="s">
        <v>4012</v>
      </c>
      <c r="E2473" t="s">
        <v>874</v>
      </c>
    </row>
    <row r="2474" spans="2:5" x14ac:dyDescent="0.2">
      <c r="B2474" t="s">
        <v>4013</v>
      </c>
      <c r="C2474">
        <v>500109</v>
      </c>
      <c r="D2474" t="s">
        <v>4014</v>
      </c>
      <c r="E2474" t="s">
        <v>1293</v>
      </c>
    </row>
    <row r="2475" spans="2:5" x14ac:dyDescent="0.2">
      <c r="B2475" t="s">
        <v>4015</v>
      </c>
      <c r="C2475">
        <v>530243</v>
      </c>
      <c r="D2475" t="s">
        <v>366</v>
      </c>
      <c r="E2475" t="s">
        <v>459</v>
      </c>
    </row>
    <row r="2476" spans="2:5" x14ac:dyDescent="0.2">
      <c r="B2476" t="s">
        <v>4016</v>
      </c>
      <c r="C2476">
        <v>507938</v>
      </c>
      <c r="D2476" t="s">
        <v>366</v>
      </c>
      <c r="E2476" t="s">
        <v>383</v>
      </c>
    </row>
    <row r="2477" spans="2:5" x14ac:dyDescent="0.2">
      <c r="B2477" t="s">
        <v>4017</v>
      </c>
      <c r="C2477">
        <v>533078</v>
      </c>
      <c r="D2477" t="s">
        <v>366</v>
      </c>
      <c r="E2477" t="s">
        <v>452</v>
      </c>
    </row>
    <row r="2478" spans="2:5" x14ac:dyDescent="0.2">
      <c r="B2478" t="s">
        <v>4018</v>
      </c>
      <c r="C2478">
        <v>540396</v>
      </c>
      <c r="D2478" t="s">
        <v>366</v>
      </c>
      <c r="E2478" t="s">
        <v>381</v>
      </c>
    </row>
    <row r="2479" spans="2:5" x14ac:dyDescent="0.2">
      <c r="B2479" t="s">
        <v>4019</v>
      </c>
      <c r="C2479">
        <v>540396</v>
      </c>
      <c r="D2479" t="s">
        <v>366</v>
      </c>
      <c r="E2479" t="s">
        <v>381</v>
      </c>
    </row>
    <row r="2480" spans="2:5" x14ac:dyDescent="0.2">
      <c r="B2480" t="s">
        <v>4020</v>
      </c>
      <c r="C2480">
        <v>541974</v>
      </c>
      <c r="D2480" t="s">
        <v>366</v>
      </c>
      <c r="E2480" t="s">
        <v>615</v>
      </c>
    </row>
    <row r="2481" spans="2:5" x14ac:dyDescent="0.2">
      <c r="B2481" t="s">
        <v>4021</v>
      </c>
      <c r="C2481">
        <v>539207</v>
      </c>
      <c r="D2481" t="s">
        <v>4022</v>
      </c>
      <c r="E2481" t="s">
        <v>801</v>
      </c>
    </row>
    <row r="2482" spans="2:5" x14ac:dyDescent="0.2">
      <c r="B2482" t="s">
        <v>4023</v>
      </c>
      <c r="C2482">
        <v>530537</v>
      </c>
      <c r="D2482" t="s">
        <v>366</v>
      </c>
      <c r="E2482" t="s">
        <v>424</v>
      </c>
    </row>
    <row r="2483" spans="2:5" x14ac:dyDescent="0.2">
      <c r="B2483" t="s">
        <v>4024</v>
      </c>
      <c r="C2483">
        <v>511758</v>
      </c>
      <c r="D2483" t="s">
        <v>366</v>
      </c>
      <c r="E2483" t="s">
        <v>383</v>
      </c>
    </row>
    <row r="2484" spans="2:5" x14ac:dyDescent="0.2">
      <c r="B2484" t="s">
        <v>4025</v>
      </c>
      <c r="C2484">
        <v>512303</v>
      </c>
      <c r="D2484" t="s">
        <v>366</v>
      </c>
      <c r="E2484" t="s">
        <v>787</v>
      </c>
    </row>
    <row r="2485" spans="2:5" x14ac:dyDescent="0.2">
      <c r="B2485" t="s">
        <v>4026</v>
      </c>
      <c r="C2485">
        <v>505324</v>
      </c>
      <c r="D2485" t="s">
        <v>4027</v>
      </c>
      <c r="E2485" t="s">
        <v>374</v>
      </c>
    </row>
    <row r="2486" spans="2:5" x14ac:dyDescent="0.2">
      <c r="B2486" t="s">
        <v>4028</v>
      </c>
      <c r="C2486">
        <v>505324</v>
      </c>
      <c r="D2486" t="s">
        <v>4027</v>
      </c>
      <c r="E2486" t="s">
        <v>374</v>
      </c>
    </row>
    <row r="2487" spans="2:5" x14ac:dyDescent="0.2">
      <c r="B2487" t="s">
        <v>4029</v>
      </c>
      <c r="C2487">
        <v>538970</v>
      </c>
      <c r="D2487" t="s">
        <v>366</v>
      </c>
      <c r="E2487" t="s">
        <v>452</v>
      </c>
    </row>
    <row r="2488" spans="2:5" x14ac:dyDescent="0.2">
      <c r="B2488" t="s">
        <v>4030</v>
      </c>
      <c r="C2488">
        <v>521018</v>
      </c>
      <c r="D2488" t="s">
        <v>4031</v>
      </c>
      <c r="E2488" t="s">
        <v>381</v>
      </c>
    </row>
    <row r="2489" spans="2:5" x14ac:dyDescent="0.2">
      <c r="B2489" t="s">
        <v>4032</v>
      </c>
      <c r="C2489">
        <v>503101</v>
      </c>
      <c r="D2489" t="s">
        <v>4033</v>
      </c>
      <c r="E2489" t="s">
        <v>452</v>
      </c>
    </row>
    <row r="2490" spans="2:5" x14ac:dyDescent="0.2">
      <c r="B2490" t="s">
        <v>4034</v>
      </c>
      <c r="C2490">
        <v>502250</v>
      </c>
      <c r="D2490" t="s">
        <v>366</v>
      </c>
      <c r="E2490" t="s">
        <v>894</v>
      </c>
    </row>
    <row r="2491" spans="2:5" x14ac:dyDescent="0.2">
      <c r="B2491" t="s">
        <v>4035</v>
      </c>
      <c r="C2491">
        <v>513544</v>
      </c>
      <c r="D2491" t="s">
        <v>366</v>
      </c>
      <c r="E2491" t="s">
        <v>440</v>
      </c>
    </row>
    <row r="2492" spans="2:5" x14ac:dyDescent="0.2">
      <c r="B2492" t="s">
        <v>4036</v>
      </c>
      <c r="C2492">
        <v>530543</v>
      </c>
      <c r="D2492" t="s">
        <v>366</v>
      </c>
      <c r="E2492" t="s">
        <v>452</v>
      </c>
    </row>
    <row r="2493" spans="2:5" x14ac:dyDescent="0.2">
      <c r="B2493" t="s">
        <v>4037</v>
      </c>
      <c r="C2493">
        <v>540254</v>
      </c>
      <c r="D2493" t="s">
        <v>366</v>
      </c>
      <c r="E2493" t="s">
        <v>383</v>
      </c>
    </row>
    <row r="2494" spans="2:5" x14ac:dyDescent="0.2">
      <c r="B2494" t="s">
        <v>4038</v>
      </c>
      <c r="C2494">
        <v>500206</v>
      </c>
      <c r="D2494" t="s">
        <v>366</v>
      </c>
      <c r="E2494" t="s">
        <v>383</v>
      </c>
    </row>
    <row r="2495" spans="2:5" x14ac:dyDescent="0.2">
      <c r="B2495" t="s">
        <v>4039</v>
      </c>
      <c r="C2495">
        <v>531642</v>
      </c>
      <c r="D2495" t="s">
        <v>319</v>
      </c>
      <c r="E2495" t="s">
        <v>548</v>
      </c>
    </row>
    <row r="2496" spans="2:5" x14ac:dyDescent="0.2">
      <c r="B2496" t="s">
        <v>4040</v>
      </c>
      <c r="C2496" t="s">
        <v>366</v>
      </c>
      <c r="D2496" t="s">
        <v>4041</v>
      </c>
      <c r="E2496" t="s">
        <v>377</v>
      </c>
    </row>
    <row r="2497" spans="2:5" x14ac:dyDescent="0.2">
      <c r="B2497" t="s">
        <v>4042</v>
      </c>
      <c r="C2497" t="s">
        <v>366</v>
      </c>
      <c r="D2497" t="s">
        <v>4041</v>
      </c>
      <c r="E2497" t="s">
        <v>377</v>
      </c>
    </row>
    <row r="2498" spans="2:5" x14ac:dyDescent="0.2">
      <c r="B2498" t="s">
        <v>4043</v>
      </c>
      <c r="C2498">
        <v>531503</v>
      </c>
      <c r="D2498" t="s">
        <v>366</v>
      </c>
      <c r="E2498" t="s">
        <v>381</v>
      </c>
    </row>
    <row r="2499" spans="2:5" x14ac:dyDescent="0.2">
      <c r="B2499" t="s">
        <v>4044</v>
      </c>
      <c r="C2499">
        <v>526891</v>
      </c>
      <c r="D2499" t="s">
        <v>366</v>
      </c>
      <c r="E2499" t="s">
        <v>349</v>
      </c>
    </row>
    <row r="2500" spans="2:5" x14ac:dyDescent="0.2">
      <c r="B2500" t="s">
        <v>4045</v>
      </c>
      <c r="C2500">
        <v>524404</v>
      </c>
      <c r="D2500" t="s">
        <v>4046</v>
      </c>
      <c r="E2500" t="s">
        <v>404</v>
      </c>
    </row>
    <row r="2501" spans="2:5" x14ac:dyDescent="0.2">
      <c r="B2501" t="s">
        <v>4047</v>
      </c>
      <c r="C2501" t="s">
        <v>366</v>
      </c>
      <c r="D2501" t="s">
        <v>4048</v>
      </c>
      <c r="E2501" t="s">
        <v>377</v>
      </c>
    </row>
    <row r="2502" spans="2:5" x14ac:dyDescent="0.2">
      <c r="B2502" t="s">
        <v>4049</v>
      </c>
      <c r="C2502">
        <v>517467</v>
      </c>
      <c r="D2502" t="s">
        <v>366</v>
      </c>
      <c r="E2502" t="s">
        <v>664</v>
      </c>
    </row>
    <row r="2503" spans="2:5" x14ac:dyDescent="0.2">
      <c r="B2503" t="s">
        <v>4050</v>
      </c>
      <c r="C2503">
        <v>523566</v>
      </c>
      <c r="D2503" t="s">
        <v>366</v>
      </c>
      <c r="E2503" t="s">
        <v>452</v>
      </c>
    </row>
    <row r="2504" spans="2:5" x14ac:dyDescent="0.2">
      <c r="B2504" t="s">
        <v>4051</v>
      </c>
      <c r="C2504">
        <v>531540</v>
      </c>
      <c r="D2504" t="s">
        <v>366</v>
      </c>
      <c r="E2504" t="s">
        <v>764</v>
      </c>
    </row>
    <row r="2505" spans="2:5" x14ac:dyDescent="0.2">
      <c r="B2505" t="s">
        <v>4052</v>
      </c>
      <c r="C2505">
        <v>531319</v>
      </c>
      <c r="D2505" t="s">
        <v>366</v>
      </c>
      <c r="E2505" t="s">
        <v>383</v>
      </c>
    </row>
    <row r="2506" spans="2:5" x14ac:dyDescent="0.2">
      <c r="B2506" t="s">
        <v>4053</v>
      </c>
      <c r="C2506">
        <v>532500</v>
      </c>
      <c r="D2506" t="s">
        <v>4054</v>
      </c>
      <c r="E2506" t="s">
        <v>2292</v>
      </c>
    </row>
    <row r="2507" spans="2:5" x14ac:dyDescent="0.2">
      <c r="B2507" t="s">
        <v>4055</v>
      </c>
      <c r="C2507">
        <v>532500</v>
      </c>
      <c r="D2507" t="s">
        <v>4054</v>
      </c>
      <c r="E2507" t="s">
        <v>2292</v>
      </c>
    </row>
    <row r="2508" spans="2:5" x14ac:dyDescent="0.2">
      <c r="B2508" t="s">
        <v>4056</v>
      </c>
      <c r="C2508" t="s">
        <v>366</v>
      </c>
      <c r="D2508" t="s">
        <v>4057</v>
      </c>
      <c r="E2508" t="s">
        <v>377</v>
      </c>
    </row>
    <row r="2509" spans="2:5" x14ac:dyDescent="0.2">
      <c r="B2509" t="s">
        <v>4058</v>
      </c>
      <c r="C2509">
        <v>540749</v>
      </c>
      <c r="D2509" t="s">
        <v>4059</v>
      </c>
      <c r="E2509" t="s">
        <v>383</v>
      </c>
    </row>
    <row r="2510" spans="2:5" x14ac:dyDescent="0.2">
      <c r="B2510" t="s">
        <v>4060</v>
      </c>
      <c r="C2510" t="s">
        <v>366</v>
      </c>
      <c r="D2510" t="s">
        <v>4061</v>
      </c>
      <c r="E2510" t="s">
        <v>457</v>
      </c>
    </row>
    <row r="2511" spans="2:5" x14ac:dyDescent="0.2">
      <c r="B2511" t="s">
        <v>4062</v>
      </c>
      <c r="C2511">
        <v>523704</v>
      </c>
      <c r="D2511" t="s">
        <v>4063</v>
      </c>
      <c r="E2511" t="s">
        <v>459</v>
      </c>
    </row>
    <row r="2512" spans="2:5" x14ac:dyDescent="0.2">
      <c r="B2512" t="s">
        <v>4064</v>
      </c>
      <c r="C2512">
        <v>506867</v>
      </c>
      <c r="D2512" t="s">
        <v>366</v>
      </c>
      <c r="E2512" t="s">
        <v>381</v>
      </c>
    </row>
    <row r="2513" spans="2:5" x14ac:dyDescent="0.2">
      <c r="B2513" t="s">
        <v>4065</v>
      </c>
      <c r="C2513">
        <v>511768</v>
      </c>
      <c r="D2513" t="s">
        <v>366</v>
      </c>
      <c r="E2513" t="s">
        <v>383</v>
      </c>
    </row>
    <row r="2514" spans="2:5" x14ac:dyDescent="0.2">
      <c r="B2514" t="s">
        <v>4066</v>
      </c>
      <c r="C2514">
        <v>511688</v>
      </c>
      <c r="D2514" t="s">
        <v>366</v>
      </c>
      <c r="E2514" t="s">
        <v>383</v>
      </c>
    </row>
    <row r="2515" spans="2:5" x14ac:dyDescent="0.2">
      <c r="B2515" t="s">
        <v>4067</v>
      </c>
      <c r="C2515">
        <v>540704</v>
      </c>
      <c r="D2515" t="s">
        <v>4068</v>
      </c>
      <c r="E2515" t="s">
        <v>372</v>
      </c>
    </row>
    <row r="2516" spans="2:5" x14ac:dyDescent="0.2">
      <c r="B2516" t="s">
        <v>4069</v>
      </c>
      <c r="C2516">
        <v>539219</v>
      </c>
      <c r="D2516" t="s">
        <v>366</v>
      </c>
      <c r="E2516" t="s">
        <v>1284</v>
      </c>
    </row>
    <row r="2517" spans="2:5" x14ac:dyDescent="0.2">
      <c r="B2517" t="s">
        <v>4070</v>
      </c>
      <c r="C2517">
        <v>500248</v>
      </c>
      <c r="D2517" t="s">
        <v>366</v>
      </c>
      <c r="E2517" t="s">
        <v>486</v>
      </c>
    </row>
    <row r="2518" spans="2:5" x14ac:dyDescent="0.2">
      <c r="B2518" t="s">
        <v>4071</v>
      </c>
      <c r="C2518">
        <v>523371</v>
      </c>
      <c r="D2518" t="s">
        <v>4072</v>
      </c>
      <c r="E2518" t="s">
        <v>1065</v>
      </c>
    </row>
    <row r="2519" spans="2:5" x14ac:dyDescent="0.2">
      <c r="B2519" t="s">
        <v>4073</v>
      </c>
      <c r="C2519">
        <v>539981</v>
      </c>
      <c r="D2519" t="s">
        <v>4074</v>
      </c>
      <c r="E2519" t="s">
        <v>532</v>
      </c>
    </row>
    <row r="2520" spans="2:5" x14ac:dyDescent="0.2">
      <c r="B2520" t="s">
        <v>4075</v>
      </c>
      <c r="C2520">
        <v>534563</v>
      </c>
      <c r="D2520" t="s">
        <v>4076</v>
      </c>
      <c r="E2520" t="s">
        <v>374</v>
      </c>
    </row>
    <row r="2521" spans="2:5" x14ac:dyDescent="0.2">
      <c r="B2521" t="s">
        <v>4077</v>
      </c>
      <c r="C2521">
        <v>500271</v>
      </c>
      <c r="D2521" t="s">
        <v>4078</v>
      </c>
      <c r="E2521" t="s">
        <v>2774</v>
      </c>
    </row>
    <row r="2522" spans="2:5" x14ac:dyDescent="0.2">
      <c r="B2522" t="s">
        <v>4079</v>
      </c>
      <c r="C2522">
        <v>539981</v>
      </c>
      <c r="D2522" t="s">
        <v>4080</v>
      </c>
      <c r="E2522" t="s">
        <v>532</v>
      </c>
    </row>
    <row r="2523" spans="2:5" x14ac:dyDescent="0.2">
      <c r="B2523" t="s">
        <v>4081</v>
      </c>
      <c r="C2523">
        <v>539940</v>
      </c>
      <c r="D2523" t="s">
        <v>4082</v>
      </c>
      <c r="E2523" t="s">
        <v>532</v>
      </c>
    </row>
    <row r="2524" spans="2:5" x14ac:dyDescent="0.2">
      <c r="B2524" t="s">
        <v>4083</v>
      </c>
      <c r="C2524">
        <v>534338</v>
      </c>
      <c r="D2524" t="s">
        <v>366</v>
      </c>
      <c r="E2524" t="s">
        <v>452</v>
      </c>
    </row>
    <row r="2525" spans="2:5" x14ac:dyDescent="0.2">
      <c r="B2525" t="s">
        <v>4084</v>
      </c>
      <c r="C2525">
        <v>526538</v>
      </c>
      <c r="D2525" t="s">
        <v>366</v>
      </c>
      <c r="E2525" t="s">
        <v>404</v>
      </c>
    </row>
    <row r="2526" spans="2:5" x14ac:dyDescent="0.2">
      <c r="B2526" t="s">
        <v>4085</v>
      </c>
      <c r="C2526">
        <v>540401</v>
      </c>
      <c r="D2526" t="s">
        <v>366</v>
      </c>
      <c r="E2526" t="s">
        <v>388</v>
      </c>
    </row>
    <row r="2527" spans="2:5" x14ac:dyDescent="0.2">
      <c r="B2527" t="s">
        <v>4086</v>
      </c>
      <c r="C2527">
        <v>539519</v>
      </c>
      <c r="D2527" t="s">
        <v>366</v>
      </c>
      <c r="E2527" t="s">
        <v>400</v>
      </c>
    </row>
    <row r="2528" spans="2:5" x14ac:dyDescent="0.2">
      <c r="B2528" t="s">
        <v>4087</v>
      </c>
      <c r="C2528">
        <v>531221</v>
      </c>
      <c r="D2528" t="s">
        <v>366</v>
      </c>
      <c r="E2528" t="s">
        <v>894</v>
      </c>
    </row>
    <row r="2529" spans="2:5" x14ac:dyDescent="0.2">
      <c r="B2529" t="s">
        <v>4088</v>
      </c>
      <c r="C2529">
        <v>531680</v>
      </c>
      <c r="D2529" t="s">
        <v>366</v>
      </c>
      <c r="E2529" t="s">
        <v>480</v>
      </c>
    </row>
    <row r="2530" spans="2:5" x14ac:dyDescent="0.2">
      <c r="B2530" t="s">
        <v>4089</v>
      </c>
      <c r="C2530">
        <v>522249</v>
      </c>
      <c r="D2530" t="s">
        <v>4090</v>
      </c>
      <c r="E2530" t="s">
        <v>381</v>
      </c>
    </row>
    <row r="2531" spans="2:5" x14ac:dyDescent="0.2">
      <c r="B2531" t="s">
        <v>4091</v>
      </c>
      <c r="C2531">
        <v>523792</v>
      </c>
      <c r="D2531" t="s">
        <v>4092</v>
      </c>
      <c r="E2531" t="s">
        <v>374</v>
      </c>
    </row>
    <row r="2532" spans="2:5" x14ac:dyDescent="0.2">
      <c r="B2532" t="s">
        <v>4093</v>
      </c>
      <c r="C2532">
        <v>533152</v>
      </c>
      <c r="D2532" t="s">
        <v>4094</v>
      </c>
      <c r="E2532" t="s">
        <v>764</v>
      </c>
    </row>
    <row r="2533" spans="2:5" x14ac:dyDescent="0.2">
      <c r="B2533" t="s">
        <v>4095</v>
      </c>
      <c r="C2533">
        <v>532852</v>
      </c>
      <c r="D2533" t="s">
        <v>4096</v>
      </c>
      <c r="E2533" t="s">
        <v>386</v>
      </c>
    </row>
    <row r="2534" spans="2:5" x14ac:dyDescent="0.2">
      <c r="B2534" t="s">
        <v>4097</v>
      </c>
      <c r="C2534">
        <v>532654</v>
      </c>
      <c r="D2534" t="s">
        <v>4098</v>
      </c>
      <c r="E2534" t="s">
        <v>773</v>
      </c>
    </row>
    <row r="2535" spans="2:5" x14ac:dyDescent="0.2">
      <c r="B2535" t="s">
        <v>4099</v>
      </c>
      <c r="C2535">
        <v>532654</v>
      </c>
      <c r="D2535" t="s">
        <v>4098</v>
      </c>
      <c r="E2535" t="s">
        <v>773</v>
      </c>
    </row>
    <row r="2536" spans="2:5" x14ac:dyDescent="0.2">
      <c r="B2536" t="s">
        <v>4100</v>
      </c>
      <c r="C2536">
        <v>532629</v>
      </c>
      <c r="D2536" t="s">
        <v>4101</v>
      </c>
      <c r="E2536" t="s">
        <v>764</v>
      </c>
    </row>
    <row r="2537" spans="2:5" x14ac:dyDescent="0.2">
      <c r="B2537" t="s">
        <v>4102</v>
      </c>
      <c r="C2537">
        <v>512267</v>
      </c>
      <c r="D2537" t="s">
        <v>366</v>
      </c>
      <c r="E2537" t="s">
        <v>369</v>
      </c>
    </row>
    <row r="2538" spans="2:5" x14ac:dyDescent="0.2">
      <c r="B2538" t="s">
        <v>4103</v>
      </c>
      <c r="C2538">
        <v>531146</v>
      </c>
      <c r="D2538" t="s">
        <v>366</v>
      </c>
      <c r="E2538" t="s">
        <v>404</v>
      </c>
    </row>
    <row r="2539" spans="2:5" x14ac:dyDescent="0.2">
      <c r="B2539" t="s">
        <v>4104</v>
      </c>
      <c r="C2539">
        <v>523144</v>
      </c>
      <c r="D2539" t="s">
        <v>366</v>
      </c>
      <c r="E2539" t="s">
        <v>404</v>
      </c>
    </row>
    <row r="2540" spans="2:5" x14ac:dyDescent="0.2">
      <c r="B2540" t="s">
        <v>4105</v>
      </c>
      <c r="C2540">
        <v>539938</v>
      </c>
      <c r="D2540" t="s">
        <v>4106</v>
      </c>
      <c r="E2540" t="s">
        <v>349</v>
      </c>
    </row>
    <row r="2541" spans="2:5" x14ac:dyDescent="0.2">
      <c r="B2541" t="s">
        <v>4107</v>
      </c>
      <c r="C2541">
        <v>540937</v>
      </c>
      <c r="D2541" t="s">
        <v>366</v>
      </c>
      <c r="E2541" t="s">
        <v>404</v>
      </c>
    </row>
    <row r="2542" spans="2:5" x14ac:dyDescent="0.2">
      <c r="B2542" t="s">
        <v>4108</v>
      </c>
      <c r="C2542">
        <v>526301</v>
      </c>
      <c r="D2542" t="s">
        <v>366</v>
      </c>
      <c r="E2542" t="s">
        <v>555</v>
      </c>
    </row>
    <row r="2543" spans="2:5" x14ac:dyDescent="0.2">
      <c r="B2543" t="s">
        <v>4109</v>
      </c>
      <c r="C2543">
        <v>538834</v>
      </c>
      <c r="D2543" t="s">
        <v>366</v>
      </c>
      <c r="E2543" t="s">
        <v>383</v>
      </c>
    </row>
    <row r="2544" spans="2:5" x14ac:dyDescent="0.2">
      <c r="B2544" t="s">
        <v>4110</v>
      </c>
      <c r="C2544">
        <v>512505</v>
      </c>
      <c r="D2544" t="s">
        <v>366</v>
      </c>
      <c r="E2544" t="s">
        <v>689</v>
      </c>
    </row>
    <row r="2545" spans="2:5" x14ac:dyDescent="0.2">
      <c r="B2545" t="s">
        <v>4111</v>
      </c>
      <c r="C2545">
        <v>540519</v>
      </c>
      <c r="D2545" t="s">
        <v>366</v>
      </c>
      <c r="E2545" t="s">
        <v>374</v>
      </c>
    </row>
    <row r="2546" spans="2:5" x14ac:dyDescent="0.2">
      <c r="B2546" t="s">
        <v>4112</v>
      </c>
      <c r="C2546">
        <v>511276</v>
      </c>
      <c r="D2546" t="s">
        <v>366</v>
      </c>
      <c r="E2546" t="s">
        <v>564</v>
      </c>
    </row>
    <row r="2547" spans="2:5" x14ac:dyDescent="0.2">
      <c r="B2547" t="s">
        <v>4113</v>
      </c>
      <c r="C2547">
        <v>531176</v>
      </c>
      <c r="D2547" t="s">
        <v>366</v>
      </c>
      <c r="E2547" t="s">
        <v>383</v>
      </c>
    </row>
    <row r="2548" spans="2:5" x14ac:dyDescent="0.2">
      <c r="B2548" t="s">
        <v>4114</v>
      </c>
      <c r="C2548">
        <v>531417</v>
      </c>
      <c r="D2548" t="s">
        <v>366</v>
      </c>
      <c r="E2548" t="s">
        <v>383</v>
      </c>
    </row>
    <row r="2549" spans="2:5" x14ac:dyDescent="0.2">
      <c r="B2549" t="s">
        <v>4115</v>
      </c>
      <c r="C2549">
        <v>532105</v>
      </c>
      <c r="D2549" t="s">
        <v>366</v>
      </c>
      <c r="E2549" t="s">
        <v>787</v>
      </c>
    </row>
    <row r="2550" spans="2:5" x14ac:dyDescent="0.2">
      <c r="B2550" t="s">
        <v>4116</v>
      </c>
      <c r="C2550">
        <v>532105</v>
      </c>
      <c r="D2550" t="s">
        <v>366</v>
      </c>
      <c r="E2550" t="s">
        <v>787</v>
      </c>
    </row>
    <row r="2551" spans="2:5" x14ac:dyDescent="0.2">
      <c r="B2551" t="s">
        <v>4117</v>
      </c>
      <c r="C2551">
        <v>539767</v>
      </c>
      <c r="D2551" t="s">
        <v>366</v>
      </c>
      <c r="E2551" t="s">
        <v>452</v>
      </c>
    </row>
    <row r="2552" spans="2:5" x14ac:dyDescent="0.2">
      <c r="B2552" t="s">
        <v>4118</v>
      </c>
      <c r="C2552">
        <v>532408</v>
      </c>
      <c r="D2552" t="s">
        <v>4119</v>
      </c>
      <c r="E2552" t="s">
        <v>459</v>
      </c>
    </row>
    <row r="2553" spans="2:5" x14ac:dyDescent="0.2">
      <c r="B2553" t="s">
        <v>4120</v>
      </c>
      <c r="C2553">
        <v>541352</v>
      </c>
      <c r="D2553" t="s">
        <v>366</v>
      </c>
      <c r="E2553" t="s">
        <v>446</v>
      </c>
    </row>
    <row r="2554" spans="2:5" x14ac:dyDescent="0.2">
      <c r="B2554" t="s">
        <v>4121</v>
      </c>
      <c r="C2554">
        <v>532865</v>
      </c>
      <c r="D2554" t="s">
        <v>4122</v>
      </c>
      <c r="E2554" t="s">
        <v>526</v>
      </c>
    </row>
    <row r="2555" spans="2:5" x14ac:dyDescent="0.2">
      <c r="B2555" t="s">
        <v>4123</v>
      </c>
      <c r="C2555">
        <v>511367</v>
      </c>
      <c r="D2555" t="s">
        <v>366</v>
      </c>
      <c r="E2555" t="s">
        <v>383</v>
      </c>
    </row>
    <row r="2556" spans="2:5" x14ac:dyDescent="0.2">
      <c r="B2556" t="s">
        <v>4124</v>
      </c>
      <c r="C2556">
        <v>511367</v>
      </c>
      <c r="D2556" t="s">
        <v>366</v>
      </c>
      <c r="E2556" t="s">
        <v>383</v>
      </c>
    </row>
    <row r="2557" spans="2:5" x14ac:dyDescent="0.2">
      <c r="B2557" t="s">
        <v>4125</v>
      </c>
      <c r="C2557">
        <v>539012</v>
      </c>
      <c r="D2557" t="s">
        <v>366</v>
      </c>
      <c r="E2557" t="s">
        <v>372</v>
      </c>
    </row>
    <row r="2558" spans="2:5" x14ac:dyDescent="0.2">
      <c r="B2558" t="s">
        <v>4126</v>
      </c>
      <c r="C2558">
        <v>540730</v>
      </c>
      <c r="D2558" t="s">
        <v>366</v>
      </c>
      <c r="E2558" t="s">
        <v>388</v>
      </c>
    </row>
    <row r="2559" spans="2:5" x14ac:dyDescent="0.2">
      <c r="B2559" t="s">
        <v>4127</v>
      </c>
      <c r="C2559">
        <v>511740</v>
      </c>
      <c r="D2559" t="s">
        <v>366</v>
      </c>
      <c r="E2559" t="s">
        <v>424</v>
      </c>
    </row>
    <row r="2560" spans="2:5" x14ac:dyDescent="0.2">
      <c r="B2560" t="s">
        <v>4128</v>
      </c>
      <c r="C2560">
        <v>511377</v>
      </c>
      <c r="D2560" t="s">
        <v>366</v>
      </c>
      <c r="E2560" t="s">
        <v>383</v>
      </c>
    </row>
    <row r="2561" spans="2:5" x14ac:dyDescent="0.2">
      <c r="B2561" t="s">
        <v>4129</v>
      </c>
      <c r="C2561">
        <v>511738</v>
      </c>
      <c r="D2561" t="s">
        <v>366</v>
      </c>
      <c r="E2561" t="s">
        <v>349</v>
      </c>
    </row>
    <row r="2562" spans="2:5" x14ac:dyDescent="0.2">
      <c r="B2562" t="s">
        <v>4130</v>
      </c>
      <c r="C2562">
        <v>532307</v>
      </c>
      <c r="D2562" t="s">
        <v>4131</v>
      </c>
      <c r="E2562" t="s">
        <v>459</v>
      </c>
    </row>
    <row r="2563" spans="2:5" x14ac:dyDescent="0.2">
      <c r="B2563" t="s">
        <v>4132</v>
      </c>
      <c r="C2563">
        <v>531127</v>
      </c>
      <c r="D2563" t="s">
        <v>366</v>
      </c>
      <c r="E2563" t="s">
        <v>383</v>
      </c>
    </row>
    <row r="2564" spans="2:5" x14ac:dyDescent="0.2">
      <c r="B2564" t="s">
        <v>4133</v>
      </c>
      <c r="C2564">
        <v>523828</v>
      </c>
      <c r="D2564" t="s">
        <v>4134</v>
      </c>
      <c r="E2564" t="s">
        <v>721</v>
      </c>
    </row>
    <row r="2565" spans="2:5" x14ac:dyDescent="0.2">
      <c r="B2565" t="s">
        <v>4135</v>
      </c>
      <c r="C2565">
        <v>531727</v>
      </c>
      <c r="D2565" t="s">
        <v>366</v>
      </c>
      <c r="E2565" t="s">
        <v>721</v>
      </c>
    </row>
    <row r="2566" spans="2:5" x14ac:dyDescent="0.2">
      <c r="B2566" t="s">
        <v>4136</v>
      </c>
      <c r="C2566">
        <v>539126</v>
      </c>
      <c r="D2566" t="s">
        <v>4137</v>
      </c>
      <c r="E2566" t="s">
        <v>961</v>
      </c>
    </row>
    <row r="2567" spans="2:5" x14ac:dyDescent="0.2">
      <c r="B2567" t="s">
        <v>4138</v>
      </c>
      <c r="C2567">
        <v>538942</v>
      </c>
      <c r="D2567" t="s">
        <v>366</v>
      </c>
      <c r="E2567" t="s">
        <v>787</v>
      </c>
    </row>
    <row r="2568" spans="2:5" x14ac:dyDescent="0.2">
      <c r="B2568" t="s">
        <v>4139</v>
      </c>
      <c r="C2568">
        <v>526235</v>
      </c>
      <c r="D2568" t="s">
        <v>4140</v>
      </c>
      <c r="E2568" t="s">
        <v>355</v>
      </c>
    </row>
    <row r="2569" spans="2:5" x14ac:dyDescent="0.2">
      <c r="B2569" t="s">
        <v>4141</v>
      </c>
      <c r="C2569">
        <v>500126</v>
      </c>
      <c r="D2569" t="s">
        <v>4142</v>
      </c>
      <c r="E2569" t="s">
        <v>404</v>
      </c>
    </row>
    <row r="2570" spans="2:5" x14ac:dyDescent="0.2">
      <c r="B2570" t="s">
        <v>4143</v>
      </c>
      <c r="C2570">
        <v>538964</v>
      </c>
      <c r="D2570" t="s">
        <v>366</v>
      </c>
      <c r="E2570" t="s">
        <v>404</v>
      </c>
    </row>
    <row r="2571" spans="2:5" x14ac:dyDescent="0.2">
      <c r="B2571" t="s">
        <v>4144</v>
      </c>
      <c r="C2571">
        <v>531357</v>
      </c>
      <c r="D2571" t="s">
        <v>366</v>
      </c>
      <c r="E2571" t="s">
        <v>388</v>
      </c>
    </row>
    <row r="2572" spans="2:5" x14ac:dyDescent="0.2">
      <c r="B2572" t="s">
        <v>4145</v>
      </c>
      <c r="C2572">
        <v>512415</v>
      </c>
      <c r="D2572" t="s">
        <v>366</v>
      </c>
      <c r="E2572" t="s">
        <v>787</v>
      </c>
    </row>
    <row r="2573" spans="2:5" x14ac:dyDescent="0.2">
      <c r="B2573" t="s">
        <v>4146</v>
      </c>
      <c r="C2573">
        <v>500274</v>
      </c>
      <c r="D2573" t="s">
        <v>366</v>
      </c>
      <c r="E2573" t="s">
        <v>404</v>
      </c>
    </row>
    <row r="2574" spans="2:5" x14ac:dyDescent="0.2">
      <c r="B2574" t="s">
        <v>4147</v>
      </c>
      <c r="C2574">
        <v>531810</v>
      </c>
      <c r="D2574" t="s">
        <v>366</v>
      </c>
      <c r="E2574" t="s">
        <v>689</v>
      </c>
    </row>
    <row r="2575" spans="2:5" x14ac:dyDescent="0.2">
      <c r="B2575" t="s">
        <v>4148</v>
      </c>
      <c r="C2575">
        <v>531810</v>
      </c>
      <c r="D2575" t="s">
        <v>366</v>
      </c>
      <c r="E2575" t="s">
        <v>689</v>
      </c>
    </row>
    <row r="2576" spans="2:5" x14ac:dyDescent="0.2">
      <c r="B2576" t="s">
        <v>4149</v>
      </c>
      <c r="C2576">
        <v>513335</v>
      </c>
      <c r="D2576" t="s">
        <v>4150</v>
      </c>
      <c r="E2576" t="s">
        <v>1284</v>
      </c>
    </row>
    <row r="2577" spans="2:5" x14ac:dyDescent="0.2">
      <c r="B2577" t="s">
        <v>4151</v>
      </c>
      <c r="C2577">
        <v>532990</v>
      </c>
      <c r="D2577" t="s">
        <v>4152</v>
      </c>
      <c r="E2577" t="s">
        <v>398</v>
      </c>
    </row>
    <row r="2578" spans="2:5" x14ac:dyDescent="0.2">
      <c r="B2578" t="s">
        <v>4153</v>
      </c>
      <c r="C2578">
        <v>500159</v>
      </c>
      <c r="D2578" t="s">
        <v>366</v>
      </c>
      <c r="E2578" t="s">
        <v>360</v>
      </c>
    </row>
    <row r="2579" spans="2:5" x14ac:dyDescent="0.2">
      <c r="B2579" t="s">
        <v>4154</v>
      </c>
      <c r="C2579">
        <v>542650</v>
      </c>
      <c r="D2579" t="s">
        <v>4155</v>
      </c>
      <c r="E2579" t="s">
        <v>555</v>
      </c>
    </row>
    <row r="2580" spans="2:5" x14ac:dyDescent="0.2">
      <c r="B2580" t="s">
        <v>4156</v>
      </c>
      <c r="C2580">
        <v>540150</v>
      </c>
      <c r="D2580" t="s">
        <v>366</v>
      </c>
      <c r="E2580" t="s">
        <v>764</v>
      </c>
    </row>
    <row r="2581" spans="2:5" x14ac:dyDescent="0.2">
      <c r="B2581" t="s">
        <v>4157</v>
      </c>
      <c r="C2581">
        <v>513496</v>
      </c>
      <c r="D2581" t="s">
        <v>366</v>
      </c>
      <c r="E2581" t="s">
        <v>2876</v>
      </c>
    </row>
    <row r="2582" spans="2:5" x14ac:dyDescent="0.2">
      <c r="B2582" t="s">
        <v>4158</v>
      </c>
      <c r="C2582">
        <v>531613</v>
      </c>
      <c r="D2582" t="s">
        <v>4159</v>
      </c>
      <c r="E2582" t="s">
        <v>922</v>
      </c>
    </row>
    <row r="2583" spans="2:5" x14ac:dyDescent="0.2">
      <c r="B2583" t="s">
        <v>4160</v>
      </c>
      <c r="C2583">
        <v>526622</v>
      </c>
      <c r="D2583" t="s">
        <v>366</v>
      </c>
      <c r="E2583" t="s">
        <v>687</v>
      </c>
    </row>
    <row r="2584" spans="2:5" x14ac:dyDescent="0.2">
      <c r="B2584" t="s">
        <v>4161</v>
      </c>
      <c r="C2584">
        <v>526622</v>
      </c>
      <c r="D2584" t="s">
        <v>366</v>
      </c>
      <c r="E2584" t="s">
        <v>687</v>
      </c>
    </row>
    <row r="2585" spans="2:5" x14ac:dyDescent="0.2">
      <c r="B2585" t="s">
        <v>4162</v>
      </c>
      <c r="C2585">
        <v>513721</v>
      </c>
      <c r="D2585" t="s">
        <v>366</v>
      </c>
      <c r="E2585" t="s">
        <v>398</v>
      </c>
    </row>
    <row r="2586" spans="2:5" x14ac:dyDescent="0.2">
      <c r="B2586" t="s">
        <v>4163</v>
      </c>
      <c r="C2586">
        <v>532850</v>
      </c>
      <c r="D2586" t="s">
        <v>4164</v>
      </c>
      <c r="E2586" t="s">
        <v>908</v>
      </c>
    </row>
    <row r="2587" spans="2:5" x14ac:dyDescent="0.2">
      <c r="B2587" t="s">
        <v>4165</v>
      </c>
      <c r="C2587">
        <v>523343</v>
      </c>
      <c r="D2587" t="s">
        <v>366</v>
      </c>
      <c r="E2587" t="s">
        <v>383</v>
      </c>
    </row>
    <row r="2588" spans="2:5" x14ac:dyDescent="0.2">
      <c r="B2588" t="s">
        <v>4166</v>
      </c>
      <c r="C2588">
        <v>523343</v>
      </c>
      <c r="D2588" t="s">
        <v>366</v>
      </c>
      <c r="E2588" t="s">
        <v>383</v>
      </c>
    </row>
    <row r="2589" spans="2:5" x14ac:dyDescent="0.2">
      <c r="B2589" t="s">
        <v>4167</v>
      </c>
      <c r="C2589">
        <v>526251</v>
      </c>
      <c r="D2589" t="s">
        <v>366</v>
      </c>
      <c r="E2589" t="s">
        <v>349</v>
      </c>
    </row>
    <row r="2590" spans="2:5" x14ac:dyDescent="0.2">
      <c r="B2590" t="s">
        <v>4168</v>
      </c>
      <c r="C2590">
        <v>500277</v>
      </c>
      <c r="D2590" t="s">
        <v>366</v>
      </c>
      <c r="E2590" t="s">
        <v>381</v>
      </c>
    </row>
    <row r="2591" spans="2:5" x14ac:dyDescent="0.2">
      <c r="B2591" t="s">
        <v>4169</v>
      </c>
      <c r="C2591">
        <v>531192</v>
      </c>
      <c r="D2591" t="s">
        <v>366</v>
      </c>
      <c r="E2591" t="s">
        <v>383</v>
      </c>
    </row>
    <row r="2592" spans="2:5" x14ac:dyDescent="0.2">
      <c r="B2592" t="s">
        <v>4170</v>
      </c>
      <c r="C2592">
        <v>540744</v>
      </c>
      <c r="D2592" t="s">
        <v>366</v>
      </c>
      <c r="E2592" t="s">
        <v>398</v>
      </c>
    </row>
    <row r="2593" spans="2:5" x14ac:dyDescent="0.2">
      <c r="B2593" t="s">
        <v>4171</v>
      </c>
      <c r="C2593">
        <v>533310</v>
      </c>
      <c r="D2593" t="s">
        <v>4172</v>
      </c>
      <c r="E2593" t="s">
        <v>4173</v>
      </c>
    </row>
    <row r="2594" spans="2:5" x14ac:dyDescent="0.2">
      <c r="B2594" t="s">
        <v>4174</v>
      </c>
      <c r="C2594">
        <v>526570</v>
      </c>
      <c r="D2594" t="s">
        <v>366</v>
      </c>
      <c r="E2594" t="s">
        <v>894</v>
      </c>
    </row>
    <row r="2595" spans="2:5" x14ac:dyDescent="0.2">
      <c r="B2595" t="s">
        <v>4175</v>
      </c>
      <c r="C2595">
        <v>538895</v>
      </c>
      <c r="D2595" t="s">
        <v>366</v>
      </c>
      <c r="E2595" t="s">
        <v>388</v>
      </c>
    </row>
    <row r="2596" spans="2:5" x14ac:dyDescent="0.2">
      <c r="B2596" t="s">
        <v>4176</v>
      </c>
      <c r="C2596">
        <v>541337</v>
      </c>
      <c r="D2596" t="s">
        <v>366</v>
      </c>
      <c r="E2596" t="s">
        <v>643</v>
      </c>
    </row>
    <row r="2597" spans="2:5" x14ac:dyDescent="0.2">
      <c r="B2597" t="s">
        <v>4177</v>
      </c>
      <c r="C2597">
        <v>531338</v>
      </c>
      <c r="D2597" t="s">
        <v>366</v>
      </c>
      <c r="E2597" t="s">
        <v>894</v>
      </c>
    </row>
    <row r="2598" spans="2:5" x14ac:dyDescent="0.2">
      <c r="B2598" t="s">
        <v>4178</v>
      </c>
      <c r="C2598">
        <v>511018</v>
      </c>
      <c r="D2598" t="s">
        <v>366</v>
      </c>
      <c r="E2598" t="s">
        <v>787</v>
      </c>
    </row>
    <row r="2599" spans="2:5" x14ac:dyDescent="0.2">
      <c r="B2599" t="s">
        <v>4179</v>
      </c>
      <c r="C2599">
        <v>507621</v>
      </c>
      <c r="D2599" t="s">
        <v>366</v>
      </c>
      <c r="E2599" t="s">
        <v>426</v>
      </c>
    </row>
    <row r="2600" spans="2:5" x14ac:dyDescent="0.2">
      <c r="B2600" t="s">
        <v>4180</v>
      </c>
      <c r="C2600">
        <v>511187</v>
      </c>
      <c r="D2600" t="s">
        <v>366</v>
      </c>
      <c r="E2600" t="s">
        <v>787</v>
      </c>
    </row>
    <row r="2601" spans="2:5" x14ac:dyDescent="0.2">
      <c r="B2601" t="s">
        <v>4181</v>
      </c>
      <c r="C2601" t="s">
        <v>366</v>
      </c>
      <c r="D2601" t="s">
        <v>4182</v>
      </c>
      <c r="E2601" t="s">
        <v>377</v>
      </c>
    </row>
    <row r="2602" spans="2:5" x14ac:dyDescent="0.2">
      <c r="B2602" t="s">
        <v>4183</v>
      </c>
      <c r="C2602">
        <v>531456</v>
      </c>
      <c r="D2602" t="s">
        <v>366</v>
      </c>
      <c r="E2602" t="s">
        <v>381</v>
      </c>
    </row>
    <row r="2603" spans="2:5" x14ac:dyDescent="0.2">
      <c r="B2603" t="s">
        <v>4184</v>
      </c>
      <c r="C2603">
        <v>538962</v>
      </c>
      <c r="D2603" t="s">
        <v>4185</v>
      </c>
      <c r="E2603" t="s">
        <v>721</v>
      </c>
    </row>
    <row r="2604" spans="2:5" x14ac:dyDescent="0.2">
      <c r="B2604" t="s">
        <v>4186</v>
      </c>
      <c r="C2604">
        <v>539303</v>
      </c>
      <c r="D2604" t="s">
        <v>366</v>
      </c>
      <c r="E2604" t="s">
        <v>383</v>
      </c>
    </row>
    <row r="2605" spans="2:5" x14ac:dyDescent="0.2">
      <c r="B2605" t="s">
        <v>4187</v>
      </c>
      <c r="C2605">
        <v>532539</v>
      </c>
      <c r="D2605" t="s">
        <v>4188</v>
      </c>
      <c r="E2605" t="s">
        <v>721</v>
      </c>
    </row>
    <row r="2606" spans="2:5" x14ac:dyDescent="0.2">
      <c r="B2606" t="s">
        <v>4189</v>
      </c>
      <c r="C2606">
        <v>517344</v>
      </c>
      <c r="D2606" t="s">
        <v>4190</v>
      </c>
      <c r="E2606" t="s">
        <v>459</v>
      </c>
    </row>
    <row r="2607" spans="2:5" x14ac:dyDescent="0.2">
      <c r="B2607" t="s">
        <v>4191</v>
      </c>
      <c r="C2607">
        <v>517344</v>
      </c>
      <c r="D2607" t="s">
        <v>4190</v>
      </c>
      <c r="E2607" t="s">
        <v>459</v>
      </c>
    </row>
    <row r="2608" spans="2:5" x14ac:dyDescent="0.2">
      <c r="B2608" t="s">
        <v>4192</v>
      </c>
      <c r="C2608">
        <v>532819</v>
      </c>
      <c r="D2608" t="s">
        <v>4193</v>
      </c>
      <c r="E2608" t="s">
        <v>352</v>
      </c>
    </row>
    <row r="2609" spans="2:5" x14ac:dyDescent="0.2">
      <c r="B2609" t="s">
        <v>4194</v>
      </c>
      <c r="C2609">
        <v>523373</v>
      </c>
      <c r="D2609" t="s">
        <v>366</v>
      </c>
      <c r="E2609" t="s">
        <v>480</v>
      </c>
    </row>
    <row r="2610" spans="2:5" x14ac:dyDescent="0.2">
      <c r="B2610" t="s">
        <v>4195</v>
      </c>
      <c r="C2610">
        <v>523373</v>
      </c>
      <c r="D2610" t="s">
        <v>366</v>
      </c>
      <c r="E2610" t="s">
        <v>480</v>
      </c>
    </row>
    <row r="2611" spans="2:5" x14ac:dyDescent="0.2">
      <c r="B2611" t="s">
        <v>4196</v>
      </c>
      <c r="C2611">
        <v>532164</v>
      </c>
      <c r="D2611" t="s">
        <v>366</v>
      </c>
      <c r="E2611" t="s">
        <v>383</v>
      </c>
    </row>
    <row r="2612" spans="2:5" x14ac:dyDescent="0.2">
      <c r="B2612" t="s">
        <v>4197</v>
      </c>
      <c r="C2612">
        <v>505797</v>
      </c>
      <c r="D2612" t="s">
        <v>366</v>
      </c>
      <c r="E2612" t="s">
        <v>551</v>
      </c>
    </row>
    <row r="2613" spans="2:5" x14ac:dyDescent="0.2">
      <c r="B2613" t="s">
        <v>4198</v>
      </c>
      <c r="C2613">
        <v>500279</v>
      </c>
      <c r="D2613" t="s">
        <v>4199</v>
      </c>
      <c r="E2613" t="s">
        <v>735</v>
      </c>
    </row>
    <row r="2614" spans="2:5" x14ac:dyDescent="0.2">
      <c r="B2614" t="s">
        <v>4200</v>
      </c>
      <c r="C2614">
        <v>505336</v>
      </c>
      <c r="D2614" t="s">
        <v>366</v>
      </c>
      <c r="E2614" t="s">
        <v>374</v>
      </c>
    </row>
    <row r="2615" spans="2:5" x14ac:dyDescent="0.2">
      <c r="B2615" t="s">
        <v>4201</v>
      </c>
      <c r="C2615">
        <v>505336</v>
      </c>
      <c r="D2615" t="s">
        <v>366</v>
      </c>
      <c r="E2615" t="s">
        <v>374</v>
      </c>
    </row>
    <row r="2616" spans="2:5" x14ac:dyDescent="0.2">
      <c r="B2616" t="s">
        <v>4202</v>
      </c>
      <c r="C2616">
        <v>526642</v>
      </c>
      <c r="D2616" t="s">
        <v>4203</v>
      </c>
      <c r="E2616" t="s">
        <v>792</v>
      </c>
    </row>
    <row r="2617" spans="2:5" x14ac:dyDescent="0.2">
      <c r="B2617" t="s">
        <v>4204</v>
      </c>
      <c r="C2617">
        <v>539220</v>
      </c>
      <c r="D2617" t="s">
        <v>366</v>
      </c>
      <c r="E2617" t="s">
        <v>480</v>
      </c>
    </row>
    <row r="2618" spans="2:5" x14ac:dyDescent="0.2">
      <c r="B2618" t="s">
        <v>4205</v>
      </c>
      <c r="C2618">
        <v>541195</v>
      </c>
      <c r="D2618" t="s">
        <v>4206</v>
      </c>
      <c r="E2618" t="s">
        <v>689</v>
      </c>
    </row>
    <row r="2619" spans="2:5" x14ac:dyDescent="0.2">
      <c r="B2619" t="s">
        <v>4207</v>
      </c>
      <c r="C2619">
        <v>539594</v>
      </c>
      <c r="D2619" t="s">
        <v>366</v>
      </c>
      <c r="E2619" t="s">
        <v>564</v>
      </c>
    </row>
    <row r="2620" spans="2:5" x14ac:dyDescent="0.2">
      <c r="B2620" t="s">
        <v>4208</v>
      </c>
      <c r="C2620" t="s">
        <v>366</v>
      </c>
      <c r="D2620" t="s">
        <v>4209</v>
      </c>
      <c r="E2620" t="s">
        <v>377</v>
      </c>
    </row>
    <row r="2621" spans="2:5" x14ac:dyDescent="0.2">
      <c r="B2621" t="s">
        <v>4210</v>
      </c>
      <c r="C2621">
        <v>523782</v>
      </c>
      <c r="D2621" t="s">
        <v>366</v>
      </c>
      <c r="E2621" t="s">
        <v>388</v>
      </c>
    </row>
    <row r="2622" spans="2:5" x14ac:dyDescent="0.2">
      <c r="B2622" t="s">
        <v>4211</v>
      </c>
      <c r="C2622">
        <v>523782</v>
      </c>
      <c r="D2622" t="s">
        <v>366</v>
      </c>
      <c r="E2622" t="s">
        <v>388</v>
      </c>
    </row>
    <row r="2623" spans="2:5" x14ac:dyDescent="0.2">
      <c r="B2623" t="s">
        <v>4212</v>
      </c>
      <c r="C2623">
        <v>540078</v>
      </c>
      <c r="D2623" t="s">
        <v>366</v>
      </c>
      <c r="E2623" t="s">
        <v>561</v>
      </c>
    </row>
    <row r="2624" spans="2:5" x14ac:dyDescent="0.2">
      <c r="B2624" t="s">
        <v>4213</v>
      </c>
      <c r="C2624" t="s">
        <v>366</v>
      </c>
      <c r="D2624" t="s">
        <v>4214</v>
      </c>
      <c r="E2624" t="s">
        <v>377</v>
      </c>
    </row>
    <row r="2625" spans="2:5" x14ac:dyDescent="0.2">
      <c r="B2625" t="s">
        <v>4215</v>
      </c>
      <c r="C2625">
        <v>522036</v>
      </c>
      <c r="D2625" t="s">
        <v>4216</v>
      </c>
      <c r="E2625" t="s">
        <v>551</v>
      </c>
    </row>
    <row r="2626" spans="2:5" x14ac:dyDescent="0.2">
      <c r="B2626" t="s">
        <v>4217</v>
      </c>
      <c r="C2626">
        <v>522241</v>
      </c>
      <c r="D2626" t="s">
        <v>4218</v>
      </c>
      <c r="E2626" t="s">
        <v>1284</v>
      </c>
    </row>
    <row r="2627" spans="2:5" x14ac:dyDescent="0.2">
      <c r="B2627" t="s">
        <v>4219</v>
      </c>
      <c r="C2627">
        <v>509196</v>
      </c>
      <c r="D2627" t="s">
        <v>4220</v>
      </c>
      <c r="E2627" t="s">
        <v>4221</v>
      </c>
    </row>
    <row r="2628" spans="2:5" x14ac:dyDescent="0.2">
      <c r="B2628" t="s">
        <v>4222</v>
      </c>
      <c r="C2628" t="s">
        <v>366</v>
      </c>
      <c r="D2628" t="s">
        <v>4223</v>
      </c>
      <c r="E2628" t="s">
        <v>377</v>
      </c>
    </row>
    <row r="2629" spans="2:5" x14ac:dyDescent="0.2">
      <c r="B2629" t="s">
        <v>4224</v>
      </c>
      <c r="C2629">
        <v>513377</v>
      </c>
      <c r="D2629" t="s">
        <v>4225</v>
      </c>
      <c r="E2629" t="s">
        <v>388</v>
      </c>
    </row>
    <row r="2630" spans="2:5" x14ac:dyDescent="0.2">
      <c r="B2630" t="s">
        <v>4226</v>
      </c>
      <c r="C2630">
        <v>503772</v>
      </c>
      <c r="D2630" t="s">
        <v>366</v>
      </c>
      <c r="E2630" t="s">
        <v>388</v>
      </c>
    </row>
    <row r="2631" spans="2:5" x14ac:dyDescent="0.2">
      <c r="B2631" t="s">
        <v>4227</v>
      </c>
      <c r="C2631">
        <v>503015</v>
      </c>
      <c r="D2631" t="s">
        <v>366</v>
      </c>
      <c r="E2631" t="s">
        <v>388</v>
      </c>
    </row>
    <row r="2632" spans="2:5" x14ac:dyDescent="0.2">
      <c r="B2632" t="s">
        <v>4228</v>
      </c>
      <c r="C2632">
        <v>539762</v>
      </c>
      <c r="D2632" t="s">
        <v>366</v>
      </c>
      <c r="E2632" t="s">
        <v>564</v>
      </c>
    </row>
    <row r="2633" spans="2:5" x14ac:dyDescent="0.2">
      <c r="B2633" t="s">
        <v>4229</v>
      </c>
      <c r="C2633">
        <v>519287</v>
      </c>
      <c r="D2633" t="s">
        <v>366</v>
      </c>
      <c r="E2633" t="s">
        <v>426</v>
      </c>
    </row>
    <row r="2634" spans="2:5" x14ac:dyDescent="0.2">
      <c r="B2634" t="s">
        <v>4230</v>
      </c>
      <c r="C2634">
        <v>503015</v>
      </c>
      <c r="D2634" t="s">
        <v>366</v>
      </c>
      <c r="E2634" t="s">
        <v>388</v>
      </c>
    </row>
    <row r="2635" spans="2:5" x14ac:dyDescent="0.2">
      <c r="B2635" t="s">
        <v>4231</v>
      </c>
      <c r="C2635">
        <v>509760</v>
      </c>
      <c r="D2635" t="s">
        <v>366</v>
      </c>
      <c r="E2635" t="s">
        <v>349</v>
      </c>
    </row>
    <row r="2636" spans="2:5" x14ac:dyDescent="0.2">
      <c r="B2636" t="s">
        <v>4232</v>
      </c>
      <c r="C2636">
        <v>513303</v>
      </c>
      <c r="D2636" t="s">
        <v>4233</v>
      </c>
      <c r="E2636" t="s">
        <v>4234</v>
      </c>
    </row>
    <row r="2637" spans="2:5" x14ac:dyDescent="0.2">
      <c r="B2637" t="s">
        <v>4235</v>
      </c>
      <c r="C2637">
        <v>537092</v>
      </c>
      <c r="D2637" t="s">
        <v>366</v>
      </c>
      <c r="E2637" t="s">
        <v>349</v>
      </c>
    </row>
    <row r="2638" spans="2:5" x14ac:dyDescent="0.2">
      <c r="B2638" t="s">
        <v>4236</v>
      </c>
      <c r="C2638">
        <v>519003</v>
      </c>
      <c r="D2638" t="s">
        <v>366</v>
      </c>
      <c r="E2638" t="s">
        <v>564</v>
      </c>
    </row>
    <row r="2639" spans="2:5" x14ac:dyDescent="0.2">
      <c r="B2639" t="s">
        <v>4237</v>
      </c>
      <c r="C2639">
        <v>500890</v>
      </c>
      <c r="D2639" t="s">
        <v>4238</v>
      </c>
      <c r="E2639" t="s">
        <v>846</v>
      </c>
    </row>
    <row r="2640" spans="2:5" x14ac:dyDescent="0.2">
      <c r="B2640" t="s">
        <v>4239</v>
      </c>
      <c r="C2640">
        <v>503776</v>
      </c>
      <c r="D2640" t="s">
        <v>366</v>
      </c>
      <c r="E2640" t="s">
        <v>510</v>
      </c>
    </row>
    <row r="2641" spans="2:5" x14ac:dyDescent="0.2">
      <c r="B2641" t="s">
        <v>4240</v>
      </c>
      <c r="C2641">
        <v>506261</v>
      </c>
      <c r="D2641" t="s">
        <v>366</v>
      </c>
      <c r="E2641" t="s">
        <v>664</v>
      </c>
    </row>
    <row r="2642" spans="2:5" x14ac:dyDescent="0.2">
      <c r="B2642" t="s">
        <v>4241</v>
      </c>
      <c r="C2642" t="s">
        <v>366</v>
      </c>
      <c r="D2642" t="s">
        <v>4242</v>
      </c>
      <c r="E2642" t="s">
        <v>377</v>
      </c>
    </row>
    <row r="2643" spans="2:5" x14ac:dyDescent="0.2">
      <c r="B2643" t="s">
        <v>4243</v>
      </c>
      <c r="C2643">
        <v>531453</v>
      </c>
      <c r="D2643" t="s">
        <v>4244</v>
      </c>
      <c r="E2643" t="s">
        <v>381</v>
      </c>
    </row>
    <row r="2644" spans="2:5" x14ac:dyDescent="0.2">
      <c r="B2644" t="s">
        <v>4245</v>
      </c>
      <c r="C2644">
        <v>530169</v>
      </c>
      <c r="D2644" t="s">
        <v>366</v>
      </c>
      <c r="E2644" t="s">
        <v>360</v>
      </c>
    </row>
    <row r="2645" spans="2:5" x14ac:dyDescent="0.2">
      <c r="B2645" t="s">
        <v>4246</v>
      </c>
      <c r="C2645">
        <v>532140</v>
      </c>
      <c r="D2645" t="s">
        <v>366</v>
      </c>
      <c r="E2645" t="s">
        <v>381</v>
      </c>
    </row>
    <row r="2646" spans="2:5" x14ac:dyDescent="0.2">
      <c r="B2646" t="s">
        <v>4247</v>
      </c>
      <c r="C2646">
        <v>530047</v>
      </c>
      <c r="D2646" t="s">
        <v>4248</v>
      </c>
      <c r="E2646" t="s">
        <v>381</v>
      </c>
    </row>
    <row r="2647" spans="2:5" x14ac:dyDescent="0.2">
      <c r="B2647" t="s">
        <v>4249</v>
      </c>
      <c r="C2647">
        <v>533286</v>
      </c>
      <c r="D2647" t="s">
        <v>4250</v>
      </c>
      <c r="E2647" t="s">
        <v>346</v>
      </c>
    </row>
    <row r="2648" spans="2:5" x14ac:dyDescent="0.2">
      <c r="B2648" t="s">
        <v>4251</v>
      </c>
      <c r="C2648" t="s">
        <v>366</v>
      </c>
      <c r="D2648" t="s">
        <v>4252</v>
      </c>
      <c r="E2648" t="s">
        <v>377</v>
      </c>
    </row>
    <row r="2649" spans="2:5" x14ac:dyDescent="0.2">
      <c r="B2649" t="s">
        <v>4253</v>
      </c>
      <c r="C2649">
        <v>533080</v>
      </c>
      <c r="D2649" t="s">
        <v>4254</v>
      </c>
      <c r="E2649" t="s">
        <v>561</v>
      </c>
    </row>
    <row r="2650" spans="2:5" x14ac:dyDescent="0.2">
      <c r="B2650" t="s">
        <v>4255</v>
      </c>
      <c r="C2650">
        <v>526263</v>
      </c>
      <c r="D2650" t="s">
        <v>4256</v>
      </c>
      <c r="E2650" t="s">
        <v>696</v>
      </c>
    </row>
    <row r="2651" spans="2:5" x14ac:dyDescent="0.2">
      <c r="B2651" t="s">
        <v>4257</v>
      </c>
      <c r="C2651">
        <v>511551</v>
      </c>
      <c r="D2651" t="s">
        <v>366</v>
      </c>
      <c r="E2651" t="s">
        <v>349</v>
      </c>
    </row>
    <row r="2652" spans="2:5" x14ac:dyDescent="0.2">
      <c r="B2652" t="s">
        <v>4258</v>
      </c>
      <c r="C2652">
        <v>535910</v>
      </c>
      <c r="D2652" t="s">
        <v>366</v>
      </c>
      <c r="E2652" t="s">
        <v>383</v>
      </c>
    </row>
    <row r="2653" spans="2:5" x14ac:dyDescent="0.2">
      <c r="B2653" t="s">
        <v>4259</v>
      </c>
      <c r="C2653">
        <v>532078</v>
      </c>
      <c r="D2653" t="s">
        <v>366</v>
      </c>
      <c r="E2653" t="s">
        <v>398</v>
      </c>
    </row>
    <row r="2654" spans="2:5" x14ac:dyDescent="0.2">
      <c r="B2654" t="s">
        <v>4260</v>
      </c>
      <c r="C2654">
        <v>513446</v>
      </c>
      <c r="D2654" t="s">
        <v>4261</v>
      </c>
      <c r="E2654" t="s">
        <v>398</v>
      </c>
    </row>
    <row r="2655" spans="2:5" x14ac:dyDescent="0.2">
      <c r="B2655" t="s">
        <v>4262</v>
      </c>
      <c r="C2655">
        <v>532723</v>
      </c>
      <c r="D2655" t="s">
        <v>366</v>
      </c>
      <c r="E2655" t="s">
        <v>452</v>
      </c>
    </row>
    <row r="2656" spans="2:5" x14ac:dyDescent="0.2">
      <c r="B2656" t="s">
        <v>4263</v>
      </c>
      <c r="C2656">
        <v>505343</v>
      </c>
      <c r="D2656" t="s">
        <v>366</v>
      </c>
      <c r="E2656" t="s">
        <v>787</v>
      </c>
    </row>
    <row r="2657" spans="2:5" x14ac:dyDescent="0.2">
      <c r="B2657" t="s">
        <v>4264</v>
      </c>
      <c r="C2657">
        <v>505343</v>
      </c>
      <c r="D2657" t="s">
        <v>366</v>
      </c>
      <c r="E2657" t="s">
        <v>787</v>
      </c>
    </row>
    <row r="2658" spans="2:5" x14ac:dyDescent="0.2">
      <c r="B2658" t="s">
        <v>4265</v>
      </c>
      <c r="C2658">
        <v>524084</v>
      </c>
      <c r="D2658" t="s">
        <v>4266</v>
      </c>
      <c r="E2658" t="s">
        <v>510</v>
      </c>
    </row>
    <row r="2659" spans="2:5" x14ac:dyDescent="0.2">
      <c r="B2659" t="s">
        <v>4267</v>
      </c>
      <c r="C2659">
        <v>524084</v>
      </c>
      <c r="D2659" t="s">
        <v>4266</v>
      </c>
      <c r="E2659" t="s">
        <v>510</v>
      </c>
    </row>
    <row r="2660" spans="2:5" x14ac:dyDescent="0.2">
      <c r="B2660" t="s">
        <v>4268</v>
      </c>
      <c r="C2660">
        <v>538836</v>
      </c>
      <c r="D2660" t="s">
        <v>4269</v>
      </c>
      <c r="E2660" t="s">
        <v>480</v>
      </c>
    </row>
    <row r="2661" spans="2:5" x14ac:dyDescent="0.2">
      <c r="B2661" t="s">
        <v>4270</v>
      </c>
      <c r="C2661">
        <v>530167</v>
      </c>
      <c r="D2661" t="s">
        <v>366</v>
      </c>
      <c r="E2661" t="s">
        <v>383</v>
      </c>
    </row>
    <row r="2662" spans="2:5" x14ac:dyDescent="0.2">
      <c r="B2662" t="s">
        <v>4271</v>
      </c>
      <c r="C2662">
        <v>539199</v>
      </c>
      <c r="D2662" t="s">
        <v>366</v>
      </c>
      <c r="E2662" t="s">
        <v>349</v>
      </c>
    </row>
    <row r="2663" spans="2:5" x14ac:dyDescent="0.2">
      <c r="B2663" t="s">
        <v>4272</v>
      </c>
      <c r="C2663">
        <v>532621</v>
      </c>
      <c r="D2663" t="s">
        <v>4273</v>
      </c>
      <c r="E2663" t="s">
        <v>381</v>
      </c>
    </row>
    <row r="2664" spans="2:5" x14ac:dyDescent="0.2">
      <c r="B2664" t="s">
        <v>4274</v>
      </c>
      <c r="C2664">
        <v>511549</v>
      </c>
      <c r="D2664" t="s">
        <v>366</v>
      </c>
      <c r="E2664" t="s">
        <v>383</v>
      </c>
    </row>
    <row r="2665" spans="2:5" x14ac:dyDescent="0.2">
      <c r="B2665" t="s">
        <v>4275</v>
      </c>
      <c r="C2665">
        <v>500288</v>
      </c>
      <c r="D2665" t="s">
        <v>4276</v>
      </c>
      <c r="E2665" t="s">
        <v>404</v>
      </c>
    </row>
    <row r="2666" spans="2:5" x14ac:dyDescent="0.2">
      <c r="B2666" t="s">
        <v>4277</v>
      </c>
      <c r="C2666">
        <v>526237</v>
      </c>
      <c r="D2666" t="s">
        <v>366</v>
      </c>
      <c r="E2666" t="s">
        <v>383</v>
      </c>
    </row>
    <row r="2667" spans="2:5" x14ac:dyDescent="0.2">
      <c r="B2667" t="s">
        <v>4278</v>
      </c>
      <c r="C2667">
        <v>523160</v>
      </c>
      <c r="D2667" t="s">
        <v>366</v>
      </c>
      <c r="E2667" t="s">
        <v>551</v>
      </c>
    </row>
    <row r="2668" spans="2:5" x14ac:dyDescent="0.2">
      <c r="B2668" t="s">
        <v>4279</v>
      </c>
      <c r="C2668">
        <v>523160</v>
      </c>
      <c r="D2668" t="s">
        <v>366</v>
      </c>
      <c r="E2668" t="s">
        <v>551</v>
      </c>
    </row>
    <row r="2669" spans="2:5" x14ac:dyDescent="0.2">
      <c r="B2669" t="s">
        <v>4280</v>
      </c>
      <c r="C2669">
        <v>513305</v>
      </c>
      <c r="D2669" t="s">
        <v>4281</v>
      </c>
      <c r="E2669" t="s">
        <v>787</v>
      </c>
    </row>
    <row r="2670" spans="2:5" x14ac:dyDescent="0.2">
      <c r="B2670" t="s">
        <v>4282</v>
      </c>
      <c r="C2670">
        <v>532407</v>
      </c>
      <c r="D2670" t="s">
        <v>366</v>
      </c>
      <c r="E2670" t="s">
        <v>459</v>
      </c>
    </row>
    <row r="2671" spans="2:5" x14ac:dyDescent="0.2">
      <c r="B2671" t="s">
        <v>4283</v>
      </c>
      <c r="C2671" t="s">
        <v>366</v>
      </c>
      <c r="D2671" t="s">
        <v>4284</v>
      </c>
      <c r="E2671" t="s">
        <v>457</v>
      </c>
    </row>
    <row r="2672" spans="2:5" x14ac:dyDescent="0.2">
      <c r="B2672" t="s">
        <v>4285</v>
      </c>
      <c r="C2672">
        <v>517334</v>
      </c>
      <c r="D2672" t="s">
        <v>4286</v>
      </c>
      <c r="E2672" t="s">
        <v>721</v>
      </c>
    </row>
    <row r="2673" spans="2:5" x14ac:dyDescent="0.2">
      <c r="B2673" t="s">
        <v>4287</v>
      </c>
      <c r="C2673">
        <v>532892</v>
      </c>
      <c r="D2673" t="s">
        <v>4288</v>
      </c>
      <c r="E2673" t="s">
        <v>383</v>
      </c>
    </row>
    <row r="2674" spans="2:5" x14ac:dyDescent="0.2">
      <c r="B2674" t="s">
        <v>4289</v>
      </c>
      <c r="C2674">
        <v>590115</v>
      </c>
      <c r="D2674" t="s">
        <v>4290</v>
      </c>
      <c r="E2674" t="s">
        <v>349</v>
      </c>
    </row>
    <row r="2675" spans="2:5" x14ac:dyDescent="0.2">
      <c r="B2675" t="s">
        <v>4291</v>
      </c>
      <c r="C2675">
        <v>533385</v>
      </c>
      <c r="D2675" t="s">
        <v>4292</v>
      </c>
      <c r="E2675" t="s">
        <v>349</v>
      </c>
    </row>
    <row r="2676" spans="2:5" x14ac:dyDescent="0.2">
      <c r="B2676" t="s">
        <v>4293</v>
      </c>
      <c r="C2676">
        <v>507522</v>
      </c>
      <c r="D2676" t="s">
        <v>366</v>
      </c>
      <c r="E2676" t="s">
        <v>998</v>
      </c>
    </row>
    <row r="2677" spans="2:5" x14ac:dyDescent="0.2">
      <c r="B2677" t="s">
        <v>4294</v>
      </c>
      <c r="C2677">
        <v>526299</v>
      </c>
      <c r="D2677" t="s">
        <v>4295</v>
      </c>
      <c r="E2677" t="s">
        <v>352</v>
      </c>
    </row>
    <row r="2678" spans="2:5" x14ac:dyDescent="0.2">
      <c r="B2678" t="s">
        <v>4296</v>
      </c>
      <c r="C2678">
        <v>500450</v>
      </c>
      <c r="D2678" t="s">
        <v>366</v>
      </c>
      <c r="E2678" t="s">
        <v>349</v>
      </c>
    </row>
    <row r="2679" spans="2:5" x14ac:dyDescent="0.2">
      <c r="B2679" t="s">
        <v>4297</v>
      </c>
      <c r="C2679">
        <v>526143</v>
      </c>
      <c r="D2679" t="s">
        <v>366</v>
      </c>
      <c r="E2679" t="s">
        <v>561</v>
      </c>
    </row>
    <row r="2680" spans="2:5" x14ac:dyDescent="0.2">
      <c r="B2680" t="s">
        <v>4298</v>
      </c>
      <c r="C2680">
        <v>532440</v>
      </c>
      <c r="D2680" t="s">
        <v>4299</v>
      </c>
      <c r="E2680" t="s">
        <v>2355</v>
      </c>
    </row>
    <row r="2681" spans="2:5" x14ac:dyDescent="0.2">
      <c r="B2681" t="s">
        <v>4300</v>
      </c>
      <c r="C2681">
        <v>540809</v>
      </c>
      <c r="D2681" t="s">
        <v>366</v>
      </c>
      <c r="E2681" t="s">
        <v>388</v>
      </c>
    </row>
    <row r="2682" spans="2:5" x14ac:dyDescent="0.2">
      <c r="B2682" t="s">
        <v>4301</v>
      </c>
      <c r="C2682">
        <v>500290</v>
      </c>
      <c r="D2682" t="s">
        <v>4302</v>
      </c>
      <c r="E2682" t="s">
        <v>846</v>
      </c>
    </row>
    <row r="2683" spans="2:5" x14ac:dyDescent="0.2">
      <c r="B2683" t="s">
        <v>4303</v>
      </c>
      <c r="C2683">
        <v>532376</v>
      </c>
      <c r="D2683" t="s">
        <v>4304</v>
      </c>
      <c r="E2683" t="s">
        <v>512</v>
      </c>
    </row>
    <row r="2684" spans="2:5" x14ac:dyDescent="0.2">
      <c r="B2684" t="s">
        <v>4305</v>
      </c>
      <c r="C2684">
        <v>512065</v>
      </c>
      <c r="D2684" t="s">
        <v>366</v>
      </c>
      <c r="E2684" t="s">
        <v>383</v>
      </c>
    </row>
    <row r="2685" spans="2:5" x14ac:dyDescent="0.2">
      <c r="B2685" t="s">
        <v>4306</v>
      </c>
      <c r="C2685">
        <v>532650</v>
      </c>
      <c r="D2685" t="s">
        <v>4307</v>
      </c>
      <c r="E2685" t="s">
        <v>689</v>
      </c>
    </row>
    <row r="2686" spans="2:5" x14ac:dyDescent="0.2">
      <c r="B2686" t="s">
        <v>4308</v>
      </c>
      <c r="C2686">
        <v>508922</v>
      </c>
      <c r="D2686" t="s">
        <v>366</v>
      </c>
      <c r="E2686" t="s">
        <v>1410</v>
      </c>
    </row>
    <row r="2687" spans="2:5" x14ac:dyDescent="0.2">
      <c r="B2687" t="s">
        <v>4309</v>
      </c>
      <c r="C2687">
        <v>508922</v>
      </c>
      <c r="D2687" t="s">
        <v>366</v>
      </c>
      <c r="E2687" t="s">
        <v>1410</v>
      </c>
    </row>
    <row r="2688" spans="2:5" x14ac:dyDescent="0.2">
      <c r="B2688" t="s">
        <v>4310</v>
      </c>
      <c r="C2688" t="s">
        <v>366</v>
      </c>
      <c r="D2688" t="s">
        <v>4311</v>
      </c>
      <c r="E2688" t="s">
        <v>1410</v>
      </c>
    </row>
    <row r="2689" spans="2:5" x14ac:dyDescent="0.2">
      <c r="B2689" t="s">
        <v>4312</v>
      </c>
      <c r="C2689">
        <v>542597</v>
      </c>
      <c r="D2689" t="s">
        <v>4313</v>
      </c>
      <c r="E2689" t="s">
        <v>732</v>
      </c>
    </row>
    <row r="2690" spans="2:5" x14ac:dyDescent="0.2">
      <c r="B2690" t="s">
        <v>4314</v>
      </c>
      <c r="C2690">
        <v>534312</v>
      </c>
      <c r="D2690" t="s">
        <v>4315</v>
      </c>
      <c r="E2690" t="s">
        <v>471</v>
      </c>
    </row>
    <row r="2691" spans="2:5" x14ac:dyDescent="0.2">
      <c r="B2691" t="s">
        <v>4316</v>
      </c>
      <c r="C2691">
        <v>531919</v>
      </c>
      <c r="D2691" t="s">
        <v>366</v>
      </c>
      <c r="E2691" t="s">
        <v>386</v>
      </c>
    </row>
    <row r="2692" spans="2:5" x14ac:dyDescent="0.2">
      <c r="B2692" t="s">
        <v>4317</v>
      </c>
      <c r="C2692">
        <v>539819</v>
      </c>
      <c r="D2692" t="s">
        <v>366</v>
      </c>
      <c r="E2692" t="s">
        <v>349</v>
      </c>
    </row>
    <row r="2693" spans="2:5" x14ac:dyDescent="0.2">
      <c r="B2693" t="s">
        <v>4318</v>
      </c>
      <c r="C2693">
        <v>538743</v>
      </c>
      <c r="D2693" t="s">
        <v>366</v>
      </c>
      <c r="E2693" t="s">
        <v>352</v>
      </c>
    </row>
    <row r="2694" spans="2:5" x14ac:dyDescent="0.2">
      <c r="B2694" t="s">
        <v>4319</v>
      </c>
      <c r="C2694">
        <v>532097</v>
      </c>
      <c r="D2694" t="s">
        <v>4320</v>
      </c>
      <c r="E2694" t="s">
        <v>764</v>
      </c>
    </row>
    <row r="2695" spans="2:5" x14ac:dyDescent="0.2">
      <c r="B2695" t="s">
        <v>4321</v>
      </c>
      <c r="C2695">
        <v>500460</v>
      </c>
      <c r="D2695" t="s">
        <v>4322</v>
      </c>
      <c r="E2695" t="s">
        <v>398</v>
      </c>
    </row>
    <row r="2696" spans="2:5" x14ac:dyDescent="0.2">
      <c r="B2696" t="s">
        <v>4323</v>
      </c>
      <c r="C2696">
        <v>523832</v>
      </c>
      <c r="D2696" t="s">
        <v>4324</v>
      </c>
      <c r="E2696" t="s">
        <v>484</v>
      </c>
    </row>
    <row r="2697" spans="2:5" x14ac:dyDescent="0.2">
      <c r="B2697" t="s">
        <v>4325</v>
      </c>
      <c r="C2697">
        <v>530341</v>
      </c>
      <c r="D2697" t="s">
        <v>366</v>
      </c>
      <c r="E2697" t="s">
        <v>349</v>
      </c>
    </row>
    <row r="2698" spans="2:5" x14ac:dyDescent="0.2">
      <c r="B2698" t="s">
        <v>4326</v>
      </c>
      <c r="C2698">
        <v>535204</v>
      </c>
      <c r="D2698" t="s">
        <v>366</v>
      </c>
      <c r="E2698" t="s">
        <v>388</v>
      </c>
    </row>
    <row r="2699" spans="2:5" x14ac:dyDescent="0.2">
      <c r="B2699" t="s">
        <v>4327</v>
      </c>
      <c r="C2699">
        <v>532357</v>
      </c>
      <c r="D2699" t="s">
        <v>4328</v>
      </c>
      <c r="E2699" t="s">
        <v>369</v>
      </c>
    </row>
    <row r="2700" spans="2:5" x14ac:dyDescent="0.2">
      <c r="B2700" t="s">
        <v>4329</v>
      </c>
      <c r="C2700">
        <v>501477</v>
      </c>
      <c r="D2700" t="s">
        <v>366</v>
      </c>
      <c r="E2700" t="s">
        <v>388</v>
      </c>
    </row>
    <row r="2701" spans="2:5" x14ac:dyDescent="0.2">
      <c r="B2701" t="s">
        <v>4330</v>
      </c>
      <c r="C2701">
        <v>501477</v>
      </c>
      <c r="D2701" t="s">
        <v>366</v>
      </c>
      <c r="E2701" t="s">
        <v>388</v>
      </c>
    </row>
    <row r="2702" spans="2:5" x14ac:dyDescent="0.2">
      <c r="B2702" t="s">
        <v>4331</v>
      </c>
      <c r="C2702">
        <v>534091</v>
      </c>
      <c r="D2702" t="s">
        <v>4332</v>
      </c>
      <c r="E2702" t="s">
        <v>386</v>
      </c>
    </row>
    <row r="2703" spans="2:5" x14ac:dyDescent="0.2">
      <c r="B2703" t="s">
        <v>4333</v>
      </c>
      <c r="C2703">
        <v>534091</v>
      </c>
      <c r="D2703" t="s">
        <v>4332</v>
      </c>
      <c r="E2703" t="s">
        <v>386</v>
      </c>
    </row>
    <row r="2704" spans="2:5" x14ac:dyDescent="0.2">
      <c r="B2704" t="s">
        <v>4334</v>
      </c>
      <c r="C2704">
        <v>526169</v>
      </c>
      <c r="D2704" t="s">
        <v>366</v>
      </c>
      <c r="E2704" t="s">
        <v>846</v>
      </c>
    </row>
    <row r="2705" spans="2:5" x14ac:dyDescent="0.2">
      <c r="B2705" t="s">
        <v>4335</v>
      </c>
      <c r="C2705">
        <v>526169</v>
      </c>
      <c r="D2705" t="s">
        <v>366</v>
      </c>
      <c r="E2705" t="s">
        <v>846</v>
      </c>
    </row>
    <row r="2706" spans="2:5" x14ac:dyDescent="0.2">
      <c r="B2706" t="s">
        <v>4336</v>
      </c>
      <c r="C2706">
        <v>505594</v>
      </c>
      <c r="D2706" t="s">
        <v>366</v>
      </c>
      <c r="E2706" t="s">
        <v>787</v>
      </c>
    </row>
    <row r="2707" spans="2:5" x14ac:dyDescent="0.2">
      <c r="B2707" t="s">
        <v>4337</v>
      </c>
      <c r="C2707">
        <v>504356</v>
      </c>
      <c r="D2707" t="s">
        <v>366</v>
      </c>
      <c r="E2707" t="s">
        <v>787</v>
      </c>
    </row>
    <row r="2708" spans="2:5" x14ac:dyDescent="0.2">
      <c r="B2708" t="s">
        <v>4338</v>
      </c>
      <c r="C2708">
        <v>520059</v>
      </c>
      <c r="D2708" t="s">
        <v>4339</v>
      </c>
      <c r="E2708" t="s">
        <v>721</v>
      </c>
    </row>
    <row r="2709" spans="2:5" x14ac:dyDescent="0.2">
      <c r="B2709" t="s">
        <v>4340</v>
      </c>
      <c r="C2709">
        <v>520043</v>
      </c>
      <c r="D2709" t="s">
        <v>4341</v>
      </c>
      <c r="E2709" t="s">
        <v>721</v>
      </c>
    </row>
    <row r="2710" spans="2:5" x14ac:dyDescent="0.2">
      <c r="B2710" t="s">
        <v>4342</v>
      </c>
      <c r="C2710">
        <v>511200</v>
      </c>
      <c r="D2710" t="s">
        <v>366</v>
      </c>
      <c r="E2710" t="s">
        <v>787</v>
      </c>
    </row>
    <row r="2711" spans="2:5" x14ac:dyDescent="0.2">
      <c r="B2711" t="s">
        <v>4343</v>
      </c>
      <c r="C2711">
        <v>511401</v>
      </c>
      <c r="D2711" t="s">
        <v>4344</v>
      </c>
      <c r="E2711" t="s">
        <v>349</v>
      </c>
    </row>
    <row r="2712" spans="2:5" x14ac:dyDescent="0.2">
      <c r="B2712" t="s">
        <v>4345</v>
      </c>
      <c r="C2712">
        <v>531821</v>
      </c>
      <c r="D2712" t="s">
        <v>366</v>
      </c>
      <c r="E2712" t="s">
        <v>349</v>
      </c>
    </row>
    <row r="2713" spans="2:5" x14ac:dyDescent="0.2">
      <c r="B2713" t="s">
        <v>4346</v>
      </c>
      <c r="C2713">
        <v>515037</v>
      </c>
      <c r="D2713" t="s">
        <v>4347</v>
      </c>
      <c r="E2713" t="s">
        <v>643</v>
      </c>
    </row>
    <row r="2714" spans="2:5" x14ac:dyDescent="0.2">
      <c r="B2714" t="s">
        <v>4348</v>
      </c>
      <c r="C2714">
        <v>540366</v>
      </c>
      <c r="D2714" t="s">
        <v>4349</v>
      </c>
      <c r="E2714" t="s">
        <v>1103</v>
      </c>
    </row>
    <row r="2715" spans="2:5" x14ac:dyDescent="0.2">
      <c r="B2715" t="s">
        <v>4350</v>
      </c>
      <c r="C2715">
        <v>511766</v>
      </c>
      <c r="D2715" t="s">
        <v>4351</v>
      </c>
      <c r="E2715" t="s">
        <v>383</v>
      </c>
    </row>
    <row r="2716" spans="2:5" x14ac:dyDescent="0.2">
      <c r="B2716" t="s">
        <v>4352</v>
      </c>
      <c r="C2716">
        <v>533398</v>
      </c>
      <c r="D2716" t="s">
        <v>4353</v>
      </c>
      <c r="E2716" t="s">
        <v>383</v>
      </c>
    </row>
    <row r="2717" spans="2:5" x14ac:dyDescent="0.2">
      <c r="B2717" t="s">
        <v>4354</v>
      </c>
      <c r="C2717">
        <v>532991</v>
      </c>
      <c r="D2717" t="s">
        <v>4355</v>
      </c>
      <c r="E2717" t="s">
        <v>452</v>
      </c>
    </row>
    <row r="2718" spans="2:5" x14ac:dyDescent="0.2">
      <c r="B2718" t="s">
        <v>4356</v>
      </c>
      <c r="C2718">
        <v>538862</v>
      </c>
      <c r="D2718" t="s">
        <v>366</v>
      </c>
      <c r="E2718" t="s">
        <v>349</v>
      </c>
    </row>
    <row r="2719" spans="2:5" x14ac:dyDescent="0.2">
      <c r="B2719" t="s">
        <v>4357</v>
      </c>
      <c r="C2719">
        <v>506734</v>
      </c>
      <c r="D2719" t="s">
        <v>366</v>
      </c>
      <c r="E2719" t="s">
        <v>414</v>
      </c>
    </row>
    <row r="2720" spans="2:5" x14ac:dyDescent="0.2">
      <c r="B2720" t="s">
        <v>4358</v>
      </c>
      <c r="C2720">
        <v>535205</v>
      </c>
      <c r="D2720" t="s">
        <v>366</v>
      </c>
      <c r="E2720" t="s">
        <v>388</v>
      </c>
    </row>
    <row r="2721" spans="2:5" x14ac:dyDescent="0.2">
      <c r="B2721" t="s">
        <v>4359</v>
      </c>
      <c r="C2721" t="s">
        <v>366</v>
      </c>
      <c r="D2721" t="s">
        <v>4360</v>
      </c>
      <c r="E2721" t="s">
        <v>457</v>
      </c>
    </row>
    <row r="2722" spans="2:5" x14ac:dyDescent="0.2">
      <c r="B2722" t="s">
        <v>4361</v>
      </c>
      <c r="C2722">
        <v>512024</v>
      </c>
      <c r="D2722" t="s">
        <v>366</v>
      </c>
      <c r="E2722" t="s">
        <v>440</v>
      </c>
    </row>
    <row r="2723" spans="2:5" x14ac:dyDescent="0.2">
      <c r="B2723" t="s">
        <v>4362</v>
      </c>
      <c r="C2723">
        <v>530897</v>
      </c>
      <c r="D2723" t="s">
        <v>366</v>
      </c>
      <c r="E2723" t="s">
        <v>555</v>
      </c>
    </row>
    <row r="2724" spans="2:5" x14ac:dyDescent="0.2">
      <c r="B2724" t="s">
        <v>4363</v>
      </c>
      <c r="C2724">
        <v>516082</v>
      </c>
      <c r="D2724" t="s">
        <v>4364</v>
      </c>
      <c r="E2724" t="s">
        <v>360</v>
      </c>
    </row>
    <row r="2725" spans="2:5" x14ac:dyDescent="0.2">
      <c r="B2725" t="s">
        <v>4365</v>
      </c>
      <c r="C2725">
        <v>532623</v>
      </c>
      <c r="D2725" t="s">
        <v>366</v>
      </c>
      <c r="E2725" t="s">
        <v>388</v>
      </c>
    </row>
    <row r="2726" spans="2:5" x14ac:dyDescent="0.2">
      <c r="B2726" t="s">
        <v>4366</v>
      </c>
      <c r="C2726">
        <v>512279</v>
      </c>
      <c r="D2726" t="s">
        <v>366</v>
      </c>
      <c r="E2726" t="s">
        <v>787</v>
      </c>
    </row>
    <row r="2727" spans="2:5" x14ac:dyDescent="0.2">
      <c r="B2727" t="s">
        <v>4367</v>
      </c>
      <c r="C2727">
        <v>524709</v>
      </c>
      <c r="D2727" t="s">
        <v>4368</v>
      </c>
      <c r="E2727" t="s">
        <v>510</v>
      </c>
    </row>
    <row r="2728" spans="2:5" x14ac:dyDescent="0.2">
      <c r="B2728" t="s">
        <v>4369</v>
      </c>
      <c r="C2728" t="s">
        <v>366</v>
      </c>
      <c r="D2728" t="s">
        <v>4370</v>
      </c>
      <c r="E2728" t="s">
        <v>457</v>
      </c>
    </row>
    <row r="2729" spans="2:5" x14ac:dyDescent="0.2">
      <c r="B2729" t="s">
        <v>4371</v>
      </c>
      <c r="C2729">
        <v>531832</v>
      </c>
      <c r="D2729" t="s">
        <v>366</v>
      </c>
      <c r="E2729" t="s">
        <v>564</v>
      </c>
    </row>
    <row r="2730" spans="2:5" x14ac:dyDescent="0.2">
      <c r="B2730" t="s">
        <v>4372</v>
      </c>
      <c r="C2730">
        <v>539917</v>
      </c>
      <c r="D2730" t="s">
        <v>4373</v>
      </c>
      <c r="E2730" t="s">
        <v>874</v>
      </c>
    </row>
    <row r="2731" spans="2:5" x14ac:dyDescent="0.2">
      <c r="B2731" t="s">
        <v>4374</v>
      </c>
      <c r="C2731">
        <v>534184</v>
      </c>
      <c r="D2731" t="s">
        <v>4375</v>
      </c>
      <c r="E2731" t="s">
        <v>429</v>
      </c>
    </row>
    <row r="2732" spans="2:5" x14ac:dyDescent="0.2">
      <c r="B2732" t="s">
        <v>4376</v>
      </c>
      <c r="C2732">
        <v>532362</v>
      </c>
      <c r="D2732" t="s">
        <v>366</v>
      </c>
      <c r="E2732" t="s">
        <v>398</v>
      </c>
    </row>
    <row r="2733" spans="2:5" x14ac:dyDescent="0.2">
      <c r="B2733" t="s">
        <v>4377</v>
      </c>
      <c r="C2733">
        <v>532895</v>
      </c>
      <c r="D2733" t="s">
        <v>4378</v>
      </c>
      <c r="E2733" t="s">
        <v>386</v>
      </c>
    </row>
    <row r="2734" spans="2:5" x14ac:dyDescent="0.2">
      <c r="B2734" t="s">
        <v>4379</v>
      </c>
      <c r="C2734">
        <v>521109</v>
      </c>
      <c r="D2734" t="s">
        <v>4380</v>
      </c>
      <c r="E2734" t="s">
        <v>381</v>
      </c>
    </row>
    <row r="2735" spans="2:5" x14ac:dyDescent="0.2">
      <c r="B2735" t="s">
        <v>4381</v>
      </c>
      <c r="C2735">
        <v>532952</v>
      </c>
      <c r="D2735" t="s">
        <v>4382</v>
      </c>
      <c r="E2735" t="s">
        <v>386</v>
      </c>
    </row>
    <row r="2736" spans="2:5" x14ac:dyDescent="0.2">
      <c r="B2736" t="s">
        <v>4383</v>
      </c>
      <c r="C2736">
        <v>519136</v>
      </c>
      <c r="D2736" t="s">
        <v>4384</v>
      </c>
      <c r="E2736" t="s">
        <v>381</v>
      </c>
    </row>
    <row r="2737" spans="2:5" x14ac:dyDescent="0.2">
      <c r="B2737" t="s">
        <v>4385</v>
      </c>
      <c r="C2737">
        <v>523391</v>
      </c>
      <c r="D2737" t="s">
        <v>4386</v>
      </c>
      <c r="E2737" t="s">
        <v>381</v>
      </c>
    </row>
    <row r="2738" spans="2:5" x14ac:dyDescent="0.2">
      <c r="B2738" t="s">
        <v>4387</v>
      </c>
      <c r="C2738">
        <v>500296</v>
      </c>
      <c r="D2738" t="s">
        <v>4388</v>
      </c>
      <c r="E2738" t="s">
        <v>381</v>
      </c>
    </row>
    <row r="2739" spans="2:5" x14ac:dyDescent="0.2">
      <c r="B2739" t="s">
        <v>4389</v>
      </c>
      <c r="C2739">
        <v>541418</v>
      </c>
      <c r="D2739" t="s">
        <v>366</v>
      </c>
      <c r="E2739" t="s">
        <v>426</v>
      </c>
    </row>
    <row r="2740" spans="2:5" x14ac:dyDescent="0.2">
      <c r="B2740" t="s">
        <v>4390</v>
      </c>
      <c r="C2740">
        <v>531212</v>
      </c>
      <c r="D2740" t="s">
        <v>366</v>
      </c>
      <c r="E2740" t="s">
        <v>383</v>
      </c>
    </row>
    <row r="2741" spans="2:5" x14ac:dyDescent="0.2">
      <c r="B2741" t="s">
        <v>4391</v>
      </c>
      <c r="C2741">
        <v>532256</v>
      </c>
      <c r="D2741" t="s">
        <v>4392</v>
      </c>
      <c r="E2741" t="s">
        <v>383</v>
      </c>
    </row>
    <row r="2742" spans="2:5" x14ac:dyDescent="0.2">
      <c r="B2742" t="s">
        <v>4393</v>
      </c>
      <c r="C2742">
        <v>538395</v>
      </c>
      <c r="D2742" t="s">
        <v>366</v>
      </c>
      <c r="E2742" t="s">
        <v>349</v>
      </c>
    </row>
    <row r="2743" spans="2:5" x14ac:dyDescent="0.2">
      <c r="B2743" t="s">
        <v>4394</v>
      </c>
      <c r="C2743">
        <v>532641</v>
      </c>
      <c r="D2743" t="s">
        <v>4395</v>
      </c>
      <c r="E2743" t="s">
        <v>381</v>
      </c>
    </row>
    <row r="2744" spans="2:5" x14ac:dyDescent="0.2">
      <c r="B2744" t="s">
        <v>4396</v>
      </c>
      <c r="C2744" t="s">
        <v>366</v>
      </c>
      <c r="D2744" t="s">
        <v>4397</v>
      </c>
      <c r="E2744" t="s">
        <v>377</v>
      </c>
    </row>
    <row r="2745" spans="2:5" x14ac:dyDescent="0.2">
      <c r="B2745" t="s">
        <v>4398</v>
      </c>
      <c r="C2745">
        <v>539551</v>
      </c>
      <c r="D2745" t="s">
        <v>4399</v>
      </c>
      <c r="E2745" t="s">
        <v>836</v>
      </c>
    </row>
    <row r="2746" spans="2:5" x14ac:dyDescent="0.2">
      <c r="B2746" t="s">
        <v>4400</v>
      </c>
      <c r="C2746">
        <v>540080</v>
      </c>
      <c r="D2746" t="s">
        <v>366</v>
      </c>
      <c r="E2746" t="s">
        <v>398</v>
      </c>
    </row>
    <row r="2747" spans="2:5" x14ac:dyDescent="0.2">
      <c r="B2747" t="s">
        <v>4401</v>
      </c>
      <c r="C2747">
        <v>519455</v>
      </c>
      <c r="D2747" t="s">
        <v>366</v>
      </c>
      <c r="E2747" t="s">
        <v>480</v>
      </c>
    </row>
    <row r="2748" spans="2:5" x14ac:dyDescent="0.2">
      <c r="B2748" t="s">
        <v>4402</v>
      </c>
      <c r="C2748">
        <v>540204</v>
      </c>
      <c r="D2748" t="s">
        <v>4403</v>
      </c>
      <c r="E2748" t="s">
        <v>450</v>
      </c>
    </row>
    <row r="2749" spans="2:5" x14ac:dyDescent="0.2">
      <c r="B2749" t="s">
        <v>4404</v>
      </c>
      <c r="C2749">
        <v>531416</v>
      </c>
      <c r="D2749" t="s">
        <v>366</v>
      </c>
      <c r="E2749" t="s">
        <v>452</v>
      </c>
    </row>
    <row r="2750" spans="2:5" x14ac:dyDescent="0.2">
      <c r="B2750" t="s">
        <v>4405</v>
      </c>
      <c r="C2750" t="s">
        <v>366</v>
      </c>
      <c r="D2750" t="s">
        <v>4406</v>
      </c>
      <c r="E2750" t="s">
        <v>377</v>
      </c>
    </row>
    <row r="2751" spans="2:5" x14ac:dyDescent="0.2">
      <c r="B2751" t="s">
        <v>4407</v>
      </c>
      <c r="C2751">
        <v>526739</v>
      </c>
      <c r="D2751" t="s">
        <v>366</v>
      </c>
      <c r="E2751" t="s">
        <v>526</v>
      </c>
    </row>
    <row r="2752" spans="2:5" x14ac:dyDescent="0.2">
      <c r="B2752" t="s">
        <v>4408</v>
      </c>
      <c r="C2752">
        <v>517431</v>
      </c>
      <c r="D2752" t="s">
        <v>4409</v>
      </c>
      <c r="E2752" t="s">
        <v>486</v>
      </c>
    </row>
    <row r="2753" spans="2:5" x14ac:dyDescent="0.2">
      <c r="B2753" t="s">
        <v>4410</v>
      </c>
      <c r="C2753">
        <v>539595</v>
      </c>
      <c r="D2753" t="s">
        <v>366</v>
      </c>
      <c r="E2753" t="s">
        <v>349</v>
      </c>
    </row>
    <row r="2754" spans="2:5" x14ac:dyDescent="0.2">
      <c r="B2754" t="s">
        <v>4411</v>
      </c>
      <c r="C2754">
        <v>524816</v>
      </c>
      <c r="D2754" t="s">
        <v>4412</v>
      </c>
      <c r="E2754" t="s">
        <v>404</v>
      </c>
    </row>
    <row r="2755" spans="2:5" x14ac:dyDescent="0.2">
      <c r="B2755" t="s">
        <v>4413</v>
      </c>
      <c r="C2755">
        <v>537291</v>
      </c>
      <c r="D2755" t="s">
        <v>4414</v>
      </c>
      <c r="E2755" t="s">
        <v>564</v>
      </c>
    </row>
    <row r="2756" spans="2:5" x14ac:dyDescent="0.2">
      <c r="B2756" t="s">
        <v>4415</v>
      </c>
      <c r="C2756">
        <v>537291</v>
      </c>
      <c r="D2756" t="s">
        <v>4414</v>
      </c>
      <c r="E2756" t="s">
        <v>564</v>
      </c>
    </row>
    <row r="2757" spans="2:5" x14ac:dyDescent="0.2">
      <c r="B2757" t="s">
        <v>4416</v>
      </c>
      <c r="C2757">
        <v>502407</v>
      </c>
      <c r="D2757" t="s">
        <v>366</v>
      </c>
      <c r="E2757" t="s">
        <v>360</v>
      </c>
    </row>
    <row r="2758" spans="2:5" x14ac:dyDescent="0.2">
      <c r="B2758" t="s">
        <v>4417</v>
      </c>
      <c r="C2758">
        <v>532234</v>
      </c>
      <c r="D2758" t="s">
        <v>4418</v>
      </c>
      <c r="E2758" t="s">
        <v>671</v>
      </c>
    </row>
    <row r="2759" spans="2:5" x14ac:dyDescent="0.2">
      <c r="B2759" t="s">
        <v>4419</v>
      </c>
      <c r="C2759">
        <v>523630</v>
      </c>
      <c r="D2759" t="s">
        <v>4420</v>
      </c>
      <c r="E2759" t="s">
        <v>874</v>
      </c>
    </row>
    <row r="2760" spans="2:5" x14ac:dyDescent="0.2">
      <c r="B2760" t="s">
        <v>4421</v>
      </c>
      <c r="C2760">
        <v>531289</v>
      </c>
      <c r="D2760" t="s">
        <v>366</v>
      </c>
      <c r="E2760" t="s">
        <v>689</v>
      </c>
    </row>
    <row r="2761" spans="2:5" x14ac:dyDescent="0.2">
      <c r="B2761" t="s">
        <v>4422</v>
      </c>
      <c r="C2761">
        <v>531651</v>
      </c>
      <c r="D2761" t="s">
        <v>366</v>
      </c>
      <c r="E2761" t="s">
        <v>398</v>
      </c>
    </row>
    <row r="2762" spans="2:5" x14ac:dyDescent="0.2">
      <c r="B2762" t="s">
        <v>4423</v>
      </c>
      <c r="C2762">
        <v>507813</v>
      </c>
      <c r="D2762" t="s">
        <v>366</v>
      </c>
      <c r="E2762" t="s">
        <v>1400</v>
      </c>
    </row>
    <row r="2763" spans="2:5" x14ac:dyDescent="0.2">
      <c r="B2763" t="s">
        <v>4424</v>
      </c>
      <c r="C2763">
        <v>500298</v>
      </c>
      <c r="D2763" t="s">
        <v>366</v>
      </c>
      <c r="E2763" t="s">
        <v>414</v>
      </c>
    </row>
    <row r="2764" spans="2:5" x14ac:dyDescent="0.2">
      <c r="B2764" t="s">
        <v>4425</v>
      </c>
      <c r="C2764">
        <v>526616</v>
      </c>
      <c r="D2764" t="s">
        <v>366</v>
      </c>
      <c r="E2764" t="s">
        <v>486</v>
      </c>
    </row>
    <row r="2765" spans="2:5" x14ac:dyDescent="0.2">
      <c r="B2765" t="s">
        <v>4426</v>
      </c>
      <c r="C2765">
        <v>531287</v>
      </c>
      <c r="D2765" t="s">
        <v>366</v>
      </c>
      <c r="E2765" t="s">
        <v>486</v>
      </c>
    </row>
    <row r="2766" spans="2:5" x14ac:dyDescent="0.2">
      <c r="B2766" t="s">
        <v>4427</v>
      </c>
      <c r="C2766">
        <v>516062</v>
      </c>
      <c r="D2766" t="s">
        <v>366</v>
      </c>
      <c r="E2766" t="s">
        <v>861</v>
      </c>
    </row>
    <row r="2767" spans="2:5" x14ac:dyDescent="0.2">
      <c r="B2767" t="s">
        <v>4428</v>
      </c>
      <c r="C2767">
        <v>504882</v>
      </c>
      <c r="D2767" t="s">
        <v>366</v>
      </c>
      <c r="E2767" t="s">
        <v>452</v>
      </c>
    </row>
    <row r="2768" spans="2:5" x14ac:dyDescent="0.2">
      <c r="B2768" t="s">
        <v>4429</v>
      </c>
      <c r="C2768">
        <v>504882</v>
      </c>
      <c r="D2768" t="s">
        <v>366</v>
      </c>
      <c r="E2768" t="s">
        <v>452</v>
      </c>
    </row>
    <row r="2769" spans="2:5" x14ac:dyDescent="0.2">
      <c r="B2769" t="s">
        <v>4430</v>
      </c>
      <c r="C2769">
        <v>513179</v>
      </c>
      <c r="D2769" t="s">
        <v>4431</v>
      </c>
      <c r="E2769" t="s">
        <v>398</v>
      </c>
    </row>
    <row r="2770" spans="2:5" x14ac:dyDescent="0.2">
      <c r="B2770" t="s">
        <v>4432</v>
      </c>
      <c r="C2770">
        <v>530119</v>
      </c>
      <c r="D2770" t="s">
        <v>366</v>
      </c>
      <c r="E2770" t="s">
        <v>615</v>
      </c>
    </row>
    <row r="2771" spans="2:5" x14ac:dyDescent="0.2">
      <c r="B2771" t="s">
        <v>4433</v>
      </c>
      <c r="C2771">
        <v>531834</v>
      </c>
      <c r="D2771" t="s">
        <v>366</v>
      </c>
      <c r="E2771" t="s">
        <v>564</v>
      </c>
    </row>
    <row r="2772" spans="2:5" x14ac:dyDescent="0.2">
      <c r="B2772" t="s">
        <v>4434</v>
      </c>
      <c r="C2772">
        <v>524654</v>
      </c>
      <c r="D2772" t="s">
        <v>366</v>
      </c>
      <c r="E2772" t="s">
        <v>404</v>
      </c>
    </row>
    <row r="2773" spans="2:5" x14ac:dyDescent="0.2">
      <c r="B2773" t="s">
        <v>4435</v>
      </c>
      <c r="C2773">
        <v>538926</v>
      </c>
      <c r="D2773" t="s">
        <v>366</v>
      </c>
      <c r="E2773" t="s">
        <v>564</v>
      </c>
    </row>
    <row r="2774" spans="2:5" x14ac:dyDescent="0.2">
      <c r="B2774" t="s">
        <v>4436</v>
      </c>
      <c r="C2774">
        <v>513023</v>
      </c>
      <c r="D2774" t="s">
        <v>4437</v>
      </c>
      <c r="E2774" t="s">
        <v>505</v>
      </c>
    </row>
    <row r="2775" spans="2:5" x14ac:dyDescent="0.2">
      <c r="B2775" t="s">
        <v>4438</v>
      </c>
      <c r="C2775">
        <v>539521</v>
      </c>
      <c r="D2775" t="s">
        <v>366</v>
      </c>
      <c r="E2775" t="s">
        <v>349</v>
      </c>
    </row>
    <row r="2776" spans="2:5" x14ac:dyDescent="0.2">
      <c r="B2776" t="s">
        <v>4439</v>
      </c>
      <c r="C2776">
        <v>532504</v>
      </c>
      <c r="D2776" t="s">
        <v>4440</v>
      </c>
      <c r="E2776" t="s">
        <v>414</v>
      </c>
    </row>
    <row r="2777" spans="2:5" x14ac:dyDescent="0.2">
      <c r="B2777" t="s">
        <v>4441</v>
      </c>
      <c r="C2777">
        <v>531494</v>
      </c>
      <c r="D2777" t="s">
        <v>366</v>
      </c>
      <c r="E2777" t="s">
        <v>452</v>
      </c>
    </row>
    <row r="2778" spans="2:5" x14ac:dyDescent="0.2">
      <c r="B2778" t="s">
        <v>4442</v>
      </c>
      <c r="C2778">
        <v>539332</v>
      </c>
      <c r="D2778" t="s">
        <v>4443</v>
      </c>
      <c r="E2778" t="s">
        <v>489</v>
      </c>
    </row>
    <row r="2779" spans="2:5" x14ac:dyDescent="0.2">
      <c r="B2779" t="s">
        <v>4444</v>
      </c>
      <c r="C2779">
        <v>539525</v>
      </c>
      <c r="D2779" t="s">
        <v>366</v>
      </c>
      <c r="E2779" t="s">
        <v>400</v>
      </c>
    </row>
    <row r="2780" spans="2:5" x14ac:dyDescent="0.2">
      <c r="B2780" t="s">
        <v>4445</v>
      </c>
      <c r="C2780">
        <v>508989</v>
      </c>
      <c r="D2780" t="s">
        <v>4446</v>
      </c>
      <c r="E2780" t="s">
        <v>890</v>
      </c>
    </row>
    <row r="2781" spans="2:5" x14ac:dyDescent="0.2">
      <c r="B2781" t="s">
        <v>4447</v>
      </c>
      <c r="C2781">
        <v>538668</v>
      </c>
      <c r="D2781" t="s">
        <v>366</v>
      </c>
      <c r="E2781" t="s">
        <v>383</v>
      </c>
    </row>
    <row r="2782" spans="2:5" x14ac:dyDescent="0.2">
      <c r="B2782" t="s">
        <v>4448</v>
      </c>
      <c r="C2782">
        <v>523242</v>
      </c>
      <c r="D2782" t="s">
        <v>366</v>
      </c>
      <c r="E2782" t="s">
        <v>792</v>
      </c>
    </row>
    <row r="2783" spans="2:5" x14ac:dyDescent="0.2">
      <c r="B2783" t="s">
        <v>4449</v>
      </c>
      <c r="C2783">
        <v>534309</v>
      </c>
      <c r="D2783" t="s">
        <v>4450</v>
      </c>
      <c r="E2783" t="s">
        <v>764</v>
      </c>
    </row>
    <row r="2784" spans="2:5" x14ac:dyDescent="0.2">
      <c r="B2784" t="s">
        <v>4451</v>
      </c>
      <c r="C2784">
        <v>534309</v>
      </c>
      <c r="D2784" t="s">
        <v>4450</v>
      </c>
      <c r="E2784" t="s">
        <v>764</v>
      </c>
    </row>
    <row r="2785" spans="2:5" x14ac:dyDescent="0.2">
      <c r="B2785" t="s">
        <v>4452</v>
      </c>
      <c r="C2785">
        <v>519506</v>
      </c>
      <c r="D2785" t="s">
        <v>366</v>
      </c>
      <c r="E2785" t="s">
        <v>426</v>
      </c>
    </row>
    <row r="2786" spans="2:5" x14ac:dyDescent="0.2">
      <c r="B2786" t="s">
        <v>4453</v>
      </c>
      <c r="C2786">
        <v>531452</v>
      </c>
      <c r="D2786" t="s">
        <v>366</v>
      </c>
      <c r="E2786" t="s">
        <v>383</v>
      </c>
    </row>
    <row r="2787" spans="2:5" x14ac:dyDescent="0.2">
      <c r="B2787" t="s">
        <v>4454</v>
      </c>
      <c r="C2787">
        <v>500294</v>
      </c>
      <c r="D2787" t="s">
        <v>4455</v>
      </c>
      <c r="E2787" t="s">
        <v>764</v>
      </c>
    </row>
    <row r="2788" spans="2:5" x14ac:dyDescent="0.2">
      <c r="B2788" t="s">
        <v>4456</v>
      </c>
      <c r="C2788">
        <v>502168</v>
      </c>
      <c r="D2788" t="s">
        <v>4457</v>
      </c>
      <c r="E2788" t="s">
        <v>379</v>
      </c>
    </row>
    <row r="2789" spans="2:5" x14ac:dyDescent="0.2">
      <c r="B2789" t="s">
        <v>4458</v>
      </c>
      <c r="C2789">
        <v>530557</v>
      </c>
      <c r="D2789" t="s">
        <v>366</v>
      </c>
      <c r="E2789" t="s">
        <v>349</v>
      </c>
    </row>
    <row r="2790" spans="2:5" x14ac:dyDescent="0.2">
      <c r="B2790" t="s">
        <v>4459</v>
      </c>
      <c r="C2790">
        <v>511535</v>
      </c>
      <c r="D2790" t="s">
        <v>366</v>
      </c>
      <c r="E2790" t="s">
        <v>349</v>
      </c>
    </row>
    <row r="2791" spans="2:5" x14ac:dyDescent="0.2">
      <c r="B2791" t="s">
        <v>4460</v>
      </c>
      <c r="C2791">
        <v>532649</v>
      </c>
      <c r="D2791" t="s">
        <v>4461</v>
      </c>
      <c r="E2791" t="s">
        <v>404</v>
      </c>
    </row>
    <row r="2792" spans="2:5" x14ac:dyDescent="0.2">
      <c r="B2792" t="s">
        <v>4462</v>
      </c>
      <c r="C2792">
        <v>508670</v>
      </c>
      <c r="D2792" t="s">
        <v>366</v>
      </c>
      <c r="E2792" t="s">
        <v>773</v>
      </c>
    </row>
    <row r="2793" spans="2:5" x14ac:dyDescent="0.2">
      <c r="B2793" t="s">
        <v>4463</v>
      </c>
      <c r="C2793">
        <v>531049</v>
      </c>
      <c r="D2793" t="s">
        <v>366</v>
      </c>
      <c r="E2793" t="s">
        <v>894</v>
      </c>
    </row>
    <row r="2794" spans="2:5" x14ac:dyDescent="0.2">
      <c r="B2794" t="s">
        <v>4464</v>
      </c>
      <c r="C2794">
        <v>539409</v>
      </c>
      <c r="D2794" t="s">
        <v>366</v>
      </c>
      <c r="E2794" t="s">
        <v>388</v>
      </c>
    </row>
    <row r="2795" spans="2:5" x14ac:dyDescent="0.2">
      <c r="B2795" t="s">
        <v>4465</v>
      </c>
      <c r="C2795">
        <v>537838</v>
      </c>
      <c r="D2795" t="s">
        <v>366</v>
      </c>
      <c r="E2795" t="s">
        <v>388</v>
      </c>
    </row>
    <row r="2796" spans="2:5" x14ac:dyDescent="0.2">
      <c r="B2796" t="s">
        <v>4466</v>
      </c>
      <c r="C2796">
        <v>519560</v>
      </c>
      <c r="D2796" t="s">
        <v>366</v>
      </c>
      <c r="E2796" t="s">
        <v>564</v>
      </c>
    </row>
    <row r="2797" spans="2:5" x14ac:dyDescent="0.2">
      <c r="B2797" t="s">
        <v>4467</v>
      </c>
      <c r="C2797">
        <v>539016</v>
      </c>
      <c r="D2797" t="s">
        <v>366</v>
      </c>
      <c r="E2797" t="s">
        <v>383</v>
      </c>
    </row>
    <row r="2798" spans="2:5" x14ac:dyDescent="0.2">
      <c r="B2798" t="s">
        <v>4468</v>
      </c>
      <c r="C2798">
        <v>532864</v>
      </c>
      <c r="D2798" t="s">
        <v>4469</v>
      </c>
      <c r="E2798" t="s">
        <v>1284</v>
      </c>
    </row>
    <row r="2799" spans="2:5" x14ac:dyDescent="0.2">
      <c r="B2799" t="s">
        <v>4470</v>
      </c>
      <c r="C2799">
        <v>504112</v>
      </c>
      <c r="D2799" t="s">
        <v>4471</v>
      </c>
      <c r="E2799" t="s">
        <v>1989</v>
      </c>
    </row>
    <row r="2800" spans="2:5" x14ac:dyDescent="0.2">
      <c r="B2800" t="s">
        <v>4472</v>
      </c>
      <c r="C2800">
        <v>514332</v>
      </c>
      <c r="D2800" t="s">
        <v>366</v>
      </c>
      <c r="E2800" t="s">
        <v>452</v>
      </c>
    </row>
    <row r="2801" spans="2:5" x14ac:dyDescent="0.2">
      <c r="B2801" t="s">
        <v>4473</v>
      </c>
      <c r="C2801">
        <v>526195</v>
      </c>
      <c r="D2801" t="s">
        <v>366</v>
      </c>
      <c r="E2801" t="s">
        <v>480</v>
      </c>
    </row>
    <row r="2802" spans="2:5" x14ac:dyDescent="0.2">
      <c r="B2802" t="s">
        <v>4474</v>
      </c>
      <c r="C2802">
        <v>526195</v>
      </c>
      <c r="D2802" t="s">
        <v>366</v>
      </c>
      <c r="E2802" t="s">
        <v>480</v>
      </c>
    </row>
    <row r="2803" spans="2:5" x14ac:dyDescent="0.2">
      <c r="B2803" t="s">
        <v>4475</v>
      </c>
      <c r="C2803">
        <v>542665</v>
      </c>
      <c r="D2803" t="s">
        <v>4476</v>
      </c>
      <c r="E2803" t="s">
        <v>526</v>
      </c>
    </row>
    <row r="2804" spans="2:5" x14ac:dyDescent="0.2">
      <c r="B2804" t="s">
        <v>4477</v>
      </c>
      <c r="C2804">
        <v>512522</v>
      </c>
      <c r="D2804" t="s">
        <v>366</v>
      </c>
      <c r="E2804" t="s">
        <v>388</v>
      </c>
    </row>
    <row r="2805" spans="2:5" x14ac:dyDescent="0.2">
      <c r="B2805" t="s">
        <v>4478</v>
      </c>
      <c r="C2805">
        <v>505355</v>
      </c>
      <c r="D2805" t="s">
        <v>4479</v>
      </c>
      <c r="E2805" t="s">
        <v>787</v>
      </c>
    </row>
    <row r="2806" spans="2:5" x14ac:dyDescent="0.2">
      <c r="B2806" t="s">
        <v>4480</v>
      </c>
      <c r="C2806">
        <v>500790</v>
      </c>
      <c r="D2806" t="s">
        <v>313</v>
      </c>
      <c r="E2806" t="s">
        <v>426</v>
      </c>
    </row>
    <row r="2807" spans="2:5" x14ac:dyDescent="0.2">
      <c r="B2807" t="s">
        <v>4481</v>
      </c>
      <c r="C2807">
        <v>500790</v>
      </c>
      <c r="D2807" t="s">
        <v>313</v>
      </c>
      <c r="E2807" t="s">
        <v>426</v>
      </c>
    </row>
    <row r="2808" spans="2:5" x14ac:dyDescent="0.2">
      <c r="B2808" t="s">
        <v>4482</v>
      </c>
      <c r="C2808">
        <v>509040</v>
      </c>
      <c r="D2808" t="s">
        <v>366</v>
      </c>
      <c r="E2808" t="s">
        <v>459</v>
      </c>
    </row>
    <row r="2809" spans="2:5" x14ac:dyDescent="0.2">
      <c r="B2809" t="s">
        <v>4483</v>
      </c>
      <c r="C2809">
        <v>509040</v>
      </c>
      <c r="D2809" t="s">
        <v>366</v>
      </c>
      <c r="E2809" t="s">
        <v>459</v>
      </c>
    </row>
    <row r="2810" spans="2:5" x14ac:dyDescent="0.2">
      <c r="B2810" t="s">
        <v>4484</v>
      </c>
      <c r="C2810">
        <v>542117</v>
      </c>
      <c r="D2810" t="s">
        <v>366</v>
      </c>
      <c r="E2810" t="s">
        <v>457</v>
      </c>
    </row>
    <row r="2811" spans="2:5" x14ac:dyDescent="0.2">
      <c r="B2811" t="s">
        <v>4485</v>
      </c>
      <c r="C2811">
        <v>511658</v>
      </c>
      <c r="D2811" t="s">
        <v>366</v>
      </c>
      <c r="E2811" t="s">
        <v>459</v>
      </c>
    </row>
    <row r="2812" spans="2:5" x14ac:dyDescent="0.2">
      <c r="B2812" t="s">
        <v>4486</v>
      </c>
      <c r="C2812">
        <v>523558</v>
      </c>
      <c r="D2812" t="s">
        <v>366</v>
      </c>
      <c r="E2812" t="s">
        <v>908</v>
      </c>
    </row>
    <row r="2813" spans="2:5" x14ac:dyDescent="0.2">
      <c r="B2813" t="s">
        <v>4487</v>
      </c>
      <c r="C2813">
        <v>532798</v>
      </c>
      <c r="D2813" t="s">
        <v>4488</v>
      </c>
      <c r="E2813" t="s">
        <v>532</v>
      </c>
    </row>
    <row r="2814" spans="2:5" x14ac:dyDescent="0.2">
      <c r="B2814" t="s">
        <v>4489</v>
      </c>
      <c r="C2814">
        <v>532887</v>
      </c>
      <c r="D2814" t="s">
        <v>4490</v>
      </c>
      <c r="E2814" t="s">
        <v>409</v>
      </c>
    </row>
    <row r="2815" spans="2:5" x14ac:dyDescent="0.2">
      <c r="B2815" t="s">
        <v>4491</v>
      </c>
      <c r="C2815">
        <v>524558</v>
      </c>
      <c r="D2815" t="s">
        <v>4492</v>
      </c>
      <c r="E2815" t="s">
        <v>404</v>
      </c>
    </row>
    <row r="2816" spans="2:5" x14ac:dyDescent="0.2">
      <c r="B2816" t="s">
        <v>4493</v>
      </c>
      <c r="C2816">
        <v>532529</v>
      </c>
      <c r="D2816" t="s">
        <v>4494</v>
      </c>
      <c r="E2816" t="s">
        <v>1103</v>
      </c>
    </row>
    <row r="2817" spans="2:5" x14ac:dyDescent="0.2">
      <c r="B2817" t="s">
        <v>4495</v>
      </c>
      <c r="C2817">
        <v>540243</v>
      </c>
      <c r="D2817" t="s">
        <v>366</v>
      </c>
      <c r="E2817" t="s">
        <v>388</v>
      </c>
    </row>
    <row r="2818" spans="2:5" x14ac:dyDescent="0.2">
      <c r="B2818" t="s">
        <v>4496</v>
      </c>
      <c r="C2818">
        <v>508867</v>
      </c>
      <c r="D2818" t="s">
        <v>366</v>
      </c>
      <c r="E2818" t="s">
        <v>459</v>
      </c>
    </row>
    <row r="2819" spans="2:5" x14ac:dyDescent="0.2">
      <c r="B2819" t="s">
        <v>4497</v>
      </c>
      <c r="C2819">
        <v>501479</v>
      </c>
      <c r="D2819" t="s">
        <v>366</v>
      </c>
      <c r="E2819" t="s">
        <v>388</v>
      </c>
    </row>
    <row r="2820" spans="2:5" x14ac:dyDescent="0.2">
      <c r="B2820" t="s">
        <v>4498</v>
      </c>
      <c r="C2820">
        <v>536644</v>
      </c>
      <c r="D2820" t="s">
        <v>366</v>
      </c>
      <c r="E2820" t="s">
        <v>388</v>
      </c>
    </row>
    <row r="2821" spans="2:5" x14ac:dyDescent="0.2">
      <c r="B2821" t="s">
        <v>4499</v>
      </c>
      <c r="C2821">
        <v>540900</v>
      </c>
      <c r="D2821" t="s">
        <v>4500</v>
      </c>
      <c r="E2821" t="s">
        <v>352</v>
      </c>
    </row>
    <row r="2822" spans="2:5" x14ac:dyDescent="0.2">
      <c r="B2822" t="s">
        <v>4501</v>
      </c>
      <c r="C2822">
        <v>532416</v>
      </c>
      <c r="D2822" t="s">
        <v>4502</v>
      </c>
      <c r="E2822" t="s">
        <v>890</v>
      </c>
    </row>
    <row r="2823" spans="2:5" x14ac:dyDescent="0.2">
      <c r="B2823" t="s">
        <v>4503</v>
      </c>
      <c r="C2823">
        <v>538874</v>
      </c>
      <c r="D2823" t="s">
        <v>366</v>
      </c>
      <c r="E2823" t="s">
        <v>349</v>
      </c>
    </row>
    <row r="2824" spans="2:5" x14ac:dyDescent="0.2">
      <c r="B2824" t="s">
        <v>4504</v>
      </c>
      <c r="C2824">
        <v>524774</v>
      </c>
      <c r="D2824" t="s">
        <v>366</v>
      </c>
      <c r="E2824" t="s">
        <v>404</v>
      </c>
    </row>
    <row r="2825" spans="2:5" x14ac:dyDescent="0.2">
      <c r="B2825" t="s">
        <v>4505</v>
      </c>
      <c r="C2825">
        <v>517554</v>
      </c>
      <c r="D2825" t="s">
        <v>366</v>
      </c>
      <c r="E2825" t="s">
        <v>446</v>
      </c>
    </row>
    <row r="2826" spans="2:5" x14ac:dyDescent="0.2">
      <c r="B2826" t="s">
        <v>4506</v>
      </c>
      <c r="C2826">
        <v>533098</v>
      </c>
      <c r="D2826" t="s">
        <v>4507</v>
      </c>
      <c r="E2826" t="s">
        <v>505</v>
      </c>
    </row>
    <row r="2827" spans="2:5" x14ac:dyDescent="0.2">
      <c r="B2827" t="s">
        <v>4508</v>
      </c>
      <c r="C2827">
        <v>526721</v>
      </c>
      <c r="D2827" t="s">
        <v>366</v>
      </c>
      <c r="E2827" t="s">
        <v>544</v>
      </c>
    </row>
    <row r="2828" spans="2:5" x14ac:dyDescent="0.2">
      <c r="B2828" t="s">
        <v>4509</v>
      </c>
      <c r="C2828">
        <v>523209</v>
      </c>
      <c r="D2828" t="s">
        <v>366</v>
      </c>
      <c r="E2828" t="s">
        <v>383</v>
      </c>
    </row>
    <row r="2829" spans="2:5" x14ac:dyDescent="0.2">
      <c r="B2829" t="s">
        <v>4510</v>
      </c>
      <c r="C2829">
        <v>512103</v>
      </c>
      <c r="D2829" t="s">
        <v>366</v>
      </c>
      <c r="E2829" t="s">
        <v>894</v>
      </c>
    </row>
    <row r="2830" spans="2:5" x14ac:dyDescent="0.2">
      <c r="B2830" t="s">
        <v>4511</v>
      </c>
      <c r="C2830">
        <v>531083</v>
      </c>
      <c r="D2830" t="s">
        <v>366</v>
      </c>
      <c r="E2830" t="s">
        <v>459</v>
      </c>
    </row>
    <row r="2831" spans="2:5" x14ac:dyDescent="0.2">
      <c r="B2831" t="s">
        <v>4512</v>
      </c>
      <c r="C2831">
        <v>500304</v>
      </c>
      <c r="D2831" t="s">
        <v>4513</v>
      </c>
      <c r="E2831" t="s">
        <v>851</v>
      </c>
    </row>
    <row r="2832" spans="2:5" x14ac:dyDescent="0.2">
      <c r="B2832" t="s">
        <v>4514</v>
      </c>
      <c r="C2832">
        <v>532541</v>
      </c>
      <c r="D2832" t="s">
        <v>4515</v>
      </c>
      <c r="E2832" t="s">
        <v>352</v>
      </c>
    </row>
    <row r="2833" spans="2:5" x14ac:dyDescent="0.2">
      <c r="B2833" t="s">
        <v>4516</v>
      </c>
      <c r="C2833">
        <v>526159</v>
      </c>
      <c r="D2833" t="s">
        <v>366</v>
      </c>
      <c r="E2833" t="s">
        <v>388</v>
      </c>
    </row>
    <row r="2834" spans="2:5" x14ac:dyDescent="0.2">
      <c r="B2834" t="s">
        <v>4517</v>
      </c>
      <c r="C2834">
        <v>531272</v>
      </c>
      <c r="D2834" t="s">
        <v>366</v>
      </c>
      <c r="E2834" t="s">
        <v>383</v>
      </c>
    </row>
    <row r="2835" spans="2:5" x14ac:dyDescent="0.2">
      <c r="B2835" t="s">
        <v>4518</v>
      </c>
      <c r="C2835">
        <v>530377</v>
      </c>
      <c r="D2835" t="s">
        <v>4519</v>
      </c>
      <c r="E2835" t="s">
        <v>452</v>
      </c>
    </row>
    <row r="2836" spans="2:5" x14ac:dyDescent="0.2">
      <c r="B2836" t="s">
        <v>4520</v>
      </c>
      <c r="C2836">
        <v>542231</v>
      </c>
      <c r="D2836" t="s">
        <v>4521</v>
      </c>
      <c r="E2836" t="s">
        <v>452</v>
      </c>
    </row>
    <row r="2837" spans="2:5" x14ac:dyDescent="0.2">
      <c r="B2837" t="s">
        <v>4522</v>
      </c>
      <c r="C2837">
        <v>502294</v>
      </c>
      <c r="D2837" t="s">
        <v>366</v>
      </c>
      <c r="E2837" t="s">
        <v>894</v>
      </c>
    </row>
    <row r="2838" spans="2:5" x14ac:dyDescent="0.2">
      <c r="B2838" t="s">
        <v>4523</v>
      </c>
      <c r="C2838">
        <v>530129</v>
      </c>
      <c r="D2838" t="s">
        <v>366</v>
      </c>
      <c r="E2838" t="s">
        <v>689</v>
      </c>
    </row>
    <row r="2839" spans="2:5" x14ac:dyDescent="0.2">
      <c r="B2839" t="s">
        <v>4524</v>
      </c>
      <c r="C2839">
        <v>523385</v>
      </c>
      <c r="D2839" t="s">
        <v>4525</v>
      </c>
      <c r="E2839" t="s">
        <v>486</v>
      </c>
    </row>
    <row r="2840" spans="2:5" x14ac:dyDescent="0.2">
      <c r="B2840" t="s">
        <v>4526</v>
      </c>
      <c r="C2840">
        <v>512004</v>
      </c>
      <c r="D2840" t="s">
        <v>366</v>
      </c>
      <c r="E2840" t="s">
        <v>787</v>
      </c>
    </row>
    <row r="2841" spans="2:5" x14ac:dyDescent="0.2">
      <c r="B2841" t="s">
        <v>4527</v>
      </c>
      <c r="C2841">
        <v>531598</v>
      </c>
      <c r="D2841" t="s">
        <v>366</v>
      </c>
      <c r="E2841" t="s">
        <v>426</v>
      </c>
    </row>
    <row r="2842" spans="2:5" x14ac:dyDescent="0.2">
      <c r="B2842" t="s">
        <v>4528</v>
      </c>
      <c r="C2842">
        <v>530971</v>
      </c>
      <c r="D2842" t="s">
        <v>366</v>
      </c>
      <c r="E2842" t="s">
        <v>388</v>
      </c>
    </row>
    <row r="2843" spans="2:5" x14ac:dyDescent="0.2">
      <c r="B2843" t="s">
        <v>4529</v>
      </c>
      <c r="C2843">
        <v>511714</v>
      </c>
      <c r="D2843" t="s">
        <v>366</v>
      </c>
      <c r="E2843" t="s">
        <v>452</v>
      </c>
    </row>
    <row r="2844" spans="2:5" x14ac:dyDescent="0.2">
      <c r="B2844" t="s">
        <v>4530</v>
      </c>
      <c r="C2844">
        <v>539843</v>
      </c>
      <c r="D2844" t="s">
        <v>366</v>
      </c>
      <c r="E2844" t="s">
        <v>352</v>
      </c>
    </row>
    <row r="2845" spans="2:5" x14ac:dyDescent="0.2">
      <c r="B2845" t="s">
        <v>4531</v>
      </c>
      <c r="C2845">
        <v>532986</v>
      </c>
      <c r="D2845" t="s">
        <v>366</v>
      </c>
      <c r="E2845" t="s">
        <v>764</v>
      </c>
    </row>
    <row r="2846" spans="2:5" x14ac:dyDescent="0.2">
      <c r="B2846" t="s">
        <v>4532</v>
      </c>
      <c r="C2846" t="s">
        <v>366</v>
      </c>
      <c r="D2846" t="s">
        <v>4533</v>
      </c>
      <c r="E2846" t="s">
        <v>457</v>
      </c>
    </row>
    <row r="2847" spans="2:5" x14ac:dyDescent="0.2">
      <c r="B2847" t="s">
        <v>4534</v>
      </c>
      <c r="C2847">
        <v>512425</v>
      </c>
      <c r="D2847" t="s">
        <v>366</v>
      </c>
      <c r="E2847" t="s">
        <v>388</v>
      </c>
    </row>
    <row r="2848" spans="2:5" x14ac:dyDescent="0.2">
      <c r="B2848" t="s">
        <v>4535</v>
      </c>
      <c r="C2848">
        <v>500307</v>
      </c>
      <c r="D2848" t="s">
        <v>366</v>
      </c>
      <c r="E2848" t="s">
        <v>787</v>
      </c>
    </row>
    <row r="2849" spans="2:5" x14ac:dyDescent="0.2">
      <c r="B2849" t="s">
        <v>4536</v>
      </c>
      <c r="C2849">
        <v>539311</v>
      </c>
      <c r="D2849" t="s">
        <v>366</v>
      </c>
      <c r="E2849" t="s">
        <v>349</v>
      </c>
    </row>
    <row r="2850" spans="2:5" x14ac:dyDescent="0.2">
      <c r="B2850" t="s">
        <v>4537</v>
      </c>
      <c r="C2850">
        <v>539311</v>
      </c>
      <c r="D2850" t="s">
        <v>366</v>
      </c>
      <c r="E2850" t="s">
        <v>349</v>
      </c>
    </row>
    <row r="2851" spans="2:5" x14ac:dyDescent="0.2">
      <c r="B2851" t="s">
        <v>4538</v>
      </c>
      <c r="C2851">
        <v>532722</v>
      </c>
      <c r="D2851" t="s">
        <v>4539</v>
      </c>
      <c r="E2851" t="s">
        <v>643</v>
      </c>
    </row>
    <row r="2852" spans="2:5" x14ac:dyDescent="0.2">
      <c r="B2852" t="s">
        <v>4540</v>
      </c>
      <c r="C2852">
        <v>533202</v>
      </c>
      <c r="D2852" t="s">
        <v>4541</v>
      </c>
      <c r="E2852" t="s">
        <v>452</v>
      </c>
    </row>
    <row r="2853" spans="2:5" x14ac:dyDescent="0.2">
      <c r="B2853" t="s">
        <v>4542</v>
      </c>
      <c r="C2853">
        <v>508875</v>
      </c>
      <c r="D2853" t="s">
        <v>366</v>
      </c>
      <c r="E2853" t="s">
        <v>787</v>
      </c>
    </row>
    <row r="2854" spans="2:5" x14ac:dyDescent="0.2">
      <c r="B2854" t="s">
        <v>4543</v>
      </c>
      <c r="C2854">
        <v>532854</v>
      </c>
      <c r="D2854" t="s">
        <v>4544</v>
      </c>
      <c r="E2854" t="s">
        <v>374</v>
      </c>
    </row>
    <row r="2855" spans="2:5" x14ac:dyDescent="0.2">
      <c r="B2855" t="s">
        <v>4545</v>
      </c>
      <c r="C2855">
        <v>532698</v>
      </c>
      <c r="D2855" t="s">
        <v>4546</v>
      </c>
      <c r="E2855" t="s">
        <v>381</v>
      </c>
    </row>
    <row r="2856" spans="2:5" x14ac:dyDescent="0.2">
      <c r="B2856" t="s">
        <v>4547</v>
      </c>
      <c r="C2856" t="s">
        <v>366</v>
      </c>
      <c r="D2856" t="s">
        <v>4548</v>
      </c>
      <c r="E2856" t="s">
        <v>377</v>
      </c>
    </row>
    <row r="2857" spans="2:5" x14ac:dyDescent="0.2">
      <c r="B2857" t="s">
        <v>4549</v>
      </c>
      <c r="C2857">
        <v>506532</v>
      </c>
      <c r="D2857" t="s">
        <v>366</v>
      </c>
      <c r="E2857" t="s">
        <v>526</v>
      </c>
    </row>
    <row r="2858" spans="2:5" x14ac:dyDescent="0.2">
      <c r="B2858" t="s">
        <v>4550</v>
      </c>
      <c r="C2858">
        <v>506532</v>
      </c>
      <c r="D2858" t="s">
        <v>366</v>
      </c>
      <c r="E2858" t="s">
        <v>526</v>
      </c>
    </row>
    <row r="2859" spans="2:5" x14ac:dyDescent="0.2">
      <c r="B2859" t="s">
        <v>4551</v>
      </c>
      <c r="C2859">
        <v>512381</v>
      </c>
      <c r="D2859" t="s">
        <v>366</v>
      </c>
      <c r="E2859" t="s">
        <v>388</v>
      </c>
    </row>
    <row r="2860" spans="2:5" x14ac:dyDescent="0.2">
      <c r="B2860" t="s">
        <v>4552</v>
      </c>
      <c r="C2860">
        <v>512245</v>
      </c>
      <c r="D2860" t="s">
        <v>366</v>
      </c>
      <c r="E2860" t="s">
        <v>787</v>
      </c>
    </row>
    <row r="2861" spans="2:5" x14ac:dyDescent="0.2">
      <c r="B2861" t="s">
        <v>4553</v>
      </c>
      <c r="C2861">
        <v>538772</v>
      </c>
      <c r="D2861" t="s">
        <v>366</v>
      </c>
      <c r="E2861" t="s">
        <v>383</v>
      </c>
    </row>
    <row r="2862" spans="2:5" x14ac:dyDescent="0.2">
      <c r="B2862" t="s">
        <v>4554</v>
      </c>
      <c r="C2862">
        <v>519494</v>
      </c>
      <c r="D2862" t="s">
        <v>4555</v>
      </c>
      <c r="E2862" t="s">
        <v>615</v>
      </c>
    </row>
    <row r="2863" spans="2:5" x14ac:dyDescent="0.2">
      <c r="B2863" t="s">
        <v>4556</v>
      </c>
      <c r="C2863">
        <v>513683</v>
      </c>
      <c r="D2863" t="s">
        <v>4557</v>
      </c>
      <c r="E2863" t="s">
        <v>505</v>
      </c>
    </row>
    <row r="2864" spans="2:5" x14ac:dyDescent="0.2">
      <c r="B2864" t="s">
        <v>4558</v>
      </c>
      <c r="C2864">
        <v>513683</v>
      </c>
      <c r="D2864" t="s">
        <v>4559</v>
      </c>
      <c r="E2864" t="s">
        <v>505</v>
      </c>
    </row>
    <row r="2865" spans="2:5" x14ac:dyDescent="0.2">
      <c r="B2865" t="s">
        <v>4560</v>
      </c>
      <c r="C2865">
        <v>526371</v>
      </c>
      <c r="D2865" t="s">
        <v>4561</v>
      </c>
      <c r="E2865" t="s">
        <v>346</v>
      </c>
    </row>
    <row r="2866" spans="2:5" x14ac:dyDescent="0.2">
      <c r="B2866" t="s">
        <v>4562</v>
      </c>
      <c r="C2866">
        <v>500730</v>
      </c>
      <c r="D2866" t="s">
        <v>4563</v>
      </c>
      <c r="E2866" t="s">
        <v>526</v>
      </c>
    </row>
    <row r="2867" spans="2:5" x14ac:dyDescent="0.2">
      <c r="B2867" t="s">
        <v>4564</v>
      </c>
      <c r="C2867">
        <v>532481</v>
      </c>
      <c r="D2867" t="s">
        <v>4565</v>
      </c>
      <c r="E2867" t="s">
        <v>961</v>
      </c>
    </row>
    <row r="2868" spans="2:5" x14ac:dyDescent="0.2">
      <c r="B2868" t="s">
        <v>4566</v>
      </c>
      <c r="C2868" t="s">
        <v>366</v>
      </c>
      <c r="D2868" t="s">
        <v>4567</v>
      </c>
      <c r="E2868" t="s">
        <v>457</v>
      </c>
    </row>
    <row r="2869" spans="2:5" x14ac:dyDescent="0.2">
      <c r="B2869" t="s">
        <v>4568</v>
      </c>
      <c r="C2869">
        <v>524414</v>
      </c>
      <c r="D2869" t="s">
        <v>366</v>
      </c>
      <c r="E2869" t="s">
        <v>388</v>
      </c>
    </row>
    <row r="2870" spans="2:5" x14ac:dyDescent="0.2">
      <c r="B2870" t="s">
        <v>4569</v>
      </c>
      <c r="C2870">
        <v>534615</v>
      </c>
      <c r="D2870" t="s">
        <v>4570</v>
      </c>
      <c r="E2870" t="s">
        <v>687</v>
      </c>
    </row>
    <row r="2871" spans="2:5" x14ac:dyDescent="0.2">
      <c r="B2871" t="s">
        <v>4571</v>
      </c>
      <c r="C2871">
        <v>542628</v>
      </c>
      <c r="D2871" t="s">
        <v>4572</v>
      </c>
      <c r="E2871" t="s">
        <v>732</v>
      </c>
    </row>
    <row r="2872" spans="2:5" x14ac:dyDescent="0.2">
      <c r="B2872" t="s">
        <v>4573</v>
      </c>
      <c r="C2872">
        <v>539110</v>
      </c>
      <c r="D2872" t="s">
        <v>366</v>
      </c>
      <c r="E2872" t="s">
        <v>383</v>
      </c>
    </row>
    <row r="2873" spans="2:5" x14ac:dyDescent="0.2">
      <c r="B2873" t="s">
        <v>4574</v>
      </c>
      <c r="C2873">
        <v>540698</v>
      </c>
      <c r="D2873" t="s">
        <v>366</v>
      </c>
      <c r="E2873" t="s">
        <v>388</v>
      </c>
    </row>
    <row r="2874" spans="2:5" x14ac:dyDescent="0.2">
      <c r="B2874" t="s">
        <v>4575</v>
      </c>
      <c r="C2874">
        <v>531465</v>
      </c>
      <c r="D2874" t="s">
        <v>366</v>
      </c>
      <c r="E2874" t="s">
        <v>388</v>
      </c>
    </row>
    <row r="2875" spans="2:5" x14ac:dyDescent="0.2">
      <c r="B2875" t="s">
        <v>4576</v>
      </c>
      <c r="C2875">
        <v>513566</v>
      </c>
      <c r="D2875" t="s">
        <v>366</v>
      </c>
      <c r="E2875" t="s">
        <v>398</v>
      </c>
    </row>
    <row r="2876" spans="2:5" x14ac:dyDescent="0.2">
      <c r="B2876" t="s">
        <v>4577</v>
      </c>
      <c r="C2876">
        <v>530733</v>
      </c>
      <c r="D2876" t="s">
        <v>366</v>
      </c>
      <c r="E2876" t="s">
        <v>890</v>
      </c>
    </row>
    <row r="2877" spans="2:5" x14ac:dyDescent="0.2">
      <c r="B2877" t="s">
        <v>4578</v>
      </c>
      <c r="C2877">
        <v>530733</v>
      </c>
      <c r="D2877" t="s">
        <v>366</v>
      </c>
      <c r="E2877" t="s">
        <v>890</v>
      </c>
    </row>
    <row r="2878" spans="2:5" x14ac:dyDescent="0.2">
      <c r="B2878" t="s">
        <v>4579</v>
      </c>
      <c r="C2878">
        <v>500672</v>
      </c>
      <c r="D2878" t="s">
        <v>366</v>
      </c>
      <c r="E2878" t="s">
        <v>404</v>
      </c>
    </row>
    <row r="2879" spans="2:5" x14ac:dyDescent="0.2">
      <c r="B2879" t="s">
        <v>4580</v>
      </c>
      <c r="C2879">
        <v>500672</v>
      </c>
      <c r="D2879" t="s">
        <v>366</v>
      </c>
      <c r="E2879" t="s">
        <v>404</v>
      </c>
    </row>
    <row r="2880" spans="2:5" x14ac:dyDescent="0.2">
      <c r="B2880" t="s">
        <v>4581</v>
      </c>
      <c r="C2880">
        <v>530127</v>
      </c>
      <c r="D2880" t="s">
        <v>366</v>
      </c>
      <c r="E2880" t="s">
        <v>349</v>
      </c>
    </row>
    <row r="2881" spans="2:5" x14ac:dyDescent="0.2">
      <c r="B2881" t="s">
        <v>4582</v>
      </c>
      <c r="C2881">
        <v>530367</v>
      </c>
      <c r="D2881" t="s">
        <v>4583</v>
      </c>
      <c r="E2881" t="s">
        <v>374</v>
      </c>
    </row>
    <row r="2882" spans="2:5" x14ac:dyDescent="0.2">
      <c r="B2882" t="s">
        <v>4584</v>
      </c>
      <c r="C2882">
        <v>535458</v>
      </c>
      <c r="D2882" t="s">
        <v>4585</v>
      </c>
      <c r="E2882" t="s">
        <v>551</v>
      </c>
    </row>
    <row r="2883" spans="2:5" x14ac:dyDescent="0.2">
      <c r="B2883" t="s">
        <v>4586</v>
      </c>
      <c r="C2883">
        <v>526723</v>
      </c>
      <c r="D2883" t="s">
        <v>366</v>
      </c>
      <c r="E2883" t="s">
        <v>2533</v>
      </c>
    </row>
    <row r="2884" spans="2:5" x14ac:dyDescent="0.2">
      <c r="B2884" t="s">
        <v>4587</v>
      </c>
      <c r="C2884">
        <v>532555</v>
      </c>
      <c r="D2884" t="s">
        <v>4588</v>
      </c>
      <c r="E2884" t="s">
        <v>505</v>
      </c>
    </row>
    <row r="2885" spans="2:5" x14ac:dyDescent="0.2">
      <c r="B2885" t="s">
        <v>4589</v>
      </c>
      <c r="C2885">
        <v>533015</v>
      </c>
      <c r="D2885" t="s">
        <v>4590</v>
      </c>
      <c r="E2885" t="s">
        <v>1311</v>
      </c>
    </row>
    <row r="2886" spans="2:5" x14ac:dyDescent="0.2">
      <c r="B2886" t="s">
        <v>4591</v>
      </c>
      <c r="C2886">
        <v>533015</v>
      </c>
      <c r="D2886" t="s">
        <v>4590</v>
      </c>
      <c r="E2886" t="s">
        <v>1311</v>
      </c>
    </row>
    <row r="2887" spans="2:5" x14ac:dyDescent="0.2">
      <c r="B2887" t="s">
        <v>4592</v>
      </c>
      <c r="C2887">
        <v>531209</v>
      </c>
      <c r="D2887" t="s">
        <v>4593</v>
      </c>
      <c r="E2887" t="s">
        <v>459</v>
      </c>
    </row>
    <row r="2888" spans="2:5" x14ac:dyDescent="0.2">
      <c r="B2888" t="s">
        <v>4594</v>
      </c>
      <c r="C2888">
        <v>531304</v>
      </c>
      <c r="D2888" t="s">
        <v>366</v>
      </c>
      <c r="E2888" t="s">
        <v>381</v>
      </c>
    </row>
    <row r="2889" spans="2:5" x14ac:dyDescent="0.2">
      <c r="B2889" t="s">
        <v>4595</v>
      </c>
      <c r="C2889">
        <v>524764</v>
      </c>
      <c r="D2889" t="s">
        <v>366</v>
      </c>
      <c r="E2889" t="s">
        <v>414</v>
      </c>
    </row>
    <row r="2890" spans="2:5" x14ac:dyDescent="0.2">
      <c r="B2890" t="s">
        <v>4596</v>
      </c>
      <c r="C2890">
        <v>524764</v>
      </c>
      <c r="D2890" t="s">
        <v>366</v>
      </c>
      <c r="E2890" t="s">
        <v>414</v>
      </c>
    </row>
    <row r="2891" spans="2:5" x14ac:dyDescent="0.2">
      <c r="B2891" t="s">
        <v>4597</v>
      </c>
      <c r="C2891">
        <v>530219</v>
      </c>
      <c r="D2891" t="s">
        <v>366</v>
      </c>
      <c r="E2891" t="s">
        <v>480</v>
      </c>
    </row>
    <row r="2892" spans="2:5" x14ac:dyDescent="0.2">
      <c r="B2892" t="s">
        <v>4598</v>
      </c>
      <c r="C2892">
        <v>531819</v>
      </c>
      <c r="D2892" t="s">
        <v>366</v>
      </c>
      <c r="E2892" t="s">
        <v>388</v>
      </c>
    </row>
    <row r="2893" spans="2:5" x14ac:dyDescent="0.2">
      <c r="B2893" t="s">
        <v>4599</v>
      </c>
      <c r="C2893">
        <v>531819</v>
      </c>
      <c r="D2893" t="s">
        <v>366</v>
      </c>
      <c r="E2893" t="s">
        <v>388</v>
      </c>
    </row>
    <row r="2894" spans="2:5" x14ac:dyDescent="0.2">
      <c r="B2894" t="s">
        <v>4600</v>
      </c>
      <c r="C2894">
        <v>504378</v>
      </c>
      <c r="D2894" t="s">
        <v>366</v>
      </c>
      <c r="E2894" t="s">
        <v>388</v>
      </c>
    </row>
    <row r="2895" spans="2:5" x14ac:dyDescent="0.2">
      <c r="B2895" t="s">
        <v>4601</v>
      </c>
      <c r="C2895">
        <v>539116</v>
      </c>
      <c r="D2895" t="s">
        <v>366</v>
      </c>
      <c r="E2895" t="s">
        <v>388</v>
      </c>
    </row>
    <row r="2896" spans="2:5" x14ac:dyDescent="0.2">
      <c r="B2896" t="s">
        <v>4602</v>
      </c>
      <c r="C2896">
        <v>512489</v>
      </c>
      <c r="D2896" t="s">
        <v>366</v>
      </c>
      <c r="E2896" t="s">
        <v>383</v>
      </c>
    </row>
    <row r="2897" spans="2:5" x14ac:dyDescent="0.2">
      <c r="B2897" t="s">
        <v>4603</v>
      </c>
      <c r="C2897">
        <v>538547</v>
      </c>
      <c r="D2897" t="s">
        <v>366</v>
      </c>
      <c r="E2897" t="s">
        <v>615</v>
      </c>
    </row>
    <row r="2898" spans="2:5" x14ac:dyDescent="0.2">
      <c r="B2898" t="s">
        <v>4604</v>
      </c>
      <c r="C2898">
        <v>533273</v>
      </c>
      <c r="D2898" t="s">
        <v>4605</v>
      </c>
      <c r="E2898" t="s">
        <v>452</v>
      </c>
    </row>
    <row r="2899" spans="2:5" x14ac:dyDescent="0.2">
      <c r="B2899" t="s">
        <v>4606</v>
      </c>
      <c r="C2899">
        <v>535657</v>
      </c>
      <c r="D2899" t="s">
        <v>366</v>
      </c>
      <c r="E2899" t="s">
        <v>352</v>
      </c>
    </row>
    <row r="2900" spans="2:5" x14ac:dyDescent="0.2">
      <c r="B2900" t="s">
        <v>4607</v>
      </c>
      <c r="C2900">
        <v>519491</v>
      </c>
      <c r="D2900" t="s">
        <v>366</v>
      </c>
      <c r="E2900" t="s">
        <v>561</v>
      </c>
    </row>
    <row r="2901" spans="2:5" x14ac:dyDescent="0.2">
      <c r="B2901" t="s">
        <v>4608</v>
      </c>
      <c r="C2901">
        <v>519491</v>
      </c>
      <c r="D2901" t="s">
        <v>366</v>
      </c>
      <c r="E2901" t="s">
        <v>561</v>
      </c>
    </row>
    <row r="2902" spans="2:5" x14ac:dyDescent="0.2">
      <c r="B2902" t="s">
        <v>4609</v>
      </c>
      <c r="C2902">
        <v>538019</v>
      </c>
      <c r="D2902" t="s">
        <v>366</v>
      </c>
      <c r="E2902" t="s">
        <v>446</v>
      </c>
    </row>
    <row r="2903" spans="2:5" x14ac:dyDescent="0.2">
      <c r="B2903" t="s">
        <v>4610</v>
      </c>
      <c r="C2903">
        <v>540405</v>
      </c>
      <c r="D2903" t="s">
        <v>366</v>
      </c>
      <c r="E2903" t="s">
        <v>446</v>
      </c>
    </row>
    <row r="2904" spans="2:5" x14ac:dyDescent="0.2">
      <c r="B2904" t="s">
        <v>4611</v>
      </c>
      <c r="C2904">
        <v>533008</v>
      </c>
      <c r="D2904" t="s">
        <v>4612</v>
      </c>
      <c r="E2904" t="s">
        <v>398</v>
      </c>
    </row>
    <row r="2905" spans="2:5" x14ac:dyDescent="0.2">
      <c r="B2905" t="s">
        <v>4613</v>
      </c>
      <c r="C2905">
        <v>538894</v>
      </c>
      <c r="D2905" t="s">
        <v>366</v>
      </c>
      <c r="E2905" t="s">
        <v>349</v>
      </c>
    </row>
    <row r="2906" spans="2:5" x14ac:dyDescent="0.2">
      <c r="B2906" t="s">
        <v>4614</v>
      </c>
      <c r="C2906">
        <v>540416</v>
      </c>
      <c r="D2906" t="s">
        <v>366</v>
      </c>
      <c r="E2906" t="s">
        <v>372</v>
      </c>
    </row>
    <row r="2907" spans="2:5" x14ac:dyDescent="0.2">
      <c r="B2907" t="s">
        <v>4615</v>
      </c>
      <c r="C2907">
        <v>531996</v>
      </c>
      <c r="D2907" t="s">
        <v>366</v>
      </c>
      <c r="E2907" t="s">
        <v>383</v>
      </c>
    </row>
    <row r="2908" spans="2:5" x14ac:dyDescent="0.2">
      <c r="B2908" t="s">
        <v>4616</v>
      </c>
      <c r="C2908">
        <v>530175</v>
      </c>
      <c r="D2908" t="s">
        <v>366</v>
      </c>
      <c r="E2908" t="s">
        <v>459</v>
      </c>
    </row>
    <row r="2909" spans="2:5" x14ac:dyDescent="0.2">
      <c r="B2909" t="s">
        <v>4617</v>
      </c>
      <c r="C2909">
        <v>539570</v>
      </c>
      <c r="D2909" t="s">
        <v>366</v>
      </c>
      <c r="E2909" t="s">
        <v>352</v>
      </c>
    </row>
    <row r="2910" spans="2:5" x14ac:dyDescent="0.2">
      <c r="B2910" t="s">
        <v>4618</v>
      </c>
      <c r="C2910">
        <v>500312</v>
      </c>
      <c r="D2910" t="s">
        <v>4619</v>
      </c>
      <c r="E2910" t="s">
        <v>429</v>
      </c>
    </row>
    <row r="2911" spans="2:5" x14ac:dyDescent="0.2">
      <c r="B2911" t="s">
        <v>4620</v>
      </c>
      <c r="C2911">
        <v>533106</v>
      </c>
      <c r="D2911" t="s">
        <v>4621</v>
      </c>
      <c r="E2911" t="s">
        <v>429</v>
      </c>
    </row>
    <row r="2912" spans="2:5" x14ac:dyDescent="0.2">
      <c r="B2912" t="s">
        <v>4622</v>
      </c>
      <c r="C2912">
        <v>500313</v>
      </c>
      <c r="D2912" t="s">
        <v>4623</v>
      </c>
      <c r="E2912" t="s">
        <v>707</v>
      </c>
    </row>
    <row r="2913" spans="2:5" x14ac:dyDescent="0.2">
      <c r="B2913" t="s">
        <v>4624</v>
      </c>
      <c r="C2913">
        <v>533106</v>
      </c>
      <c r="D2913" t="s">
        <v>4621</v>
      </c>
      <c r="E2913" t="s">
        <v>429</v>
      </c>
    </row>
    <row r="2914" spans="2:5" x14ac:dyDescent="0.2">
      <c r="B2914" t="s">
        <v>4625</v>
      </c>
      <c r="C2914">
        <v>526415</v>
      </c>
      <c r="D2914" t="s">
        <v>366</v>
      </c>
      <c r="E2914" t="s">
        <v>864</v>
      </c>
    </row>
    <row r="2915" spans="2:5" x14ac:dyDescent="0.2">
      <c r="B2915" t="s">
        <v>4626</v>
      </c>
      <c r="C2915">
        <v>526415</v>
      </c>
      <c r="D2915" t="s">
        <v>366</v>
      </c>
      <c r="E2915" t="s">
        <v>864</v>
      </c>
    </row>
    <row r="2916" spans="2:5" x14ac:dyDescent="0.2">
      <c r="B2916" t="s">
        <v>4627</v>
      </c>
      <c r="C2916">
        <v>532439</v>
      </c>
      <c r="D2916" t="s">
        <v>4628</v>
      </c>
      <c r="E2916" t="s">
        <v>374</v>
      </c>
    </row>
    <row r="2917" spans="2:5" x14ac:dyDescent="0.2">
      <c r="B2917" t="s">
        <v>4629</v>
      </c>
      <c r="C2917">
        <v>521105</v>
      </c>
      <c r="D2917" t="s">
        <v>366</v>
      </c>
      <c r="E2917" t="s">
        <v>3120</v>
      </c>
    </row>
    <row r="2918" spans="2:5" x14ac:dyDescent="0.2">
      <c r="B2918" t="s">
        <v>4630</v>
      </c>
      <c r="C2918">
        <v>534190</v>
      </c>
      <c r="D2918" t="s">
        <v>366</v>
      </c>
      <c r="E2918" t="s">
        <v>864</v>
      </c>
    </row>
    <row r="2919" spans="2:5" x14ac:dyDescent="0.2">
      <c r="B2919" t="s">
        <v>4631</v>
      </c>
      <c r="C2919">
        <v>507609</v>
      </c>
      <c r="D2919" t="s">
        <v>366</v>
      </c>
      <c r="E2919" t="s">
        <v>564</v>
      </c>
    </row>
    <row r="2920" spans="2:5" x14ac:dyDescent="0.2">
      <c r="B2920" t="s">
        <v>4632</v>
      </c>
      <c r="C2920">
        <v>531092</v>
      </c>
      <c r="D2920" t="s">
        <v>4633</v>
      </c>
      <c r="E2920" t="s">
        <v>764</v>
      </c>
    </row>
    <row r="2921" spans="2:5" x14ac:dyDescent="0.2">
      <c r="B2921" t="s">
        <v>4634</v>
      </c>
      <c r="C2921">
        <v>538537</v>
      </c>
      <c r="D2921" t="s">
        <v>366</v>
      </c>
      <c r="E2921" t="s">
        <v>388</v>
      </c>
    </row>
    <row r="2922" spans="2:5" x14ac:dyDescent="0.2">
      <c r="B2922" t="s">
        <v>4635</v>
      </c>
      <c r="C2922">
        <v>520021</v>
      </c>
      <c r="D2922" t="s">
        <v>4636</v>
      </c>
      <c r="E2922" t="s">
        <v>721</v>
      </c>
    </row>
    <row r="2923" spans="2:5" x14ac:dyDescent="0.2">
      <c r="B2923" t="s">
        <v>4637</v>
      </c>
      <c r="C2923">
        <v>532880</v>
      </c>
      <c r="D2923" t="s">
        <v>4638</v>
      </c>
      <c r="E2923" t="s">
        <v>452</v>
      </c>
    </row>
    <row r="2924" spans="2:5" x14ac:dyDescent="0.2">
      <c r="B2924" t="s">
        <v>4639</v>
      </c>
      <c r="C2924" t="s">
        <v>366</v>
      </c>
      <c r="D2924" t="s">
        <v>4640</v>
      </c>
      <c r="E2924" t="s">
        <v>377</v>
      </c>
    </row>
    <row r="2925" spans="2:5" x14ac:dyDescent="0.2">
      <c r="B2925" t="s">
        <v>4641</v>
      </c>
      <c r="C2925" t="s">
        <v>366</v>
      </c>
      <c r="D2925" t="s">
        <v>4640</v>
      </c>
      <c r="E2925" t="s">
        <v>377</v>
      </c>
    </row>
    <row r="2926" spans="2:5" x14ac:dyDescent="0.2">
      <c r="B2926" t="s">
        <v>4642</v>
      </c>
      <c r="C2926">
        <v>531496</v>
      </c>
      <c r="D2926" t="s">
        <v>366</v>
      </c>
      <c r="E2926" t="s">
        <v>381</v>
      </c>
    </row>
    <row r="2927" spans="2:5" x14ac:dyDescent="0.2">
      <c r="B2927" t="s">
        <v>4643</v>
      </c>
      <c r="C2927">
        <v>532167</v>
      </c>
      <c r="D2927" t="s">
        <v>366</v>
      </c>
      <c r="E2927" t="s">
        <v>414</v>
      </c>
    </row>
    <row r="2928" spans="2:5" x14ac:dyDescent="0.2">
      <c r="B2928" t="s">
        <v>4644</v>
      </c>
      <c r="C2928">
        <v>533317</v>
      </c>
      <c r="D2928" t="s">
        <v>4645</v>
      </c>
      <c r="E2928" t="s">
        <v>526</v>
      </c>
    </row>
    <row r="2929" spans="2:5" x14ac:dyDescent="0.2">
      <c r="B2929" t="s">
        <v>4646</v>
      </c>
      <c r="C2929">
        <v>532340</v>
      </c>
      <c r="D2929" t="s">
        <v>366</v>
      </c>
      <c r="E2929" t="s">
        <v>459</v>
      </c>
    </row>
    <row r="2930" spans="2:5" x14ac:dyDescent="0.2">
      <c r="B2930" t="s">
        <v>4647</v>
      </c>
      <c r="C2930">
        <v>514324</v>
      </c>
      <c r="D2930" t="s">
        <v>366</v>
      </c>
      <c r="E2930" t="s">
        <v>381</v>
      </c>
    </row>
    <row r="2931" spans="2:5" x14ac:dyDescent="0.2">
      <c r="B2931" t="s">
        <v>4648</v>
      </c>
      <c r="C2931">
        <v>514324</v>
      </c>
      <c r="D2931" t="s">
        <v>366</v>
      </c>
      <c r="E2931" t="s">
        <v>381</v>
      </c>
    </row>
    <row r="2932" spans="2:5" x14ac:dyDescent="0.2">
      <c r="B2932" t="s">
        <v>4649</v>
      </c>
      <c r="C2932" t="s">
        <v>366</v>
      </c>
      <c r="D2932" t="s">
        <v>4650</v>
      </c>
      <c r="E2932" t="s">
        <v>377</v>
      </c>
    </row>
    <row r="2933" spans="2:5" x14ac:dyDescent="0.2">
      <c r="B2933" t="s">
        <v>4651</v>
      </c>
      <c r="C2933">
        <v>533632</v>
      </c>
      <c r="D2933" t="s">
        <v>4652</v>
      </c>
      <c r="E2933" t="s">
        <v>386</v>
      </c>
    </row>
    <row r="2934" spans="2:5" x14ac:dyDescent="0.2">
      <c r="B2934" t="s">
        <v>4653</v>
      </c>
      <c r="C2934">
        <v>530805</v>
      </c>
      <c r="D2934" t="s">
        <v>366</v>
      </c>
      <c r="E2934" t="s">
        <v>450</v>
      </c>
    </row>
    <row r="2935" spans="2:5" x14ac:dyDescent="0.2">
      <c r="B2935" t="s">
        <v>4654</v>
      </c>
      <c r="C2935">
        <v>535647</v>
      </c>
      <c r="D2935" t="s">
        <v>366</v>
      </c>
      <c r="E2935" t="s">
        <v>369</v>
      </c>
    </row>
    <row r="2936" spans="2:5" x14ac:dyDescent="0.2">
      <c r="B2936" t="s">
        <v>4655</v>
      </c>
      <c r="C2936">
        <v>532944</v>
      </c>
      <c r="D2936" t="s">
        <v>4656</v>
      </c>
      <c r="E2936" t="s">
        <v>1311</v>
      </c>
    </row>
    <row r="2937" spans="2:5" x14ac:dyDescent="0.2">
      <c r="B2937" t="s">
        <v>4657</v>
      </c>
      <c r="C2937">
        <v>540386</v>
      </c>
      <c r="D2937" t="s">
        <v>366</v>
      </c>
      <c r="E2937" t="s">
        <v>349</v>
      </c>
    </row>
    <row r="2938" spans="2:5" x14ac:dyDescent="0.2">
      <c r="B2938" t="s">
        <v>4658</v>
      </c>
      <c r="C2938">
        <v>517536</v>
      </c>
      <c r="D2938" t="s">
        <v>4659</v>
      </c>
      <c r="E2938" t="s">
        <v>352</v>
      </c>
    </row>
    <row r="2939" spans="2:5" x14ac:dyDescent="0.2">
      <c r="B2939" t="s">
        <v>4660</v>
      </c>
      <c r="C2939" t="s">
        <v>366</v>
      </c>
      <c r="D2939" t="s">
        <v>4661</v>
      </c>
      <c r="E2939" t="s">
        <v>377</v>
      </c>
    </row>
    <row r="2940" spans="2:5" x14ac:dyDescent="0.2">
      <c r="B2940" t="s">
        <v>4662</v>
      </c>
      <c r="C2940">
        <v>530135</v>
      </c>
      <c r="D2940" t="s">
        <v>4663</v>
      </c>
      <c r="E2940" t="s">
        <v>400</v>
      </c>
    </row>
    <row r="2941" spans="2:5" x14ac:dyDescent="0.2">
      <c r="B2941" t="s">
        <v>4664</v>
      </c>
      <c r="C2941">
        <v>531254</v>
      </c>
      <c r="D2941" t="s">
        <v>366</v>
      </c>
      <c r="E2941" t="s">
        <v>383</v>
      </c>
    </row>
    <row r="2942" spans="2:5" x14ac:dyDescent="0.2">
      <c r="B2942" t="s">
        <v>4665</v>
      </c>
      <c r="C2942">
        <v>532391</v>
      </c>
      <c r="D2942" t="s">
        <v>4666</v>
      </c>
      <c r="E2942" t="s">
        <v>1530</v>
      </c>
    </row>
    <row r="2943" spans="2:5" x14ac:dyDescent="0.2">
      <c r="B2943" t="s">
        <v>4667</v>
      </c>
      <c r="C2943">
        <v>532391</v>
      </c>
      <c r="D2943" t="s">
        <v>4666</v>
      </c>
      <c r="E2943" t="s">
        <v>1530</v>
      </c>
    </row>
    <row r="2944" spans="2:5" x14ac:dyDescent="0.2">
      <c r="B2944" t="s">
        <v>4668</v>
      </c>
      <c r="C2944">
        <v>539598</v>
      </c>
      <c r="D2944" t="s">
        <v>366</v>
      </c>
      <c r="E2944" t="s">
        <v>383</v>
      </c>
    </row>
    <row r="2945" spans="2:5" x14ac:dyDescent="0.2">
      <c r="B2945" t="s">
        <v>4669</v>
      </c>
      <c r="C2945">
        <v>532466</v>
      </c>
      <c r="D2945" t="s">
        <v>4670</v>
      </c>
      <c r="E2945" t="s">
        <v>352</v>
      </c>
    </row>
    <row r="2946" spans="2:5" x14ac:dyDescent="0.2">
      <c r="B2946" t="s">
        <v>4671</v>
      </c>
      <c r="C2946">
        <v>512626</v>
      </c>
      <c r="D2946" t="s">
        <v>4672</v>
      </c>
      <c r="E2946" t="s">
        <v>381</v>
      </c>
    </row>
    <row r="2947" spans="2:5" x14ac:dyDescent="0.2">
      <c r="B2947" t="s">
        <v>4673</v>
      </c>
      <c r="C2947">
        <v>524372</v>
      </c>
      <c r="D2947" t="s">
        <v>4674</v>
      </c>
      <c r="E2947" t="s">
        <v>404</v>
      </c>
    </row>
    <row r="2948" spans="2:5" x14ac:dyDescent="0.2">
      <c r="B2948" t="s">
        <v>4675</v>
      </c>
      <c r="C2948">
        <v>531157</v>
      </c>
      <c r="D2948" t="s">
        <v>366</v>
      </c>
      <c r="E2948" t="s">
        <v>526</v>
      </c>
    </row>
    <row r="2949" spans="2:5" x14ac:dyDescent="0.2">
      <c r="B2949" t="s">
        <v>4676</v>
      </c>
      <c r="C2949">
        <v>513121</v>
      </c>
      <c r="D2949" t="s">
        <v>4677</v>
      </c>
      <c r="E2949" t="s">
        <v>526</v>
      </c>
    </row>
    <row r="2950" spans="2:5" x14ac:dyDescent="0.2">
      <c r="B2950" t="s">
        <v>4678</v>
      </c>
      <c r="C2950">
        <v>504879</v>
      </c>
      <c r="D2950" t="s">
        <v>4679</v>
      </c>
      <c r="E2950" t="s">
        <v>1284</v>
      </c>
    </row>
    <row r="2951" spans="2:5" x14ac:dyDescent="0.2">
      <c r="B2951" t="s">
        <v>4680</v>
      </c>
      <c r="C2951">
        <v>530365</v>
      </c>
      <c r="D2951" t="s">
        <v>4681</v>
      </c>
      <c r="E2951" t="s">
        <v>643</v>
      </c>
    </row>
    <row r="2952" spans="2:5" x14ac:dyDescent="0.2">
      <c r="B2952" t="s">
        <v>4682</v>
      </c>
      <c r="C2952">
        <v>507690</v>
      </c>
      <c r="D2952" t="s">
        <v>366</v>
      </c>
      <c r="E2952" t="s">
        <v>801</v>
      </c>
    </row>
    <row r="2953" spans="2:5" x14ac:dyDescent="0.2">
      <c r="B2953" t="s">
        <v>4683</v>
      </c>
      <c r="C2953">
        <v>535754</v>
      </c>
      <c r="D2953" t="s">
        <v>4684</v>
      </c>
      <c r="E2953" t="s">
        <v>379</v>
      </c>
    </row>
    <row r="2954" spans="2:5" x14ac:dyDescent="0.2">
      <c r="B2954" t="s">
        <v>4685</v>
      </c>
      <c r="C2954">
        <v>541301</v>
      </c>
      <c r="D2954" t="s">
        <v>4686</v>
      </c>
      <c r="E2954" t="s">
        <v>735</v>
      </c>
    </row>
    <row r="2955" spans="2:5" x14ac:dyDescent="0.2">
      <c r="B2955" t="s">
        <v>4687</v>
      </c>
      <c r="C2955">
        <v>533263</v>
      </c>
      <c r="D2955" t="s">
        <v>4688</v>
      </c>
      <c r="E2955" t="s">
        <v>505</v>
      </c>
    </row>
    <row r="2956" spans="2:5" x14ac:dyDescent="0.2">
      <c r="B2956" t="s">
        <v>4689</v>
      </c>
      <c r="C2956">
        <v>502420</v>
      </c>
      <c r="D2956" t="s">
        <v>4690</v>
      </c>
      <c r="E2956" t="s">
        <v>360</v>
      </c>
    </row>
    <row r="2957" spans="2:5" x14ac:dyDescent="0.2">
      <c r="B2957" t="s">
        <v>4691</v>
      </c>
      <c r="C2957">
        <v>526325</v>
      </c>
      <c r="D2957" t="s">
        <v>4692</v>
      </c>
      <c r="E2957" t="s">
        <v>561</v>
      </c>
    </row>
    <row r="2958" spans="2:5" x14ac:dyDescent="0.2">
      <c r="B2958" t="s">
        <v>4693</v>
      </c>
      <c r="C2958">
        <v>534076</v>
      </c>
      <c r="D2958" t="s">
        <v>4694</v>
      </c>
      <c r="E2958" t="s">
        <v>551</v>
      </c>
    </row>
    <row r="2959" spans="2:5" x14ac:dyDescent="0.2">
      <c r="B2959" t="s">
        <v>4695</v>
      </c>
      <c r="C2959">
        <v>531512</v>
      </c>
      <c r="D2959" t="s">
        <v>366</v>
      </c>
      <c r="E2959" t="s">
        <v>369</v>
      </c>
    </row>
    <row r="2960" spans="2:5" x14ac:dyDescent="0.2">
      <c r="B2960" t="s">
        <v>4696</v>
      </c>
      <c r="C2960">
        <v>500078</v>
      </c>
      <c r="D2960" t="s">
        <v>366</v>
      </c>
      <c r="E2960" t="s">
        <v>414</v>
      </c>
    </row>
    <row r="2961" spans="2:5" x14ac:dyDescent="0.2">
      <c r="B2961" t="s">
        <v>4697</v>
      </c>
      <c r="C2961">
        <v>500315</v>
      </c>
      <c r="D2961" t="s">
        <v>4698</v>
      </c>
      <c r="E2961" t="s">
        <v>684</v>
      </c>
    </row>
    <row r="2962" spans="2:5" x14ac:dyDescent="0.2">
      <c r="B2962" t="s">
        <v>4699</v>
      </c>
      <c r="C2962">
        <v>506579</v>
      </c>
      <c r="D2962" t="s">
        <v>4700</v>
      </c>
      <c r="E2962" t="s">
        <v>414</v>
      </c>
    </row>
    <row r="2963" spans="2:5" x14ac:dyDescent="0.2">
      <c r="B2963" t="s">
        <v>4701</v>
      </c>
      <c r="C2963">
        <v>500314</v>
      </c>
      <c r="D2963" t="s">
        <v>4702</v>
      </c>
      <c r="E2963" t="s">
        <v>567</v>
      </c>
    </row>
    <row r="2964" spans="2:5" x14ac:dyDescent="0.2">
      <c r="B2964" t="s">
        <v>4703</v>
      </c>
      <c r="C2964">
        <v>532817</v>
      </c>
      <c r="D2964" t="s">
        <v>4704</v>
      </c>
      <c r="E2964" t="s">
        <v>894</v>
      </c>
    </row>
    <row r="2965" spans="2:5" x14ac:dyDescent="0.2">
      <c r="B2965" t="s">
        <v>4705</v>
      </c>
      <c r="C2965">
        <v>531859</v>
      </c>
      <c r="D2965" t="s">
        <v>366</v>
      </c>
      <c r="E2965" t="s">
        <v>1284</v>
      </c>
    </row>
    <row r="2966" spans="2:5" x14ac:dyDescent="0.2">
      <c r="B2966" t="s">
        <v>4706</v>
      </c>
      <c r="C2966">
        <v>541206</v>
      </c>
      <c r="D2966" t="s">
        <v>366</v>
      </c>
      <c r="E2966" t="s">
        <v>687</v>
      </c>
    </row>
    <row r="2967" spans="2:5" x14ac:dyDescent="0.2">
      <c r="B2967" t="s">
        <v>4707</v>
      </c>
      <c r="C2967">
        <v>531626</v>
      </c>
      <c r="D2967" t="s">
        <v>366</v>
      </c>
      <c r="E2967" t="s">
        <v>480</v>
      </c>
    </row>
    <row r="2968" spans="2:5" x14ac:dyDescent="0.2">
      <c r="B2968" t="s">
        <v>4708</v>
      </c>
      <c r="C2968">
        <v>531626</v>
      </c>
      <c r="D2968" t="s">
        <v>366</v>
      </c>
      <c r="E2968" t="s">
        <v>480</v>
      </c>
    </row>
    <row r="2969" spans="2:5" x14ac:dyDescent="0.2">
      <c r="B2969" t="s">
        <v>4709</v>
      </c>
      <c r="C2969">
        <v>539015</v>
      </c>
      <c r="D2969" t="s">
        <v>4710</v>
      </c>
      <c r="E2969" t="s">
        <v>1103</v>
      </c>
    </row>
    <row r="2970" spans="2:5" x14ac:dyDescent="0.2">
      <c r="B2970" t="s">
        <v>4711</v>
      </c>
      <c r="C2970">
        <v>539287</v>
      </c>
      <c r="D2970" t="s">
        <v>4712</v>
      </c>
      <c r="E2970" t="s">
        <v>404</v>
      </c>
    </row>
    <row r="2971" spans="2:5" x14ac:dyDescent="0.2">
      <c r="B2971" t="s">
        <v>4713</v>
      </c>
      <c r="C2971">
        <v>530173</v>
      </c>
      <c r="D2971" t="s">
        <v>366</v>
      </c>
      <c r="E2971" t="s">
        <v>480</v>
      </c>
    </row>
    <row r="2972" spans="2:5" x14ac:dyDescent="0.2">
      <c r="B2972" t="s">
        <v>4714</v>
      </c>
      <c r="C2972">
        <v>501179</v>
      </c>
      <c r="D2972" t="s">
        <v>366</v>
      </c>
      <c r="E2972" t="s">
        <v>386</v>
      </c>
    </row>
    <row r="2973" spans="2:5" x14ac:dyDescent="0.2">
      <c r="B2973" t="s">
        <v>4715</v>
      </c>
      <c r="C2973">
        <v>509782</v>
      </c>
      <c r="D2973" t="s">
        <v>366</v>
      </c>
      <c r="E2973" t="s">
        <v>787</v>
      </c>
    </row>
    <row r="2974" spans="2:5" x14ac:dyDescent="0.2">
      <c r="B2974" t="s">
        <v>4716</v>
      </c>
      <c r="C2974">
        <v>540198</v>
      </c>
      <c r="D2974" t="s">
        <v>366</v>
      </c>
      <c r="E2974" t="s">
        <v>381</v>
      </c>
    </row>
    <row r="2975" spans="2:5" x14ac:dyDescent="0.2">
      <c r="B2975" t="s">
        <v>4717</v>
      </c>
      <c r="C2975">
        <v>500317</v>
      </c>
      <c r="D2975" t="s">
        <v>4718</v>
      </c>
      <c r="E2975" t="s">
        <v>386</v>
      </c>
    </row>
    <row r="2976" spans="2:5" x14ac:dyDescent="0.2">
      <c r="B2976" t="s">
        <v>4719</v>
      </c>
      <c r="C2976">
        <v>539290</v>
      </c>
      <c r="D2976" t="s">
        <v>4720</v>
      </c>
      <c r="E2976" t="s">
        <v>386</v>
      </c>
    </row>
    <row r="2977" spans="2:5" x14ac:dyDescent="0.2">
      <c r="B2977" t="s">
        <v>4721</v>
      </c>
      <c r="C2977">
        <v>509099</v>
      </c>
      <c r="D2977" t="s">
        <v>366</v>
      </c>
      <c r="E2977" t="s">
        <v>787</v>
      </c>
    </row>
    <row r="2978" spans="2:5" x14ac:dyDescent="0.2">
      <c r="B2978" t="s">
        <v>4722</v>
      </c>
      <c r="C2978">
        <v>531065</v>
      </c>
      <c r="D2978" t="s">
        <v>366</v>
      </c>
      <c r="E2978" t="s">
        <v>1065</v>
      </c>
    </row>
    <row r="2979" spans="2:5" x14ac:dyDescent="0.2">
      <c r="B2979" t="s">
        <v>4723</v>
      </c>
      <c r="C2979">
        <v>514460</v>
      </c>
      <c r="D2979" t="s">
        <v>366</v>
      </c>
      <c r="E2979" t="s">
        <v>388</v>
      </c>
    </row>
    <row r="2980" spans="2:5" x14ac:dyDescent="0.2">
      <c r="B2980" t="s">
        <v>4724</v>
      </c>
      <c r="C2980">
        <v>523151</v>
      </c>
      <c r="D2980" t="s">
        <v>366</v>
      </c>
      <c r="E2980" t="s">
        <v>450</v>
      </c>
    </row>
    <row r="2981" spans="2:5" x14ac:dyDescent="0.2">
      <c r="B2981" t="s">
        <v>4725</v>
      </c>
      <c r="C2981">
        <v>514330</v>
      </c>
      <c r="D2981" t="s">
        <v>366</v>
      </c>
      <c r="E2981" t="s">
        <v>381</v>
      </c>
    </row>
    <row r="2982" spans="2:5" x14ac:dyDescent="0.2">
      <c r="B2982" t="s">
        <v>4726</v>
      </c>
      <c r="C2982">
        <v>530741</v>
      </c>
      <c r="D2982" t="s">
        <v>366</v>
      </c>
      <c r="E2982" t="s">
        <v>446</v>
      </c>
    </row>
    <row r="2983" spans="2:5" x14ac:dyDescent="0.2">
      <c r="B2983" t="s">
        <v>4727</v>
      </c>
      <c r="C2983">
        <v>539291</v>
      </c>
      <c r="D2983" t="s">
        <v>366</v>
      </c>
      <c r="E2983" t="s">
        <v>564</v>
      </c>
    </row>
    <row r="2984" spans="2:5" x14ac:dyDescent="0.2">
      <c r="B2984" t="s">
        <v>4728</v>
      </c>
      <c r="C2984">
        <v>539352</v>
      </c>
      <c r="D2984" t="s">
        <v>366</v>
      </c>
      <c r="E2984" t="s">
        <v>369</v>
      </c>
    </row>
    <row r="2985" spans="2:5" x14ac:dyDescent="0.2">
      <c r="B2985" t="s">
        <v>4729</v>
      </c>
      <c r="C2985">
        <v>513403</v>
      </c>
      <c r="D2985" t="s">
        <v>366</v>
      </c>
      <c r="E2985" t="s">
        <v>398</v>
      </c>
    </row>
    <row r="2986" spans="2:5" x14ac:dyDescent="0.2">
      <c r="B2986" t="s">
        <v>4730</v>
      </c>
      <c r="C2986">
        <v>523862</v>
      </c>
      <c r="D2986" t="s">
        <v>366</v>
      </c>
      <c r="E2986" t="s">
        <v>383</v>
      </c>
    </row>
    <row r="2987" spans="2:5" x14ac:dyDescent="0.2">
      <c r="B2987" t="s">
        <v>4731</v>
      </c>
      <c r="C2987">
        <v>523483</v>
      </c>
      <c r="D2987" t="s">
        <v>366</v>
      </c>
      <c r="E2987" t="s">
        <v>894</v>
      </c>
    </row>
    <row r="2988" spans="2:5" x14ac:dyDescent="0.2">
      <c r="B2988" t="s">
        <v>4732</v>
      </c>
      <c r="C2988">
        <v>538963</v>
      </c>
      <c r="D2988" t="s">
        <v>366</v>
      </c>
      <c r="E2988" t="s">
        <v>689</v>
      </c>
    </row>
    <row r="2989" spans="2:5" x14ac:dyDescent="0.2">
      <c r="B2989" t="s">
        <v>4733</v>
      </c>
      <c r="C2989">
        <v>531395</v>
      </c>
      <c r="D2989" t="s">
        <v>366</v>
      </c>
      <c r="E2989" t="s">
        <v>381</v>
      </c>
    </row>
    <row r="2990" spans="2:5" x14ac:dyDescent="0.2">
      <c r="B2990" t="s">
        <v>4734</v>
      </c>
      <c r="C2990">
        <v>532350</v>
      </c>
      <c r="D2990" t="s">
        <v>366</v>
      </c>
      <c r="E2990" t="s">
        <v>369</v>
      </c>
    </row>
    <row r="2991" spans="2:5" x14ac:dyDescent="0.2">
      <c r="B2991" t="s">
        <v>4735</v>
      </c>
      <c r="C2991">
        <v>526905</v>
      </c>
      <c r="D2991" t="s">
        <v>366</v>
      </c>
      <c r="E2991" t="s">
        <v>414</v>
      </c>
    </row>
    <row r="2992" spans="2:5" x14ac:dyDescent="0.2">
      <c r="B2992" t="s">
        <v>4736</v>
      </c>
      <c r="C2992">
        <v>517230</v>
      </c>
      <c r="D2992" t="s">
        <v>4737</v>
      </c>
      <c r="E2992" t="s">
        <v>388</v>
      </c>
    </row>
    <row r="2993" spans="2:5" x14ac:dyDescent="0.2">
      <c r="B2993" t="s">
        <v>4738</v>
      </c>
      <c r="C2993">
        <v>532827</v>
      </c>
      <c r="D2993" t="s">
        <v>4739</v>
      </c>
      <c r="E2993" t="s">
        <v>480</v>
      </c>
    </row>
    <row r="2994" spans="2:5" x14ac:dyDescent="0.2">
      <c r="B2994" t="s">
        <v>4740</v>
      </c>
      <c r="C2994">
        <v>532900</v>
      </c>
      <c r="D2994" t="s">
        <v>4741</v>
      </c>
      <c r="E2994" t="s">
        <v>383</v>
      </c>
    </row>
    <row r="2995" spans="2:5" x14ac:dyDescent="0.2">
      <c r="B2995" t="s">
        <v>4742</v>
      </c>
      <c r="C2995">
        <v>540648</v>
      </c>
      <c r="D2995" t="s">
        <v>4743</v>
      </c>
      <c r="E2995" t="s">
        <v>386</v>
      </c>
    </row>
    <row r="2996" spans="2:5" x14ac:dyDescent="0.2">
      <c r="B2996" t="s">
        <v>4744</v>
      </c>
      <c r="C2996">
        <v>539121</v>
      </c>
      <c r="D2996" t="s">
        <v>366</v>
      </c>
      <c r="E2996" t="s">
        <v>671</v>
      </c>
    </row>
    <row r="2997" spans="2:5" x14ac:dyDescent="0.2">
      <c r="B2997" t="s">
        <v>4745</v>
      </c>
      <c r="C2997">
        <v>541444</v>
      </c>
      <c r="D2997" t="s">
        <v>366</v>
      </c>
      <c r="E2997" t="s">
        <v>480</v>
      </c>
    </row>
    <row r="2998" spans="2:5" x14ac:dyDescent="0.2">
      <c r="B2998" t="s">
        <v>4746</v>
      </c>
      <c r="C2998">
        <v>532521</v>
      </c>
      <c r="D2998" t="s">
        <v>4747</v>
      </c>
      <c r="E2998" t="s">
        <v>459</v>
      </c>
    </row>
    <row r="2999" spans="2:5" x14ac:dyDescent="0.2">
      <c r="B2999" t="s">
        <v>4748</v>
      </c>
      <c r="C2999">
        <v>511597</v>
      </c>
      <c r="D2999" t="s">
        <v>366</v>
      </c>
      <c r="E2999" t="s">
        <v>383</v>
      </c>
    </row>
    <row r="3000" spans="2:5" x14ac:dyDescent="0.2">
      <c r="B3000" t="s">
        <v>4749</v>
      </c>
      <c r="C3000">
        <v>517397</v>
      </c>
      <c r="D3000" t="s">
        <v>366</v>
      </c>
      <c r="E3000" t="s">
        <v>908</v>
      </c>
    </row>
    <row r="3001" spans="2:5" x14ac:dyDescent="0.2">
      <c r="B3001" t="s">
        <v>4750</v>
      </c>
      <c r="C3001">
        <v>517397</v>
      </c>
      <c r="D3001" t="s">
        <v>366</v>
      </c>
      <c r="E3001" t="s">
        <v>908</v>
      </c>
    </row>
    <row r="3002" spans="2:5" x14ac:dyDescent="0.2">
      <c r="B3002" t="s">
        <v>4751</v>
      </c>
      <c r="C3002">
        <v>511525</v>
      </c>
      <c r="D3002" t="s">
        <v>366</v>
      </c>
      <c r="E3002" t="s">
        <v>459</v>
      </c>
    </row>
    <row r="3003" spans="2:5" x14ac:dyDescent="0.2">
      <c r="B3003" t="s">
        <v>4752</v>
      </c>
      <c r="C3003">
        <v>531349</v>
      </c>
      <c r="D3003" t="s">
        <v>4753</v>
      </c>
      <c r="E3003" t="s">
        <v>704</v>
      </c>
    </row>
    <row r="3004" spans="2:5" x14ac:dyDescent="0.2">
      <c r="B3004" t="s">
        <v>4754</v>
      </c>
      <c r="C3004" t="s">
        <v>366</v>
      </c>
      <c r="D3004" t="s">
        <v>4755</v>
      </c>
      <c r="E3004" t="s">
        <v>377</v>
      </c>
    </row>
    <row r="3005" spans="2:5" x14ac:dyDescent="0.2">
      <c r="B3005" t="s">
        <v>4756</v>
      </c>
      <c r="C3005">
        <v>538742</v>
      </c>
      <c r="D3005" t="s">
        <v>366</v>
      </c>
      <c r="E3005" t="s">
        <v>388</v>
      </c>
    </row>
    <row r="3006" spans="2:5" x14ac:dyDescent="0.2">
      <c r="B3006" t="s">
        <v>4757</v>
      </c>
      <c r="C3006">
        <v>538860</v>
      </c>
      <c r="D3006" t="s">
        <v>366</v>
      </c>
      <c r="E3006" t="s">
        <v>383</v>
      </c>
    </row>
    <row r="3007" spans="2:5" x14ac:dyDescent="0.2">
      <c r="B3007" t="s">
        <v>4758</v>
      </c>
      <c r="C3007">
        <v>524820</v>
      </c>
      <c r="D3007" t="s">
        <v>4759</v>
      </c>
      <c r="E3007" t="s">
        <v>576</v>
      </c>
    </row>
    <row r="3008" spans="2:5" x14ac:dyDescent="0.2">
      <c r="B3008" t="s">
        <v>4760</v>
      </c>
      <c r="C3008">
        <v>508941</v>
      </c>
      <c r="D3008" t="s">
        <v>366</v>
      </c>
      <c r="E3008" t="s">
        <v>551</v>
      </c>
    </row>
    <row r="3009" spans="2:5" x14ac:dyDescent="0.2">
      <c r="B3009" t="s">
        <v>4761</v>
      </c>
      <c r="C3009">
        <v>504093</v>
      </c>
      <c r="D3009" t="s">
        <v>366</v>
      </c>
      <c r="E3009" t="s">
        <v>912</v>
      </c>
    </row>
    <row r="3010" spans="2:5" x14ac:dyDescent="0.2">
      <c r="B3010" t="s">
        <v>4762</v>
      </c>
      <c r="C3010">
        <v>513511</v>
      </c>
      <c r="D3010" t="s">
        <v>366</v>
      </c>
      <c r="E3010" t="s">
        <v>398</v>
      </c>
    </row>
    <row r="3011" spans="2:5" x14ac:dyDescent="0.2">
      <c r="B3011" t="s">
        <v>4763</v>
      </c>
      <c r="C3011">
        <v>531726</v>
      </c>
      <c r="D3011" t="s">
        <v>366</v>
      </c>
      <c r="E3011" t="s">
        <v>404</v>
      </c>
    </row>
    <row r="3012" spans="2:5" x14ac:dyDescent="0.2">
      <c r="B3012" t="s">
        <v>4764</v>
      </c>
      <c r="C3012">
        <v>506122</v>
      </c>
      <c r="D3012" t="s">
        <v>366</v>
      </c>
      <c r="E3012" t="s">
        <v>721</v>
      </c>
    </row>
    <row r="3013" spans="2:5" x14ac:dyDescent="0.2">
      <c r="B3013" t="s">
        <v>4765</v>
      </c>
      <c r="C3013">
        <v>531280</v>
      </c>
      <c r="D3013" t="s">
        <v>366</v>
      </c>
      <c r="E3013" t="s">
        <v>561</v>
      </c>
    </row>
    <row r="3014" spans="2:5" x14ac:dyDescent="0.2">
      <c r="B3014" t="s">
        <v>4766</v>
      </c>
      <c r="C3014">
        <v>534796</v>
      </c>
      <c r="D3014" t="s">
        <v>366</v>
      </c>
      <c r="E3014" t="s">
        <v>486</v>
      </c>
    </row>
    <row r="3015" spans="2:5" x14ac:dyDescent="0.2">
      <c r="B3015" t="s">
        <v>4767</v>
      </c>
      <c r="C3015" t="s">
        <v>366</v>
      </c>
      <c r="D3015" t="s">
        <v>4768</v>
      </c>
      <c r="E3015" t="s">
        <v>377</v>
      </c>
    </row>
    <row r="3016" spans="2:5" x14ac:dyDescent="0.2">
      <c r="B3016" t="s">
        <v>4769</v>
      </c>
      <c r="C3016">
        <v>539143</v>
      </c>
      <c r="D3016" t="s">
        <v>366</v>
      </c>
      <c r="E3016" t="s">
        <v>355</v>
      </c>
    </row>
    <row r="3017" spans="2:5" x14ac:dyDescent="0.2">
      <c r="B3017" t="s">
        <v>4770</v>
      </c>
      <c r="C3017">
        <v>500322</v>
      </c>
      <c r="D3017" t="s">
        <v>366</v>
      </c>
      <c r="E3017" t="s">
        <v>379</v>
      </c>
    </row>
    <row r="3018" spans="2:5" x14ac:dyDescent="0.2">
      <c r="B3018" t="s">
        <v>4771</v>
      </c>
      <c r="C3018">
        <v>513359</v>
      </c>
      <c r="D3018" t="s">
        <v>4772</v>
      </c>
      <c r="E3018" t="s">
        <v>643</v>
      </c>
    </row>
    <row r="3019" spans="2:5" x14ac:dyDescent="0.2">
      <c r="B3019" t="s">
        <v>4773</v>
      </c>
      <c r="C3019">
        <v>533211</v>
      </c>
      <c r="D3019" t="s">
        <v>4774</v>
      </c>
      <c r="E3019" t="s">
        <v>404</v>
      </c>
    </row>
    <row r="3020" spans="2:5" x14ac:dyDescent="0.2">
      <c r="B3020" t="s">
        <v>4775</v>
      </c>
      <c r="C3020">
        <v>539889</v>
      </c>
      <c r="D3020" t="s">
        <v>4776</v>
      </c>
      <c r="E3020" t="s">
        <v>426</v>
      </c>
    </row>
    <row r="3021" spans="2:5" x14ac:dyDescent="0.2">
      <c r="B3021" t="s">
        <v>4777</v>
      </c>
      <c r="C3021">
        <v>531255</v>
      </c>
      <c r="D3021" t="s">
        <v>366</v>
      </c>
      <c r="E3021" t="s">
        <v>383</v>
      </c>
    </row>
    <row r="3022" spans="2:5" x14ac:dyDescent="0.2">
      <c r="B3022" t="s">
        <v>4778</v>
      </c>
      <c r="C3022">
        <v>530555</v>
      </c>
      <c r="D3022" t="s">
        <v>4779</v>
      </c>
      <c r="E3022" t="s">
        <v>664</v>
      </c>
    </row>
    <row r="3023" spans="2:5" x14ac:dyDescent="0.2">
      <c r="B3023" t="s">
        <v>4780</v>
      </c>
      <c r="C3023">
        <v>507970</v>
      </c>
      <c r="D3023" t="s">
        <v>366</v>
      </c>
      <c r="E3023" t="s">
        <v>548</v>
      </c>
    </row>
    <row r="3024" spans="2:5" x14ac:dyDescent="0.2">
      <c r="B3024" t="s">
        <v>4781</v>
      </c>
      <c r="C3024">
        <v>507970</v>
      </c>
      <c r="D3024" t="s">
        <v>366</v>
      </c>
      <c r="E3024" t="s">
        <v>548</v>
      </c>
    </row>
    <row r="3025" spans="2:5" x14ac:dyDescent="0.2">
      <c r="B3025" t="s">
        <v>4782</v>
      </c>
      <c r="C3025">
        <v>524689</v>
      </c>
      <c r="D3025" t="s">
        <v>4783</v>
      </c>
      <c r="E3025" t="s">
        <v>404</v>
      </c>
    </row>
    <row r="3026" spans="2:5" x14ac:dyDescent="0.2">
      <c r="B3026" t="s">
        <v>4784</v>
      </c>
      <c r="C3026">
        <v>524689</v>
      </c>
      <c r="D3026" t="s">
        <v>4783</v>
      </c>
      <c r="E3026" t="s">
        <v>404</v>
      </c>
    </row>
    <row r="3027" spans="2:5" x14ac:dyDescent="0.2">
      <c r="B3027" t="s">
        <v>4785</v>
      </c>
      <c r="C3027">
        <v>539481</v>
      </c>
      <c r="D3027" t="s">
        <v>366</v>
      </c>
      <c r="E3027" t="s">
        <v>383</v>
      </c>
    </row>
    <row r="3028" spans="2:5" x14ac:dyDescent="0.2">
      <c r="B3028" t="s">
        <v>4786</v>
      </c>
      <c r="C3028" t="s">
        <v>366</v>
      </c>
      <c r="D3028" t="s">
        <v>4787</v>
      </c>
      <c r="E3028" t="s">
        <v>377</v>
      </c>
    </row>
    <row r="3029" spans="2:5" x14ac:dyDescent="0.2">
      <c r="B3029" t="s">
        <v>4788</v>
      </c>
      <c r="C3029">
        <v>524628</v>
      </c>
      <c r="D3029" t="s">
        <v>366</v>
      </c>
      <c r="E3029" t="s">
        <v>388</v>
      </c>
    </row>
    <row r="3030" spans="2:5" x14ac:dyDescent="0.2">
      <c r="B3030" t="s">
        <v>4789</v>
      </c>
      <c r="C3030">
        <v>532911</v>
      </c>
      <c r="D3030" t="s">
        <v>366</v>
      </c>
      <c r="E3030" t="s">
        <v>452</v>
      </c>
    </row>
    <row r="3031" spans="2:5" x14ac:dyDescent="0.2">
      <c r="B3031" t="s">
        <v>4790</v>
      </c>
      <c r="C3031">
        <v>540359</v>
      </c>
      <c r="D3031" t="s">
        <v>366</v>
      </c>
      <c r="E3031" t="s">
        <v>404</v>
      </c>
    </row>
    <row r="3032" spans="2:5" x14ac:dyDescent="0.2">
      <c r="B3032" t="s">
        <v>4791</v>
      </c>
      <c r="C3032">
        <v>540467</v>
      </c>
      <c r="D3032" t="s">
        <v>366</v>
      </c>
      <c r="E3032" t="s">
        <v>480</v>
      </c>
    </row>
    <row r="3033" spans="2:5" x14ac:dyDescent="0.2">
      <c r="B3033" t="s">
        <v>4792</v>
      </c>
      <c r="C3033">
        <v>780017</v>
      </c>
      <c r="D3033" t="s">
        <v>366</v>
      </c>
      <c r="E3033" t="s">
        <v>457</v>
      </c>
    </row>
    <row r="3034" spans="2:5" x14ac:dyDescent="0.2">
      <c r="B3034" t="s">
        <v>4793</v>
      </c>
      <c r="C3034">
        <v>506128</v>
      </c>
      <c r="D3034" t="s">
        <v>366</v>
      </c>
      <c r="E3034" t="s">
        <v>404</v>
      </c>
    </row>
    <row r="3035" spans="2:5" x14ac:dyDescent="0.2">
      <c r="B3035" t="s">
        <v>4794</v>
      </c>
      <c r="C3035">
        <v>511702</v>
      </c>
      <c r="D3035" t="s">
        <v>366</v>
      </c>
      <c r="E3035" t="s">
        <v>383</v>
      </c>
    </row>
    <row r="3036" spans="2:5" x14ac:dyDescent="0.2">
      <c r="B3036" t="s">
        <v>4795</v>
      </c>
      <c r="C3036">
        <v>511176</v>
      </c>
      <c r="D3036" t="s">
        <v>366</v>
      </c>
      <c r="E3036" t="s">
        <v>452</v>
      </c>
    </row>
    <row r="3037" spans="2:5" x14ac:dyDescent="0.2">
      <c r="B3037" t="s">
        <v>4796</v>
      </c>
      <c r="C3037">
        <v>532780</v>
      </c>
      <c r="D3037" t="s">
        <v>4797</v>
      </c>
      <c r="E3037" t="s">
        <v>452</v>
      </c>
    </row>
    <row r="3038" spans="2:5" x14ac:dyDescent="0.2">
      <c r="B3038" t="s">
        <v>4798</v>
      </c>
      <c r="C3038">
        <v>526349</v>
      </c>
      <c r="D3038" t="s">
        <v>366</v>
      </c>
      <c r="E3038" t="s">
        <v>721</v>
      </c>
    </row>
    <row r="3039" spans="2:5" x14ac:dyDescent="0.2">
      <c r="B3039" t="s">
        <v>4799</v>
      </c>
      <c r="C3039">
        <v>541347</v>
      </c>
      <c r="D3039" t="s">
        <v>366</v>
      </c>
      <c r="E3039" t="s">
        <v>1065</v>
      </c>
    </row>
    <row r="3040" spans="2:5" x14ac:dyDescent="0.2">
      <c r="B3040" t="s">
        <v>4800</v>
      </c>
      <c r="C3040">
        <v>521080</v>
      </c>
      <c r="D3040" t="s">
        <v>366</v>
      </c>
      <c r="E3040" t="s">
        <v>381</v>
      </c>
    </row>
    <row r="3041" spans="2:5" x14ac:dyDescent="0.2">
      <c r="B3041" t="s">
        <v>4801</v>
      </c>
      <c r="C3041" t="s">
        <v>366</v>
      </c>
      <c r="D3041" t="s">
        <v>4802</v>
      </c>
      <c r="E3041" t="s">
        <v>377</v>
      </c>
    </row>
    <row r="3042" spans="2:5" x14ac:dyDescent="0.2">
      <c r="B3042" t="s">
        <v>4803</v>
      </c>
      <c r="C3042">
        <v>500456</v>
      </c>
      <c r="D3042" t="s">
        <v>366</v>
      </c>
      <c r="E3042" t="s">
        <v>743</v>
      </c>
    </row>
    <row r="3043" spans="2:5" x14ac:dyDescent="0.2">
      <c r="B3043" t="s">
        <v>4804</v>
      </c>
      <c r="C3043">
        <v>511734</v>
      </c>
      <c r="D3043" t="s">
        <v>366</v>
      </c>
      <c r="E3043" t="s">
        <v>383</v>
      </c>
    </row>
    <row r="3044" spans="2:5" x14ac:dyDescent="0.2">
      <c r="B3044" t="s">
        <v>4805</v>
      </c>
      <c r="C3044">
        <v>503092</v>
      </c>
      <c r="D3044" t="s">
        <v>366</v>
      </c>
      <c r="E3044" t="s">
        <v>381</v>
      </c>
    </row>
    <row r="3045" spans="2:5" x14ac:dyDescent="0.2">
      <c r="B3045" t="s">
        <v>4806</v>
      </c>
      <c r="C3045">
        <v>539401</v>
      </c>
      <c r="D3045" t="s">
        <v>366</v>
      </c>
      <c r="E3045" t="s">
        <v>480</v>
      </c>
    </row>
    <row r="3046" spans="2:5" x14ac:dyDescent="0.2">
      <c r="B3046" t="s">
        <v>4807</v>
      </c>
      <c r="C3046">
        <v>531120</v>
      </c>
      <c r="D3046" t="s">
        <v>4808</v>
      </c>
      <c r="E3046" t="s">
        <v>764</v>
      </c>
    </row>
    <row r="3047" spans="2:5" x14ac:dyDescent="0.2">
      <c r="B3047" t="s">
        <v>4809</v>
      </c>
      <c r="C3047">
        <v>526381</v>
      </c>
      <c r="D3047" t="s">
        <v>4810</v>
      </c>
      <c r="E3047" t="s">
        <v>438</v>
      </c>
    </row>
    <row r="3048" spans="2:5" x14ac:dyDescent="0.2">
      <c r="B3048" t="s">
        <v>4811</v>
      </c>
      <c r="C3048">
        <v>517417</v>
      </c>
      <c r="D3048" t="s">
        <v>366</v>
      </c>
      <c r="E3048" t="s">
        <v>374</v>
      </c>
    </row>
    <row r="3049" spans="2:5" x14ac:dyDescent="0.2">
      <c r="B3049" t="s">
        <v>4812</v>
      </c>
      <c r="C3049">
        <v>517417</v>
      </c>
      <c r="D3049" t="s">
        <v>366</v>
      </c>
      <c r="E3049" t="s">
        <v>374</v>
      </c>
    </row>
    <row r="3050" spans="2:5" x14ac:dyDescent="0.2">
      <c r="B3050" t="s">
        <v>4813</v>
      </c>
      <c r="C3050">
        <v>524031</v>
      </c>
      <c r="D3050" t="s">
        <v>366</v>
      </c>
      <c r="E3050" t="s">
        <v>452</v>
      </c>
    </row>
    <row r="3051" spans="2:5" x14ac:dyDescent="0.2">
      <c r="B3051" t="s">
        <v>4814</v>
      </c>
      <c r="C3051">
        <v>514326</v>
      </c>
      <c r="D3051" t="s">
        <v>4815</v>
      </c>
      <c r="E3051" t="s">
        <v>381</v>
      </c>
    </row>
    <row r="3052" spans="2:5" x14ac:dyDescent="0.2">
      <c r="B3052" t="s">
        <v>4816</v>
      </c>
      <c r="C3052">
        <v>514326</v>
      </c>
      <c r="D3052" t="s">
        <v>4815</v>
      </c>
      <c r="E3052" t="s">
        <v>381</v>
      </c>
    </row>
    <row r="3053" spans="2:5" x14ac:dyDescent="0.2">
      <c r="B3053" t="s">
        <v>4817</v>
      </c>
      <c r="C3053">
        <v>539113</v>
      </c>
      <c r="D3053" t="s">
        <v>366</v>
      </c>
      <c r="E3053" t="s">
        <v>383</v>
      </c>
    </row>
    <row r="3054" spans="2:5" x14ac:dyDescent="0.2">
      <c r="B3054" t="s">
        <v>4818</v>
      </c>
      <c r="C3054">
        <v>532742</v>
      </c>
      <c r="D3054" t="s">
        <v>366</v>
      </c>
      <c r="E3054" t="s">
        <v>526</v>
      </c>
    </row>
    <row r="3055" spans="2:5" x14ac:dyDescent="0.2">
      <c r="B3055" t="s">
        <v>4819</v>
      </c>
      <c r="C3055">
        <v>535658</v>
      </c>
      <c r="D3055" t="s">
        <v>366</v>
      </c>
      <c r="E3055" t="s">
        <v>383</v>
      </c>
    </row>
    <row r="3056" spans="2:5" x14ac:dyDescent="0.2">
      <c r="B3056" t="s">
        <v>4820</v>
      </c>
      <c r="C3056">
        <v>532676</v>
      </c>
      <c r="D3056" t="s">
        <v>4821</v>
      </c>
      <c r="E3056" t="s">
        <v>764</v>
      </c>
    </row>
    <row r="3057" spans="2:5" x14ac:dyDescent="0.2">
      <c r="B3057" t="s">
        <v>4822</v>
      </c>
      <c r="C3057">
        <v>514087</v>
      </c>
      <c r="D3057" t="s">
        <v>366</v>
      </c>
      <c r="E3057" t="s">
        <v>381</v>
      </c>
    </row>
    <row r="3058" spans="2:5" x14ac:dyDescent="0.2">
      <c r="B3058" t="s">
        <v>4823</v>
      </c>
      <c r="C3058">
        <v>534809</v>
      </c>
      <c r="D3058" t="s">
        <v>4824</v>
      </c>
      <c r="E3058" t="s">
        <v>480</v>
      </c>
    </row>
    <row r="3059" spans="2:5" x14ac:dyDescent="0.2">
      <c r="B3059" t="s">
        <v>4825</v>
      </c>
      <c r="C3059">
        <v>517119</v>
      </c>
      <c r="D3059" t="s">
        <v>366</v>
      </c>
      <c r="E3059" t="s">
        <v>691</v>
      </c>
    </row>
    <row r="3060" spans="2:5" x14ac:dyDescent="0.2">
      <c r="B3060" t="s">
        <v>4826</v>
      </c>
      <c r="C3060">
        <v>538730</v>
      </c>
      <c r="D3060" t="s">
        <v>4827</v>
      </c>
      <c r="E3060" t="s">
        <v>388</v>
      </c>
    </row>
    <row r="3061" spans="2:5" x14ac:dyDescent="0.2">
      <c r="B3061" t="s">
        <v>4828</v>
      </c>
      <c r="C3061">
        <v>532808</v>
      </c>
      <c r="D3061" t="s">
        <v>4829</v>
      </c>
      <c r="E3061" t="s">
        <v>480</v>
      </c>
    </row>
    <row r="3062" spans="2:5" x14ac:dyDescent="0.2">
      <c r="B3062" t="s">
        <v>4830</v>
      </c>
      <c r="C3062">
        <v>523260</v>
      </c>
      <c r="D3062" t="s">
        <v>4831</v>
      </c>
      <c r="E3062" t="s">
        <v>561</v>
      </c>
    </row>
    <row r="3063" spans="2:5" x14ac:dyDescent="0.2">
      <c r="B3063" t="s">
        <v>4832</v>
      </c>
      <c r="C3063">
        <v>539273</v>
      </c>
      <c r="D3063" t="s">
        <v>366</v>
      </c>
      <c r="E3063" t="s">
        <v>855</v>
      </c>
    </row>
    <row r="3064" spans="2:5" x14ac:dyDescent="0.2">
      <c r="B3064" t="s">
        <v>4833</v>
      </c>
      <c r="C3064">
        <v>524136</v>
      </c>
      <c r="D3064" t="s">
        <v>366</v>
      </c>
      <c r="E3064" t="s">
        <v>2181</v>
      </c>
    </row>
    <row r="3065" spans="2:5" x14ac:dyDescent="0.2">
      <c r="B3065" t="s">
        <v>4834</v>
      </c>
      <c r="C3065">
        <v>531352</v>
      </c>
      <c r="D3065" t="s">
        <v>366</v>
      </c>
      <c r="E3065" t="s">
        <v>381</v>
      </c>
    </row>
    <row r="3066" spans="2:5" x14ac:dyDescent="0.2">
      <c r="B3066" t="s">
        <v>4835</v>
      </c>
      <c r="C3066">
        <v>503031</v>
      </c>
      <c r="D3066" t="s">
        <v>4836</v>
      </c>
      <c r="E3066" t="s">
        <v>452</v>
      </c>
    </row>
    <row r="3067" spans="2:5" x14ac:dyDescent="0.2">
      <c r="B3067" t="s">
        <v>4837</v>
      </c>
      <c r="C3067">
        <v>539333</v>
      </c>
      <c r="D3067" t="s">
        <v>4838</v>
      </c>
      <c r="E3067" t="s">
        <v>452</v>
      </c>
    </row>
    <row r="3068" spans="2:5" x14ac:dyDescent="0.2">
      <c r="B3068" t="s">
        <v>4839</v>
      </c>
      <c r="C3068">
        <v>513228</v>
      </c>
      <c r="D3068" t="s">
        <v>4840</v>
      </c>
      <c r="E3068" t="s">
        <v>398</v>
      </c>
    </row>
    <row r="3069" spans="2:5" x14ac:dyDescent="0.2">
      <c r="B3069" t="s">
        <v>4841</v>
      </c>
      <c r="C3069" t="s">
        <v>366</v>
      </c>
      <c r="D3069" t="s">
        <v>4842</v>
      </c>
      <c r="E3069" t="s">
        <v>377</v>
      </c>
    </row>
    <row r="3070" spans="2:5" x14ac:dyDescent="0.2">
      <c r="B3070" t="s">
        <v>4843</v>
      </c>
      <c r="C3070">
        <v>500329</v>
      </c>
      <c r="D3070" t="s">
        <v>366</v>
      </c>
      <c r="E3070" t="s">
        <v>369</v>
      </c>
    </row>
    <row r="3071" spans="2:5" x14ac:dyDescent="0.2">
      <c r="B3071" t="s">
        <v>4844</v>
      </c>
      <c r="C3071">
        <v>524210</v>
      </c>
      <c r="D3071" t="s">
        <v>366</v>
      </c>
      <c r="E3071" t="s">
        <v>414</v>
      </c>
    </row>
    <row r="3072" spans="2:5" x14ac:dyDescent="0.2">
      <c r="B3072" t="s">
        <v>4845</v>
      </c>
      <c r="C3072">
        <v>524210</v>
      </c>
      <c r="D3072" t="s">
        <v>366</v>
      </c>
      <c r="E3072" t="s">
        <v>414</v>
      </c>
    </row>
    <row r="3073" spans="2:5" x14ac:dyDescent="0.2">
      <c r="B3073" t="s">
        <v>4846</v>
      </c>
      <c r="C3073">
        <v>501144</v>
      </c>
      <c r="D3073" t="s">
        <v>366</v>
      </c>
      <c r="E3073" t="s">
        <v>787</v>
      </c>
    </row>
    <row r="3074" spans="2:5" x14ac:dyDescent="0.2">
      <c r="B3074" t="s">
        <v>4847</v>
      </c>
      <c r="C3074" t="s">
        <v>366</v>
      </c>
      <c r="D3074" t="s">
        <v>4848</v>
      </c>
      <c r="E3074" t="s">
        <v>377</v>
      </c>
    </row>
    <row r="3075" spans="2:5" x14ac:dyDescent="0.2">
      <c r="B3075" t="s">
        <v>4849</v>
      </c>
      <c r="C3075">
        <v>521062</v>
      </c>
      <c r="D3075" t="s">
        <v>366</v>
      </c>
      <c r="E3075" t="s">
        <v>1103</v>
      </c>
    </row>
    <row r="3076" spans="2:5" x14ac:dyDescent="0.2">
      <c r="B3076" t="s">
        <v>4850</v>
      </c>
      <c r="C3076">
        <v>526435</v>
      </c>
      <c r="D3076" t="s">
        <v>366</v>
      </c>
      <c r="E3076" t="s">
        <v>360</v>
      </c>
    </row>
    <row r="3077" spans="2:5" x14ac:dyDescent="0.2">
      <c r="B3077" t="s">
        <v>4851</v>
      </c>
      <c r="C3077">
        <v>504132</v>
      </c>
      <c r="D3077" t="s">
        <v>366</v>
      </c>
      <c r="E3077" t="s">
        <v>551</v>
      </c>
    </row>
    <row r="3078" spans="2:5" x14ac:dyDescent="0.2">
      <c r="B3078" t="s">
        <v>4852</v>
      </c>
      <c r="C3078">
        <v>533179</v>
      </c>
      <c r="D3078" t="s">
        <v>4853</v>
      </c>
      <c r="E3078" t="s">
        <v>352</v>
      </c>
    </row>
    <row r="3079" spans="2:5" x14ac:dyDescent="0.2">
      <c r="B3079" t="s">
        <v>4854</v>
      </c>
      <c r="C3079">
        <v>517172</v>
      </c>
      <c r="D3079" t="s">
        <v>366</v>
      </c>
      <c r="E3079" t="s">
        <v>908</v>
      </c>
    </row>
    <row r="3080" spans="2:5" x14ac:dyDescent="0.2">
      <c r="B3080" t="s">
        <v>4855</v>
      </c>
      <c r="C3080">
        <v>530381</v>
      </c>
      <c r="D3080" t="s">
        <v>4856</v>
      </c>
      <c r="E3080" t="s">
        <v>764</v>
      </c>
    </row>
    <row r="3081" spans="2:5" x14ac:dyDescent="0.2">
      <c r="B3081" t="s">
        <v>4857</v>
      </c>
      <c r="C3081">
        <v>532522</v>
      </c>
      <c r="D3081" t="s">
        <v>4858</v>
      </c>
      <c r="E3081" t="s">
        <v>576</v>
      </c>
    </row>
    <row r="3082" spans="2:5" x14ac:dyDescent="0.2">
      <c r="B3082" t="s">
        <v>4859</v>
      </c>
      <c r="C3082">
        <v>500680</v>
      </c>
      <c r="D3082" t="s">
        <v>4860</v>
      </c>
      <c r="E3082" t="s">
        <v>404</v>
      </c>
    </row>
    <row r="3083" spans="2:5" x14ac:dyDescent="0.2">
      <c r="B3083" t="s">
        <v>4861</v>
      </c>
      <c r="C3083">
        <v>531769</v>
      </c>
      <c r="D3083" t="s">
        <v>366</v>
      </c>
      <c r="E3083" t="s">
        <v>459</v>
      </c>
    </row>
    <row r="3084" spans="2:5" x14ac:dyDescent="0.2">
      <c r="B3084" t="s">
        <v>4862</v>
      </c>
      <c r="C3084">
        <v>533581</v>
      </c>
      <c r="D3084" t="s">
        <v>4863</v>
      </c>
      <c r="E3084" t="s">
        <v>735</v>
      </c>
    </row>
    <row r="3085" spans="2:5" x14ac:dyDescent="0.2">
      <c r="B3085" t="s">
        <v>4864</v>
      </c>
      <c r="C3085">
        <v>526747</v>
      </c>
      <c r="D3085" t="s">
        <v>366</v>
      </c>
      <c r="E3085" t="s">
        <v>671</v>
      </c>
    </row>
    <row r="3086" spans="2:5" x14ac:dyDescent="0.2">
      <c r="B3086" t="s">
        <v>4865</v>
      </c>
      <c r="C3086">
        <v>531281</v>
      </c>
      <c r="D3086" t="s">
        <v>366</v>
      </c>
      <c r="E3086" t="s">
        <v>894</v>
      </c>
    </row>
    <row r="3087" spans="2:5" x14ac:dyDescent="0.2">
      <c r="B3087" t="s">
        <v>4866</v>
      </c>
      <c r="C3087">
        <v>500143</v>
      </c>
      <c r="D3087" t="s">
        <v>366</v>
      </c>
      <c r="E3087" t="s">
        <v>388</v>
      </c>
    </row>
    <row r="3088" spans="2:5" x14ac:dyDescent="0.2">
      <c r="B3088" t="s">
        <v>4867</v>
      </c>
      <c r="C3088">
        <v>512026</v>
      </c>
      <c r="D3088" t="s">
        <v>366</v>
      </c>
      <c r="E3088" t="s">
        <v>388</v>
      </c>
    </row>
    <row r="3089" spans="2:5" x14ac:dyDescent="0.2">
      <c r="B3089" t="s">
        <v>4868</v>
      </c>
      <c r="C3089">
        <v>523620</v>
      </c>
      <c r="D3089" t="s">
        <v>366</v>
      </c>
      <c r="E3089" t="s">
        <v>404</v>
      </c>
    </row>
    <row r="3090" spans="2:5" x14ac:dyDescent="0.2">
      <c r="B3090" t="s">
        <v>4869</v>
      </c>
      <c r="C3090">
        <v>506590</v>
      </c>
      <c r="D3090" t="s">
        <v>4870</v>
      </c>
      <c r="E3090" t="s">
        <v>4871</v>
      </c>
    </row>
    <row r="3091" spans="2:5" x14ac:dyDescent="0.2">
      <c r="B3091" t="s">
        <v>4872</v>
      </c>
      <c r="C3091">
        <v>526481</v>
      </c>
      <c r="D3091" t="s">
        <v>366</v>
      </c>
      <c r="E3091" t="s">
        <v>480</v>
      </c>
    </row>
    <row r="3092" spans="2:5" x14ac:dyDescent="0.2">
      <c r="B3092" t="s">
        <v>4873</v>
      </c>
      <c r="C3092">
        <v>537839</v>
      </c>
      <c r="D3092" t="s">
        <v>366</v>
      </c>
      <c r="E3092" t="s">
        <v>567</v>
      </c>
    </row>
    <row r="3093" spans="2:5" x14ac:dyDescent="0.2">
      <c r="B3093" t="s">
        <v>4874</v>
      </c>
      <c r="C3093">
        <v>509084</v>
      </c>
      <c r="D3093" t="s">
        <v>366</v>
      </c>
      <c r="E3093" t="s">
        <v>787</v>
      </c>
    </row>
    <row r="3094" spans="2:5" x14ac:dyDescent="0.2">
      <c r="B3094" t="s">
        <v>4875</v>
      </c>
      <c r="C3094">
        <v>526588</v>
      </c>
      <c r="D3094" t="s">
        <v>366</v>
      </c>
      <c r="E3094" t="s">
        <v>1602</v>
      </c>
    </row>
    <row r="3095" spans="2:5" x14ac:dyDescent="0.2">
      <c r="B3095" t="s">
        <v>4876</v>
      </c>
      <c r="C3095">
        <v>526588</v>
      </c>
      <c r="D3095" t="s">
        <v>366</v>
      </c>
      <c r="E3095" t="s">
        <v>1602</v>
      </c>
    </row>
    <row r="3096" spans="2:5" x14ac:dyDescent="0.2">
      <c r="B3096" t="s">
        <v>4877</v>
      </c>
      <c r="C3096">
        <v>524808</v>
      </c>
      <c r="D3096" t="s">
        <v>366</v>
      </c>
      <c r="E3096" t="s">
        <v>510</v>
      </c>
    </row>
    <row r="3097" spans="2:5" x14ac:dyDescent="0.2">
      <c r="B3097" t="s">
        <v>4878</v>
      </c>
      <c r="C3097">
        <v>524808</v>
      </c>
      <c r="D3097" t="s">
        <v>366</v>
      </c>
      <c r="E3097" t="s">
        <v>510</v>
      </c>
    </row>
    <row r="3098" spans="2:5" x14ac:dyDescent="0.2">
      <c r="B3098" t="s">
        <v>4879</v>
      </c>
      <c r="C3098">
        <v>523642</v>
      </c>
      <c r="D3098" t="s">
        <v>4880</v>
      </c>
      <c r="E3098" t="s">
        <v>510</v>
      </c>
    </row>
    <row r="3099" spans="2:5" x14ac:dyDescent="0.2">
      <c r="B3099" t="s">
        <v>4881</v>
      </c>
      <c r="C3099">
        <v>530305</v>
      </c>
      <c r="D3099" t="s">
        <v>366</v>
      </c>
      <c r="E3099" t="s">
        <v>1065</v>
      </c>
    </row>
    <row r="3100" spans="2:5" x14ac:dyDescent="0.2">
      <c r="B3100" t="s">
        <v>4882</v>
      </c>
      <c r="C3100">
        <v>507498</v>
      </c>
      <c r="D3100" t="s">
        <v>366</v>
      </c>
      <c r="E3100" t="s">
        <v>1065</v>
      </c>
    </row>
    <row r="3101" spans="2:5" x14ac:dyDescent="0.2">
      <c r="B3101" t="s">
        <v>4883</v>
      </c>
      <c r="C3101">
        <v>532355</v>
      </c>
      <c r="D3101" t="s">
        <v>366</v>
      </c>
      <c r="E3101" t="s">
        <v>369</v>
      </c>
    </row>
    <row r="3102" spans="2:5" x14ac:dyDescent="0.2">
      <c r="B3102" t="s">
        <v>4884</v>
      </c>
      <c r="C3102">
        <v>500331</v>
      </c>
      <c r="D3102" t="s">
        <v>4885</v>
      </c>
      <c r="E3102" t="s">
        <v>526</v>
      </c>
    </row>
    <row r="3103" spans="2:5" x14ac:dyDescent="0.2">
      <c r="B3103" t="s">
        <v>4886</v>
      </c>
      <c r="C3103">
        <v>500327</v>
      </c>
      <c r="D3103" t="s">
        <v>4887</v>
      </c>
      <c r="E3103" t="s">
        <v>486</v>
      </c>
    </row>
    <row r="3104" spans="2:5" x14ac:dyDescent="0.2">
      <c r="B3104" t="s">
        <v>4888</v>
      </c>
      <c r="C3104">
        <v>539883</v>
      </c>
      <c r="D3104" t="s">
        <v>4889</v>
      </c>
      <c r="E3104" t="s">
        <v>532</v>
      </c>
    </row>
    <row r="3105" spans="2:5" x14ac:dyDescent="0.2">
      <c r="B3105" t="s">
        <v>4890</v>
      </c>
      <c r="C3105">
        <v>519439</v>
      </c>
      <c r="D3105" t="s">
        <v>366</v>
      </c>
      <c r="E3105" t="s">
        <v>615</v>
      </c>
    </row>
    <row r="3106" spans="2:5" x14ac:dyDescent="0.2">
      <c r="B3106" t="s">
        <v>4891</v>
      </c>
      <c r="C3106">
        <v>531879</v>
      </c>
      <c r="D3106" t="s">
        <v>4892</v>
      </c>
      <c r="E3106" t="s">
        <v>998</v>
      </c>
    </row>
    <row r="3107" spans="2:5" x14ac:dyDescent="0.2">
      <c r="B3107" t="s">
        <v>4893</v>
      </c>
      <c r="C3107">
        <v>514300</v>
      </c>
      <c r="D3107" t="s">
        <v>4894</v>
      </c>
      <c r="E3107" t="s">
        <v>381</v>
      </c>
    </row>
    <row r="3108" spans="2:5" x14ac:dyDescent="0.2">
      <c r="B3108" t="s">
        <v>4895</v>
      </c>
      <c r="C3108">
        <v>507864</v>
      </c>
      <c r="D3108" t="s">
        <v>366</v>
      </c>
      <c r="E3108" t="s">
        <v>349</v>
      </c>
    </row>
    <row r="3109" spans="2:5" x14ac:dyDescent="0.2">
      <c r="B3109" t="s">
        <v>4896</v>
      </c>
      <c r="C3109">
        <v>500302</v>
      </c>
      <c r="D3109" t="s">
        <v>4897</v>
      </c>
      <c r="E3109" t="s">
        <v>404</v>
      </c>
    </row>
    <row r="3110" spans="2:5" x14ac:dyDescent="0.2">
      <c r="B3110" t="s">
        <v>4898</v>
      </c>
      <c r="C3110">
        <v>532979</v>
      </c>
      <c r="D3110" t="s">
        <v>4899</v>
      </c>
      <c r="E3110" t="s">
        <v>404</v>
      </c>
    </row>
    <row r="3111" spans="2:5" x14ac:dyDescent="0.2">
      <c r="B3111" t="s">
        <v>4900</v>
      </c>
      <c r="C3111">
        <v>530683</v>
      </c>
      <c r="D3111" t="s">
        <v>366</v>
      </c>
      <c r="E3111" t="s">
        <v>561</v>
      </c>
    </row>
    <row r="3112" spans="2:5" x14ac:dyDescent="0.2">
      <c r="B3112" t="s">
        <v>4901</v>
      </c>
      <c r="C3112">
        <v>513519</v>
      </c>
      <c r="D3112" t="s">
        <v>4902</v>
      </c>
      <c r="E3112" t="s">
        <v>664</v>
      </c>
    </row>
    <row r="3113" spans="2:5" x14ac:dyDescent="0.2">
      <c r="B3113" t="s">
        <v>4903</v>
      </c>
      <c r="C3113">
        <v>500333</v>
      </c>
      <c r="D3113" t="s">
        <v>366</v>
      </c>
      <c r="E3113" t="s">
        <v>846</v>
      </c>
    </row>
    <row r="3114" spans="2:5" x14ac:dyDescent="0.2">
      <c r="B3114" t="s">
        <v>4904</v>
      </c>
      <c r="C3114">
        <v>523105</v>
      </c>
      <c r="D3114" t="s">
        <v>366</v>
      </c>
      <c r="E3114" t="s">
        <v>561</v>
      </c>
    </row>
    <row r="3115" spans="2:5" x14ac:dyDescent="0.2">
      <c r="B3115" t="s">
        <v>4905</v>
      </c>
      <c r="C3115">
        <v>523648</v>
      </c>
      <c r="D3115" t="s">
        <v>4906</v>
      </c>
      <c r="E3115" t="s">
        <v>526</v>
      </c>
    </row>
    <row r="3116" spans="2:5" x14ac:dyDescent="0.2">
      <c r="B3116" t="s">
        <v>4907</v>
      </c>
      <c r="C3116">
        <v>523648</v>
      </c>
      <c r="D3116" t="s">
        <v>4906</v>
      </c>
      <c r="E3116" t="s">
        <v>526</v>
      </c>
    </row>
    <row r="3117" spans="2:5" x14ac:dyDescent="0.2">
      <c r="B3117" t="s">
        <v>4908</v>
      </c>
      <c r="C3117">
        <v>534060</v>
      </c>
      <c r="D3117" t="s">
        <v>366</v>
      </c>
      <c r="E3117" t="s">
        <v>383</v>
      </c>
    </row>
    <row r="3118" spans="2:5" x14ac:dyDescent="0.2">
      <c r="B3118" t="s">
        <v>4909</v>
      </c>
      <c r="C3118">
        <v>532366</v>
      </c>
      <c r="D3118" t="s">
        <v>4910</v>
      </c>
      <c r="E3118" t="s">
        <v>383</v>
      </c>
    </row>
    <row r="3119" spans="2:5" x14ac:dyDescent="0.2">
      <c r="B3119" t="s">
        <v>4911</v>
      </c>
      <c r="C3119">
        <v>540173</v>
      </c>
      <c r="D3119" t="s">
        <v>4912</v>
      </c>
      <c r="E3119" t="s">
        <v>424</v>
      </c>
    </row>
    <row r="3120" spans="2:5" x14ac:dyDescent="0.2">
      <c r="B3120" t="s">
        <v>4913</v>
      </c>
      <c r="C3120">
        <v>539150</v>
      </c>
      <c r="D3120" t="s">
        <v>4914</v>
      </c>
      <c r="E3120" t="s">
        <v>961</v>
      </c>
    </row>
    <row r="3121" spans="2:5" x14ac:dyDescent="0.2">
      <c r="B3121" t="s">
        <v>4915</v>
      </c>
      <c r="C3121">
        <v>532803</v>
      </c>
      <c r="D3121" t="s">
        <v>4916</v>
      </c>
      <c r="E3121" t="s">
        <v>564</v>
      </c>
    </row>
    <row r="3122" spans="2:5" x14ac:dyDescent="0.2">
      <c r="B3122" t="s">
        <v>4917</v>
      </c>
      <c r="C3122">
        <v>539195</v>
      </c>
      <c r="D3122" t="s">
        <v>366</v>
      </c>
      <c r="E3122" t="s">
        <v>414</v>
      </c>
    </row>
    <row r="3123" spans="2:5" x14ac:dyDescent="0.2">
      <c r="B3123" t="s">
        <v>4918</v>
      </c>
      <c r="C3123">
        <v>523628</v>
      </c>
      <c r="D3123" t="s">
        <v>4919</v>
      </c>
      <c r="E3123" t="s">
        <v>452</v>
      </c>
    </row>
    <row r="3124" spans="2:5" x14ac:dyDescent="0.2">
      <c r="B3124" t="s">
        <v>4920</v>
      </c>
      <c r="C3124">
        <v>524570</v>
      </c>
      <c r="D3124" t="s">
        <v>4921</v>
      </c>
      <c r="E3124" t="s">
        <v>526</v>
      </c>
    </row>
    <row r="3125" spans="2:5" x14ac:dyDescent="0.2">
      <c r="B3125" t="s">
        <v>4922</v>
      </c>
      <c r="C3125">
        <v>532486</v>
      </c>
      <c r="D3125" t="s">
        <v>4923</v>
      </c>
      <c r="E3125" t="s">
        <v>894</v>
      </c>
    </row>
    <row r="3126" spans="2:5" x14ac:dyDescent="0.2">
      <c r="B3126" t="s">
        <v>4924</v>
      </c>
      <c r="C3126">
        <v>526687</v>
      </c>
      <c r="D3126" t="s">
        <v>366</v>
      </c>
      <c r="E3126" t="s">
        <v>567</v>
      </c>
    </row>
    <row r="3127" spans="2:5" x14ac:dyDescent="0.2">
      <c r="B3127" t="s">
        <v>4925</v>
      </c>
      <c r="C3127">
        <v>540717</v>
      </c>
      <c r="D3127" t="s">
        <v>366</v>
      </c>
      <c r="E3127" t="s">
        <v>388</v>
      </c>
    </row>
    <row r="3128" spans="2:5" x14ac:dyDescent="0.2">
      <c r="B3128" t="s">
        <v>4926</v>
      </c>
      <c r="C3128">
        <v>507645</v>
      </c>
      <c r="D3128" t="s">
        <v>366</v>
      </c>
      <c r="E3128" t="s">
        <v>526</v>
      </c>
    </row>
    <row r="3129" spans="2:5" x14ac:dyDescent="0.2">
      <c r="B3129" t="s">
        <v>4927</v>
      </c>
      <c r="C3129">
        <v>531768</v>
      </c>
      <c r="D3129" t="s">
        <v>4928</v>
      </c>
      <c r="E3129" t="s">
        <v>1530</v>
      </c>
    </row>
    <row r="3130" spans="2:5" x14ac:dyDescent="0.2">
      <c r="B3130" t="s">
        <v>4929</v>
      </c>
      <c r="C3130">
        <v>542652</v>
      </c>
      <c r="D3130" t="s">
        <v>4930</v>
      </c>
      <c r="E3130" t="s">
        <v>664</v>
      </c>
    </row>
    <row r="3131" spans="2:5" x14ac:dyDescent="0.2">
      <c r="B3131" t="s">
        <v>4931</v>
      </c>
      <c r="C3131">
        <v>506605</v>
      </c>
      <c r="D3131" t="s">
        <v>366</v>
      </c>
      <c r="E3131" t="s">
        <v>414</v>
      </c>
    </row>
    <row r="3132" spans="2:5" x14ac:dyDescent="0.2">
      <c r="B3132" t="s">
        <v>4932</v>
      </c>
      <c r="C3132">
        <v>531397</v>
      </c>
      <c r="D3132" t="s">
        <v>366</v>
      </c>
      <c r="E3132" t="s">
        <v>561</v>
      </c>
    </row>
    <row r="3133" spans="2:5" x14ac:dyDescent="0.2">
      <c r="B3133" t="s">
        <v>4933</v>
      </c>
      <c r="C3133">
        <v>514486</v>
      </c>
      <c r="D3133" t="s">
        <v>366</v>
      </c>
      <c r="E3133" t="s">
        <v>381</v>
      </c>
    </row>
    <row r="3134" spans="2:5" x14ac:dyDescent="0.2">
      <c r="B3134" t="s">
        <v>4934</v>
      </c>
      <c r="C3134">
        <v>531454</v>
      </c>
      <c r="D3134" t="s">
        <v>366</v>
      </c>
      <c r="E3134" t="s">
        <v>743</v>
      </c>
    </row>
    <row r="3135" spans="2:5" x14ac:dyDescent="0.2">
      <c r="B3135" t="s">
        <v>4935</v>
      </c>
      <c r="C3135">
        <v>531454</v>
      </c>
      <c r="D3135" t="s">
        <v>366</v>
      </c>
      <c r="E3135" t="s">
        <v>743</v>
      </c>
    </row>
    <row r="3136" spans="2:5" x14ac:dyDescent="0.2">
      <c r="B3136" t="s">
        <v>4936</v>
      </c>
      <c r="C3136">
        <v>537573</v>
      </c>
      <c r="D3136" t="s">
        <v>366</v>
      </c>
      <c r="E3136" t="s">
        <v>486</v>
      </c>
    </row>
    <row r="3137" spans="2:5" x14ac:dyDescent="0.2">
      <c r="B3137" t="s">
        <v>4937</v>
      </c>
      <c r="C3137">
        <v>526043</v>
      </c>
      <c r="D3137" t="s">
        <v>366</v>
      </c>
      <c r="E3137" t="s">
        <v>374</v>
      </c>
    </row>
    <row r="3138" spans="2:5" x14ac:dyDescent="0.2">
      <c r="B3138" t="s">
        <v>4938</v>
      </c>
      <c r="C3138">
        <v>524051</v>
      </c>
      <c r="D3138" t="s">
        <v>4939</v>
      </c>
      <c r="E3138" t="s">
        <v>414</v>
      </c>
    </row>
    <row r="3139" spans="2:5" x14ac:dyDescent="0.2">
      <c r="B3139" t="s">
        <v>4940</v>
      </c>
      <c r="C3139">
        <v>539354</v>
      </c>
      <c r="D3139" t="s">
        <v>366</v>
      </c>
      <c r="E3139" t="s">
        <v>561</v>
      </c>
    </row>
    <row r="3140" spans="2:5" x14ac:dyDescent="0.2">
      <c r="B3140" t="s">
        <v>4941</v>
      </c>
      <c r="C3140">
        <v>512481</v>
      </c>
      <c r="D3140" t="s">
        <v>366</v>
      </c>
      <c r="E3140" t="s">
        <v>383</v>
      </c>
    </row>
    <row r="3141" spans="2:5" x14ac:dyDescent="0.2">
      <c r="B3141" t="s">
        <v>4942</v>
      </c>
      <c r="C3141">
        <v>512481</v>
      </c>
      <c r="D3141" t="s">
        <v>366</v>
      </c>
      <c r="E3141" t="s">
        <v>383</v>
      </c>
    </row>
    <row r="3142" spans="2:5" x14ac:dyDescent="0.2">
      <c r="B3142" t="s">
        <v>4943</v>
      </c>
      <c r="C3142">
        <v>532626</v>
      </c>
      <c r="D3142" t="s">
        <v>366</v>
      </c>
      <c r="E3142" t="s">
        <v>2609</v>
      </c>
    </row>
    <row r="3143" spans="2:5" x14ac:dyDescent="0.2">
      <c r="B3143" t="s">
        <v>4944</v>
      </c>
      <c r="C3143">
        <v>532460</v>
      </c>
      <c r="D3143" t="s">
        <v>4945</v>
      </c>
      <c r="E3143" t="s">
        <v>1065</v>
      </c>
    </row>
    <row r="3144" spans="2:5" x14ac:dyDescent="0.2">
      <c r="B3144" t="s">
        <v>4946</v>
      </c>
      <c r="C3144">
        <v>532011</v>
      </c>
      <c r="D3144" t="s">
        <v>366</v>
      </c>
      <c r="E3144" t="s">
        <v>369</v>
      </c>
    </row>
    <row r="3145" spans="2:5" x14ac:dyDescent="0.2">
      <c r="B3145" t="s">
        <v>4947</v>
      </c>
      <c r="C3145">
        <v>540727</v>
      </c>
      <c r="D3145" t="s">
        <v>366</v>
      </c>
      <c r="E3145" t="s">
        <v>1284</v>
      </c>
    </row>
    <row r="3146" spans="2:5" x14ac:dyDescent="0.2">
      <c r="B3146" t="s">
        <v>4948</v>
      </c>
      <c r="C3146">
        <v>519359</v>
      </c>
      <c r="D3146" t="s">
        <v>366</v>
      </c>
      <c r="E3146" t="s">
        <v>615</v>
      </c>
    </row>
    <row r="3147" spans="2:5" x14ac:dyDescent="0.2">
      <c r="B3147" t="s">
        <v>4949</v>
      </c>
      <c r="C3147">
        <v>531870</v>
      </c>
      <c r="D3147" t="s">
        <v>366</v>
      </c>
      <c r="E3147" t="s">
        <v>764</v>
      </c>
    </row>
    <row r="3148" spans="2:5" x14ac:dyDescent="0.2">
      <c r="B3148" t="s">
        <v>4950</v>
      </c>
      <c r="C3148">
        <v>532933</v>
      </c>
      <c r="D3148" t="s">
        <v>366</v>
      </c>
      <c r="E3148" t="s">
        <v>721</v>
      </c>
    </row>
    <row r="3149" spans="2:5" x14ac:dyDescent="0.2">
      <c r="B3149" t="s">
        <v>4951</v>
      </c>
      <c r="C3149" t="s">
        <v>366</v>
      </c>
      <c r="D3149" t="s">
        <v>4952</v>
      </c>
      <c r="E3149" t="s">
        <v>377</v>
      </c>
    </row>
    <row r="3150" spans="2:5" x14ac:dyDescent="0.2">
      <c r="B3150" t="s">
        <v>4953</v>
      </c>
      <c r="C3150">
        <v>532810</v>
      </c>
      <c r="D3150" t="s">
        <v>4954</v>
      </c>
      <c r="E3150" t="s">
        <v>383</v>
      </c>
    </row>
    <row r="3151" spans="2:5" x14ac:dyDescent="0.2">
      <c r="B3151" t="s">
        <v>4955</v>
      </c>
      <c r="C3151">
        <v>532898</v>
      </c>
      <c r="D3151" t="s">
        <v>4956</v>
      </c>
      <c r="E3151" t="s">
        <v>505</v>
      </c>
    </row>
    <row r="3152" spans="2:5" x14ac:dyDescent="0.2">
      <c r="B3152" t="s">
        <v>4957</v>
      </c>
      <c r="C3152">
        <v>532898</v>
      </c>
      <c r="D3152" t="s">
        <v>4956</v>
      </c>
      <c r="E3152" t="s">
        <v>505</v>
      </c>
    </row>
    <row r="3153" spans="2:5" x14ac:dyDescent="0.2">
      <c r="B3153" t="s">
        <v>4958</v>
      </c>
      <c r="C3153">
        <v>539302</v>
      </c>
      <c r="D3153" t="s">
        <v>4959</v>
      </c>
      <c r="E3153" t="s">
        <v>764</v>
      </c>
    </row>
    <row r="3154" spans="2:5" x14ac:dyDescent="0.2">
      <c r="B3154" t="s">
        <v>4960</v>
      </c>
      <c r="C3154" t="s">
        <v>366</v>
      </c>
      <c r="D3154" t="s">
        <v>4961</v>
      </c>
      <c r="E3154" t="s">
        <v>377</v>
      </c>
    </row>
    <row r="3155" spans="2:5" x14ac:dyDescent="0.2">
      <c r="B3155" t="s">
        <v>4962</v>
      </c>
      <c r="C3155">
        <v>538731</v>
      </c>
      <c r="D3155" t="s">
        <v>366</v>
      </c>
      <c r="E3155" t="s">
        <v>544</v>
      </c>
    </row>
    <row r="3156" spans="2:5" x14ac:dyDescent="0.2">
      <c r="B3156" t="s">
        <v>4963</v>
      </c>
      <c r="C3156">
        <v>532934</v>
      </c>
      <c r="D3156" t="s">
        <v>4964</v>
      </c>
      <c r="E3156" t="s">
        <v>721</v>
      </c>
    </row>
    <row r="3157" spans="2:5" x14ac:dyDescent="0.2">
      <c r="B3157" t="s">
        <v>4965</v>
      </c>
      <c r="C3157">
        <v>539351</v>
      </c>
      <c r="D3157" t="s">
        <v>4966</v>
      </c>
      <c r="E3157" t="s">
        <v>426</v>
      </c>
    </row>
    <row r="3158" spans="2:5" x14ac:dyDescent="0.2">
      <c r="B3158" t="s">
        <v>4967</v>
      </c>
      <c r="C3158">
        <v>540027</v>
      </c>
      <c r="D3158" t="s">
        <v>366</v>
      </c>
      <c r="E3158" t="s">
        <v>367</v>
      </c>
    </row>
    <row r="3159" spans="2:5" x14ac:dyDescent="0.2">
      <c r="B3159" t="s">
        <v>4968</v>
      </c>
      <c r="C3159">
        <v>540027</v>
      </c>
      <c r="D3159" t="s">
        <v>366</v>
      </c>
      <c r="E3159" t="s">
        <v>367</v>
      </c>
    </row>
    <row r="3160" spans="2:5" x14ac:dyDescent="0.2">
      <c r="B3160" t="s">
        <v>4969</v>
      </c>
      <c r="C3160">
        <v>531855</v>
      </c>
      <c r="D3160" t="s">
        <v>366</v>
      </c>
      <c r="E3160" t="s">
        <v>398</v>
      </c>
    </row>
    <row r="3161" spans="2:5" x14ac:dyDescent="0.2">
      <c r="B3161" t="s">
        <v>4970</v>
      </c>
      <c r="C3161">
        <v>506042</v>
      </c>
      <c r="D3161" t="s">
        <v>366</v>
      </c>
      <c r="E3161" t="s">
        <v>398</v>
      </c>
    </row>
    <row r="3162" spans="2:5" x14ac:dyDescent="0.2">
      <c r="B3162" t="s">
        <v>4971</v>
      </c>
      <c r="C3162">
        <v>513532</v>
      </c>
      <c r="D3162" t="s">
        <v>366</v>
      </c>
      <c r="E3162" t="s">
        <v>721</v>
      </c>
    </row>
    <row r="3163" spans="2:5" x14ac:dyDescent="0.2">
      <c r="B3163" t="s">
        <v>4972</v>
      </c>
      <c r="C3163">
        <v>530095</v>
      </c>
      <c r="D3163" t="s">
        <v>366</v>
      </c>
      <c r="E3163" t="s">
        <v>398</v>
      </c>
    </row>
    <row r="3164" spans="2:5" x14ac:dyDescent="0.2">
      <c r="B3164" t="s">
        <v>4973</v>
      </c>
      <c r="C3164">
        <v>533178</v>
      </c>
      <c r="D3164" t="s">
        <v>4974</v>
      </c>
      <c r="E3164" t="s">
        <v>381</v>
      </c>
    </row>
    <row r="3165" spans="2:5" x14ac:dyDescent="0.2">
      <c r="B3165" t="s">
        <v>4975</v>
      </c>
      <c r="C3165">
        <v>500192</v>
      </c>
      <c r="D3165" t="s">
        <v>366</v>
      </c>
      <c r="E3165" t="s">
        <v>381</v>
      </c>
    </row>
    <row r="3166" spans="2:5" x14ac:dyDescent="0.2">
      <c r="B3166" t="s">
        <v>4976</v>
      </c>
      <c r="C3166">
        <v>522205</v>
      </c>
      <c r="D3166" t="s">
        <v>4977</v>
      </c>
      <c r="E3166" t="s">
        <v>764</v>
      </c>
    </row>
    <row r="3167" spans="2:5" x14ac:dyDescent="0.2">
      <c r="B3167" t="s">
        <v>4978</v>
      </c>
      <c r="C3167">
        <v>531746</v>
      </c>
      <c r="D3167" t="s">
        <v>4979</v>
      </c>
      <c r="E3167" t="s">
        <v>452</v>
      </c>
    </row>
    <row r="3168" spans="2:5" x14ac:dyDescent="0.2">
      <c r="B3168" t="s">
        <v>4980</v>
      </c>
      <c r="C3168">
        <v>533605</v>
      </c>
      <c r="D3168" t="s">
        <v>4981</v>
      </c>
      <c r="E3168" t="s">
        <v>764</v>
      </c>
    </row>
    <row r="3169" spans="2:5" x14ac:dyDescent="0.2">
      <c r="B3169" t="s">
        <v>4982</v>
      </c>
      <c r="C3169">
        <v>506022</v>
      </c>
      <c r="D3169" t="s">
        <v>4983</v>
      </c>
      <c r="E3169" t="s">
        <v>398</v>
      </c>
    </row>
    <row r="3170" spans="2:5" x14ac:dyDescent="0.2">
      <c r="B3170" t="s">
        <v>4984</v>
      </c>
      <c r="C3170">
        <v>542684</v>
      </c>
      <c r="D3170" t="s">
        <v>4985</v>
      </c>
      <c r="E3170" t="s">
        <v>486</v>
      </c>
    </row>
    <row r="3171" spans="2:5" x14ac:dyDescent="0.2">
      <c r="B3171" t="s">
        <v>4986</v>
      </c>
      <c r="C3171">
        <v>533239</v>
      </c>
      <c r="D3171" t="s">
        <v>4987</v>
      </c>
      <c r="E3171" t="s">
        <v>764</v>
      </c>
    </row>
    <row r="3172" spans="2:5" x14ac:dyDescent="0.2">
      <c r="B3172" t="s">
        <v>4988</v>
      </c>
      <c r="C3172">
        <v>531437</v>
      </c>
      <c r="D3172" t="s">
        <v>366</v>
      </c>
      <c r="E3172" t="s">
        <v>381</v>
      </c>
    </row>
    <row r="3173" spans="2:5" x14ac:dyDescent="0.2">
      <c r="B3173" t="s">
        <v>4989</v>
      </c>
      <c r="C3173">
        <v>531172</v>
      </c>
      <c r="D3173" t="s">
        <v>366</v>
      </c>
      <c r="E3173" t="s">
        <v>381</v>
      </c>
    </row>
    <row r="3174" spans="2:5" x14ac:dyDescent="0.2">
      <c r="B3174" t="s">
        <v>4990</v>
      </c>
      <c r="C3174">
        <v>519014</v>
      </c>
      <c r="D3174" t="s">
        <v>366</v>
      </c>
      <c r="E3174" t="s">
        <v>381</v>
      </c>
    </row>
    <row r="3175" spans="2:5" x14ac:dyDescent="0.2">
      <c r="B3175" t="s">
        <v>4991</v>
      </c>
      <c r="C3175">
        <v>519014</v>
      </c>
      <c r="D3175" t="s">
        <v>366</v>
      </c>
      <c r="E3175" t="s">
        <v>381</v>
      </c>
    </row>
    <row r="3176" spans="2:5" x14ac:dyDescent="0.2">
      <c r="B3176" t="s">
        <v>4992</v>
      </c>
      <c r="C3176">
        <v>540724</v>
      </c>
      <c r="D3176" t="s">
        <v>4993</v>
      </c>
      <c r="E3176" t="s">
        <v>426</v>
      </c>
    </row>
    <row r="3177" spans="2:5" x14ac:dyDescent="0.2">
      <c r="B3177" t="s">
        <v>4994</v>
      </c>
      <c r="C3177">
        <v>526490</v>
      </c>
      <c r="D3177" t="s">
        <v>366</v>
      </c>
      <c r="E3177" t="s">
        <v>861</v>
      </c>
    </row>
    <row r="3178" spans="2:5" x14ac:dyDescent="0.2">
      <c r="B3178" t="s">
        <v>4995</v>
      </c>
      <c r="C3178">
        <v>531257</v>
      </c>
      <c r="D3178" t="s">
        <v>366</v>
      </c>
      <c r="E3178" t="s">
        <v>526</v>
      </c>
    </row>
    <row r="3179" spans="2:5" x14ac:dyDescent="0.2">
      <c r="B3179" t="s">
        <v>4996</v>
      </c>
      <c r="C3179">
        <v>540901</v>
      </c>
      <c r="D3179" t="s">
        <v>4997</v>
      </c>
      <c r="E3179" t="s">
        <v>367</v>
      </c>
    </row>
    <row r="3180" spans="2:5" x14ac:dyDescent="0.2">
      <c r="B3180" t="s">
        <v>4998</v>
      </c>
      <c r="C3180">
        <v>506107</v>
      </c>
      <c r="D3180" t="s">
        <v>366</v>
      </c>
      <c r="E3180" t="s">
        <v>787</v>
      </c>
    </row>
    <row r="3181" spans="2:5" x14ac:dyDescent="0.2">
      <c r="B3181" t="s">
        <v>4999</v>
      </c>
      <c r="C3181">
        <v>539636</v>
      </c>
      <c r="D3181" t="s">
        <v>5000</v>
      </c>
      <c r="E3181" t="s">
        <v>721</v>
      </c>
    </row>
    <row r="3182" spans="2:5" x14ac:dyDescent="0.2">
      <c r="B3182" t="s">
        <v>5001</v>
      </c>
      <c r="C3182">
        <v>523874</v>
      </c>
      <c r="D3182" t="s">
        <v>366</v>
      </c>
      <c r="E3182" t="s">
        <v>388</v>
      </c>
    </row>
    <row r="3183" spans="2:5" x14ac:dyDescent="0.2">
      <c r="B3183" t="s">
        <v>5002</v>
      </c>
      <c r="C3183">
        <v>517258</v>
      </c>
      <c r="D3183" t="s">
        <v>366</v>
      </c>
      <c r="E3183" t="s">
        <v>908</v>
      </c>
    </row>
    <row r="3184" spans="2:5" x14ac:dyDescent="0.2">
      <c r="B3184" t="s">
        <v>5003</v>
      </c>
      <c r="C3184">
        <v>523539</v>
      </c>
      <c r="D3184" t="s">
        <v>5004</v>
      </c>
      <c r="E3184" t="s">
        <v>1284</v>
      </c>
    </row>
    <row r="3185" spans="2:5" x14ac:dyDescent="0.2">
      <c r="B3185" t="s">
        <v>5005</v>
      </c>
      <c r="C3185">
        <v>523539</v>
      </c>
      <c r="D3185" t="s">
        <v>5004</v>
      </c>
      <c r="E3185" t="s">
        <v>1284</v>
      </c>
    </row>
    <row r="3186" spans="2:5" x14ac:dyDescent="0.2">
      <c r="B3186" t="s">
        <v>5006</v>
      </c>
      <c r="C3186" t="s">
        <v>366</v>
      </c>
      <c r="D3186" t="s">
        <v>5007</v>
      </c>
      <c r="E3186" t="s">
        <v>457</v>
      </c>
    </row>
    <row r="3187" spans="2:5" x14ac:dyDescent="0.2">
      <c r="B3187" t="s">
        <v>5008</v>
      </c>
      <c r="C3187">
        <v>530669</v>
      </c>
      <c r="D3187" t="s">
        <v>366</v>
      </c>
      <c r="E3187" t="s">
        <v>349</v>
      </c>
    </row>
    <row r="3188" spans="2:5" x14ac:dyDescent="0.2">
      <c r="B3188" t="s">
        <v>5009</v>
      </c>
      <c r="C3188">
        <v>530331</v>
      </c>
      <c r="D3188" t="s">
        <v>366</v>
      </c>
      <c r="E3188" t="s">
        <v>381</v>
      </c>
    </row>
    <row r="3189" spans="2:5" x14ac:dyDescent="0.2">
      <c r="B3189" t="s">
        <v>5010</v>
      </c>
      <c r="C3189">
        <v>780007</v>
      </c>
      <c r="D3189" t="s">
        <v>366</v>
      </c>
      <c r="E3189" t="s">
        <v>457</v>
      </c>
    </row>
    <row r="3190" spans="2:5" x14ac:dyDescent="0.2">
      <c r="B3190" t="s">
        <v>5011</v>
      </c>
      <c r="C3190">
        <v>526247</v>
      </c>
      <c r="D3190" t="s">
        <v>5012</v>
      </c>
      <c r="E3190" t="s">
        <v>526</v>
      </c>
    </row>
    <row r="3191" spans="2:5" x14ac:dyDescent="0.2">
      <c r="B3191" t="s">
        <v>5013</v>
      </c>
      <c r="C3191">
        <v>500540</v>
      </c>
      <c r="D3191" t="s">
        <v>5014</v>
      </c>
      <c r="E3191" t="s">
        <v>374</v>
      </c>
    </row>
    <row r="3192" spans="2:5" x14ac:dyDescent="0.2">
      <c r="B3192" t="s">
        <v>5015</v>
      </c>
      <c r="C3192">
        <v>513291</v>
      </c>
      <c r="D3192" t="s">
        <v>366</v>
      </c>
      <c r="E3192" t="s">
        <v>689</v>
      </c>
    </row>
    <row r="3193" spans="2:5" x14ac:dyDescent="0.2">
      <c r="B3193" t="s">
        <v>5016</v>
      </c>
      <c r="C3193">
        <v>514354</v>
      </c>
      <c r="D3193" t="s">
        <v>5017</v>
      </c>
      <c r="E3193" t="s">
        <v>414</v>
      </c>
    </row>
    <row r="3194" spans="2:5" x14ac:dyDescent="0.2">
      <c r="B3194" t="s">
        <v>5018</v>
      </c>
      <c r="C3194">
        <v>509835</v>
      </c>
      <c r="D3194" t="s">
        <v>366</v>
      </c>
      <c r="E3194" t="s">
        <v>381</v>
      </c>
    </row>
    <row r="3195" spans="2:5" x14ac:dyDescent="0.2">
      <c r="B3195" t="s">
        <v>5019</v>
      </c>
      <c r="C3195">
        <v>531802</v>
      </c>
      <c r="D3195" t="s">
        <v>366</v>
      </c>
      <c r="E3195" t="s">
        <v>452</v>
      </c>
    </row>
    <row r="3196" spans="2:5" x14ac:dyDescent="0.2">
      <c r="B3196" t="s">
        <v>5020</v>
      </c>
      <c r="C3196">
        <v>509077</v>
      </c>
      <c r="D3196" t="s">
        <v>5021</v>
      </c>
      <c r="E3196" t="s">
        <v>1965</v>
      </c>
    </row>
    <row r="3197" spans="2:5" x14ac:dyDescent="0.2">
      <c r="B3197" t="s">
        <v>5022</v>
      </c>
      <c r="C3197">
        <v>533274</v>
      </c>
      <c r="D3197" t="s">
        <v>5023</v>
      </c>
      <c r="E3197" t="s">
        <v>452</v>
      </c>
    </row>
    <row r="3198" spans="2:5" x14ac:dyDescent="0.2">
      <c r="B3198" t="s">
        <v>5024</v>
      </c>
      <c r="C3198">
        <v>540293</v>
      </c>
      <c r="D3198" t="s">
        <v>5025</v>
      </c>
      <c r="E3198" t="s">
        <v>721</v>
      </c>
    </row>
    <row r="3199" spans="2:5" x14ac:dyDescent="0.2">
      <c r="B3199" t="s">
        <v>5026</v>
      </c>
      <c r="C3199">
        <v>519262</v>
      </c>
      <c r="D3199" t="s">
        <v>366</v>
      </c>
      <c r="E3199" t="s">
        <v>564</v>
      </c>
    </row>
    <row r="3200" spans="2:5" x14ac:dyDescent="0.2">
      <c r="B3200" t="s">
        <v>5027</v>
      </c>
      <c r="C3200">
        <v>531246</v>
      </c>
      <c r="D3200" t="s">
        <v>366</v>
      </c>
      <c r="E3200" t="s">
        <v>615</v>
      </c>
    </row>
    <row r="3201" spans="2:5" x14ac:dyDescent="0.2">
      <c r="B3201" t="s">
        <v>5028</v>
      </c>
      <c r="C3201">
        <v>530589</v>
      </c>
      <c r="D3201" t="s">
        <v>366</v>
      </c>
      <c r="E3201" t="s">
        <v>486</v>
      </c>
    </row>
    <row r="3202" spans="2:5" x14ac:dyDescent="0.2">
      <c r="B3202" t="s">
        <v>5029</v>
      </c>
      <c r="C3202">
        <v>535514</v>
      </c>
      <c r="D3202" t="s">
        <v>366</v>
      </c>
      <c r="E3202" t="s">
        <v>383</v>
      </c>
    </row>
    <row r="3203" spans="2:5" x14ac:dyDescent="0.2">
      <c r="B3203" t="s">
        <v>5030</v>
      </c>
      <c r="C3203">
        <v>540404</v>
      </c>
      <c r="D3203" t="s">
        <v>366</v>
      </c>
      <c r="E3203" t="s">
        <v>564</v>
      </c>
    </row>
    <row r="3204" spans="2:5" x14ac:dyDescent="0.2">
      <c r="B3204" t="s">
        <v>5031</v>
      </c>
      <c r="C3204">
        <v>532748</v>
      </c>
      <c r="D3204" t="s">
        <v>5032</v>
      </c>
      <c r="E3204" t="s">
        <v>369</v>
      </c>
    </row>
    <row r="3205" spans="2:5" x14ac:dyDescent="0.2">
      <c r="B3205" t="s">
        <v>5033</v>
      </c>
      <c r="C3205">
        <v>519299</v>
      </c>
      <c r="D3205" t="s">
        <v>366</v>
      </c>
      <c r="E3205" t="s">
        <v>615</v>
      </c>
    </row>
    <row r="3206" spans="2:5" x14ac:dyDescent="0.2">
      <c r="B3206" t="s">
        <v>5034</v>
      </c>
      <c r="C3206">
        <v>530695</v>
      </c>
      <c r="D3206" t="s">
        <v>366</v>
      </c>
      <c r="E3206" t="s">
        <v>452</v>
      </c>
    </row>
    <row r="3207" spans="2:5" x14ac:dyDescent="0.2">
      <c r="B3207" t="s">
        <v>5035</v>
      </c>
      <c r="C3207">
        <v>500337</v>
      </c>
      <c r="D3207" t="s">
        <v>5036</v>
      </c>
      <c r="E3207" t="s">
        <v>349</v>
      </c>
    </row>
    <row r="3208" spans="2:5" x14ac:dyDescent="0.2">
      <c r="B3208" t="s">
        <v>5037</v>
      </c>
      <c r="C3208">
        <v>521149</v>
      </c>
      <c r="D3208" t="s">
        <v>366</v>
      </c>
      <c r="E3208" t="s">
        <v>452</v>
      </c>
    </row>
    <row r="3209" spans="2:5" x14ac:dyDescent="0.2">
      <c r="B3209" t="s">
        <v>5038</v>
      </c>
      <c r="C3209">
        <v>521149</v>
      </c>
      <c r="D3209" t="s">
        <v>366</v>
      </c>
      <c r="E3209" t="s">
        <v>452</v>
      </c>
    </row>
    <row r="3210" spans="2:5" x14ac:dyDescent="0.2">
      <c r="B3210" t="s">
        <v>5039</v>
      </c>
      <c r="C3210">
        <v>531735</v>
      </c>
      <c r="D3210" t="s">
        <v>366</v>
      </c>
      <c r="E3210" t="s">
        <v>383</v>
      </c>
    </row>
    <row r="3211" spans="2:5" x14ac:dyDescent="0.2">
      <c r="B3211" t="s">
        <v>5040</v>
      </c>
      <c r="C3211">
        <v>500338</v>
      </c>
      <c r="D3211" t="s">
        <v>5041</v>
      </c>
      <c r="E3211" t="s">
        <v>379</v>
      </c>
    </row>
    <row r="3212" spans="2:5" x14ac:dyDescent="0.2">
      <c r="B3212" t="s">
        <v>5042</v>
      </c>
      <c r="C3212">
        <v>512217</v>
      </c>
      <c r="D3212" t="s">
        <v>366</v>
      </c>
      <c r="E3212" t="s">
        <v>383</v>
      </c>
    </row>
    <row r="3213" spans="2:5" x14ac:dyDescent="0.2">
      <c r="B3213" t="s">
        <v>5043</v>
      </c>
      <c r="C3213">
        <v>531688</v>
      </c>
      <c r="D3213" t="s">
        <v>366</v>
      </c>
      <c r="E3213" t="s">
        <v>459</v>
      </c>
    </row>
    <row r="3214" spans="2:5" x14ac:dyDescent="0.2">
      <c r="B3214" t="s">
        <v>5044</v>
      </c>
      <c r="C3214">
        <v>531688</v>
      </c>
      <c r="D3214" t="s">
        <v>366</v>
      </c>
      <c r="E3214" t="s">
        <v>459</v>
      </c>
    </row>
    <row r="3215" spans="2:5" x14ac:dyDescent="0.2">
      <c r="B3215" t="s">
        <v>5045</v>
      </c>
      <c r="C3215" t="s">
        <v>366</v>
      </c>
      <c r="D3215" t="s">
        <v>5046</v>
      </c>
      <c r="E3215" t="s">
        <v>377</v>
      </c>
    </row>
    <row r="3216" spans="2:5" x14ac:dyDescent="0.2">
      <c r="B3216" t="s">
        <v>5047</v>
      </c>
      <c r="C3216">
        <v>539359</v>
      </c>
      <c r="D3216" t="s">
        <v>366</v>
      </c>
      <c r="E3216" t="s">
        <v>1284</v>
      </c>
    </row>
    <row r="3217" spans="2:5" x14ac:dyDescent="0.2">
      <c r="B3217" t="s">
        <v>5048</v>
      </c>
      <c r="C3217">
        <v>532387</v>
      </c>
      <c r="D3217" t="s">
        <v>5049</v>
      </c>
      <c r="E3217" t="s">
        <v>369</v>
      </c>
    </row>
    <row r="3218" spans="2:5" x14ac:dyDescent="0.2">
      <c r="B3218" t="s">
        <v>5050</v>
      </c>
      <c r="C3218">
        <v>524580</v>
      </c>
      <c r="D3218" t="s">
        <v>366</v>
      </c>
      <c r="E3218" t="s">
        <v>388</v>
      </c>
    </row>
    <row r="3219" spans="2:5" x14ac:dyDescent="0.2">
      <c r="B3219" t="s">
        <v>5051</v>
      </c>
      <c r="C3219">
        <v>511557</v>
      </c>
      <c r="D3219" t="s">
        <v>366</v>
      </c>
      <c r="E3219" t="s">
        <v>787</v>
      </c>
    </row>
    <row r="3220" spans="2:5" x14ac:dyDescent="0.2">
      <c r="B3220" t="s">
        <v>5052</v>
      </c>
      <c r="C3220">
        <v>512105</v>
      </c>
      <c r="D3220" t="s">
        <v>366</v>
      </c>
      <c r="E3220" t="s">
        <v>787</v>
      </c>
    </row>
    <row r="3221" spans="2:5" x14ac:dyDescent="0.2">
      <c r="B3221" t="s">
        <v>5053</v>
      </c>
      <c r="C3221">
        <v>526009</v>
      </c>
      <c r="D3221" t="s">
        <v>366</v>
      </c>
      <c r="E3221" t="s">
        <v>388</v>
      </c>
    </row>
    <row r="3222" spans="2:5" x14ac:dyDescent="0.2">
      <c r="B3222" t="s">
        <v>5054</v>
      </c>
      <c r="C3222">
        <v>526009</v>
      </c>
      <c r="D3222" t="s">
        <v>366</v>
      </c>
      <c r="E3222" t="s">
        <v>388</v>
      </c>
    </row>
    <row r="3223" spans="2:5" x14ac:dyDescent="0.2">
      <c r="B3223" t="s">
        <v>5055</v>
      </c>
      <c r="C3223" t="s">
        <v>366</v>
      </c>
      <c r="D3223" t="s">
        <v>5056</v>
      </c>
      <c r="E3223" t="s">
        <v>388</v>
      </c>
    </row>
    <row r="3224" spans="2:5" x14ac:dyDescent="0.2">
      <c r="B3224" t="s">
        <v>5057</v>
      </c>
      <c r="C3224">
        <v>500459</v>
      </c>
      <c r="D3224" t="s">
        <v>5058</v>
      </c>
      <c r="E3224" t="s">
        <v>548</v>
      </c>
    </row>
    <row r="3225" spans="2:5" x14ac:dyDescent="0.2">
      <c r="B3225" t="s">
        <v>5059</v>
      </c>
      <c r="C3225">
        <v>531265</v>
      </c>
      <c r="D3225" t="s">
        <v>366</v>
      </c>
      <c r="E3225" t="s">
        <v>446</v>
      </c>
    </row>
    <row r="3226" spans="2:5" x14ac:dyDescent="0.2">
      <c r="B3226" t="s">
        <v>5060</v>
      </c>
      <c r="C3226" t="s">
        <v>366</v>
      </c>
      <c r="D3226" t="s">
        <v>5061</v>
      </c>
      <c r="E3226" t="s">
        <v>377</v>
      </c>
    </row>
    <row r="3227" spans="2:5" x14ac:dyDescent="0.2">
      <c r="B3227" t="s">
        <v>5062</v>
      </c>
      <c r="C3227">
        <v>526494</v>
      </c>
      <c r="D3227" t="s">
        <v>366</v>
      </c>
      <c r="E3227" t="s">
        <v>561</v>
      </c>
    </row>
    <row r="3228" spans="2:5" x14ac:dyDescent="0.2">
      <c r="B3228" t="s">
        <v>5063</v>
      </c>
      <c r="C3228">
        <v>590057</v>
      </c>
      <c r="D3228" t="s">
        <v>5064</v>
      </c>
      <c r="E3228" t="s">
        <v>459</v>
      </c>
    </row>
    <row r="3229" spans="2:5" x14ac:dyDescent="0.2">
      <c r="B3229" t="s">
        <v>5065</v>
      </c>
      <c r="C3229">
        <v>590057</v>
      </c>
      <c r="D3229" t="s">
        <v>5064</v>
      </c>
      <c r="E3229" t="s">
        <v>459</v>
      </c>
    </row>
    <row r="3230" spans="2:5" x14ac:dyDescent="0.2">
      <c r="B3230" t="s">
        <v>5066</v>
      </c>
      <c r="C3230">
        <v>540703</v>
      </c>
      <c r="D3230" t="s">
        <v>366</v>
      </c>
      <c r="E3230" t="s">
        <v>450</v>
      </c>
    </row>
    <row r="3231" spans="2:5" x14ac:dyDescent="0.2">
      <c r="B3231" t="s">
        <v>5067</v>
      </c>
      <c r="C3231">
        <v>532647</v>
      </c>
      <c r="D3231" t="s">
        <v>5068</v>
      </c>
      <c r="E3231" t="s">
        <v>480</v>
      </c>
    </row>
    <row r="3232" spans="2:5" x14ac:dyDescent="0.2">
      <c r="B3232" t="s">
        <v>5069</v>
      </c>
      <c r="C3232">
        <v>532647</v>
      </c>
      <c r="D3232" t="s">
        <v>5068</v>
      </c>
      <c r="E3232" t="s">
        <v>480</v>
      </c>
    </row>
    <row r="3233" spans="2:5" x14ac:dyDescent="0.2">
      <c r="B3233" t="s">
        <v>5070</v>
      </c>
      <c r="C3233">
        <v>534675</v>
      </c>
      <c r="D3233" t="s">
        <v>5071</v>
      </c>
      <c r="E3233" t="s">
        <v>452</v>
      </c>
    </row>
    <row r="3234" spans="2:5" x14ac:dyDescent="0.2">
      <c r="B3234" t="s">
        <v>5072</v>
      </c>
      <c r="C3234">
        <v>505502</v>
      </c>
      <c r="D3234" t="s">
        <v>366</v>
      </c>
      <c r="E3234" t="s">
        <v>349</v>
      </c>
    </row>
    <row r="3235" spans="2:5" x14ac:dyDescent="0.2">
      <c r="B3235" t="s">
        <v>5073</v>
      </c>
      <c r="C3235">
        <v>526801</v>
      </c>
      <c r="D3235" t="s">
        <v>5074</v>
      </c>
      <c r="E3235" t="s">
        <v>764</v>
      </c>
    </row>
    <row r="3236" spans="2:5" x14ac:dyDescent="0.2">
      <c r="B3236" t="s">
        <v>5075</v>
      </c>
      <c r="C3236">
        <v>540544</v>
      </c>
      <c r="D3236" t="s">
        <v>5076</v>
      </c>
      <c r="E3236" t="s">
        <v>764</v>
      </c>
    </row>
    <row r="3237" spans="2:5" x14ac:dyDescent="0.2">
      <c r="B3237" t="s">
        <v>5077</v>
      </c>
      <c r="C3237">
        <v>532524</v>
      </c>
      <c r="D3237" t="s">
        <v>5078</v>
      </c>
      <c r="E3237" t="s">
        <v>505</v>
      </c>
    </row>
    <row r="3238" spans="2:5" x14ac:dyDescent="0.2">
      <c r="B3238" t="s">
        <v>5079</v>
      </c>
      <c r="C3238">
        <v>533344</v>
      </c>
      <c r="D3238" t="s">
        <v>5080</v>
      </c>
      <c r="E3238" t="s">
        <v>383</v>
      </c>
    </row>
    <row r="3239" spans="2:5" x14ac:dyDescent="0.2">
      <c r="B3239" t="s">
        <v>5081</v>
      </c>
      <c r="C3239">
        <v>532524</v>
      </c>
      <c r="D3239" t="s">
        <v>5078</v>
      </c>
      <c r="E3239" t="s">
        <v>505</v>
      </c>
    </row>
    <row r="3240" spans="2:5" x14ac:dyDescent="0.2">
      <c r="B3240" t="s">
        <v>5082</v>
      </c>
      <c r="C3240">
        <v>539006</v>
      </c>
      <c r="D3240" t="s">
        <v>366</v>
      </c>
      <c r="E3240" t="s">
        <v>1284</v>
      </c>
    </row>
    <row r="3241" spans="2:5" x14ac:dyDescent="0.2">
      <c r="B3241" t="s">
        <v>5083</v>
      </c>
      <c r="C3241">
        <v>509220</v>
      </c>
      <c r="D3241" t="s">
        <v>5084</v>
      </c>
      <c r="E3241" t="s">
        <v>388</v>
      </c>
    </row>
    <row r="3242" spans="2:5" x14ac:dyDescent="0.2">
      <c r="B3242" t="s">
        <v>5085</v>
      </c>
      <c r="C3242">
        <v>539785</v>
      </c>
      <c r="D3242" t="s">
        <v>5086</v>
      </c>
      <c r="E3242" t="s">
        <v>360</v>
      </c>
    </row>
    <row r="3243" spans="2:5" x14ac:dyDescent="0.2">
      <c r="B3243" t="s">
        <v>5087</v>
      </c>
      <c r="C3243">
        <v>512591</v>
      </c>
      <c r="D3243" t="s">
        <v>366</v>
      </c>
      <c r="E3243" t="s">
        <v>388</v>
      </c>
    </row>
    <row r="3244" spans="2:5" x14ac:dyDescent="0.2">
      <c r="B3244" t="s">
        <v>5088</v>
      </c>
      <c r="C3244" t="s">
        <v>366</v>
      </c>
      <c r="D3244" t="s">
        <v>5089</v>
      </c>
      <c r="E3244" t="s">
        <v>377</v>
      </c>
    </row>
    <row r="3245" spans="2:5" x14ac:dyDescent="0.2">
      <c r="B3245" t="s">
        <v>5090</v>
      </c>
      <c r="C3245">
        <v>512461</v>
      </c>
      <c r="D3245" t="s">
        <v>366</v>
      </c>
      <c r="E3245" t="s">
        <v>388</v>
      </c>
    </row>
    <row r="3246" spans="2:5" x14ac:dyDescent="0.2">
      <c r="B3246" t="s">
        <v>5091</v>
      </c>
      <c r="C3246">
        <v>512099</v>
      </c>
      <c r="D3246" t="s">
        <v>366</v>
      </c>
      <c r="E3246" t="s">
        <v>480</v>
      </c>
    </row>
    <row r="3247" spans="2:5" x14ac:dyDescent="0.2">
      <c r="B3247" t="s">
        <v>5092</v>
      </c>
      <c r="C3247">
        <v>532693</v>
      </c>
      <c r="D3247" t="s">
        <v>5093</v>
      </c>
      <c r="E3247" t="s">
        <v>764</v>
      </c>
    </row>
    <row r="3248" spans="2:5" x14ac:dyDescent="0.2">
      <c r="B3248" t="s">
        <v>5094</v>
      </c>
      <c r="C3248">
        <v>533295</v>
      </c>
      <c r="D3248" t="s">
        <v>5095</v>
      </c>
      <c r="E3248" t="s">
        <v>684</v>
      </c>
    </row>
    <row r="3249" spans="2:5" x14ac:dyDescent="0.2">
      <c r="B3249" t="s">
        <v>5096</v>
      </c>
      <c r="C3249">
        <v>506852</v>
      </c>
      <c r="D3249" t="s">
        <v>366</v>
      </c>
      <c r="E3249" t="s">
        <v>414</v>
      </c>
    </row>
    <row r="3250" spans="2:5" x14ac:dyDescent="0.2">
      <c r="B3250" t="s">
        <v>5097</v>
      </c>
      <c r="C3250">
        <v>506618</v>
      </c>
      <c r="D3250" t="s">
        <v>5098</v>
      </c>
      <c r="E3250" t="s">
        <v>510</v>
      </c>
    </row>
    <row r="3251" spans="2:5" x14ac:dyDescent="0.2">
      <c r="B3251" t="s">
        <v>5099</v>
      </c>
      <c r="C3251">
        <v>500346</v>
      </c>
      <c r="D3251" t="s">
        <v>366</v>
      </c>
      <c r="E3251" t="s">
        <v>512</v>
      </c>
    </row>
    <row r="3252" spans="2:5" x14ac:dyDescent="0.2">
      <c r="B3252" t="s">
        <v>5100</v>
      </c>
      <c r="C3252">
        <v>532461</v>
      </c>
      <c r="D3252" t="s">
        <v>5101</v>
      </c>
      <c r="E3252" t="s">
        <v>684</v>
      </c>
    </row>
    <row r="3253" spans="2:5" x14ac:dyDescent="0.2">
      <c r="B3253" t="s">
        <v>5102</v>
      </c>
      <c r="C3253">
        <v>532891</v>
      </c>
      <c r="D3253" t="s">
        <v>5103</v>
      </c>
      <c r="E3253" t="s">
        <v>452</v>
      </c>
    </row>
    <row r="3254" spans="2:5" x14ac:dyDescent="0.2">
      <c r="B3254" t="s">
        <v>5104</v>
      </c>
      <c r="C3254">
        <v>540492</v>
      </c>
      <c r="D3254" t="s">
        <v>366</v>
      </c>
      <c r="E3254" t="s">
        <v>388</v>
      </c>
    </row>
    <row r="3255" spans="2:5" x14ac:dyDescent="0.2">
      <c r="B3255" t="s">
        <v>5105</v>
      </c>
      <c r="C3255">
        <v>523315</v>
      </c>
      <c r="D3255" t="s">
        <v>366</v>
      </c>
      <c r="E3255" t="s">
        <v>360</v>
      </c>
    </row>
    <row r="3256" spans="2:5" x14ac:dyDescent="0.2">
      <c r="B3256" t="s">
        <v>5106</v>
      </c>
      <c r="C3256">
        <v>538993</v>
      </c>
      <c r="D3256" t="s">
        <v>366</v>
      </c>
      <c r="E3256" t="s">
        <v>452</v>
      </c>
    </row>
    <row r="3257" spans="2:5" x14ac:dyDescent="0.2">
      <c r="B3257" t="s">
        <v>5107</v>
      </c>
      <c r="C3257">
        <v>540159</v>
      </c>
      <c r="D3257" t="s">
        <v>366</v>
      </c>
      <c r="E3257" t="s">
        <v>369</v>
      </c>
    </row>
    <row r="3258" spans="2:5" x14ac:dyDescent="0.2">
      <c r="B3258" t="s">
        <v>5108</v>
      </c>
      <c r="C3258">
        <v>538647</v>
      </c>
      <c r="D3258" t="s">
        <v>366</v>
      </c>
      <c r="E3258" t="s">
        <v>383</v>
      </c>
    </row>
    <row r="3259" spans="2:5" x14ac:dyDescent="0.2">
      <c r="B3259" t="s">
        <v>5109</v>
      </c>
      <c r="C3259" t="s">
        <v>366</v>
      </c>
      <c r="D3259" t="s">
        <v>5110</v>
      </c>
      <c r="E3259" t="s">
        <v>377</v>
      </c>
    </row>
    <row r="3260" spans="2:5" x14ac:dyDescent="0.2">
      <c r="B3260" t="s">
        <v>5111</v>
      </c>
      <c r="C3260">
        <v>531562</v>
      </c>
      <c r="D3260" t="s">
        <v>366</v>
      </c>
      <c r="E3260" t="s">
        <v>381</v>
      </c>
    </row>
    <row r="3261" spans="2:5" x14ac:dyDescent="0.2">
      <c r="B3261" t="s">
        <v>5112</v>
      </c>
      <c r="C3261">
        <v>517556</v>
      </c>
      <c r="D3261" t="s">
        <v>5113</v>
      </c>
      <c r="E3261" t="s">
        <v>452</v>
      </c>
    </row>
    <row r="3262" spans="2:5" x14ac:dyDescent="0.2">
      <c r="B3262" t="s">
        <v>5114</v>
      </c>
      <c r="C3262">
        <v>532689</v>
      </c>
      <c r="D3262" t="s">
        <v>5115</v>
      </c>
      <c r="E3262" t="s">
        <v>367</v>
      </c>
    </row>
    <row r="3263" spans="2:5" x14ac:dyDescent="0.2">
      <c r="B3263" t="s">
        <v>5116</v>
      </c>
      <c r="C3263">
        <v>536659</v>
      </c>
      <c r="D3263" t="s">
        <v>366</v>
      </c>
      <c r="E3263" t="s">
        <v>764</v>
      </c>
    </row>
    <row r="3264" spans="2:5" x14ac:dyDescent="0.2">
      <c r="B3264" t="s">
        <v>5117</v>
      </c>
      <c r="C3264">
        <v>534109</v>
      </c>
      <c r="D3264" t="s">
        <v>366</v>
      </c>
      <c r="E3264" t="s">
        <v>383</v>
      </c>
    </row>
    <row r="3265" spans="2:5" x14ac:dyDescent="0.2">
      <c r="B3265" t="s">
        <v>5118</v>
      </c>
      <c r="C3265">
        <v>511116</v>
      </c>
      <c r="D3265" t="s">
        <v>366</v>
      </c>
      <c r="E3265" t="s">
        <v>1308</v>
      </c>
    </row>
    <row r="3266" spans="2:5" x14ac:dyDescent="0.2">
      <c r="B3266" t="s">
        <v>5119</v>
      </c>
      <c r="C3266">
        <v>538596</v>
      </c>
      <c r="D3266" t="s">
        <v>366</v>
      </c>
      <c r="E3266" t="s">
        <v>452</v>
      </c>
    </row>
    <row r="3267" spans="2:5" x14ac:dyDescent="0.2">
      <c r="B3267" t="s">
        <v>5120</v>
      </c>
      <c r="C3267">
        <v>530281</v>
      </c>
      <c r="D3267" t="s">
        <v>366</v>
      </c>
      <c r="E3267" t="s">
        <v>561</v>
      </c>
    </row>
    <row r="3268" spans="2:5" x14ac:dyDescent="0.2">
      <c r="B3268" t="s">
        <v>5121</v>
      </c>
      <c r="C3268">
        <v>530281</v>
      </c>
      <c r="D3268" t="s">
        <v>366</v>
      </c>
      <c r="E3268" t="s">
        <v>561</v>
      </c>
    </row>
    <row r="3269" spans="2:5" x14ac:dyDescent="0.2">
      <c r="B3269" t="s">
        <v>5122</v>
      </c>
      <c r="C3269">
        <v>590099</v>
      </c>
      <c r="D3269" t="s">
        <v>5123</v>
      </c>
      <c r="E3269" t="s">
        <v>349</v>
      </c>
    </row>
    <row r="3270" spans="2:5" x14ac:dyDescent="0.2">
      <c r="B3270" t="s">
        <v>5124</v>
      </c>
      <c r="C3270">
        <v>590110</v>
      </c>
      <c r="D3270" t="s">
        <v>5125</v>
      </c>
      <c r="E3270" t="s">
        <v>349</v>
      </c>
    </row>
    <row r="3271" spans="2:5" x14ac:dyDescent="0.2">
      <c r="B3271" t="s">
        <v>5126</v>
      </c>
      <c r="C3271">
        <v>539978</v>
      </c>
      <c r="D3271" t="s">
        <v>5127</v>
      </c>
      <c r="E3271" t="s">
        <v>355</v>
      </c>
    </row>
    <row r="3272" spans="2:5" x14ac:dyDescent="0.2">
      <c r="B3272" t="s">
        <v>5128</v>
      </c>
      <c r="C3272">
        <v>539962</v>
      </c>
      <c r="D3272" t="s">
        <v>366</v>
      </c>
      <c r="E3272" t="s">
        <v>383</v>
      </c>
    </row>
    <row r="3273" spans="2:5" x14ac:dyDescent="0.2">
      <c r="B3273" t="s">
        <v>5129</v>
      </c>
      <c r="C3273">
        <v>535719</v>
      </c>
      <c r="D3273" t="s">
        <v>366</v>
      </c>
      <c r="E3273" t="s">
        <v>352</v>
      </c>
    </row>
    <row r="3274" spans="2:5" x14ac:dyDescent="0.2">
      <c r="B3274" t="s">
        <v>5130</v>
      </c>
      <c r="C3274">
        <v>535719</v>
      </c>
      <c r="D3274" t="s">
        <v>366</v>
      </c>
      <c r="E3274" t="s">
        <v>352</v>
      </c>
    </row>
    <row r="3275" spans="2:5" x14ac:dyDescent="0.2">
      <c r="B3275" t="s">
        <v>5131</v>
      </c>
      <c r="C3275">
        <v>539678</v>
      </c>
      <c r="D3275" t="s">
        <v>5132</v>
      </c>
      <c r="E3275" t="s">
        <v>459</v>
      </c>
    </row>
    <row r="3276" spans="2:5" x14ac:dyDescent="0.2">
      <c r="B3276" t="s">
        <v>5133</v>
      </c>
      <c r="C3276">
        <v>532866</v>
      </c>
      <c r="D3276" t="s">
        <v>5134</v>
      </c>
      <c r="E3276" t="s">
        <v>352</v>
      </c>
    </row>
    <row r="3277" spans="2:5" x14ac:dyDescent="0.2">
      <c r="B3277" t="s">
        <v>5135</v>
      </c>
      <c r="C3277">
        <v>532024</v>
      </c>
      <c r="D3277" t="s">
        <v>366</v>
      </c>
      <c r="E3277" t="s">
        <v>349</v>
      </c>
    </row>
    <row r="3278" spans="2:5" x14ac:dyDescent="0.2">
      <c r="B3278" t="s">
        <v>5136</v>
      </c>
      <c r="C3278">
        <v>536456</v>
      </c>
      <c r="D3278" t="s">
        <v>366</v>
      </c>
      <c r="E3278" t="s">
        <v>564</v>
      </c>
    </row>
    <row r="3279" spans="2:5" x14ac:dyDescent="0.2">
      <c r="B3279" t="s">
        <v>5137</v>
      </c>
      <c r="C3279">
        <v>509845</v>
      </c>
      <c r="D3279" t="s">
        <v>366</v>
      </c>
      <c r="E3279" t="s">
        <v>452</v>
      </c>
    </row>
    <row r="3280" spans="2:5" x14ac:dyDescent="0.2">
      <c r="B3280" t="s">
        <v>5138</v>
      </c>
      <c r="C3280" t="s">
        <v>366</v>
      </c>
      <c r="D3280" t="s">
        <v>5139</v>
      </c>
      <c r="E3280" t="s">
        <v>377</v>
      </c>
    </row>
    <row r="3281" spans="2:5" x14ac:dyDescent="0.2">
      <c r="B3281" t="s">
        <v>5140</v>
      </c>
      <c r="C3281">
        <v>533284</v>
      </c>
      <c r="D3281" t="s">
        <v>5141</v>
      </c>
      <c r="E3281" t="s">
        <v>764</v>
      </c>
    </row>
    <row r="3282" spans="2:5" x14ac:dyDescent="0.2">
      <c r="B3282" t="s">
        <v>5142</v>
      </c>
      <c r="C3282">
        <v>530917</v>
      </c>
      <c r="D3282" t="s">
        <v>366</v>
      </c>
      <c r="E3282" t="s">
        <v>787</v>
      </c>
    </row>
    <row r="3283" spans="2:5" x14ac:dyDescent="0.2">
      <c r="B3283" t="s">
        <v>5143</v>
      </c>
      <c r="C3283">
        <v>517447</v>
      </c>
      <c r="D3283" t="s">
        <v>5144</v>
      </c>
      <c r="E3283" t="s">
        <v>459</v>
      </c>
    </row>
    <row r="3284" spans="2:5" x14ac:dyDescent="0.2">
      <c r="B3284" t="s">
        <v>5145</v>
      </c>
      <c r="C3284">
        <v>517447</v>
      </c>
      <c r="D3284" t="s">
        <v>5144</v>
      </c>
      <c r="E3284" t="s">
        <v>459</v>
      </c>
    </row>
    <row r="3285" spans="2:5" x14ac:dyDescent="0.2">
      <c r="B3285" t="s">
        <v>5146</v>
      </c>
      <c r="C3285">
        <v>532735</v>
      </c>
      <c r="D3285" t="s">
        <v>5147</v>
      </c>
      <c r="E3285" t="s">
        <v>352</v>
      </c>
    </row>
    <row r="3286" spans="2:5" x14ac:dyDescent="0.2">
      <c r="B3286" t="s">
        <v>5148</v>
      </c>
      <c r="C3286">
        <v>512565</v>
      </c>
      <c r="D3286" t="s">
        <v>366</v>
      </c>
      <c r="E3286" t="s">
        <v>564</v>
      </c>
    </row>
    <row r="3287" spans="2:5" x14ac:dyDescent="0.2">
      <c r="B3287" t="s">
        <v>5149</v>
      </c>
      <c r="C3287">
        <v>538119</v>
      </c>
      <c r="D3287" t="s">
        <v>366</v>
      </c>
      <c r="E3287" t="s">
        <v>381</v>
      </c>
    </row>
    <row r="3288" spans="2:5" x14ac:dyDescent="0.2">
      <c r="B3288" t="s">
        <v>5150</v>
      </c>
      <c r="C3288">
        <v>524502</v>
      </c>
      <c r="D3288" t="s">
        <v>366</v>
      </c>
      <c r="E3288" t="s">
        <v>1530</v>
      </c>
    </row>
    <row r="3289" spans="2:5" x14ac:dyDescent="0.2">
      <c r="B3289" t="s">
        <v>5151</v>
      </c>
      <c r="C3289">
        <v>524502</v>
      </c>
      <c r="D3289" t="s">
        <v>366</v>
      </c>
      <c r="E3289" t="s">
        <v>1530</v>
      </c>
    </row>
    <row r="3290" spans="2:5" x14ac:dyDescent="0.2">
      <c r="B3290" t="s">
        <v>5152</v>
      </c>
      <c r="C3290">
        <v>502271</v>
      </c>
      <c r="D3290" t="s">
        <v>366</v>
      </c>
      <c r="E3290" t="s">
        <v>551</v>
      </c>
    </row>
    <row r="3291" spans="2:5" x14ac:dyDescent="0.2">
      <c r="B3291" t="s">
        <v>5153</v>
      </c>
      <c r="C3291">
        <v>520073</v>
      </c>
      <c r="D3291" t="s">
        <v>366</v>
      </c>
      <c r="E3291" t="s">
        <v>721</v>
      </c>
    </row>
    <row r="3292" spans="2:5" x14ac:dyDescent="0.2">
      <c r="B3292" t="s">
        <v>5154</v>
      </c>
      <c r="C3292">
        <v>590070</v>
      </c>
      <c r="D3292" t="s">
        <v>5155</v>
      </c>
      <c r="E3292" t="s">
        <v>369</v>
      </c>
    </row>
    <row r="3293" spans="2:5" x14ac:dyDescent="0.2">
      <c r="B3293" t="s">
        <v>5156</v>
      </c>
      <c r="C3293">
        <v>590070</v>
      </c>
      <c r="D3293" t="s">
        <v>5155</v>
      </c>
      <c r="E3293" t="s">
        <v>369</v>
      </c>
    </row>
    <row r="3294" spans="2:5" x14ac:dyDescent="0.2">
      <c r="B3294" t="s">
        <v>5157</v>
      </c>
      <c r="C3294">
        <v>532692</v>
      </c>
      <c r="D3294" t="s">
        <v>5158</v>
      </c>
      <c r="E3294" t="s">
        <v>561</v>
      </c>
    </row>
    <row r="3295" spans="2:5" x14ac:dyDescent="0.2">
      <c r="B3295" t="s">
        <v>5159</v>
      </c>
      <c r="C3295">
        <v>539673</v>
      </c>
      <c r="D3295" t="s">
        <v>366</v>
      </c>
      <c r="E3295" t="s">
        <v>400</v>
      </c>
    </row>
    <row r="3296" spans="2:5" x14ac:dyDescent="0.2">
      <c r="B3296" t="s">
        <v>5160</v>
      </c>
      <c r="C3296">
        <v>531273</v>
      </c>
      <c r="D3296" t="s">
        <v>366</v>
      </c>
      <c r="E3296" t="s">
        <v>452</v>
      </c>
    </row>
    <row r="3297" spans="2:5" x14ac:dyDescent="0.2">
      <c r="B3297" t="s">
        <v>5161</v>
      </c>
      <c r="C3297">
        <v>531273</v>
      </c>
      <c r="D3297" t="s">
        <v>366</v>
      </c>
      <c r="E3297" t="s">
        <v>452</v>
      </c>
    </row>
    <row r="3298" spans="2:5" x14ac:dyDescent="0.2">
      <c r="B3298" t="s">
        <v>5162</v>
      </c>
      <c r="C3298">
        <v>539814</v>
      </c>
      <c r="D3298" t="s">
        <v>366</v>
      </c>
      <c r="E3298" t="s">
        <v>388</v>
      </c>
    </row>
    <row r="3299" spans="2:5" x14ac:dyDescent="0.2">
      <c r="B3299" t="s">
        <v>5163</v>
      </c>
      <c r="C3299">
        <v>540125</v>
      </c>
      <c r="D3299" t="s">
        <v>366</v>
      </c>
      <c r="E3299" t="s">
        <v>480</v>
      </c>
    </row>
    <row r="3300" spans="2:5" x14ac:dyDescent="0.2">
      <c r="B3300" t="s">
        <v>5164</v>
      </c>
      <c r="C3300">
        <v>532497</v>
      </c>
      <c r="D3300" t="s">
        <v>5165</v>
      </c>
      <c r="E3300" t="s">
        <v>998</v>
      </c>
    </row>
    <row r="3301" spans="2:5" x14ac:dyDescent="0.2">
      <c r="B3301" t="s">
        <v>5166</v>
      </c>
      <c r="C3301">
        <v>531412</v>
      </c>
      <c r="D3301" t="s">
        <v>366</v>
      </c>
      <c r="E3301" t="s">
        <v>548</v>
      </c>
    </row>
    <row r="3302" spans="2:5" x14ac:dyDescent="0.2">
      <c r="B3302" t="s">
        <v>5167</v>
      </c>
      <c r="C3302">
        <v>531412</v>
      </c>
      <c r="D3302" t="s">
        <v>366</v>
      </c>
      <c r="E3302" t="s">
        <v>548</v>
      </c>
    </row>
    <row r="3303" spans="2:5" x14ac:dyDescent="0.2">
      <c r="B3303" t="s">
        <v>5168</v>
      </c>
      <c r="C3303">
        <v>539837</v>
      </c>
      <c r="D3303" t="s">
        <v>366</v>
      </c>
      <c r="E3303" t="s">
        <v>551</v>
      </c>
    </row>
    <row r="3304" spans="2:5" x14ac:dyDescent="0.2">
      <c r="B3304" t="s">
        <v>5169</v>
      </c>
      <c r="C3304">
        <v>526813</v>
      </c>
      <c r="D3304" t="s">
        <v>366</v>
      </c>
      <c r="E3304" t="s">
        <v>2533</v>
      </c>
    </row>
    <row r="3305" spans="2:5" x14ac:dyDescent="0.2">
      <c r="B3305" t="s">
        <v>5170</v>
      </c>
      <c r="C3305">
        <v>531552</v>
      </c>
      <c r="D3305" t="s">
        <v>366</v>
      </c>
      <c r="E3305" t="s">
        <v>452</v>
      </c>
    </row>
    <row r="3306" spans="2:5" x14ac:dyDescent="0.2">
      <c r="B3306" t="s">
        <v>5171</v>
      </c>
      <c r="C3306">
        <v>538921</v>
      </c>
      <c r="D3306" t="s">
        <v>366</v>
      </c>
      <c r="E3306" t="s">
        <v>564</v>
      </c>
    </row>
    <row r="3307" spans="2:5" x14ac:dyDescent="0.2">
      <c r="B3307" t="s">
        <v>5172</v>
      </c>
      <c r="C3307">
        <v>514316</v>
      </c>
      <c r="D3307" t="s">
        <v>366</v>
      </c>
      <c r="E3307" t="s">
        <v>381</v>
      </c>
    </row>
    <row r="3308" spans="2:5" x14ac:dyDescent="0.2">
      <c r="B3308" t="s">
        <v>5173</v>
      </c>
      <c r="C3308">
        <v>531887</v>
      </c>
      <c r="D3308" t="s">
        <v>366</v>
      </c>
      <c r="E3308" t="s">
        <v>480</v>
      </c>
    </row>
    <row r="3309" spans="2:5" x14ac:dyDescent="0.2">
      <c r="B3309" t="s">
        <v>5174</v>
      </c>
      <c r="C3309">
        <v>540270</v>
      </c>
      <c r="D3309" t="s">
        <v>366</v>
      </c>
      <c r="E3309" t="s">
        <v>388</v>
      </c>
    </row>
    <row r="3310" spans="2:5" x14ac:dyDescent="0.2">
      <c r="B3310" t="s">
        <v>5175</v>
      </c>
      <c r="C3310">
        <v>542649</v>
      </c>
      <c r="D3310" t="s">
        <v>5176</v>
      </c>
      <c r="E3310" t="s">
        <v>5177</v>
      </c>
    </row>
    <row r="3311" spans="2:5" x14ac:dyDescent="0.2">
      <c r="B3311" t="s">
        <v>5178</v>
      </c>
      <c r="C3311">
        <v>500339</v>
      </c>
      <c r="D3311" t="s">
        <v>5179</v>
      </c>
      <c r="E3311" t="s">
        <v>580</v>
      </c>
    </row>
    <row r="3312" spans="2:5" x14ac:dyDescent="0.2">
      <c r="B3312" t="s">
        <v>5180</v>
      </c>
      <c r="C3312">
        <v>532441</v>
      </c>
      <c r="D3312" t="s">
        <v>366</v>
      </c>
      <c r="E3312" t="s">
        <v>381</v>
      </c>
    </row>
    <row r="3313" spans="2:5" x14ac:dyDescent="0.2">
      <c r="B3313" t="s">
        <v>5181</v>
      </c>
      <c r="C3313">
        <v>531694</v>
      </c>
      <c r="D3313" t="s">
        <v>366</v>
      </c>
      <c r="E3313" t="s">
        <v>452</v>
      </c>
    </row>
    <row r="3314" spans="2:5" x14ac:dyDescent="0.2">
      <c r="B3314" t="s">
        <v>5182</v>
      </c>
      <c r="C3314">
        <v>523523</v>
      </c>
      <c r="D3314" t="s">
        <v>5183</v>
      </c>
      <c r="E3314" t="s">
        <v>360</v>
      </c>
    </row>
    <row r="3315" spans="2:5" x14ac:dyDescent="0.2">
      <c r="B3315" t="s">
        <v>5184</v>
      </c>
      <c r="C3315">
        <v>530111</v>
      </c>
      <c r="D3315" t="s">
        <v>366</v>
      </c>
      <c r="E3315" t="s">
        <v>561</v>
      </c>
    </row>
    <row r="3316" spans="2:5" x14ac:dyDescent="0.2">
      <c r="B3316" t="s">
        <v>5185</v>
      </c>
      <c r="C3316">
        <v>530699</v>
      </c>
      <c r="D3316" t="s">
        <v>5186</v>
      </c>
      <c r="E3316" t="s">
        <v>381</v>
      </c>
    </row>
    <row r="3317" spans="2:5" x14ac:dyDescent="0.2">
      <c r="B3317" t="s">
        <v>5187</v>
      </c>
      <c r="C3317">
        <v>532826</v>
      </c>
      <c r="D3317" t="s">
        <v>5188</v>
      </c>
      <c r="E3317" t="s">
        <v>1103</v>
      </c>
    </row>
    <row r="3318" spans="2:5" x14ac:dyDescent="0.2">
      <c r="B3318" t="s">
        <v>5189</v>
      </c>
      <c r="C3318">
        <v>503127</v>
      </c>
      <c r="D3318" t="s">
        <v>366</v>
      </c>
      <c r="E3318" t="s">
        <v>355</v>
      </c>
    </row>
    <row r="3319" spans="2:5" x14ac:dyDescent="0.2">
      <c r="B3319" t="s">
        <v>5190</v>
      </c>
      <c r="C3319">
        <v>532503</v>
      </c>
      <c r="D3319" t="s">
        <v>366</v>
      </c>
      <c r="E3319" t="s">
        <v>381</v>
      </c>
    </row>
    <row r="3320" spans="2:5" x14ac:dyDescent="0.2">
      <c r="B3320" t="s">
        <v>5191</v>
      </c>
      <c r="C3320">
        <v>538707</v>
      </c>
      <c r="D3320" t="s">
        <v>366</v>
      </c>
      <c r="E3320" t="s">
        <v>561</v>
      </c>
    </row>
    <row r="3321" spans="2:5" x14ac:dyDescent="0.2">
      <c r="B3321" t="s">
        <v>5192</v>
      </c>
      <c r="C3321">
        <v>526873</v>
      </c>
      <c r="D3321" t="s">
        <v>366</v>
      </c>
      <c r="E3321" t="s">
        <v>576</v>
      </c>
    </row>
    <row r="3322" spans="2:5" x14ac:dyDescent="0.2">
      <c r="B3322" t="s">
        <v>5193</v>
      </c>
      <c r="C3322">
        <v>530253</v>
      </c>
      <c r="D3322" t="s">
        <v>366</v>
      </c>
      <c r="E3322" t="s">
        <v>689</v>
      </c>
    </row>
    <row r="3323" spans="2:5" x14ac:dyDescent="0.2">
      <c r="B3323" t="s">
        <v>5194</v>
      </c>
      <c r="C3323">
        <v>507962</v>
      </c>
      <c r="D3323" t="s">
        <v>366</v>
      </c>
      <c r="E3323" t="s">
        <v>383</v>
      </c>
    </row>
    <row r="3324" spans="2:5" x14ac:dyDescent="0.2">
      <c r="B3324" t="s">
        <v>5195</v>
      </c>
      <c r="C3324">
        <v>526662</v>
      </c>
      <c r="D3324" t="s">
        <v>5196</v>
      </c>
      <c r="E3324" t="s">
        <v>764</v>
      </c>
    </row>
    <row r="3325" spans="2:5" x14ac:dyDescent="0.2">
      <c r="B3325" t="s">
        <v>5197</v>
      </c>
      <c r="C3325">
        <v>531500</v>
      </c>
      <c r="D3325" t="s">
        <v>5198</v>
      </c>
      <c r="E3325" t="s">
        <v>480</v>
      </c>
    </row>
    <row r="3326" spans="2:5" x14ac:dyDescent="0.2">
      <c r="B3326" t="s">
        <v>5199</v>
      </c>
      <c r="C3326">
        <v>526823</v>
      </c>
      <c r="D3326" t="s">
        <v>366</v>
      </c>
      <c r="E3326" t="s">
        <v>452</v>
      </c>
    </row>
    <row r="3327" spans="2:5" x14ac:dyDescent="0.2">
      <c r="B3327" t="s">
        <v>5200</v>
      </c>
      <c r="C3327">
        <v>514028</v>
      </c>
      <c r="D3327" t="s">
        <v>366</v>
      </c>
      <c r="E3327" t="s">
        <v>381</v>
      </c>
    </row>
    <row r="3328" spans="2:5" x14ac:dyDescent="0.2">
      <c r="B3328" t="s">
        <v>5201</v>
      </c>
      <c r="C3328">
        <v>539495</v>
      </c>
      <c r="D3328" t="s">
        <v>366</v>
      </c>
      <c r="E3328" t="s">
        <v>383</v>
      </c>
    </row>
    <row r="3329" spans="2:5" x14ac:dyDescent="0.2">
      <c r="B3329" t="s">
        <v>5202</v>
      </c>
      <c r="C3329">
        <v>513369</v>
      </c>
      <c r="D3329" t="s">
        <v>366</v>
      </c>
      <c r="E3329" t="s">
        <v>1284</v>
      </c>
    </row>
    <row r="3330" spans="2:5" x14ac:dyDescent="0.2">
      <c r="B3330" t="s">
        <v>5203</v>
      </c>
      <c r="C3330" t="s">
        <v>366</v>
      </c>
      <c r="D3330" t="s">
        <v>5204</v>
      </c>
      <c r="E3330" t="s">
        <v>377</v>
      </c>
    </row>
    <row r="3331" spans="2:5" x14ac:dyDescent="0.2">
      <c r="B3331" t="s">
        <v>5205</v>
      </c>
      <c r="C3331">
        <v>541601</v>
      </c>
      <c r="D3331" t="s">
        <v>366</v>
      </c>
      <c r="E3331" t="s">
        <v>404</v>
      </c>
    </row>
    <row r="3332" spans="2:5" x14ac:dyDescent="0.2">
      <c r="B3332" t="s">
        <v>5206</v>
      </c>
      <c r="C3332">
        <v>522257</v>
      </c>
      <c r="D3332" t="s">
        <v>366</v>
      </c>
      <c r="E3332" t="s">
        <v>374</v>
      </c>
    </row>
    <row r="3333" spans="2:5" x14ac:dyDescent="0.2">
      <c r="B3333" t="s">
        <v>5207</v>
      </c>
      <c r="C3333">
        <v>517522</v>
      </c>
      <c r="D3333" t="s">
        <v>366</v>
      </c>
      <c r="E3333" t="s">
        <v>721</v>
      </c>
    </row>
    <row r="3334" spans="2:5" x14ac:dyDescent="0.2">
      <c r="B3334" t="s">
        <v>5208</v>
      </c>
      <c r="C3334">
        <v>512409</v>
      </c>
      <c r="D3334" t="s">
        <v>366</v>
      </c>
      <c r="E3334" t="s">
        <v>383</v>
      </c>
    </row>
    <row r="3335" spans="2:5" x14ac:dyDescent="0.2">
      <c r="B3335" t="s">
        <v>5209</v>
      </c>
      <c r="C3335" t="s">
        <v>366</v>
      </c>
      <c r="D3335" t="s">
        <v>5210</v>
      </c>
      <c r="E3335" t="s">
        <v>377</v>
      </c>
    </row>
    <row r="3336" spans="2:5" x14ac:dyDescent="0.2">
      <c r="B3336" t="s">
        <v>5211</v>
      </c>
      <c r="C3336">
        <v>500354</v>
      </c>
      <c r="D3336" t="s">
        <v>5212</v>
      </c>
      <c r="E3336" t="s">
        <v>1065</v>
      </c>
    </row>
    <row r="3337" spans="2:5" x14ac:dyDescent="0.2">
      <c r="B3337" t="s">
        <v>5213</v>
      </c>
      <c r="C3337">
        <v>532665</v>
      </c>
      <c r="D3337" t="s">
        <v>5214</v>
      </c>
      <c r="E3337" t="s">
        <v>381</v>
      </c>
    </row>
    <row r="3338" spans="2:5" x14ac:dyDescent="0.2">
      <c r="B3338" t="s">
        <v>5215</v>
      </c>
      <c r="C3338">
        <v>500355</v>
      </c>
      <c r="D3338" t="s">
        <v>5216</v>
      </c>
      <c r="E3338" t="s">
        <v>510</v>
      </c>
    </row>
    <row r="3339" spans="2:5" x14ac:dyDescent="0.2">
      <c r="B3339" t="s">
        <v>5217</v>
      </c>
      <c r="C3339">
        <v>500355</v>
      </c>
      <c r="D3339" t="s">
        <v>5216</v>
      </c>
      <c r="E3339" t="s">
        <v>510</v>
      </c>
    </row>
    <row r="3340" spans="2:5" x14ac:dyDescent="0.2">
      <c r="B3340" t="s">
        <v>5218</v>
      </c>
      <c r="C3340">
        <v>534734</v>
      </c>
      <c r="D3340" t="s">
        <v>366</v>
      </c>
      <c r="E3340" t="s">
        <v>526</v>
      </c>
    </row>
    <row r="3341" spans="2:5" x14ac:dyDescent="0.2">
      <c r="B3341" t="s">
        <v>5219</v>
      </c>
      <c r="C3341">
        <v>522281</v>
      </c>
      <c r="D3341" t="s">
        <v>366</v>
      </c>
      <c r="E3341" t="s">
        <v>664</v>
      </c>
    </row>
    <row r="3342" spans="2:5" x14ac:dyDescent="0.2">
      <c r="B3342" t="s">
        <v>5220</v>
      </c>
      <c r="C3342">
        <v>500357</v>
      </c>
      <c r="D3342" t="s">
        <v>366</v>
      </c>
      <c r="E3342" t="s">
        <v>360</v>
      </c>
    </row>
    <row r="3343" spans="2:5" x14ac:dyDescent="0.2">
      <c r="B3343" t="s">
        <v>5221</v>
      </c>
      <c r="C3343">
        <v>500358</v>
      </c>
      <c r="D3343" t="s">
        <v>366</v>
      </c>
      <c r="E3343" t="s">
        <v>383</v>
      </c>
    </row>
    <row r="3344" spans="2:5" x14ac:dyDescent="0.2">
      <c r="B3344" t="s">
        <v>5222</v>
      </c>
      <c r="C3344">
        <v>524037</v>
      </c>
      <c r="D3344" t="s">
        <v>366</v>
      </c>
      <c r="E3344" t="s">
        <v>874</v>
      </c>
    </row>
    <row r="3345" spans="2:5" x14ac:dyDescent="0.2">
      <c r="B3345" t="s">
        <v>5223</v>
      </c>
      <c r="C3345">
        <v>502587</v>
      </c>
      <c r="D3345" t="s">
        <v>366</v>
      </c>
      <c r="E3345" t="s">
        <v>360</v>
      </c>
    </row>
    <row r="3346" spans="2:5" x14ac:dyDescent="0.2">
      <c r="B3346" t="s">
        <v>5224</v>
      </c>
      <c r="C3346">
        <v>539309</v>
      </c>
      <c r="D3346" t="s">
        <v>5225</v>
      </c>
      <c r="E3346" t="s">
        <v>689</v>
      </c>
    </row>
    <row r="3347" spans="2:5" x14ac:dyDescent="0.2">
      <c r="B3347" t="s">
        <v>5226</v>
      </c>
      <c r="C3347">
        <v>523289</v>
      </c>
      <c r="D3347" t="s">
        <v>366</v>
      </c>
      <c r="E3347" t="s">
        <v>388</v>
      </c>
    </row>
    <row r="3348" spans="2:5" x14ac:dyDescent="0.2">
      <c r="B3348" t="s">
        <v>5227</v>
      </c>
      <c r="C3348">
        <v>515127</v>
      </c>
      <c r="D3348" t="s">
        <v>366</v>
      </c>
      <c r="E3348" t="s">
        <v>388</v>
      </c>
    </row>
    <row r="3349" spans="2:5" x14ac:dyDescent="0.2">
      <c r="B3349" t="s">
        <v>5228</v>
      </c>
      <c r="C3349">
        <v>538540</v>
      </c>
      <c r="D3349" t="s">
        <v>366</v>
      </c>
      <c r="E3349" t="s">
        <v>383</v>
      </c>
    </row>
    <row r="3350" spans="2:5" x14ac:dyDescent="0.2">
      <c r="B3350" t="s">
        <v>5229</v>
      </c>
      <c r="C3350">
        <v>532369</v>
      </c>
      <c r="D3350" t="s">
        <v>5230</v>
      </c>
      <c r="E3350" t="s">
        <v>894</v>
      </c>
    </row>
    <row r="3351" spans="2:5" x14ac:dyDescent="0.2">
      <c r="B3351" t="s">
        <v>5231</v>
      </c>
      <c r="C3351">
        <v>532370</v>
      </c>
      <c r="D3351" t="s">
        <v>5232</v>
      </c>
      <c r="E3351" t="s">
        <v>352</v>
      </c>
    </row>
    <row r="3352" spans="2:5" x14ac:dyDescent="0.2">
      <c r="B3352" t="s">
        <v>5233</v>
      </c>
      <c r="C3352">
        <v>514223</v>
      </c>
      <c r="D3352" t="s">
        <v>5234</v>
      </c>
      <c r="E3352" t="s">
        <v>388</v>
      </c>
    </row>
    <row r="3353" spans="2:5" x14ac:dyDescent="0.2">
      <c r="B3353" t="s">
        <v>5235</v>
      </c>
      <c r="C3353">
        <v>530951</v>
      </c>
      <c r="D3353" t="s">
        <v>366</v>
      </c>
      <c r="E3353" t="s">
        <v>459</v>
      </c>
    </row>
    <row r="3354" spans="2:5" x14ac:dyDescent="0.2">
      <c r="B3354" t="s">
        <v>5236</v>
      </c>
      <c r="C3354">
        <v>532527</v>
      </c>
      <c r="D3354" t="s">
        <v>5237</v>
      </c>
      <c r="E3354" t="s">
        <v>1284</v>
      </c>
    </row>
    <row r="3355" spans="2:5" x14ac:dyDescent="0.2">
      <c r="B3355" t="s">
        <v>5238</v>
      </c>
      <c r="C3355">
        <v>533262</v>
      </c>
      <c r="D3355" t="s">
        <v>5239</v>
      </c>
      <c r="E3355" t="s">
        <v>764</v>
      </c>
    </row>
    <row r="3356" spans="2:5" x14ac:dyDescent="0.2">
      <c r="B3356" t="s">
        <v>5240</v>
      </c>
      <c r="C3356">
        <v>532690</v>
      </c>
      <c r="D3356" t="s">
        <v>5241</v>
      </c>
      <c r="E3356" t="s">
        <v>398</v>
      </c>
    </row>
    <row r="3357" spans="2:5" x14ac:dyDescent="0.2">
      <c r="B3357" t="s">
        <v>5242</v>
      </c>
      <c r="C3357">
        <v>530925</v>
      </c>
      <c r="D3357" t="s">
        <v>366</v>
      </c>
      <c r="E3357" t="s">
        <v>383</v>
      </c>
    </row>
    <row r="3358" spans="2:5" x14ac:dyDescent="0.2">
      <c r="B3358" t="s">
        <v>5243</v>
      </c>
      <c r="C3358">
        <v>507490</v>
      </c>
      <c r="D3358" t="s">
        <v>5244</v>
      </c>
      <c r="E3358" t="s">
        <v>1065</v>
      </c>
    </row>
    <row r="3359" spans="2:5" x14ac:dyDescent="0.2">
      <c r="B3359" t="s">
        <v>5245</v>
      </c>
      <c r="C3359">
        <v>531228</v>
      </c>
      <c r="D3359" t="s">
        <v>366</v>
      </c>
      <c r="E3359" t="s">
        <v>383</v>
      </c>
    </row>
    <row r="3360" spans="2:5" x14ac:dyDescent="0.2">
      <c r="B3360" t="s">
        <v>5246</v>
      </c>
      <c r="C3360">
        <v>532987</v>
      </c>
      <c r="D3360" t="s">
        <v>5247</v>
      </c>
      <c r="E3360" t="s">
        <v>721</v>
      </c>
    </row>
    <row r="3361" spans="2:5" x14ac:dyDescent="0.2">
      <c r="B3361" t="s">
        <v>5248</v>
      </c>
      <c r="C3361">
        <v>532988</v>
      </c>
      <c r="D3361" t="s">
        <v>5249</v>
      </c>
      <c r="E3361" t="s">
        <v>721</v>
      </c>
    </row>
    <row r="3362" spans="2:5" x14ac:dyDescent="0.2">
      <c r="B3362" t="s">
        <v>5250</v>
      </c>
      <c r="C3362">
        <v>505800</v>
      </c>
      <c r="D3362" t="s">
        <v>5251</v>
      </c>
      <c r="E3362" t="s">
        <v>721</v>
      </c>
    </row>
    <row r="3363" spans="2:5" x14ac:dyDescent="0.2">
      <c r="B3363" t="s">
        <v>5252</v>
      </c>
      <c r="C3363">
        <v>532661</v>
      </c>
      <c r="D3363" t="s">
        <v>5253</v>
      </c>
      <c r="E3363" t="s">
        <v>721</v>
      </c>
    </row>
    <row r="3364" spans="2:5" x14ac:dyDescent="0.2">
      <c r="B3364" t="s">
        <v>5254</v>
      </c>
      <c r="C3364">
        <v>541945</v>
      </c>
      <c r="D3364" t="s">
        <v>366</v>
      </c>
      <c r="E3364" t="s">
        <v>764</v>
      </c>
    </row>
    <row r="3365" spans="2:5" x14ac:dyDescent="0.2">
      <c r="B3365" t="s">
        <v>5255</v>
      </c>
      <c r="C3365">
        <v>531583</v>
      </c>
      <c r="D3365" t="s">
        <v>366</v>
      </c>
      <c r="E3365" t="s">
        <v>383</v>
      </c>
    </row>
    <row r="3366" spans="2:5" x14ac:dyDescent="0.2">
      <c r="B3366" t="s">
        <v>5256</v>
      </c>
      <c r="C3366">
        <v>500360</v>
      </c>
      <c r="D3366" t="s">
        <v>366</v>
      </c>
      <c r="E3366" t="s">
        <v>374</v>
      </c>
    </row>
    <row r="3367" spans="2:5" x14ac:dyDescent="0.2">
      <c r="B3367" t="s">
        <v>5257</v>
      </c>
      <c r="C3367">
        <v>501351</v>
      </c>
      <c r="D3367" t="s">
        <v>366</v>
      </c>
      <c r="E3367" t="s">
        <v>787</v>
      </c>
    </row>
    <row r="3368" spans="2:5" x14ac:dyDescent="0.2">
      <c r="B3368" t="s">
        <v>5258</v>
      </c>
      <c r="C3368">
        <v>507966</v>
      </c>
      <c r="D3368" t="s">
        <v>366</v>
      </c>
      <c r="E3368" t="s">
        <v>567</v>
      </c>
    </row>
    <row r="3369" spans="2:5" x14ac:dyDescent="0.2">
      <c r="B3369" t="s">
        <v>5259</v>
      </c>
      <c r="C3369">
        <v>522207</v>
      </c>
      <c r="D3369" t="s">
        <v>366</v>
      </c>
      <c r="E3369" t="s">
        <v>721</v>
      </c>
    </row>
    <row r="3370" spans="2:5" x14ac:dyDescent="0.2">
      <c r="B3370" t="s">
        <v>5260</v>
      </c>
      <c r="C3370">
        <v>522207</v>
      </c>
      <c r="D3370" t="s">
        <v>366</v>
      </c>
      <c r="E3370" t="s">
        <v>721</v>
      </c>
    </row>
    <row r="3371" spans="2:5" x14ac:dyDescent="0.2">
      <c r="B3371" t="s">
        <v>5261</v>
      </c>
      <c r="C3371">
        <v>524230</v>
      </c>
      <c r="D3371" t="s">
        <v>5262</v>
      </c>
      <c r="E3371" t="s">
        <v>874</v>
      </c>
    </row>
    <row r="3372" spans="2:5" x14ac:dyDescent="0.2">
      <c r="B3372" t="s">
        <v>5263</v>
      </c>
      <c r="C3372">
        <v>531233</v>
      </c>
      <c r="D3372" t="s">
        <v>366</v>
      </c>
      <c r="E3372" t="s">
        <v>551</v>
      </c>
    </row>
    <row r="3373" spans="2:5" x14ac:dyDescent="0.2">
      <c r="B3373" t="s">
        <v>5264</v>
      </c>
      <c r="C3373">
        <v>507649</v>
      </c>
      <c r="D3373" t="s">
        <v>366</v>
      </c>
      <c r="E3373" t="s">
        <v>615</v>
      </c>
    </row>
    <row r="3374" spans="2:5" x14ac:dyDescent="0.2">
      <c r="B3374" t="s">
        <v>5265</v>
      </c>
      <c r="C3374">
        <v>532918</v>
      </c>
      <c r="D3374" t="s">
        <v>366</v>
      </c>
      <c r="E3374" t="s">
        <v>689</v>
      </c>
    </row>
    <row r="3375" spans="2:5" x14ac:dyDescent="0.2">
      <c r="B3375" t="s">
        <v>5266</v>
      </c>
      <c r="C3375">
        <v>524610</v>
      </c>
      <c r="D3375" t="s">
        <v>366</v>
      </c>
      <c r="E3375" t="s">
        <v>526</v>
      </c>
    </row>
    <row r="3376" spans="2:5" x14ac:dyDescent="0.2">
      <c r="B3376" t="s">
        <v>5267</v>
      </c>
      <c r="C3376">
        <v>540796</v>
      </c>
      <c r="D3376" t="s">
        <v>366</v>
      </c>
      <c r="E3376" t="s">
        <v>452</v>
      </c>
    </row>
    <row r="3377" spans="2:5" x14ac:dyDescent="0.2">
      <c r="B3377" t="s">
        <v>5268</v>
      </c>
      <c r="C3377">
        <v>520111</v>
      </c>
      <c r="D3377" t="s">
        <v>5269</v>
      </c>
      <c r="E3377" t="s">
        <v>764</v>
      </c>
    </row>
    <row r="3378" spans="2:5" x14ac:dyDescent="0.2">
      <c r="B3378" t="s">
        <v>5270</v>
      </c>
      <c r="C3378">
        <v>534597</v>
      </c>
      <c r="D3378" t="s">
        <v>5271</v>
      </c>
      <c r="E3378" t="s">
        <v>505</v>
      </c>
    </row>
    <row r="3379" spans="2:5" x14ac:dyDescent="0.2">
      <c r="B3379" t="s">
        <v>5272</v>
      </c>
      <c r="C3379">
        <v>533122</v>
      </c>
      <c r="D3379" t="s">
        <v>5273</v>
      </c>
      <c r="E3379" t="s">
        <v>505</v>
      </c>
    </row>
    <row r="3380" spans="2:5" x14ac:dyDescent="0.2">
      <c r="B3380" t="s">
        <v>5274</v>
      </c>
      <c r="C3380">
        <v>537840</v>
      </c>
      <c r="D3380" t="s">
        <v>366</v>
      </c>
      <c r="E3380" t="s">
        <v>764</v>
      </c>
    </row>
    <row r="3381" spans="2:5" x14ac:dyDescent="0.2">
      <c r="B3381" t="s">
        <v>5275</v>
      </c>
      <c r="C3381">
        <v>507300</v>
      </c>
      <c r="D3381" t="s">
        <v>366</v>
      </c>
      <c r="E3381" t="s">
        <v>1065</v>
      </c>
    </row>
    <row r="3382" spans="2:5" x14ac:dyDescent="0.2">
      <c r="B3382" t="s">
        <v>5276</v>
      </c>
      <c r="C3382">
        <v>533294</v>
      </c>
      <c r="D3382" t="s">
        <v>5277</v>
      </c>
      <c r="E3382" t="s">
        <v>998</v>
      </c>
    </row>
    <row r="3383" spans="2:5" x14ac:dyDescent="0.2">
      <c r="B3383" t="s">
        <v>5278</v>
      </c>
      <c r="C3383">
        <v>526095</v>
      </c>
      <c r="D3383" t="s">
        <v>366</v>
      </c>
      <c r="E3383" t="s">
        <v>894</v>
      </c>
    </row>
    <row r="3384" spans="2:5" x14ac:dyDescent="0.2">
      <c r="B3384" t="s">
        <v>5279</v>
      </c>
      <c r="C3384">
        <v>504341</v>
      </c>
      <c r="D3384" t="s">
        <v>366</v>
      </c>
      <c r="E3384" t="s">
        <v>349</v>
      </c>
    </row>
    <row r="3385" spans="2:5" x14ac:dyDescent="0.2">
      <c r="B3385" t="s">
        <v>5280</v>
      </c>
      <c r="C3385">
        <v>541634</v>
      </c>
      <c r="D3385" t="s">
        <v>366</v>
      </c>
      <c r="E3385" t="s">
        <v>894</v>
      </c>
    </row>
    <row r="3386" spans="2:5" x14ac:dyDescent="0.2">
      <c r="B3386" t="s">
        <v>5281</v>
      </c>
      <c r="C3386">
        <v>531207</v>
      </c>
      <c r="D3386" t="s">
        <v>366</v>
      </c>
      <c r="E3386" t="s">
        <v>404</v>
      </c>
    </row>
    <row r="3387" spans="2:5" x14ac:dyDescent="0.2">
      <c r="B3387" t="s">
        <v>5282</v>
      </c>
      <c r="C3387">
        <v>500330</v>
      </c>
      <c r="D3387" t="s">
        <v>5283</v>
      </c>
      <c r="E3387" t="s">
        <v>381</v>
      </c>
    </row>
    <row r="3388" spans="2:5" x14ac:dyDescent="0.2">
      <c r="B3388" t="s">
        <v>5284</v>
      </c>
      <c r="C3388">
        <v>540065</v>
      </c>
      <c r="D3388" t="s">
        <v>5285</v>
      </c>
      <c r="E3388" t="s">
        <v>684</v>
      </c>
    </row>
    <row r="3389" spans="2:5" x14ac:dyDescent="0.2">
      <c r="B3389" t="s">
        <v>5286</v>
      </c>
      <c r="C3389">
        <v>531825</v>
      </c>
      <c r="D3389" t="s">
        <v>366</v>
      </c>
      <c r="E3389" t="s">
        <v>352</v>
      </c>
    </row>
    <row r="3390" spans="2:5" x14ac:dyDescent="0.2">
      <c r="B3390" t="s">
        <v>5287</v>
      </c>
      <c r="C3390">
        <v>537254</v>
      </c>
      <c r="D3390" t="s">
        <v>366</v>
      </c>
      <c r="E3390" t="s">
        <v>388</v>
      </c>
    </row>
    <row r="3391" spans="2:5" x14ac:dyDescent="0.2">
      <c r="B3391" t="s">
        <v>5288</v>
      </c>
      <c r="C3391">
        <v>534708</v>
      </c>
      <c r="D3391" t="s">
        <v>366</v>
      </c>
      <c r="E3391" t="s">
        <v>535</v>
      </c>
    </row>
    <row r="3392" spans="2:5" x14ac:dyDescent="0.2">
      <c r="B3392" t="s">
        <v>5289</v>
      </c>
      <c r="C3392">
        <v>533608</v>
      </c>
      <c r="D3392" t="s">
        <v>366</v>
      </c>
      <c r="E3392" t="s">
        <v>486</v>
      </c>
    </row>
    <row r="3393" spans="2:5" x14ac:dyDescent="0.2">
      <c r="B3393" t="s">
        <v>5290</v>
      </c>
      <c r="C3393">
        <v>533285</v>
      </c>
      <c r="D3393" t="s">
        <v>366</v>
      </c>
      <c r="E3393" t="s">
        <v>452</v>
      </c>
    </row>
    <row r="3394" spans="2:5" x14ac:dyDescent="0.2">
      <c r="B3394" t="s">
        <v>5291</v>
      </c>
      <c r="C3394">
        <v>539691</v>
      </c>
      <c r="D3394" t="s">
        <v>366</v>
      </c>
      <c r="E3394" t="s">
        <v>388</v>
      </c>
    </row>
    <row r="3395" spans="2:5" x14ac:dyDescent="0.2">
      <c r="B3395" t="s">
        <v>5292</v>
      </c>
      <c r="C3395">
        <v>530053</v>
      </c>
      <c r="D3395" t="s">
        <v>366</v>
      </c>
      <c r="E3395" t="s">
        <v>452</v>
      </c>
    </row>
    <row r="3396" spans="2:5" x14ac:dyDescent="0.2">
      <c r="B3396" t="s">
        <v>5293</v>
      </c>
      <c r="C3396">
        <v>513558</v>
      </c>
      <c r="D3396" t="s">
        <v>366</v>
      </c>
      <c r="E3396" t="s">
        <v>398</v>
      </c>
    </row>
    <row r="3397" spans="2:5" x14ac:dyDescent="0.2">
      <c r="B3397" t="s">
        <v>5294</v>
      </c>
      <c r="C3397">
        <v>538611</v>
      </c>
      <c r="D3397" t="s">
        <v>366</v>
      </c>
      <c r="E3397" t="s">
        <v>349</v>
      </c>
    </row>
    <row r="3398" spans="2:5" x14ac:dyDescent="0.2">
      <c r="B3398" t="s">
        <v>5295</v>
      </c>
      <c r="C3398">
        <v>532955</v>
      </c>
      <c r="D3398" t="s">
        <v>5296</v>
      </c>
      <c r="E3398" t="s">
        <v>383</v>
      </c>
    </row>
    <row r="3399" spans="2:5" x14ac:dyDescent="0.2">
      <c r="B3399" t="s">
        <v>5297</v>
      </c>
      <c r="C3399">
        <v>523650</v>
      </c>
      <c r="D3399" t="s">
        <v>366</v>
      </c>
      <c r="E3399" t="s">
        <v>374</v>
      </c>
    </row>
    <row r="3400" spans="2:5" x14ac:dyDescent="0.2">
      <c r="B3400" t="s">
        <v>5298</v>
      </c>
      <c r="C3400">
        <v>532805</v>
      </c>
      <c r="D3400" t="s">
        <v>5299</v>
      </c>
      <c r="E3400" t="s">
        <v>388</v>
      </c>
    </row>
    <row r="3401" spans="2:5" x14ac:dyDescent="0.2">
      <c r="B3401" t="s">
        <v>5300</v>
      </c>
      <c r="C3401">
        <v>532805</v>
      </c>
      <c r="D3401" t="s">
        <v>5299</v>
      </c>
      <c r="E3401" t="s">
        <v>388</v>
      </c>
    </row>
    <row r="3402" spans="2:5" x14ac:dyDescent="0.2">
      <c r="B3402" t="s">
        <v>5301</v>
      </c>
      <c r="C3402">
        <v>532884</v>
      </c>
      <c r="D3402" t="s">
        <v>5302</v>
      </c>
      <c r="E3402" t="s">
        <v>1400</v>
      </c>
    </row>
    <row r="3403" spans="2:5" x14ac:dyDescent="0.2">
      <c r="B3403" t="s">
        <v>5303</v>
      </c>
      <c r="C3403">
        <v>530815</v>
      </c>
      <c r="D3403" t="s">
        <v>366</v>
      </c>
      <c r="E3403" t="s">
        <v>414</v>
      </c>
    </row>
    <row r="3404" spans="2:5" x14ac:dyDescent="0.2">
      <c r="B3404" t="s">
        <v>5304</v>
      </c>
      <c r="C3404">
        <v>531033</v>
      </c>
      <c r="D3404" t="s">
        <v>366</v>
      </c>
      <c r="E3404" t="s">
        <v>383</v>
      </c>
    </row>
    <row r="3405" spans="2:5" x14ac:dyDescent="0.2">
      <c r="B3405" t="s">
        <v>5305</v>
      </c>
      <c r="C3405">
        <v>530807</v>
      </c>
      <c r="D3405" t="s">
        <v>366</v>
      </c>
      <c r="E3405" t="s">
        <v>452</v>
      </c>
    </row>
    <row r="3406" spans="2:5" x14ac:dyDescent="0.2">
      <c r="B3406" t="s">
        <v>5306</v>
      </c>
      <c r="C3406">
        <v>515018</v>
      </c>
      <c r="D3406" t="s">
        <v>5307</v>
      </c>
      <c r="E3406" t="s">
        <v>643</v>
      </c>
    </row>
    <row r="3407" spans="2:5" x14ac:dyDescent="0.2">
      <c r="B3407" t="s">
        <v>5308</v>
      </c>
      <c r="C3407">
        <v>540175</v>
      </c>
      <c r="D3407" t="s">
        <v>366</v>
      </c>
      <c r="E3407" t="s">
        <v>349</v>
      </c>
    </row>
    <row r="3408" spans="2:5" x14ac:dyDescent="0.2">
      <c r="B3408" t="s">
        <v>5309</v>
      </c>
      <c r="C3408">
        <v>511585</v>
      </c>
      <c r="D3408" t="s">
        <v>366</v>
      </c>
      <c r="E3408" t="s">
        <v>383</v>
      </c>
    </row>
    <row r="3409" spans="2:5" x14ac:dyDescent="0.2">
      <c r="B3409" t="s">
        <v>5310</v>
      </c>
      <c r="C3409">
        <v>512624</v>
      </c>
      <c r="D3409" t="s">
        <v>366</v>
      </c>
      <c r="E3409" t="s">
        <v>388</v>
      </c>
    </row>
    <row r="3410" spans="2:5" x14ac:dyDescent="0.2">
      <c r="B3410" t="s">
        <v>5311</v>
      </c>
      <c r="C3410">
        <v>505817</v>
      </c>
      <c r="D3410" t="s">
        <v>366</v>
      </c>
      <c r="E3410" t="s">
        <v>721</v>
      </c>
    </row>
    <row r="3411" spans="2:5" x14ac:dyDescent="0.2">
      <c r="B3411" t="s">
        <v>5312</v>
      </c>
      <c r="C3411">
        <v>505817</v>
      </c>
      <c r="D3411" t="s">
        <v>366</v>
      </c>
      <c r="E3411" t="s">
        <v>721</v>
      </c>
    </row>
    <row r="3412" spans="2:5" x14ac:dyDescent="0.2">
      <c r="B3412" t="s">
        <v>5313</v>
      </c>
      <c r="C3412">
        <v>526075</v>
      </c>
      <c r="D3412" t="s">
        <v>366</v>
      </c>
      <c r="E3412" t="s">
        <v>404</v>
      </c>
    </row>
    <row r="3413" spans="2:5" x14ac:dyDescent="0.2">
      <c r="B3413" t="s">
        <v>5314</v>
      </c>
      <c r="C3413">
        <v>530517</v>
      </c>
      <c r="D3413" t="s">
        <v>5315</v>
      </c>
      <c r="E3413" t="s">
        <v>792</v>
      </c>
    </row>
    <row r="3414" spans="2:5" x14ac:dyDescent="0.2">
      <c r="B3414" t="s">
        <v>5316</v>
      </c>
      <c r="C3414" t="s">
        <v>366</v>
      </c>
      <c r="D3414" t="s">
        <v>5317</v>
      </c>
      <c r="E3414" t="s">
        <v>377</v>
      </c>
    </row>
    <row r="3415" spans="2:5" x14ac:dyDescent="0.2">
      <c r="B3415" t="s">
        <v>5318</v>
      </c>
      <c r="C3415">
        <v>532124</v>
      </c>
      <c r="D3415" t="s">
        <v>366</v>
      </c>
      <c r="E3415" t="s">
        <v>567</v>
      </c>
    </row>
    <row r="3416" spans="2:5" x14ac:dyDescent="0.2">
      <c r="B3416" t="s">
        <v>5319</v>
      </c>
      <c r="C3416">
        <v>532124</v>
      </c>
      <c r="D3416" t="s">
        <v>366</v>
      </c>
      <c r="E3416" t="s">
        <v>567</v>
      </c>
    </row>
    <row r="3417" spans="2:5" x14ac:dyDescent="0.2">
      <c r="B3417" t="s">
        <v>5320</v>
      </c>
      <c r="C3417">
        <v>500111</v>
      </c>
      <c r="D3417" t="s">
        <v>5321</v>
      </c>
      <c r="E3417" t="s">
        <v>383</v>
      </c>
    </row>
    <row r="3418" spans="2:5" x14ac:dyDescent="0.2">
      <c r="B3418" t="s">
        <v>5322</v>
      </c>
      <c r="C3418">
        <v>503162</v>
      </c>
      <c r="D3418" t="s">
        <v>366</v>
      </c>
      <c r="E3418" t="s">
        <v>381</v>
      </c>
    </row>
    <row r="3419" spans="2:5" x14ac:dyDescent="0.2">
      <c r="B3419" t="s">
        <v>5323</v>
      </c>
      <c r="C3419">
        <v>532712</v>
      </c>
      <c r="D3419" t="s">
        <v>5324</v>
      </c>
      <c r="E3419" t="s">
        <v>1308</v>
      </c>
    </row>
    <row r="3420" spans="2:5" x14ac:dyDescent="0.2">
      <c r="B3420" t="s">
        <v>5325</v>
      </c>
      <c r="C3420">
        <v>590106</v>
      </c>
      <c r="D3420" t="s">
        <v>5326</v>
      </c>
      <c r="E3420" t="s">
        <v>349</v>
      </c>
    </row>
    <row r="3421" spans="2:5" x14ac:dyDescent="0.2">
      <c r="B3421" t="s">
        <v>5327</v>
      </c>
      <c r="C3421">
        <v>590095</v>
      </c>
      <c r="D3421" t="s">
        <v>5328</v>
      </c>
      <c r="E3421" t="s">
        <v>349</v>
      </c>
    </row>
    <row r="3422" spans="2:5" x14ac:dyDescent="0.2">
      <c r="B3422" t="s">
        <v>5329</v>
      </c>
      <c r="C3422">
        <v>590113</v>
      </c>
      <c r="D3422" t="s">
        <v>5330</v>
      </c>
      <c r="E3422" t="s">
        <v>349</v>
      </c>
    </row>
    <row r="3423" spans="2:5" x14ac:dyDescent="0.2">
      <c r="B3423" t="s">
        <v>5331</v>
      </c>
      <c r="C3423">
        <v>590104</v>
      </c>
      <c r="D3423" t="s">
        <v>5332</v>
      </c>
      <c r="E3423" t="s">
        <v>349</v>
      </c>
    </row>
    <row r="3424" spans="2:5" x14ac:dyDescent="0.2">
      <c r="B3424" t="s">
        <v>5333</v>
      </c>
      <c r="C3424">
        <v>590103</v>
      </c>
      <c r="D3424" t="s">
        <v>5334</v>
      </c>
      <c r="E3424" t="s">
        <v>349</v>
      </c>
    </row>
    <row r="3425" spans="2:5" x14ac:dyDescent="0.2">
      <c r="B3425" t="s">
        <v>5335</v>
      </c>
      <c r="C3425">
        <v>590108</v>
      </c>
      <c r="D3425" t="s">
        <v>5336</v>
      </c>
      <c r="E3425" t="s">
        <v>349</v>
      </c>
    </row>
    <row r="3426" spans="2:5" x14ac:dyDescent="0.2">
      <c r="B3426" t="s">
        <v>5337</v>
      </c>
      <c r="C3426">
        <v>590109</v>
      </c>
      <c r="D3426" t="s">
        <v>5338</v>
      </c>
      <c r="E3426" t="s">
        <v>349</v>
      </c>
    </row>
    <row r="3427" spans="2:5" x14ac:dyDescent="0.2">
      <c r="B3427" t="s">
        <v>5339</v>
      </c>
      <c r="C3427">
        <v>540709</v>
      </c>
      <c r="D3427" t="s">
        <v>5340</v>
      </c>
      <c r="E3427" t="s">
        <v>424</v>
      </c>
    </row>
    <row r="3428" spans="2:5" x14ac:dyDescent="0.2">
      <c r="B3428" t="s">
        <v>5341</v>
      </c>
      <c r="C3428">
        <v>523445</v>
      </c>
      <c r="D3428" t="s">
        <v>5342</v>
      </c>
      <c r="E3428" t="s">
        <v>764</v>
      </c>
    </row>
    <row r="3429" spans="2:5" x14ac:dyDescent="0.2">
      <c r="B3429" t="s">
        <v>5343</v>
      </c>
      <c r="C3429">
        <v>500325</v>
      </c>
      <c r="D3429" t="s">
        <v>5344</v>
      </c>
      <c r="E3429" t="s">
        <v>497</v>
      </c>
    </row>
    <row r="3430" spans="2:5" x14ac:dyDescent="0.2">
      <c r="B3430" t="s">
        <v>5345</v>
      </c>
      <c r="C3430">
        <v>500390</v>
      </c>
      <c r="D3430" t="s">
        <v>5346</v>
      </c>
      <c r="E3430" t="s">
        <v>505</v>
      </c>
    </row>
    <row r="3431" spans="2:5" x14ac:dyDescent="0.2">
      <c r="B3431" t="s">
        <v>5347</v>
      </c>
      <c r="C3431">
        <v>533107</v>
      </c>
      <c r="D3431" t="s">
        <v>5348</v>
      </c>
      <c r="E3431" t="s">
        <v>839</v>
      </c>
    </row>
    <row r="3432" spans="2:5" x14ac:dyDescent="0.2">
      <c r="B3432" t="s">
        <v>5349</v>
      </c>
      <c r="C3432">
        <v>540767</v>
      </c>
      <c r="D3432" t="s">
        <v>5350</v>
      </c>
      <c r="E3432" t="s">
        <v>2767</v>
      </c>
    </row>
    <row r="3433" spans="2:5" x14ac:dyDescent="0.2">
      <c r="B3433" t="s">
        <v>5351</v>
      </c>
      <c r="C3433">
        <v>532939</v>
      </c>
      <c r="D3433" t="s">
        <v>5352</v>
      </c>
      <c r="E3433" t="s">
        <v>505</v>
      </c>
    </row>
    <row r="3434" spans="2:5" x14ac:dyDescent="0.2">
      <c r="B3434" t="s">
        <v>5353</v>
      </c>
      <c r="C3434">
        <v>511712</v>
      </c>
      <c r="D3434" t="s">
        <v>366</v>
      </c>
      <c r="E3434" t="s">
        <v>349</v>
      </c>
    </row>
    <row r="3435" spans="2:5" x14ac:dyDescent="0.2">
      <c r="B3435" t="s">
        <v>5354</v>
      </c>
      <c r="C3435">
        <v>539760</v>
      </c>
      <c r="D3435" t="s">
        <v>366</v>
      </c>
      <c r="E3435" t="s">
        <v>664</v>
      </c>
    </row>
    <row r="3436" spans="2:5" x14ac:dyDescent="0.2">
      <c r="B3436" t="s">
        <v>5355</v>
      </c>
      <c r="C3436">
        <v>532915</v>
      </c>
      <c r="D3436" t="s">
        <v>5356</v>
      </c>
      <c r="E3436" t="s">
        <v>349</v>
      </c>
    </row>
    <row r="3437" spans="2:5" x14ac:dyDescent="0.2">
      <c r="B3437" t="s">
        <v>5357</v>
      </c>
      <c r="C3437">
        <v>540426</v>
      </c>
      <c r="D3437" t="s">
        <v>366</v>
      </c>
      <c r="E3437" t="s">
        <v>452</v>
      </c>
    </row>
    <row r="3438" spans="2:5" x14ac:dyDescent="0.2">
      <c r="B3438" t="s">
        <v>5358</v>
      </c>
      <c r="C3438">
        <v>513043</v>
      </c>
      <c r="D3438" t="s">
        <v>366</v>
      </c>
      <c r="E3438" t="s">
        <v>689</v>
      </c>
    </row>
    <row r="3439" spans="2:5" x14ac:dyDescent="0.2">
      <c r="B3439" t="s">
        <v>5359</v>
      </c>
      <c r="C3439">
        <v>512487</v>
      </c>
      <c r="D3439" t="s">
        <v>366</v>
      </c>
      <c r="E3439" t="s">
        <v>388</v>
      </c>
    </row>
    <row r="3440" spans="2:5" x14ac:dyDescent="0.2">
      <c r="B3440" t="s">
        <v>5360</v>
      </c>
      <c r="C3440">
        <v>505658</v>
      </c>
      <c r="D3440" t="s">
        <v>366</v>
      </c>
      <c r="E3440" t="s">
        <v>374</v>
      </c>
    </row>
    <row r="3441" spans="2:5" x14ac:dyDescent="0.2">
      <c r="B3441" t="s">
        <v>5361</v>
      </c>
      <c r="C3441">
        <v>504360</v>
      </c>
      <c r="D3441" t="s">
        <v>366</v>
      </c>
      <c r="E3441" t="s">
        <v>388</v>
      </c>
    </row>
    <row r="3442" spans="2:5" x14ac:dyDescent="0.2">
      <c r="B3442" t="s">
        <v>5362</v>
      </c>
      <c r="C3442">
        <v>511149</v>
      </c>
      <c r="D3442" t="s">
        <v>366</v>
      </c>
      <c r="E3442" t="s">
        <v>787</v>
      </c>
    </row>
    <row r="3443" spans="2:5" x14ac:dyDescent="0.2">
      <c r="B3443" t="s">
        <v>5363</v>
      </c>
      <c r="C3443">
        <v>530919</v>
      </c>
      <c r="D3443" t="s">
        <v>5364</v>
      </c>
      <c r="E3443" t="s">
        <v>3700</v>
      </c>
    </row>
    <row r="3444" spans="2:5" x14ac:dyDescent="0.2">
      <c r="B3444" t="s">
        <v>5365</v>
      </c>
      <c r="C3444" t="s">
        <v>366</v>
      </c>
      <c r="D3444" t="s">
        <v>5366</v>
      </c>
      <c r="E3444" t="s">
        <v>3700</v>
      </c>
    </row>
    <row r="3445" spans="2:5" x14ac:dyDescent="0.2">
      <c r="B3445" t="s">
        <v>5367</v>
      </c>
      <c r="C3445">
        <v>532923</v>
      </c>
      <c r="D3445" t="s">
        <v>5368</v>
      </c>
      <c r="E3445" t="s">
        <v>480</v>
      </c>
    </row>
    <row r="3446" spans="2:5" x14ac:dyDescent="0.2">
      <c r="B3446" t="s">
        <v>5369</v>
      </c>
      <c r="C3446">
        <v>535322</v>
      </c>
      <c r="D3446" t="s">
        <v>5370</v>
      </c>
      <c r="E3446" t="s">
        <v>424</v>
      </c>
    </row>
    <row r="3447" spans="2:5" x14ac:dyDescent="0.2">
      <c r="B3447" t="s">
        <v>5371</v>
      </c>
      <c r="C3447">
        <v>532687</v>
      </c>
      <c r="D3447" t="s">
        <v>5372</v>
      </c>
      <c r="E3447" t="s">
        <v>2355</v>
      </c>
    </row>
    <row r="3448" spans="2:5" x14ac:dyDescent="0.2">
      <c r="B3448" t="s">
        <v>5373</v>
      </c>
      <c r="C3448">
        <v>532687</v>
      </c>
      <c r="D3448" t="s">
        <v>5372</v>
      </c>
      <c r="E3448" t="s">
        <v>2355</v>
      </c>
    </row>
    <row r="3449" spans="2:5" x14ac:dyDescent="0.2">
      <c r="B3449" t="s">
        <v>5374</v>
      </c>
      <c r="C3449">
        <v>524218</v>
      </c>
      <c r="D3449" t="s">
        <v>366</v>
      </c>
      <c r="E3449" t="s">
        <v>404</v>
      </c>
    </row>
    <row r="3450" spans="2:5" x14ac:dyDescent="0.2">
      <c r="B3450" t="s">
        <v>5375</v>
      </c>
      <c r="C3450">
        <v>505509</v>
      </c>
      <c r="D3450" t="s">
        <v>5376</v>
      </c>
      <c r="E3450" t="s">
        <v>486</v>
      </c>
    </row>
    <row r="3451" spans="2:5" x14ac:dyDescent="0.2">
      <c r="B3451" t="s">
        <v>5377</v>
      </c>
      <c r="C3451">
        <v>515085</v>
      </c>
      <c r="D3451" t="s">
        <v>366</v>
      </c>
      <c r="E3451" t="s">
        <v>643</v>
      </c>
    </row>
    <row r="3452" spans="2:5" x14ac:dyDescent="0.2">
      <c r="B3452" t="s">
        <v>5378</v>
      </c>
      <c r="C3452">
        <v>519191</v>
      </c>
      <c r="D3452" t="s">
        <v>5379</v>
      </c>
      <c r="E3452" t="s">
        <v>5380</v>
      </c>
    </row>
    <row r="3453" spans="2:5" x14ac:dyDescent="0.2">
      <c r="B3453" t="s">
        <v>5381</v>
      </c>
      <c r="C3453">
        <v>505368</v>
      </c>
      <c r="D3453" t="s">
        <v>5382</v>
      </c>
      <c r="E3453" t="s">
        <v>374</v>
      </c>
    </row>
    <row r="3454" spans="2:5" x14ac:dyDescent="0.2">
      <c r="B3454" t="s">
        <v>5383</v>
      </c>
      <c r="C3454">
        <v>531888</v>
      </c>
      <c r="D3454" t="s">
        <v>366</v>
      </c>
      <c r="E3454" t="s">
        <v>374</v>
      </c>
    </row>
    <row r="3455" spans="2:5" x14ac:dyDescent="0.2">
      <c r="B3455" t="s">
        <v>5384</v>
      </c>
      <c r="C3455">
        <v>539669</v>
      </c>
      <c r="D3455" t="s">
        <v>366</v>
      </c>
      <c r="E3455" t="s">
        <v>383</v>
      </c>
    </row>
    <row r="3456" spans="2:5" x14ac:dyDescent="0.2">
      <c r="B3456" t="s">
        <v>5385</v>
      </c>
      <c r="C3456">
        <v>531952</v>
      </c>
      <c r="D3456" t="s">
        <v>366</v>
      </c>
      <c r="E3456" t="s">
        <v>381</v>
      </c>
    </row>
    <row r="3457" spans="2:5" x14ac:dyDescent="0.2">
      <c r="B3457" t="s">
        <v>5386</v>
      </c>
      <c r="C3457">
        <v>530271</v>
      </c>
      <c r="D3457" t="s">
        <v>366</v>
      </c>
      <c r="E3457" t="s">
        <v>383</v>
      </c>
    </row>
    <row r="3458" spans="2:5" x14ac:dyDescent="0.2">
      <c r="B3458" t="s">
        <v>5387</v>
      </c>
      <c r="C3458">
        <v>532766</v>
      </c>
      <c r="D3458" t="s">
        <v>366</v>
      </c>
      <c r="E3458" t="s">
        <v>764</v>
      </c>
    </row>
    <row r="3459" spans="2:5" x14ac:dyDescent="0.2">
      <c r="B3459" t="s">
        <v>5388</v>
      </c>
      <c r="C3459">
        <v>539435</v>
      </c>
      <c r="D3459" t="s">
        <v>366</v>
      </c>
      <c r="E3459" t="s">
        <v>349</v>
      </c>
    </row>
    <row r="3460" spans="2:5" x14ac:dyDescent="0.2">
      <c r="B3460" t="s">
        <v>5389</v>
      </c>
      <c r="C3460">
        <v>519230</v>
      </c>
      <c r="D3460" t="s">
        <v>366</v>
      </c>
      <c r="E3460" t="s">
        <v>388</v>
      </c>
    </row>
    <row r="3461" spans="2:5" x14ac:dyDescent="0.2">
      <c r="B3461" t="s">
        <v>5390</v>
      </c>
      <c r="C3461">
        <v>520008</v>
      </c>
      <c r="D3461" t="s">
        <v>5391</v>
      </c>
      <c r="E3461" t="s">
        <v>721</v>
      </c>
    </row>
    <row r="3462" spans="2:5" x14ac:dyDescent="0.2">
      <c r="B3462" t="s">
        <v>5392</v>
      </c>
      <c r="C3462">
        <v>540590</v>
      </c>
      <c r="D3462" t="s">
        <v>366</v>
      </c>
      <c r="E3462" t="s">
        <v>696</v>
      </c>
    </row>
    <row r="3463" spans="2:5" x14ac:dyDescent="0.2">
      <c r="B3463" t="s">
        <v>5393</v>
      </c>
      <c r="C3463">
        <v>524480</v>
      </c>
      <c r="D3463" t="s">
        <v>366</v>
      </c>
      <c r="E3463" t="s">
        <v>414</v>
      </c>
    </row>
    <row r="3464" spans="2:5" x14ac:dyDescent="0.2">
      <c r="B3464" t="s">
        <v>5394</v>
      </c>
      <c r="C3464">
        <v>540082</v>
      </c>
      <c r="D3464" t="s">
        <v>366</v>
      </c>
      <c r="E3464" t="s">
        <v>689</v>
      </c>
    </row>
    <row r="3465" spans="2:5" x14ac:dyDescent="0.2">
      <c r="B3465" t="s">
        <v>5395</v>
      </c>
      <c r="C3465">
        <v>504365</v>
      </c>
      <c r="D3465" t="s">
        <v>366</v>
      </c>
      <c r="E3465" t="s">
        <v>349</v>
      </c>
    </row>
    <row r="3466" spans="2:5" x14ac:dyDescent="0.2">
      <c r="B3466" t="s">
        <v>5396</v>
      </c>
      <c r="C3466">
        <v>541151</v>
      </c>
      <c r="D3466" t="s">
        <v>366</v>
      </c>
      <c r="E3466" t="s">
        <v>450</v>
      </c>
    </row>
    <row r="3467" spans="2:5" x14ac:dyDescent="0.2">
      <c r="B3467" t="s">
        <v>5397</v>
      </c>
      <c r="C3467">
        <v>541151</v>
      </c>
      <c r="D3467" t="s">
        <v>366</v>
      </c>
      <c r="E3467" t="s">
        <v>450</v>
      </c>
    </row>
    <row r="3468" spans="2:5" x14ac:dyDescent="0.2">
      <c r="B3468" t="s">
        <v>5398</v>
      </c>
      <c r="C3468">
        <v>507508</v>
      </c>
      <c r="D3468" t="s">
        <v>366</v>
      </c>
      <c r="E3468" t="s">
        <v>1065</v>
      </c>
    </row>
    <row r="3469" spans="2:5" x14ac:dyDescent="0.2">
      <c r="B3469" t="s">
        <v>5399</v>
      </c>
      <c r="C3469">
        <v>530251</v>
      </c>
      <c r="D3469" t="s">
        <v>366</v>
      </c>
      <c r="E3469" t="s">
        <v>388</v>
      </c>
    </row>
    <row r="3470" spans="2:5" x14ac:dyDescent="0.2">
      <c r="B3470" t="s">
        <v>5400</v>
      </c>
      <c r="C3470">
        <v>514177</v>
      </c>
      <c r="D3470" t="s">
        <v>366</v>
      </c>
      <c r="E3470" t="s">
        <v>381</v>
      </c>
    </row>
    <row r="3471" spans="2:5" x14ac:dyDescent="0.2">
      <c r="B3471" t="s">
        <v>5401</v>
      </c>
      <c r="C3471">
        <v>531539</v>
      </c>
      <c r="D3471" t="s">
        <v>366</v>
      </c>
      <c r="E3471" t="s">
        <v>398</v>
      </c>
    </row>
    <row r="3472" spans="2:5" x14ac:dyDescent="0.2">
      <c r="B3472" t="s">
        <v>5402</v>
      </c>
      <c r="C3472">
        <v>526861</v>
      </c>
      <c r="D3472" t="s">
        <v>366</v>
      </c>
      <c r="E3472" t="s">
        <v>374</v>
      </c>
    </row>
    <row r="3473" spans="2:5" x14ac:dyDescent="0.2">
      <c r="B3473" t="s">
        <v>5403</v>
      </c>
      <c r="C3473">
        <v>523021</v>
      </c>
      <c r="D3473" t="s">
        <v>366</v>
      </c>
      <c r="E3473" t="s">
        <v>561</v>
      </c>
    </row>
    <row r="3474" spans="2:5" x14ac:dyDescent="0.2">
      <c r="B3474" t="s">
        <v>5404</v>
      </c>
      <c r="C3474">
        <v>526492</v>
      </c>
      <c r="D3474" t="s">
        <v>366</v>
      </c>
      <c r="E3474" t="s">
        <v>1284</v>
      </c>
    </row>
    <row r="3475" spans="2:5" x14ac:dyDescent="0.2">
      <c r="B3475" t="s">
        <v>5405</v>
      </c>
      <c r="C3475">
        <v>542383</v>
      </c>
      <c r="D3475" t="s">
        <v>5406</v>
      </c>
      <c r="E3475" t="s">
        <v>687</v>
      </c>
    </row>
    <row r="3476" spans="2:5" x14ac:dyDescent="0.2">
      <c r="B3476" t="s">
        <v>5407</v>
      </c>
      <c r="C3476">
        <v>541556</v>
      </c>
      <c r="D3476" t="s">
        <v>5408</v>
      </c>
      <c r="E3476" t="s">
        <v>764</v>
      </c>
    </row>
    <row r="3477" spans="2:5" x14ac:dyDescent="0.2">
      <c r="B3477" t="s">
        <v>5409</v>
      </c>
      <c r="C3477">
        <v>519097</v>
      </c>
      <c r="D3477" t="s">
        <v>366</v>
      </c>
      <c r="E3477" t="s">
        <v>414</v>
      </c>
    </row>
    <row r="3478" spans="2:5" x14ac:dyDescent="0.2">
      <c r="B3478" t="s">
        <v>5410</v>
      </c>
      <c r="C3478">
        <v>526407</v>
      </c>
      <c r="D3478" t="s">
        <v>366</v>
      </c>
      <c r="E3478" t="s">
        <v>480</v>
      </c>
    </row>
    <row r="3479" spans="2:5" x14ac:dyDescent="0.2">
      <c r="B3479" t="s">
        <v>5411</v>
      </c>
      <c r="C3479">
        <v>540843</v>
      </c>
      <c r="D3479" t="s">
        <v>366</v>
      </c>
      <c r="E3479" t="s">
        <v>3141</v>
      </c>
    </row>
    <row r="3480" spans="2:5" x14ac:dyDescent="0.2">
      <c r="B3480" t="s">
        <v>5412</v>
      </c>
      <c r="C3480" t="s">
        <v>366</v>
      </c>
      <c r="D3480" t="s">
        <v>5413</v>
      </c>
      <c r="E3480" t="s">
        <v>377</v>
      </c>
    </row>
    <row r="3481" spans="2:5" x14ac:dyDescent="0.2">
      <c r="B3481" t="s">
        <v>5414</v>
      </c>
      <c r="C3481">
        <v>512618</v>
      </c>
      <c r="D3481" t="s">
        <v>366</v>
      </c>
      <c r="E3481" t="s">
        <v>381</v>
      </c>
    </row>
    <row r="3482" spans="2:5" x14ac:dyDescent="0.2">
      <c r="B3482" t="s">
        <v>5415</v>
      </c>
      <c r="C3482">
        <v>540358</v>
      </c>
      <c r="D3482" t="s">
        <v>366</v>
      </c>
      <c r="E3482" t="s">
        <v>664</v>
      </c>
    </row>
    <row r="3483" spans="2:5" x14ac:dyDescent="0.2">
      <c r="B3483" t="s">
        <v>5416</v>
      </c>
      <c r="C3483">
        <v>500365</v>
      </c>
      <c r="D3483" t="s">
        <v>366</v>
      </c>
      <c r="E3483" t="s">
        <v>398</v>
      </c>
    </row>
    <row r="3484" spans="2:5" x14ac:dyDescent="0.2">
      <c r="B3484" t="s">
        <v>5417</v>
      </c>
      <c r="C3484">
        <v>531447</v>
      </c>
      <c r="D3484" t="s">
        <v>366</v>
      </c>
      <c r="E3484" t="s">
        <v>388</v>
      </c>
    </row>
    <row r="3485" spans="2:5" x14ac:dyDescent="0.2">
      <c r="B3485" t="s">
        <v>5418</v>
      </c>
      <c r="C3485">
        <v>531822</v>
      </c>
      <c r="D3485" t="s">
        <v>366</v>
      </c>
      <c r="E3485" t="s">
        <v>452</v>
      </c>
    </row>
    <row r="3486" spans="2:5" x14ac:dyDescent="0.2">
      <c r="B3486" t="s">
        <v>5419</v>
      </c>
      <c r="C3486">
        <v>532731</v>
      </c>
      <c r="D3486" t="s">
        <v>5420</v>
      </c>
      <c r="E3486" t="s">
        <v>398</v>
      </c>
    </row>
    <row r="3487" spans="2:5" x14ac:dyDescent="0.2">
      <c r="B3487" t="s">
        <v>5421</v>
      </c>
      <c r="C3487">
        <v>505807</v>
      </c>
      <c r="D3487" t="s">
        <v>366</v>
      </c>
      <c r="E3487" t="s">
        <v>1284</v>
      </c>
    </row>
    <row r="3488" spans="2:5" x14ac:dyDescent="0.2">
      <c r="B3488" t="s">
        <v>5422</v>
      </c>
      <c r="C3488">
        <v>502448</v>
      </c>
      <c r="D3488" t="s">
        <v>5423</v>
      </c>
      <c r="E3488" t="s">
        <v>561</v>
      </c>
    </row>
    <row r="3489" spans="2:5" x14ac:dyDescent="0.2">
      <c r="B3489" t="s">
        <v>5424</v>
      </c>
      <c r="C3489">
        <v>500366</v>
      </c>
      <c r="D3489" t="s">
        <v>5425</v>
      </c>
      <c r="E3489" t="s">
        <v>372</v>
      </c>
    </row>
    <row r="3490" spans="2:5" x14ac:dyDescent="0.2">
      <c r="B3490" t="s">
        <v>5426</v>
      </c>
      <c r="C3490">
        <v>500366</v>
      </c>
      <c r="D3490" t="s">
        <v>5425</v>
      </c>
      <c r="E3490" t="s">
        <v>372</v>
      </c>
    </row>
    <row r="3491" spans="2:5" x14ac:dyDescent="0.2">
      <c r="B3491" t="s">
        <v>5427</v>
      </c>
      <c r="C3491">
        <v>542145</v>
      </c>
      <c r="D3491" t="s">
        <v>366</v>
      </c>
      <c r="E3491" t="s">
        <v>388</v>
      </c>
    </row>
    <row r="3492" spans="2:5" x14ac:dyDescent="0.2">
      <c r="B3492" t="s">
        <v>5428</v>
      </c>
      <c r="C3492">
        <v>530991</v>
      </c>
      <c r="D3492" t="s">
        <v>366</v>
      </c>
      <c r="E3492" t="s">
        <v>404</v>
      </c>
    </row>
    <row r="3493" spans="2:5" x14ac:dyDescent="0.2">
      <c r="B3493" t="s">
        <v>5429</v>
      </c>
      <c r="C3493">
        <v>542599</v>
      </c>
      <c r="D3493" t="s">
        <v>5430</v>
      </c>
      <c r="E3493" t="s">
        <v>567</v>
      </c>
    </row>
    <row r="3494" spans="2:5" x14ac:dyDescent="0.2">
      <c r="B3494" t="s">
        <v>5431</v>
      </c>
      <c r="C3494">
        <v>531324</v>
      </c>
      <c r="D3494" t="s">
        <v>366</v>
      </c>
      <c r="E3494" t="s">
        <v>349</v>
      </c>
    </row>
    <row r="3495" spans="2:5" x14ac:dyDescent="0.2">
      <c r="B3495" t="s">
        <v>5432</v>
      </c>
      <c r="C3495">
        <v>533168</v>
      </c>
      <c r="D3495" t="s">
        <v>5433</v>
      </c>
      <c r="E3495" t="s">
        <v>773</v>
      </c>
    </row>
    <row r="3496" spans="2:5" x14ac:dyDescent="0.2">
      <c r="B3496" t="s">
        <v>5434</v>
      </c>
      <c r="C3496">
        <v>533168</v>
      </c>
      <c r="D3496" t="s">
        <v>5433</v>
      </c>
      <c r="E3496" t="s">
        <v>773</v>
      </c>
    </row>
    <row r="3497" spans="2:5" x14ac:dyDescent="0.2">
      <c r="B3497" t="s">
        <v>5435</v>
      </c>
      <c r="C3497">
        <v>517500</v>
      </c>
      <c r="D3497" t="s">
        <v>366</v>
      </c>
      <c r="E3497" t="s">
        <v>374</v>
      </c>
    </row>
    <row r="3498" spans="2:5" x14ac:dyDescent="0.2">
      <c r="B3498" t="s">
        <v>5436</v>
      </c>
      <c r="C3498">
        <v>539922</v>
      </c>
      <c r="D3498" t="s">
        <v>366</v>
      </c>
      <c r="E3498" t="s">
        <v>388</v>
      </c>
    </row>
    <row r="3499" spans="2:5" x14ac:dyDescent="0.2">
      <c r="B3499" t="s">
        <v>5437</v>
      </c>
      <c r="C3499">
        <v>539922</v>
      </c>
      <c r="D3499" t="s">
        <v>366</v>
      </c>
      <c r="E3499" t="s">
        <v>388</v>
      </c>
    </row>
    <row r="3500" spans="2:5" x14ac:dyDescent="0.2">
      <c r="B3500" t="s">
        <v>5438</v>
      </c>
      <c r="C3500">
        <v>526193</v>
      </c>
      <c r="D3500" t="s">
        <v>366</v>
      </c>
      <c r="E3500" t="s">
        <v>643</v>
      </c>
    </row>
    <row r="3501" spans="2:5" x14ac:dyDescent="0.2">
      <c r="B3501" t="s">
        <v>5439</v>
      </c>
      <c r="C3501">
        <v>512047</v>
      </c>
      <c r="D3501" t="s">
        <v>366</v>
      </c>
      <c r="E3501" t="s">
        <v>480</v>
      </c>
    </row>
    <row r="3502" spans="2:5" x14ac:dyDescent="0.2">
      <c r="B3502" t="s">
        <v>5440</v>
      </c>
      <c r="C3502">
        <v>532699</v>
      </c>
      <c r="D3502" t="s">
        <v>5441</v>
      </c>
      <c r="E3502" t="s">
        <v>567</v>
      </c>
    </row>
    <row r="3503" spans="2:5" x14ac:dyDescent="0.2">
      <c r="B3503" t="s">
        <v>5442</v>
      </c>
      <c r="C3503">
        <v>526640</v>
      </c>
      <c r="D3503" t="s">
        <v>366</v>
      </c>
      <c r="E3503" t="s">
        <v>567</v>
      </c>
    </row>
    <row r="3504" spans="2:5" x14ac:dyDescent="0.2">
      <c r="B3504" t="s">
        <v>5443</v>
      </c>
      <c r="C3504">
        <v>532983</v>
      </c>
      <c r="D3504" t="s">
        <v>5444</v>
      </c>
      <c r="E3504" t="s">
        <v>404</v>
      </c>
    </row>
    <row r="3505" spans="2:5" x14ac:dyDescent="0.2">
      <c r="B3505" t="s">
        <v>5445</v>
      </c>
      <c r="C3505">
        <v>511626</v>
      </c>
      <c r="D3505" t="s">
        <v>366</v>
      </c>
      <c r="E3505" t="s">
        <v>383</v>
      </c>
    </row>
    <row r="3506" spans="2:5" x14ac:dyDescent="0.2">
      <c r="B3506" t="s">
        <v>5446</v>
      </c>
      <c r="C3506">
        <v>530179</v>
      </c>
      <c r="D3506" t="s">
        <v>366</v>
      </c>
      <c r="E3506" t="s">
        <v>381</v>
      </c>
    </row>
    <row r="3507" spans="2:5" x14ac:dyDescent="0.2">
      <c r="B3507" t="s">
        <v>5447</v>
      </c>
      <c r="C3507">
        <v>539875</v>
      </c>
      <c r="D3507" t="s">
        <v>366</v>
      </c>
      <c r="E3507" t="s">
        <v>386</v>
      </c>
    </row>
    <row r="3508" spans="2:5" x14ac:dyDescent="0.2">
      <c r="B3508" t="s">
        <v>5448</v>
      </c>
      <c r="C3508">
        <v>500350</v>
      </c>
      <c r="D3508" t="s">
        <v>5449</v>
      </c>
      <c r="E3508" t="s">
        <v>381</v>
      </c>
    </row>
    <row r="3509" spans="2:5" x14ac:dyDescent="0.2">
      <c r="B3509" t="s">
        <v>5450</v>
      </c>
      <c r="C3509">
        <v>531215</v>
      </c>
      <c r="D3509" t="s">
        <v>366</v>
      </c>
      <c r="E3509" t="s">
        <v>664</v>
      </c>
    </row>
    <row r="3510" spans="2:5" x14ac:dyDescent="0.2">
      <c r="B3510" t="s">
        <v>5451</v>
      </c>
      <c r="C3510">
        <v>500367</v>
      </c>
      <c r="D3510" t="s">
        <v>366</v>
      </c>
      <c r="E3510" t="s">
        <v>846</v>
      </c>
    </row>
    <row r="3511" spans="2:5" x14ac:dyDescent="0.2">
      <c r="B3511" t="s">
        <v>5452</v>
      </c>
      <c r="C3511">
        <v>531099</v>
      </c>
      <c r="D3511" t="s">
        <v>366</v>
      </c>
      <c r="E3511" t="s">
        <v>404</v>
      </c>
    </row>
    <row r="3512" spans="2:5" x14ac:dyDescent="0.2">
      <c r="B3512" t="s">
        <v>5453</v>
      </c>
      <c r="C3512">
        <v>509020</v>
      </c>
      <c r="D3512" t="s">
        <v>5454</v>
      </c>
      <c r="E3512" t="s">
        <v>615</v>
      </c>
    </row>
    <row r="3513" spans="2:5" x14ac:dyDescent="0.2">
      <c r="B3513" t="s">
        <v>5455</v>
      </c>
      <c r="C3513">
        <v>500368</v>
      </c>
      <c r="D3513" t="s">
        <v>5456</v>
      </c>
      <c r="E3513" t="s">
        <v>615</v>
      </c>
    </row>
    <row r="3514" spans="2:5" x14ac:dyDescent="0.2">
      <c r="B3514" t="s">
        <v>5457</v>
      </c>
      <c r="C3514">
        <v>540696</v>
      </c>
      <c r="D3514" t="s">
        <v>366</v>
      </c>
      <c r="E3514" t="s">
        <v>388</v>
      </c>
    </row>
    <row r="3515" spans="2:5" x14ac:dyDescent="0.2">
      <c r="B3515" t="s">
        <v>5458</v>
      </c>
      <c r="C3515">
        <v>540696</v>
      </c>
      <c r="D3515" t="s">
        <v>366</v>
      </c>
      <c r="E3515" t="s">
        <v>388</v>
      </c>
    </row>
    <row r="3516" spans="2:5" x14ac:dyDescent="0.2">
      <c r="B3516" t="s">
        <v>5459</v>
      </c>
      <c r="C3516">
        <v>532785</v>
      </c>
      <c r="D3516" t="s">
        <v>5460</v>
      </c>
      <c r="E3516" t="s">
        <v>360</v>
      </c>
    </row>
    <row r="3517" spans="2:5" x14ac:dyDescent="0.2">
      <c r="B3517" t="s">
        <v>5461</v>
      </c>
      <c r="C3517">
        <v>539226</v>
      </c>
      <c r="D3517" t="s">
        <v>366</v>
      </c>
      <c r="E3517" t="s">
        <v>398</v>
      </c>
    </row>
    <row r="3518" spans="2:5" x14ac:dyDescent="0.2">
      <c r="B3518" t="s">
        <v>5462</v>
      </c>
      <c r="C3518" t="s">
        <v>366</v>
      </c>
      <c r="D3518" t="s">
        <v>5463</v>
      </c>
      <c r="E3518" t="s">
        <v>377</v>
      </c>
    </row>
    <row r="3519" spans="2:5" x14ac:dyDescent="0.2">
      <c r="B3519" t="s">
        <v>5464</v>
      </c>
      <c r="C3519">
        <v>519413</v>
      </c>
      <c r="D3519" t="s">
        <v>366</v>
      </c>
      <c r="E3519" t="s">
        <v>388</v>
      </c>
    </row>
    <row r="3520" spans="2:5" x14ac:dyDescent="0.2">
      <c r="B3520" t="s">
        <v>5465</v>
      </c>
      <c r="C3520">
        <v>530449</v>
      </c>
      <c r="D3520" t="s">
        <v>366</v>
      </c>
      <c r="E3520" t="s">
        <v>486</v>
      </c>
    </row>
    <row r="3521" spans="2:5" x14ac:dyDescent="0.2">
      <c r="B3521" t="s">
        <v>5466</v>
      </c>
      <c r="C3521">
        <v>533552</v>
      </c>
      <c r="D3521" t="s">
        <v>5467</v>
      </c>
      <c r="E3521" t="s">
        <v>480</v>
      </c>
    </row>
    <row r="3522" spans="2:5" x14ac:dyDescent="0.2">
      <c r="B3522" t="s">
        <v>5468</v>
      </c>
      <c r="C3522">
        <v>533470</v>
      </c>
      <c r="D3522" t="s">
        <v>5469</v>
      </c>
      <c r="E3522" t="s">
        <v>861</v>
      </c>
    </row>
    <row r="3523" spans="2:5" x14ac:dyDescent="0.2">
      <c r="B3523" t="s">
        <v>5470</v>
      </c>
      <c r="C3523">
        <v>504335</v>
      </c>
      <c r="D3523" t="s">
        <v>366</v>
      </c>
      <c r="E3523" t="s">
        <v>388</v>
      </c>
    </row>
    <row r="3524" spans="2:5" x14ac:dyDescent="0.2">
      <c r="B3524" t="s">
        <v>5471</v>
      </c>
      <c r="C3524">
        <v>517035</v>
      </c>
      <c r="D3524" t="s">
        <v>366</v>
      </c>
      <c r="E3524" t="s">
        <v>908</v>
      </c>
    </row>
    <row r="3525" spans="2:5" x14ac:dyDescent="0.2">
      <c r="B3525" t="s">
        <v>5472</v>
      </c>
      <c r="C3525">
        <v>542034</v>
      </c>
      <c r="D3525" t="s">
        <v>366</v>
      </c>
      <c r="E3525" t="s">
        <v>480</v>
      </c>
    </row>
    <row r="3526" spans="2:5" x14ac:dyDescent="0.2">
      <c r="B3526" t="s">
        <v>5473</v>
      </c>
      <c r="C3526">
        <v>532604</v>
      </c>
      <c r="D3526" t="s">
        <v>5474</v>
      </c>
      <c r="E3526" t="s">
        <v>398</v>
      </c>
    </row>
    <row r="3527" spans="2:5" x14ac:dyDescent="0.2">
      <c r="B3527" t="s">
        <v>5475</v>
      </c>
      <c r="C3527">
        <v>540497</v>
      </c>
      <c r="D3527" t="s">
        <v>5476</v>
      </c>
      <c r="E3527" t="s">
        <v>890</v>
      </c>
    </row>
    <row r="3528" spans="2:5" x14ac:dyDescent="0.2">
      <c r="B3528" t="s">
        <v>5477</v>
      </c>
      <c r="C3528">
        <v>534598</v>
      </c>
      <c r="D3528" t="s">
        <v>5478</v>
      </c>
      <c r="E3528" t="s">
        <v>505</v>
      </c>
    </row>
    <row r="3529" spans="2:5" x14ac:dyDescent="0.2">
      <c r="B3529" t="s">
        <v>5479</v>
      </c>
      <c r="C3529">
        <v>539450</v>
      </c>
      <c r="D3529" t="s">
        <v>5480</v>
      </c>
      <c r="E3529" t="s">
        <v>548</v>
      </c>
    </row>
    <row r="3530" spans="2:5" x14ac:dyDescent="0.2">
      <c r="B3530" t="s">
        <v>5481</v>
      </c>
      <c r="C3530">
        <v>532316</v>
      </c>
      <c r="D3530" t="s">
        <v>5482</v>
      </c>
      <c r="E3530" t="s">
        <v>5483</v>
      </c>
    </row>
    <row r="3531" spans="2:5" x14ac:dyDescent="0.2">
      <c r="B3531" t="s">
        <v>5484</v>
      </c>
      <c r="C3531">
        <v>540048</v>
      </c>
      <c r="D3531" t="s">
        <v>5485</v>
      </c>
      <c r="E3531" t="s">
        <v>480</v>
      </c>
    </row>
    <row r="3532" spans="2:5" x14ac:dyDescent="0.2">
      <c r="B3532" t="s">
        <v>5486</v>
      </c>
      <c r="C3532">
        <v>536710</v>
      </c>
      <c r="D3532" t="s">
        <v>366</v>
      </c>
      <c r="E3532" t="s">
        <v>383</v>
      </c>
    </row>
    <row r="3533" spans="2:5" x14ac:dyDescent="0.2">
      <c r="B3533" t="s">
        <v>5487</v>
      </c>
      <c r="C3533">
        <v>513515</v>
      </c>
      <c r="D3533" t="s">
        <v>366</v>
      </c>
      <c r="E3533" t="s">
        <v>381</v>
      </c>
    </row>
    <row r="3534" spans="2:5" x14ac:dyDescent="0.2">
      <c r="B3534" t="s">
        <v>5488</v>
      </c>
      <c r="C3534">
        <v>531307</v>
      </c>
      <c r="D3534" t="s">
        <v>366</v>
      </c>
      <c r="E3534" t="s">
        <v>381</v>
      </c>
    </row>
    <row r="3535" spans="2:5" x14ac:dyDescent="0.2">
      <c r="B3535" t="s">
        <v>5489</v>
      </c>
      <c r="C3535" t="s">
        <v>366</v>
      </c>
      <c r="D3535" t="s">
        <v>5490</v>
      </c>
      <c r="E3535" t="s">
        <v>377</v>
      </c>
    </row>
    <row r="3536" spans="2:5" x14ac:dyDescent="0.2">
      <c r="B3536" t="s">
        <v>5491</v>
      </c>
      <c r="C3536">
        <v>538876</v>
      </c>
      <c r="D3536" t="s">
        <v>366</v>
      </c>
      <c r="E3536" t="s">
        <v>383</v>
      </c>
    </row>
    <row r="3537" spans="2:5" x14ac:dyDescent="0.2">
      <c r="B3537" t="s">
        <v>5492</v>
      </c>
      <c r="C3537">
        <v>535621</v>
      </c>
      <c r="D3537" t="s">
        <v>366</v>
      </c>
      <c r="E3537" t="s">
        <v>452</v>
      </c>
    </row>
    <row r="3538" spans="2:5" x14ac:dyDescent="0.2">
      <c r="B3538" t="s">
        <v>5493</v>
      </c>
      <c r="C3538">
        <v>503622</v>
      </c>
      <c r="D3538" t="s">
        <v>366</v>
      </c>
      <c r="E3538" t="s">
        <v>349</v>
      </c>
    </row>
    <row r="3539" spans="2:5" x14ac:dyDescent="0.2">
      <c r="B3539" t="s">
        <v>5494</v>
      </c>
      <c r="C3539">
        <v>514197</v>
      </c>
      <c r="D3539" t="s">
        <v>366</v>
      </c>
      <c r="E3539" t="s">
        <v>381</v>
      </c>
    </row>
    <row r="3540" spans="2:5" x14ac:dyDescent="0.2">
      <c r="B3540" t="s">
        <v>5495</v>
      </c>
      <c r="C3540">
        <v>540081</v>
      </c>
      <c r="D3540" t="s">
        <v>5496</v>
      </c>
      <c r="E3540" t="s">
        <v>890</v>
      </c>
    </row>
    <row r="3541" spans="2:5" x14ac:dyDescent="0.2">
      <c r="B3541" t="s">
        <v>5497</v>
      </c>
      <c r="C3541">
        <v>539112</v>
      </c>
      <c r="D3541" t="s">
        <v>366</v>
      </c>
      <c r="E3541" t="s">
        <v>452</v>
      </c>
    </row>
    <row r="3542" spans="2:5" x14ac:dyDescent="0.2">
      <c r="B3542" t="s">
        <v>5498</v>
      </c>
      <c r="C3542">
        <v>530267</v>
      </c>
      <c r="D3542" t="s">
        <v>366</v>
      </c>
      <c r="E3542" t="s">
        <v>374</v>
      </c>
    </row>
    <row r="3543" spans="2:5" x14ac:dyDescent="0.2">
      <c r="B3543" t="s">
        <v>5499</v>
      </c>
      <c r="C3543">
        <v>530461</v>
      </c>
      <c r="D3543" t="s">
        <v>366</v>
      </c>
      <c r="E3543" t="s">
        <v>446</v>
      </c>
    </row>
    <row r="3544" spans="2:5" x14ac:dyDescent="0.2">
      <c r="B3544" t="s">
        <v>5500</v>
      </c>
      <c r="C3544">
        <v>540132</v>
      </c>
      <c r="D3544" t="s">
        <v>366</v>
      </c>
      <c r="E3544" t="s">
        <v>388</v>
      </c>
    </row>
    <row r="3545" spans="2:5" x14ac:dyDescent="0.2">
      <c r="B3545" t="s">
        <v>5501</v>
      </c>
      <c r="C3545">
        <v>540132</v>
      </c>
      <c r="D3545" t="s">
        <v>366</v>
      </c>
      <c r="E3545" t="s">
        <v>388</v>
      </c>
    </row>
    <row r="3546" spans="2:5" x14ac:dyDescent="0.2">
      <c r="B3546" t="s">
        <v>5502</v>
      </c>
      <c r="C3546">
        <v>531869</v>
      </c>
      <c r="D3546" t="s">
        <v>366</v>
      </c>
      <c r="E3546" t="s">
        <v>671</v>
      </c>
    </row>
    <row r="3547" spans="2:5" x14ac:dyDescent="0.2">
      <c r="B3547" t="s">
        <v>5503</v>
      </c>
      <c r="C3547">
        <v>532710</v>
      </c>
      <c r="D3547" t="s">
        <v>5504</v>
      </c>
      <c r="E3547" t="s">
        <v>764</v>
      </c>
    </row>
    <row r="3548" spans="2:5" x14ac:dyDescent="0.2">
      <c r="B3548" t="s">
        <v>5505</v>
      </c>
      <c r="C3548">
        <v>539346</v>
      </c>
      <c r="D3548" t="s">
        <v>5506</v>
      </c>
      <c r="E3548" t="s">
        <v>961</v>
      </c>
    </row>
    <row r="3549" spans="2:5" x14ac:dyDescent="0.2">
      <c r="B3549" t="s">
        <v>5507</v>
      </c>
      <c r="C3549">
        <v>506642</v>
      </c>
      <c r="D3549" t="s">
        <v>366</v>
      </c>
      <c r="E3549" t="s">
        <v>414</v>
      </c>
    </row>
    <row r="3550" spans="2:5" x14ac:dyDescent="0.2">
      <c r="B3550" t="s">
        <v>5508</v>
      </c>
      <c r="C3550">
        <v>540821</v>
      </c>
      <c r="D3550" t="s">
        <v>366</v>
      </c>
      <c r="E3550" t="s">
        <v>1103</v>
      </c>
    </row>
    <row r="3551" spans="2:5" x14ac:dyDescent="0.2">
      <c r="B3551" t="s">
        <v>5509</v>
      </c>
      <c r="C3551">
        <v>532034</v>
      </c>
      <c r="D3551" t="s">
        <v>366</v>
      </c>
      <c r="E3551" t="s">
        <v>548</v>
      </c>
    </row>
    <row r="3552" spans="2:5" x14ac:dyDescent="0.2">
      <c r="B3552" t="s">
        <v>5510</v>
      </c>
      <c r="C3552">
        <v>531448</v>
      </c>
      <c r="D3552" t="s">
        <v>366</v>
      </c>
      <c r="E3552" t="s">
        <v>787</v>
      </c>
    </row>
    <row r="3553" spans="2:5" x14ac:dyDescent="0.2">
      <c r="B3553" t="s">
        <v>5511</v>
      </c>
      <c r="C3553">
        <v>523025</v>
      </c>
      <c r="D3553" t="s">
        <v>366</v>
      </c>
      <c r="E3553" t="s">
        <v>480</v>
      </c>
    </row>
    <row r="3554" spans="2:5" x14ac:dyDescent="0.2">
      <c r="B3554" t="s">
        <v>5512</v>
      </c>
      <c r="C3554">
        <v>523025</v>
      </c>
      <c r="D3554" t="s">
        <v>366</v>
      </c>
      <c r="E3554" t="s">
        <v>480</v>
      </c>
    </row>
    <row r="3555" spans="2:5" x14ac:dyDescent="0.2">
      <c r="B3555" t="s">
        <v>5513</v>
      </c>
      <c r="C3555">
        <v>502090</v>
      </c>
      <c r="D3555" t="s">
        <v>5514</v>
      </c>
      <c r="E3555" t="s">
        <v>379</v>
      </c>
    </row>
    <row r="3556" spans="2:5" x14ac:dyDescent="0.2">
      <c r="B3556" t="s">
        <v>5515</v>
      </c>
      <c r="C3556">
        <v>540715</v>
      </c>
      <c r="D3556" t="s">
        <v>366</v>
      </c>
      <c r="E3556" t="s">
        <v>480</v>
      </c>
    </row>
    <row r="3557" spans="2:5" x14ac:dyDescent="0.2">
      <c r="B3557" t="s">
        <v>5516</v>
      </c>
      <c r="C3557">
        <v>532092</v>
      </c>
      <c r="D3557" t="s">
        <v>366</v>
      </c>
      <c r="E3557" t="s">
        <v>383</v>
      </c>
    </row>
    <row r="3558" spans="2:5" x14ac:dyDescent="0.2">
      <c r="B3558" t="s">
        <v>5517</v>
      </c>
      <c r="C3558">
        <v>507663</v>
      </c>
      <c r="D3558" t="s">
        <v>366</v>
      </c>
      <c r="E3558" t="s">
        <v>615</v>
      </c>
    </row>
    <row r="3559" spans="2:5" x14ac:dyDescent="0.2">
      <c r="B3559" t="s">
        <v>5518</v>
      </c>
      <c r="C3559">
        <v>511254</v>
      </c>
      <c r="D3559" t="s">
        <v>366</v>
      </c>
      <c r="E3559" t="s">
        <v>383</v>
      </c>
    </row>
    <row r="3560" spans="2:5" x14ac:dyDescent="0.2">
      <c r="B3560" t="s">
        <v>5519</v>
      </c>
      <c r="C3560">
        <v>526085</v>
      </c>
      <c r="D3560" t="s">
        <v>366</v>
      </c>
      <c r="E3560" t="s">
        <v>567</v>
      </c>
    </row>
    <row r="3561" spans="2:5" x14ac:dyDescent="0.2">
      <c r="B3561" t="s">
        <v>5520</v>
      </c>
      <c r="C3561" t="s">
        <v>366</v>
      </c>
      <c r="D3561" t="s">
        <v>5521</v>
      </c>
      <c r="E3561" t="s">
        <v>377</v>
      </c>
    </row>
    <row r="3562" spans="2:5" x14ac:dyDescent="0.2">
      <c r="B3562" t="s">
        <v>5522</v>
      </c>
      <c r="C3562">
        <v>540143</v>
      </c>
      <c r="D3562" t="s">
        <v>366</v>
      </c>
      <c r="E3562" t="s">
        <v>352</v>
      </c>
    </row>
    <row r="3563" spans="2:5" x14ac:dyDescent="0.2">
      <c r="B3563" t="s">
        <v>5523</v>
      </c>
      <c r="C3563">
        <v>540143</v>
      </c>
      <c r="D3563" t="s">
        <v>366</v>
      </c>
      <c r="E3563" t="s">
        <v>352</v>
      </c>
    </row>
    <row r="3564" spans="2:5" x14ac:dyDescent="0.2">
      <c r="B3564" t="s">
        <v>5524</v>
      </c>
      <c r="C3564">
        <v>511533</v>
      </c>
      <c r="D3564" t="s">
        <v>366</v>
      </c>
      <c r="E3564" t="s">
        <v>424</v>
      </c>
    </row>
    <row r="3565" spans="2:5" x14ac:dyDescent="0.2">
      <c r="B3565" t="s">
        <v>5525</v>
      </c>
      <c r="C3565">
        <v>503691</v>
      </c>
      <c r="D3565" t="s">
        <v>366</v>
      </c>
      <c r="E3565" t="s">
        <v>1103</v>
      </c>
    </row>
    <row r="3566" spans="2:5" x14ac:dyDescent="0.2">
      <c r="B3566" t="s">
        <v>5526</v>
      </c>
      <c r="C3566">
        <v>532841</v>
      </c>
      <c r="D3566" t="s">
        <v>366</v>
      </c>
      <c r="E3566" t="s">
        <v>379</v>
      </c>
    </row>
    <row r="3567" spans="2:5" x14ac:dyDescent="0.2">
      <c r="B3567" t="s">
        <v>5527</v>
      </c>
      <c r="C3567">
        <v>539660</v>
      </c>
      <c r="D3567" t="s">
        <v>366</v>
      </c>
      <c r="E3567" t="s">
        <v>349</v>
      </c>
    </row>
    <row r="3568" spans="2:5" x14ac:dyDescent="0.2">
      <c r="B3568" t="s">
        <v>5528</v>
      </c>
      <c r="C3568">
        <v>538557</v>
      </c>
      <c r="D3568" t="s">
        <v>366</v>
      </c>
      <c r="E3568" t="s">
        <v>388</v>
      </c>
    </row>
    <row r="3569" spans="2:5" x14ac:dyDescent="0.2">
      <c r="B3569" t="s">
        <v>5529</v>
      </c>
      <c r="C3569">
        <v>531931</v>
      </c>
      <c r="D3569" t="s">
        <v>366</v>
      </c>
      <c r="E3569" t="s">
        <v>787</v>
      </c>
    </row>
    <row r="3570" spans="2:5" x14ac:dyDescent="0.2">
      <c r="B3570" t="s">
        <v>5530</v>
      </c>
      <c r="C3570">
        <v>530905</v>
      </c>
      <c r="D3570" t="s">
        <v>366</v>
      </c>
      <c r="E3570" t="s">
        <v>383</v>
      </c>
    </row>
    <row r="3571" spans="2:5" x14ac:dyDescent="0.2">
      <c r="B3571" t="s">
        <v>5531</v>
      </c>
      <c r="C3571">
        <v>540066</v>
      </c>
      <c r="D3571" t="s">
        <v>366</v>
      </c>
      <c r="E3571" t="s">
        <v>721</v>
      </c>
    </row>
    <row r="3572" spans="2:5" x14ac:dyDescent="0.2">
      <c r="B3572" t="s">
        <v>5532</v>
      </c>
      <c r="C3572">
        <v>530265</v>
      </c>
      <c r="D3572" t="s">
        <v>366</v>
      </c>
      <c r="E3572" t="s">
        <v>379</v>
      </c>
    </row>
    <row r="3573" spans="2:5" x14ac:dyDescent="0.2">
      <c r="B3573" t="s">
        <v>5533</v>
      </c>
      <c r="C3573">
        <v>515043</v>
      </c>
      <c r="D3573" t="s">
        <v>366</v>
      </c>
      <c r="E3573" t="s">
        <v>643</v>
      </c>
    </row>
    <row r="3574" spans="2:5" x14ac:dyDescent="0.2">
      <c r="B3574" t="s">
        <v>5534</v>
      </c>
      <c r="C3574">
        <v>515043</v>
      </c>
      <c r="D3574" t="s">
        <v>366</v>
      </c>
      <c r="E3574" t="s">
        <v>643</v>
      </c>
    </row>
    <row r="3575" spans="2:5" x14ac:dyDescent="0.2">
      <c r="B3575" t="s">
        <v>5535</v>
      </c>
      <c r="C3575" t="s">
        <v>366</v>
      </c>
      <c r="D3575" t="s">
        <v>5536</v>
      </c>
      <c r="E3575" t="s">
        <v>377</v>
      </c>
    </row>
    <row r="3576" spans="2:5" x14ac:dyDescent="0.2">
      <c r="B3576" t="s">
        <v>5537</v>
      </c>
      <c r="C3576" t="s">
        <v>366</v>
      </c>
      <c r="D3576" t="s">
        <v>5538</v>
      </c>
      <c r="E3576" t="s">
        <v>377</v>
      </c>
    </row>
    <row r="3577" spans="2:5" x14ac:dyDescent="0.2">
      <c r="B3577" t="s">
        <v>5539</v>
      </c>
      <c r="C3577">
        <v>590051</v>
      </c>
      <c r="D3577" t="s">
        <v>5540</v>
      </c>
      <c r="E3577" t="s">
        <v>459</v>
      </c>
    </row>
    <row r="3578" spans="2:5" x14ac:dyDescent="0.2">
      <c r="B3578" t="s">
        <v>5541</v>
      </c>
      <c r="C3578">
        <v>511066</v>
      </c>
      <c r="D3578" t="s">
        <v>366</v>
      </c>
      <c r="E3578" t="s">
        <v>383</v>
      </c>
    </row>
    <row r="3579" spans="2:5" x14ac:dyDescent="0.2">
      <c r="B3579" t="s">
        <v>5542</v>
      </c>
      <c r="C3579">
        <v>507315</v>
      </c>
      <c r="D3579" t="s">
        <v>5543</v>
      </c>
      <c r="E3579" t="s">
        <v>1065</v>
      </c>
    </row>
    <row r="3580" spans="2:5" x14ac:dyDescent="0.2">
      <c r="B3580" t="s">
        <v>5544</v>
      </c>
      <c r="C3580">
        <v>532713</v>
      </c>
      <c r="D3580" t="s">
        <v>5545</v>
      </c>
      <c r="E3580" t="s">
        <v>388</v>
      </c>
    </row>
    <row r="3581" spans="2:5" x14ac:dyDescent="0.2">
      <c r="B3581" t="s">
        <v>5546</v>
      </c>
      <c r="C3581">
        <v>540642</v>
      </c>
      <c r="D3581" t="s">
        <v>5547</v>
      </c>
      <c r="E3581" t="s">
        <v>764</v>
      </c>
    </row>
    <row r="3582" spans="2:5" x14ac:dyDescent="0.2">
      <c r="B3582" t="s">
        <v>5548</v>
      </c>
      <c r="C3582">
        <v>540181</v>
      </c>
      <c r="D3582" t="s">
        <v>366</v>
      </c>
      <c r="E3582" t="s">
        <v>383</v>
      </c>
    </row>
    <row r="3583" spans="2:5" x14ac:dyDescent="0.2">
      <c r="B3583" t="s">
        <v>5549</v>
      </c>
      <c r="C3583">
        <v>526554</v>
      </c>
      <c r="D3583" t="s">
        <v>366</v>
      </c>
      <c r="E3583" t="s">
        <v>561</v>
      </c>
    </row>
    <row r="3584" spans="2:5" x14ac:dyDescent="0.2">
      <c r="B3584" t="s">
        <v>5550</v>
      </c>
      <c r="C3584">
        <v>590056</v>
      </c>
      <c r="D3584" t="s">
        <v>5551</v>
      </c>
      <c r="E3584" t="s">
        <v>381</v>
      </c>
    </row>
    <row r="3585" spans="2:5" x14ac:dyDescent="0.2">
      <c r="B3585" t="s">
        <v>5552</v>
      </c>
      <c r="C3585">
        <v>500370</v>
      </c>
      <c r="D3585" t="s">
        <v>5553</v>
      </c>
      <c r="E3585" t="s">
        <v>388</v>
      </c>
    </row>
    <row r="3586" spans="2:5" x14ac:dyDescent="0.2">
      <c r="B3586" t="s">
        <v>5554</v>
      </c>
      <c r="C3586">
        <v>517059</v>
      </c>
      <c r="D3586" t="s">
        <v>5555</v>
      </c>
      <c r="E3586" t="s">
        <v>664</v>
      </c>
    </row>
    <row r="3587" spans="2:5" x14ac:dyDescent="0.2">
      <c r="B3587" t="s">
        <v>5556</v>
      </c>
      <c r="C3587">
        <v>532005</v>
      </c>
      <c r="D3587" t="s">
        <v>366</v>
      </c>
      <c r="E3587" t="s">
        <v>551</v>
      </c>
    </row>
    <row r="3588" spans="2:5" x14ac:dyDescent="0.2">
      <c r="B3588" t="s">
        <v>5557</v>
      </c>
      <c r="C3588">
        <v>521240</v>
      </c>
      <c r="D3588" t="s">
        <v>366</v>
      </c>
      <c r="E3588" t="s">
        <v>381</v>
      </c>
    </row>
    <row r="3589" spans="2:5" x14ac:dyDescent="0.2">
      <c r="B3589" t="s">
        <v>5558</v>
      </c>
      <c r="C3589">
        <v>511630</v>
      </c>
      <c r="D3589" t="s">
        <v>5559</v>
      </c>
      <c r="E3589" t="s">
        <v>890</v>
      </c>
    </row>
    <row r="3590" spans="2:5" x14ac:dyDescent="0.2">
      <c r="B3590" t="s">
        <v>5560</v>
      </c>
      <c r="C3590">
        <v>520075</v>
      </c>
      <c r="D3590" t="s">
        <v>366</v>
      </c>
      <c r="E3590" t="s">
        <v>721</v>
      </c>
    </row>
    <row r="3591" spans="2:5" x14ac:dyDescent="0.2">
      <c r="B3591" t="s">
        <v>5561</v>
      </c>
      <c r="C3591">
        <v>530617</v>
      </c>
      <c r="D3591" t="s">
        <v>366</v>
      </c>
      <c r="E3591" t="s">
        <v>426</v>
      </c>
    </row>
    <row r="3592" spans="2:5" x14ac:dyDescent="0.2">
      <c r="B3592" t="s">
        <v>5562</v>
      </c>
      <c r="C3592">
        <v>530125</v>
      </c>
      <c r="D3592" t="s">
        <v>366</v>
      </c>
      <c r="E3592" t="s">
        <v>404</v>
      </c>
    </row>
    <row r="3593" spans="2:5" x14ac:dyDescent="0.2">
      <c r="B3593" t="s">
        <v>5563</v>
      </c>
      <c r="C3593">
        <v>500371</v>
      </c>
      <c r="D3593" t="s">
        <v>366</v>
      </c>
      <c r="E3593" t="s">
        <v>735</v>
      </c>
    </row>
    <row r="3594" spans="2:5" x14ac:dyDescent="0.2">
      <c r="B3594" t="s">
        <v>5564</v>
      </c>
      <c r="C3594">
        <v>500371</v>
      </c>
      <c r="D3594" t="s">
        <v>366</v>
      </c>
      <c r="E3594" t="s">
        <v>735</v>
      </c>
    </row>
    <row r="3595" spans="2:5" x14ac:dyDescent="0.2">
      <c r="B3595" t="s">
        <v>5565</v>
      </c>
      <c r="C3595">
        <v>521206</v>
      </c>
      <c r="D3595" t="s">
        <v>366</v>
      </c>
      <c r="E3595" t="s">
        <v>480</v>
      </c>
    </row>
    <row r="3596" spans="2:5" x14ac:dyDescent="0.2">
      <c r="B3596" t="s">
        <v>5566</v>
      </c>
      <c r="C3596">
        <v>530025</v>
      </c>
      <c r="D3596" t="s">
        <v>366</v>
      </c>
      <c r="E3596" t="s">
        <v>787</v>
      </c>
    </row>
    <row r="3597" spans="2:5" x14ac:dyDescent="0.2">
      <c r="B3597" t="s">
        <v>5567</v>
      </c>
      <c r="C3597">
        <v>780015</v>
      </c>
      <c r="D3597" t="s">
        <v>366</v>
      </c>
      <c r="E3597" t="s">
        <v>457</v>
      </c>
    </row>
    <row r="3598" spans="2:5" x14ac:dyDescent="0.2">
      <c r="B3598" t="s">
        <v>5568</v>
      </c>
      <c r="C3598">
        <v>509423</v>
      </c>
      <c r="D3598" t="s">
        <v>366</v>
      </c>
      <c r="E3598" t="s">
        <v>414</v>
      </c>
    </row>
    <row r="3599" spans="2:5" x14ac:dyDescent="0.2">
      <c r="B3599" t="s">
        <v>5569</v>
      </c>
      <c r="C3599">
        <v>521222</v>
      </c>
      <c r="D3599" t="s">
        <v>366</v>
      </c>
      <c r="E3599" t="s">
        <v>480</v>
      </c>
    </row>
    <row r="3600" spans="2:5" x14ac:dyDescent="0.2">
      <c r="B3600" t="s">
        <v>5570</v>
      </c>
      <c r="C3600" t="s">
        <v>366</v>
      </c>
      <c r="D3600" t="s">
        <v>5571</v>
      </c>
      <c r="E3600" t="s">
        <v>457</v>
      </c>
    </row>
    <row r="3601" spans="2:5" x14ac:dyDescent="0.2">
      <c r="B3601" t="s">
        <v>5572</v>
      </c>
      <c r="C3601">
        <v>523116</v>
      </c>
      <c r="D3601" t="s">
        <v>366</v>
      </c>
      <c r="E3601" t="s">
        <v>489</v>
      </c>
    </row>
    <row r="3602" spans="2:5" x14ac:dyDescent="0.2">
      <c r="B3602" t="s">
        <v>5573</v>
      </c>
      <c r="C3602">
        <v>541163</v>
      </c>
      <c r="D3602" t="s">
        <v>5574</v>
      </c>
      <c r="E3602" t="s">
        <v>721</v>
      </c>
    </row>
    <row r="3603" spans="2:5" x14ac:dyDescent="0.2">
      <c r="B3603" t="s">
        <v>5575</v>
      </c>
      <c r="C3603">
        <v>524703</v>
      </c>
      <c r="D3603" t="s">
        <v>366</v>
      </c>
      <c r="E3603" t="s">
        <v>404</v>
      </c>
    </row>
    <row r="3604" spans="2:5" x14ac:dyDescent="0.2">
      <c r="B3604" t="s">
        <v>5576</v>
      </c>
      <c r="C3604">
        <v>504918</v>
      </c>
      <c r="D3604" t="s">
        <v>366</v>
      </c>
      <c r="E3604" t="s">
        <v>346</v>
      </c>
    </row>
    <row r="3605" spans="2:5" x14ac:dyDescent="0.2">
      <c r="B3605" t="s">
        <v>5577</v>
      </c>
      <c r="C3605">
        <v>539392</v>
      </c>
      <c r="D3605" t="s">
        <v>366</v>
      </c>
      <c r="E3605" t="s">
        <v>388</v>
      </c>
    </row>
    <row r="3606" spans="2:5" x14ac:dyDescent="0.2">
      <c r="B3606" t="s">
        <v>5578</v>
      </c>
      <c r="C3606">
        <v>539392</v>
      </c>
      <c r="D3606" t="s">
        <v>366</v>
      </c>
      <c r="E3606" t="s">
        <v>388</v>
      </c>
    </row>
    <row r="3607" spans="2:5" x14ac:dyDescent="0.2">
      <c r="B3607" t="s">
        <v>5579</v>
      </c>
      <c r="C3607">
        <v>516096</v>
      </c>
      <c r="D3607" t="s">
        <v>366</v>
      </c>
      <c r="E3607" t="s">
        <v>360</v>
      </c>
    </row>
    <row r="3608" spans="2:5" x14ac:dyDescent="0.2">
      <c r="B3608" t="s">
        <v>5580</v>
      </c>
      <c r="C3608">
        <v>514234</v>
      </c>
      <c r="D3608" t="s">
        <v>5581</v>
      </c>
      <c r="E3608" t="s">
        <v>381</v>
      </c>
    </row>
    <row r="3609" spans="2:5" x14ac:dyDescent="0.2">
      <c r="B3609" t="s">
        <v>5582</v>
      </c>
      <c r="C3609">
        <v>514234</v>
      </c>
      <c r="D3609" t="s">
        <v>5581</v>
      </c>
      <c r="E3609" t="s">
        <v>381</v>
      </c>
    </row>
    <row r="3610" spans="2:5" x14ac:dyDescent="0.2">
      <c r="B3610" t="s">
        <v>5583</v>
      </c>
      <c r="C3610">
        <v>534618</v>
      </c>
      <c r="D3610" t="s">
        <v>366</v>
      </c>
      <c r="E3610" t="s">
        <v>505</v>
      </c>
    </row>
    <row r="3611" spans="2:5" x14ac:dyDescent="0.2">
      <c r="B3611" t="s">
        <v>5584</v>
      </c>
      <c r="C3611">
        <v>511640</v>
      </c>
      <c r="D3611" t="s">
        <v>366</v>
      </c>
      <c r="E3611" t="s">
        <v>383</v>
      </c>
    </row>
    <row r="3612" spans="2:5" x14ac:dyDescent="0.2">
      <c r="B3612" t="s">
        <v>5585</v>
      </c>
      <c r="C3612">
        <v>526521</v>
      </c>
      <c r="D3612" t="s">
        <v>5586</v>
      </c>
      <c r="E3612" t="s">
        <v>379</v>
      </c>
    </row>
    <row r="3613" spans="2:5" x14ac:dyDescent="0.2">
      <c r="B3613" t="s">
        <v>5587</v>
      </c>
      <c r="C3613">
        <v>540782</v>
      </c>
      <c r="D3613" t="s">
        <v>366</v>
      </c>
      <c r="E3613" t="s">
        <v>567</v>
      </c>
    </row>
    <row r="3614" spans="2:5" x14ac:dyDescent="0.2">
      <c r="B3614" t="s">
        <v>5588</v>
      </c>
      <c r="C3614">
        <v>533411</v>
      </c>
      <c r="D3614" t="s">
        <v>5589</v>
      </c>
      <c r="E3614" t="s">
        <v>1284</v>
      </c>
    </row>
    <row r="3615" spans="2:5" x14ac:dyDescent="0.2">
      <c r="B3615" t="s">
        <v>5590</v>
      </c>
      <c r="C3615">
        <v>530073</v>
      </c>
      <c r="D3615" t="s">
        <v>5591</v>
      </c>
      <c r="E3615" t="s">
        <v>489</v>
      </c>
    </row>
    <row r="3616" spans="2:5" x14ac:dyDescent="0.2">
      <c r="B3616" t="s">
        <v>5592</v>
      </c>
      <c r="C3616" t="s">
        <v>366</v>
      </c>
      <c r="D3616" t="s">
        <v>5593</v>
      </c>
      <c r="E3616" t="s">
        <v>377</v>
      </c>
    </row>
    <row r="3617" spans="2:5" x14ac:dyDescent="0.2">
      <c r="B3617" t="s">
        <v>5594</v>
      </c>
      <c r="C3617">
        <v>531898</v>
      </c>
      <c r="D3617" t="s">
        <v>366</v>
      </c>
      <c r="E3617" t="s">
        <v>369</v>
      </c>
    </row>
    <row r="3618" spans="2:5" x14ac:dyDescent="0.2">
      <c r="B3618" t="s">
        <v>5595</v>
      </c>
      <c r="C3618">
        <v>531569</v>
      </c>
      <c r="D3618" t="s">
        <v>366</v>
      </c>
      <c r="E3618" t="s">
        <v>404</v>
      </c>
    </row>
    <row r="3619" spans="2:5" x14ac:dyDescent="0.2">
      <c r="B3619" t="s">
        <v>5596</v>
      </c>
      <c r="C3619">
        <v>532972</v>
      </c>
      <c r="D3619" t="s">
        <v>366</v>
      </c>
      <c r="E3619" t="s">
        <v>459</v>
      </c>
    </row>
    <row r="3620" spans="2:5" x14ac:dyDescent="0.2">
      <c r="B3620" t="s">
        <v>5597</v>
      </c>
      <c r="C3620">
        <v>532435</v>
      </c>
      <c r="D3620" t="s">
        <v>366</v>
      </c>
      <c r="E3620" t="s">
        <v>452</v>
      </c>
    </row>
    <row r="3621" spans="2:5" x14ac:dyDescent="0.2">
      <c r="B3621" t="s">
        <v>5598</v>
      </c>
      <c r="C3621">
        <v>512062</v>
      </c>
      <c r="D3621" t="s">
        <v>366</v>
      </c>
      <c r="E3621" t="s">
        <v>787</v>
      </c>
    </row>
    <row r="3622" spans="2:5" x14ac:dyDescent="0.2">
      <c r="B3622" t="s">
        <v>5599</v>
      </c>
      <c r="C3622">
        <v>500674</v>
      </c>
      <c r="D3622" t="s">
        <v>5600</v>
      </c>
      <c r="E3622" t="s">
        <v>404</v>
      </c>
    </row>
    <row r="3623" spans="2:5" x14ac:dyDescent="0.2">
      <c r="B3623" t="s">
        <v>5601</v>
      </c>
      <c r="C3623">
        <v>500674</v>
      </c>
      <c r="D3623" t="s">
        <v>5600</v>
      </c>
      <c r="E3623" t="s">
        <v>404</v>
      </c>
    </row>
    <row r="3624" spans="2:5" x14ac:dyDescent="0.2">
      <c r="B3624" t="s">
        <v>5602</v>
      </c>
      <c r="C3624">
        <v>514280</v>
      </c>
      <c r="D3624" t="s">
        <v>366</v>
      </c>
      <c r="E3624" t="s">
        <v>381</v>
      </c>
    </row>
    <row r="3625" spans="2:5" x14ac:dyDescent="0.2">
      <c r="B3625" t="s">
        <v>5603</v>
      </c>
      <c r="C3625">
        <v>530035</v>
      </c>
      <c r="D3625" t="s">
        <v>366</v>
      </c>
      <c r="E3625" t="s">
        <v>381</v>
      </c>
    </row>
    <row r="3626" spans="2:5" x14ac:dyDescent="0.2">
      <c r="B3626" t="s">
        <v>5604</v>
      </c>
      <c r="C3626">
        <v>540822</v>
      </c>
      <c r="D3626" t="s">
        <v>366</v>
      </c>
      <c r="E3626" t="s">
        <v>383</v>
      </c>
    </row>
    <row r="3627" spans="2:5" x14ac:dyDescent="0.2">
      <c r="B3627" t="s">
        <v>5605</v>
      </c>
      <c r="C3627">
        <v>519260</v>
      </c>
      <c r="D3627" t="s">
        <v>5606</v>
      </c>
      <c r="E3627" t="s">
        <v>615</v>
      </c>
    </row>
    <row r="3628" spans="2:5" x14ac:dyDescent="0.2">
      <c r="B3628" t="s">
        <v>5607</v>
      </c>
      <c r="C3628">
        <v>506906</v>
      </c>
      <c r="D3628" t="s">
        <v>366</v>
      </c>
      <c r="E3628" t="s">
        <v>388</v>
      </c>
    </row>
    <row r="3629" spans="2:5" x14ac:dyDescent="0.2">
      <c r="B3629" t="s">
        <v>5608</v>
      </c>
      <c r="C3629">
        <v>519238</v>
      </c>
      <c r="D3629" t="s">
        <v>366</v>
      </c>
      <c r="E3629" t="s">
        <v>564</v>
      </c>
    </row>
    <row r="3630" spans="2:5" x14ac:dyDescent="0.2">
      <c r="B3630" t="s">
        <v>5609</v>
      </c>
      <c r="C3630">
        <v>538992</v>
      </c>
      <c r="D3630" t="s">
        <v>366</v>
      </c>
      <c r="E3630" t="s">
        <v>721</v>
      </c>
    </row>
    <row r="3631" spans="2:5" x14ac:dyDescent="0.2">
      <c r="B3631" t="s">
        <v>5610</v>
      </c>
      <c r="C3631">
        <v>512020</v>
      </c>
      <c r="D3631" t="s">
        <v>366</v>
      </c>
      <c r="E3631" t="s">
        <v>383</v>
      </c>
    </row>
    <row r="3632" spans="2:5" x14ac:dyDescent="0.2">
      <c r="B3632" t="s">
        <v>5611</v>
      </c>
      <c r="C3632">
        <v>512020</v>
      </c>
      <c r="D3632" t="s">
        <v>366</v>
      </c>
      <c r="E3632" t="s">
        <v>383</v>
      </c>
    </row>
    <row r="3633" spans="2:5" x14ac:dyDescent="0.2">
      <c r="B3633" t="s">
        <v>5612</v>
      </c>
      <c r="C3633">
        <v>504614</v>
      </c>
      <c r="D3633" t="s">
        <v>5613</v>
      </c>
      <c r="E3633" t="s">
        <v>398</v>
      </c>
    </row>
    <row r="3634" spans="2:5" x14ac:dyDescent="0.2">
      <c r="B3634" t="s">
        <v>5614</v>
      </c>
      <c r="C3634">
        <v>516032</v>
      </c>
      <c r="D3634" t="s">
        <v>366</v>
      </c>
      <c r="E3634" t="s">
        <v>360</v>
      </c>
    </row>
    <row r="3635" spans="2:5" x14ac:dyDescent="0.2">
      <c r="B3635" t="s">
        <v>5615</v>
      </c>
      <c r="C3635">
        <v>516003</v>
      </c>
      <c r="D3635" t="s">
        <v>366</v>
      </c>
      <c r="E3635" t="s">
        <v>861</v>
      </c>
    </row>
    <row r="3636" spans="2:5" x14ac:dyDescent="0.2">
      <c r="B3636" t="s">
        <v>5616</v>
      </c>
      <c r="C3636">
        <v>519242</v>
      </c>
      <c r="D3636" t="s">
        <v>366</v>
      </c>
      <c r="E3636" t="s">
        <v>615</v>
      </c>
    </row>
    <row r="3637" spans="2:5" x14ac:dyDescent="0.2">
      <c r="B3637" t="s">
        <v>5617</v>
      </c>
      <c r="C3637">
        <v>532163</v>
      </c>
      <c r="D3637" t="s">
        <v>5618</v>
      </c>
      <c r="E3637" t="s">
        <v>369</v>
      </c>
    </row>
    <row r="3638" spans="2:5" x14ac:dyDescent="0.2">
      <c r="B3638" t="s">
        <v>5619</v>
      </c>
      <c r="C3638">
        <v>532163</v>
      </c>
      <c r="D3638" t="s">
        <v>5618</v>
      </c>
      <c r="E3638" t="s">
        <v>369</v>
      </c>
    </row>
    <row r="3639" spans="2:5" x14ac:dyDescent="0.2">
      <c r="B3639" t="s">
        <v>5620</v>
      </c>
      <c r="C3639">
        <v>526885</v>
      </c>
      <c r="D3639" t="s">
        <v>5621</v>
      </c>
      <c r="E3639" t="s">
        <v>381</v>
      </c>
    </row>
    <row r="3640" spans="2:5" x14ac:dyDescent="0.2">
      <c r="B3640" t="s">
        <v>5622</v>
      </c>
      <c r="C3640">
        <v>530993</v>
      </c>
      <c r="D3640" t="s">
        <v>366</v>
      </c>
      <c r="E3640" t="s">
        <v>388</v>
      </c>
    </row>
    <row r="3641" spans="2:5" x14ac:dyDescent="0.2">
      <c r="B3641" t="s">
        <v>5623</v>
      </c>
      <c r="C3641">
        <v>531930</v>
      </c>
      <c r="D3641" t="s">
        <v>366</v>
      </c>
      <c r="E3641" t="s">
        <v>1284</v>
      </c>
    </row>
    <row r="3642" spans="2:5" x14ac:dyDescent="0.2">
      <c r="B3642" t="s">
        <v>5624</v>
      </c>
      <c r="C3642">
        <v>540393</v>
      </c>
      <c r="D3642" t="s">
        <v>366</v>
      </c>
      <c r="E3642" t="s">
        <v>689</v>
      </c>
    </row>
    <row r="3643" spans="2:5" x14ac:dyDescent="0.2">
      <c r="B3643" t="s">
        <v>5625</v>
      </c>
      <c r="C3643">
        <v>514412</v>
      </c>
      <c r="D3643" t="s">
        <v>366</v>
      </c>
      <c r="E3643" t="s">
        <v>480</v>
      </c>
    </row>
    <row r="3644" spans="2:5" x14ac:dyDescent="0.2">
      <c r="B3644" t="s">
        <v>5626</v>
      </c>
      <c r="C3644">
        <v>506190</v>
      </c>
      <c r="D3644" t="s">
        <v>366</v>
      </c>
      <c r="E3644" t="s">
        <v>787</v>
      </c>
    </row>
    <row r="3645" spans="2:5" x14ac:dyDescent="0.2">
      <c r="B3645" t="s">
        <v>5627</v>
      </c>
      <c r="C3645" t="s">
        <v>366</v>
      </c>
      <c r="D3645" t="s">
        <v>5628</v>
      </c>
      <c r="E3645" t="s">
        <v>377</v>
      </c>
    </row>
    <row r="3646" spans="2:5" x14ac:dyDescent="0.2">
      <c r="B3646" t="s">
        <v>5629</v>
      </c>
      <c r="C3646">
        <v>539124</v>
      </c>
      <c r="D3646" t="s">
        <v>366</v>
      </c>
      <c r="E3646" t="s">
        <v>383</v>
      </c>
    </row>
    <row r="3647" spans="2:5" x14ac:dyDescent="0.2">
      <c r="B3647" t="s">
        <v>5630</v>
      </c>
      <c r="C3647">
        <v>506313</v>
      </c>
      <c r="D3647" t="s">
        <v>366</v>
      </c>
      <c r="E3647" t="s">
        <v>894</v>
      </c>
    </row>
    <row r="3648" spans="2:5" x14ac:dyDescent="0.2">
      <c r="B3648" t="s">
        <v>5631</v>
      </c>
      <c r="C3648">
        <v>532663</v>
      </c>
      <c r="D3648" t="s">
        <v>5632</v>
      </c>
      <c r="E3648" t="s">
        <v>352</v>
      </c>
    </row>
    <row r="3649" spans="2:5" x14ac:dyDescent="0.2">
      <c r="B3649" t="s">
        <v>5633</v>
      </c>
      <c r="C3649">
        <v>533259</v>
      </c>
      <c r="D3649" t="s">
        <v>5634</v>
      </c>
      <c r="E3649" t="s">
        <v>555</v>
      </c>
    </row>
    <row r="3650" spans="2:5" x14ac:dyDescent="0.2">
      <c r="B3650" t="s">
        <v>5635</v>
      </c>
      <c r="C3650">
        <v>511076</v>
      </c>
      <c r="D3650" t="s">
        <v>366</v>
      </c>
      <c r="E3650" t="s">
        <v>388</v>
      </c>
    </row>
    <row r="3651" spans="2:5" x14ac:dyDescent="0.2">
      <c r="B3651" t="s">
        <v>5636</v>
      </c>
      <c r="C3651">
        <v>526093</v>
      </c>
      <c r="D3651" t="s">
        <v>5637</v>
      </c>
      <c r="E3651" t="s">
        <v>398</v>
      </c>
    </row>
    <row r="3652" spans="2:5" x14ac:dyDescent="0.2">
      <c r="B3652" t="s">
        <v>5638</v>
      </c>
      <c r="C3652">
        <v>539201</v>
      </c>
      <c r="D3652" t="s">
        <v>366</v>
      </c>
      <c r="E3652" t="s">
        <v>360</v>
      </c>
    </row>
    <row r="3653" spans="2:5" x14ac:dyDescent="0.2">
      <c r="B3653" t="s">
        <v>5639</v>
      </c>
      <c r="C3653">
        <v>539404</v>
      </c>
      <c r="D3653" t="s">
        <v>5640</v>
      </c>
      <c r="E3653" t="s">
        <v>383</v>
      </c>
    </row>
    <row r="3654" spans="2:5" x14ac:dyDescent="0.2">
      <c r="B3654" t="s">
        <v>5641</v>
      </c>
      <c r="C3654">
        <v>536592</v>
      </c>
      <c r="D3654" t="s">
        <v>366</v>
      </c>
      <c r="E3654" t="s">
        <v>383</v>
      </c>
    </row>
    <row r="3655" spans="2:5" x14ac:dyDescent="0.2">
      <c r="B3655" t="s">
        <v>5642</v>
      </c>
      <c r="C3655">
        <v>508996</v>
      </c>
      <c r="D3655" t="s">
        <v>5643</v>
      </c>
      <c r="E3655" t="s">
        <v>452</v>
      </c>
    </row>
    <row r="3656" spans="2:5" x14ac:dyDescent="0.2">
      <c r="B3656" t="s">
        <v>5644</v>
      </c>
      <c r="C3656">
        <v>503893</v>
      </c>
      <c r="D3656" t="s">
        <v>366</v>
      </c>
      <c r="E3656" t="s">
        <v>349</v>
      </c>
    </row>
    <row r="3657" spans="2:5" x14ac:dyDescent="0.2">
      <c r="B3657" t="s">
        <v>5645</v>
      </c>
      <c r="C3657">
        <v>539218</v>
      </c>
      <c r="D3657" t="s">
        <v>366</v>
      </c>
      <c r="E3657" t="s">
        <v>383</v>
      </c>
    </row>
    <row r="3658" spans="2:5" x14ac:dyDescent="0.2">
      <c r="B3658" t="s">
        <v>5646</v>
      </c>
      <c r="C3658">
        <v>502175</v>
      </c>
      <c r="D3658" t="s">
        <v>366</v>
      </c>
      <c r="E3658" t="s">
        <v>379</v>
      </c>
    </row>
    <row r="3659" spans="2:5" x14ac:dyDescent="0.2">
      <c r="B3659" t="s">
        <v>5647</v>
      </c>
      <c r="C3659">
        <v>511577</v>
      </c>
      <c r="D3659" t="s">
        <v>366</v>
      </c>
      <c r="E3659" t="s">
        <v>383</v>
      </c>
    </row>
    <row r="3660" spans="2:5" x14ac:dyDescent="0.2">
      <c r="B3660" t="s">
        <v>5648</v>
      </c>
      <c r="C3660">
        <v>517320</v>
      </c>
      <c r="D3660" t="s">
        <v>366</v>
      </c>
      <c r="E3660" t="s">
        <v>664</v>
      </c>
    </row>
    <row r="3661" spans="2:5" x14ac:dyDescent="0.2">
      <c r="B3661" t="s">
        <v>5649</v>
      </c>
      <c r="C3661">
        <v>532404</v>
      </c>
      <c r="D3661" t="s">
        <v>366</v>
      </c>
      <c r="E3661" t="s">
        <v>459</v>
      </c>
    </row>
    <row r="3662" spans="2:5" x14ac:dyDescent="0.2">
      <c r="B3662" t="s">
        <v>5650</v>
      </c>
      <c r="C3662">
        <v>512634</v>
      </c>
      <c r="D3662" t="s">
        <v>366</v>
      </c>
      <c r="E3662" t="s">
        <v>567</v>
      </c>
    </row>
    <row r="3663" spans="2:5" x14ac:dyDescent="0.2">
      <c r="B3663" t="s">
        <v>5651</v>
      </c>
      <c r="C3663">
        <v>524667</v>
      </c>
      <c r="D3663" t="s">
        <v>5652</v>
      </c>
      <c r="E3663" t="s">
        <v>1293</v>
      </c>
    </row>
    <row r="3664" spans="2:5" x14ac:dyDescent="0.2">
      <c r="B3664" t="s">
        <v>5653</v>
      </c>
      <c r="C3664">
        <v>531893</v>
      </c>
      <c r="D3664" t="s">
        <v>366</v>
      </c>
      <c r="E3664" t="s">
        <v>787</v>
      </c>
    </row>
    <row r="3665" spans="2:5" x14ac:dyDescent="0.2">
      <c r="B3665" t="s">
        <v>5654</v>
      </c>
      <c r="C3665">
        <v>523710</v>
      </c>
      <c r="D3665" t="s">
        <v>366</v>
      </c>
      <c r="E3665" t="s">
        <v>567</v>
      </c>
    </row>
    <row r="3666" spans="2:5" x14ac:dyDescent="0.2">
      <c r="B3666" t="s">
        <v>5655</v>
      </c>
      <c r="C3666">
        <v>540728</v>
      </c>
      <c r="D3666" t="s">
        <v>366</v>
      </c>
      <c r="E3666" t="s">
        <v>355</v>
      </c>
    </row>
    <row r="3667" spans="2:5" x14ac:dyDescent="0.2">
      <c r="B3667" t="s">
        <v>5656</v>
      </c>
      <c r="C3667">
        <v>532102</v>
      </c>
      <c r="D3667" t="s">
        <v>366</v>
      </c>
      <c r="E3667" t="s">
        <v>1065</v>
      </c>
    </row>
    <row r="3668" spans="2:5" x14ac:dyDescent="0.2">
      <c r="B3668" t="s">
        <v>5657</v>
      </c>
      <c r="C3668">
        <v>540719</v>
      </c>
      <c r="D3668" t="s">
        <v>5658</v>
      </c>
      <c r="E3668" t="s">
        <v>2774</v>
      </c>
    </row>
    <row r="3669" spans="2:5" x14ac:dyDescent="0.2">
      <c r="B3669" t="s">
        <v>5659</v>
      </c>
      <c r="C3669">
        <v>590098</v>
      </c>
      <c r="D3669" t="s">
        <v>5660</v>
      </c>
      <c r="E3669" t="s">
        <v>349</v>
      </c>
    </row>
    <row r="3670" spans="2:5" x14ac:dyDescent="0.2">
      <c r="B3670" t="s">
        <v>5661</v>
      </c>
      <c r="C3670">
        <v>526081</v>
      </c>
      <c r="D3670" t="s">
        <v>5662</v>
      </c>
      <c r="E3670" t="s">
        <v>426</v>
      </c>
    </row>
    <row r="3671" spans="2:5" x14ac:dyDescent="0.2">
      <c r="B3671" t="s">
        <v>5663</v>
      </c>
      <c r="C3671">
        <v>531797</v>
      </c>
      <c r="D3671" t="s">
        <v>366</v>
      </c>
      <c r="E3671" t="s">
        <v>379</v>
      </c>
    </row>
    <row r="3672" spans="2:5" x14ac:dyDescent="0.2">
      <c r="B3672" t="s">
        <v>5664</v>
      </c>
      <c r="C3672">
        <v>511672</v>
      </c>
      <c r="D3672" t="s">
        <v>366</v>
      </c>
      <c r="E3672" t="s">
        <v>398</v>
      </c>
    </row>
    <row r="3673" spans="2:5" x14ac:dyDescent="0.2">
      <c r="B3673" t="s">
        <v>5665</v>
      </c>
      <c r="C3673">
        <v>516110</v>
      </c>
      <c r="D3673" t="s">
        <v>5666</v>
      </c>
      <c r="E3673" t="s">
        <v>555</v>
      </c>
    </row>
    <row r="3674" spans="2:5" x14ac:dyDescent="0.2">
      <c r="B3674" t="s">
        <v>5667</v>
      </c>
      <c r="C3674">
        <v>526544</v>
      </c>
      <c r="D3674" t="s">
        <v>366</v>
      </c>
      <c r="E3674" t="s">
        <v>372</v>
      </c>
    </row>
    <row r="3675" spans="2:5" x14ac:dyDescent="0.2">
      <c r="B3675" t="s">
        <v>5668</v>
      </c>
      <c r="C3675">
        <v>507894</v>
      </c>
      <c r="D3675" t="s">
        <v>366</v>
      </c>
      <c r="E3675" t="s">
        <v>643</v>
      </c>
    </row>
    <row r="3676" spans="2:5" x14ac:dyDescent="0.2">
      <c r="B3676" t="s">
        <v>5669</v>
      </c>
      <c r="C3676">
        <v>507894</v>
      </c>
      <c r="D3676" t="s">
        <v>366</v>
      </c>
      <c r="E3676" t="s">
        <v>643</v>
      </c>
    </row>
    <row r="3677" spans="2:5" x14ac:dyDescent="0.2">
      <c r="B3677" t="s">
        <v>5670</v>
      </c>
      <c r="C3677">
        <v>505790</v>
      </c>
      <c r="D3677" t="s">
        <v>5671</v>
      </c>
      <c r="E3677" t="s">
        <v>374</v>
      </c>
    </row>
    <row r="3678" spans="2:5" x14ac:dyDescent="0.2">
      <c r="B3678" t="s">
        <v>5672</v>
      </c>
      <c r="C3678">
        <v>505790</v>
      </c>
      <c r="D3678" t="s">
        <v>5671</v>
      </c>
      <c r="E3678" t="s">
        <v>374</v>
      </c>
    </row>
    <row r="3679" spans="2:5" x14ac:dyDescent="0.2">
      <c r="B3679" t="s">
        <v>5673</v>
      </c>
      <c r="C3679">
        <v>534139</v>
      </c>
      <c r="D3679" t="s">
        <v>5674</v>
      </c>
      <c r="E3679" t="s">
        <v>409</v>
      </c>
    </row>
    <row r="3680" spans="2:5" x14ac:dyDescent="0.2">
      <c r="B3680" t="s">
        <v>5675</v>
      </c>
      <c r="C3680">
        <v>538857</v>
      </c>
      <c r="D3680" t="s">
        <v>366</v>
      </c>
      <c r="E3680" t="s">
        <v>383</v>
      </c>
    </row>
    <row r="3681" spans="2:5" x14ac:dyDescent="0.2">
      <c r="B3681" t="s">
        <v>5676</v>
      </c>
      <c r="C3681">
        <v>505141</v>
      </c>
      <c r="D3681" t="s">
        <v>366</v>
      </c>
      <c r="E3681" t="s">
        <v>1024</v>
      </c>
    </row>
    <row r="3682" spans="2:5" x14ac:dyDescent="0.2">
      <c r="B3682" t="s">
        <v>5677</v>
      </c>
      <c r="C3682">
        <v>505141</v>
      </c>
      <c r="D3682" t="s">
        <v>366</v>
      </c>
      <c r="E3682" t="s">
        <v>1024</v>
      </c>
    </row>
    <row r="3683" spans="2:5" x14ac:dyDescent="0.2">
      <c r="B3683" t="s">
        <v>5678</v>
      </c>
      <c r="C3683">
        <v>530361</v>
      </c>
      <c r="D3683" t="s">
        <v>366</v>
      </c>
      <c r="E3683" t="s">
        <v>426</v>
      </c>
    </row>
    <row r="3684" spans="2:5" x14ac:dyDescent="0.2">
      <c r="B3684" t="s">
        <v>5679</v>
      </c>
      <c r="C3684">
        <v>533268</v>
      </c>
      <c r="D3684" t="s">
        <v>366</v>
      </c>
      <c r="E3684" t="s">
        <v>1103</v>
      </c>
    </row>
    <row r="3685" spans="2:5" x14ac:dyDescent="0.2">
      <c r="B3685" t="s">
        <v>5680</v>
      </c>
      <c r="C3685">
        <v>526807</v>
      </c>
      <c r="D3685" t="s">
        <v>5681</v>
      </c>
      <c r="E3685" t="s">
        <v>1611</v>
      </c>
    </row>
    <row r="3686" spans="2:5" x14ac:dyDescent="0.2">
      <c r="B3686" t="s">
        <v>5682</v>
      </c>
      <c r="C3686">
        <v>521182</v>
      </c>
      <c r="D3686" t="s">
        <v>366</v>
      </c>
      <c r="E3686" t="s">
        <v>388</v>
      </c>
    </row>
    <row r="3687" spans="2:5" x14ac:dyDescent="0.2">
      <c r="B3687" t="s">
        <v>5683</v>
      </c>
      <c r="C3687">
        <v>514264</v>
      </c>
      <c r="D3687" t="s">
        <v>366</v>
      </c>
      <c r="E3687" t="s">
        <v>381</v>
      </c>
    </row>
    <row r="3688" spans="2:5" x14ac:dyDescent="0.2">
      <c r="B3688" t="s">
        <v>5684</v>
      </c>
      <c r="C3688" t="s">
        <v>366</v>
      </c>
      <c r="D3688" t="s">
        <v>5685</v>
      </c>
      <c r="E3688" t="s">
        <v>377</v>
      </c>
    </row>
    <row r="3689" spans="2:5" x14ac:dyDescent="0.2">
      <c r="B3689" t="s">
        <v>5686</v>
      </c>
      <c r="C3689">
        <v>540673</v>
      </c>
      <c r="D3689" t="s">
        <v>5687</v>
      </c>
      <c r="E3689" t="s">
        <v>3141</v>
      </c>
    </row>
    <row r="3690" spans="2:5" x14ac:dyDescent="0.2">
      <c r="B3690" t="s">
        <v>5688</v>
      </c>
      <c r="C3690">
        <v>540673</v>
      </c>
      <c r="D3690" t="s">
        <v>5687</v>
      </c>
      <c r="E3690" t="s">
        <v>3141</v>
      </c>
    </row>
    <row r="3691" spans="2:5" x14ac:dyDescent="0.2">
      <c r="B3691" t="s">
        <v>5689</v>
      </c>
      <c r="C3691">
        <v>532886</v>
      </c>
      <c r="D3691" t="s">
        <v>5690</v>
      </c>
      <c r="E3691" t="s">
        <v>381</v>
      </c>
    </row>
    <row r="3692" spans="2:5" x14ac:dyDescent="0.2">
      <c r="B3692" t="s">
        <v>5691</v>
      </c>
      <c r="C3692">
        <v>530075</v>
      </c>
      <c r="D3692" t="s">
        <v>5692</v>
      </c>
      <c r="E3692" t="s">
        <v>429</v>
      </c>
    </row>
    <row r="3693" spans="2:5" x14ac:dyDescent="0.2">
      <c r="B3693" t="s">
        <v>5693</v>
      </c>
      <c r="C3693">
        <v>538875</v>
      </c>
      <c r="D3693" t="s">
        <v>366</v>
      </c>
      <c r="E3693" t="s">
        <v>787</v>
      </c>
    </row>
    <row r="3694" spans="2:5" x14ac:dyDescent="0.2">
      <c r="B3694" t="s">
        <v>5694</v>
      </c>
      <c r="C3694">
        <v>532021</v>
      </c>
      <c r="D3694" t="s">
        <v>366</v>
      </c>
      <c r="E3694" t="s">
        <v>404</v>
      </c>
    </row>
    <row r="3695" spans="2:5" x14ac:dyDescent="0.2">
      <c r="B3695" t="s">
        <v>5695</v>
      </c>
      <c r="C3695">
        <v>531980</v>
      </c>
      <c r="D3695" t="s">
        <v>366</v>
      </c>
      <c r="E3695" t="s">
        <v>352</v>
      </c>
    </row>
    <row r="3696" spans="2:5" x14ac:dyDescent="0.2">
      <c r="B3696" t="s">
        <v>5696</v>
      </c>
      <c r="C3696">
        <v>512529</v>
      </c>
      <c r="D3696" t="s">
        <v>5697</v>
      </c>
      <c r="E3696" t="s">
        <v>404</v>
      </c>
    </row>
    <row r="3697" spans="2:5" x14ac:dyDescent="0.2">
      <c r="B3697" t="s">
        <v>5698</v>
      </c>
      <c r="C3697" t="s">
        <v>366</v>
      </c>
      <c r="D3697" t="s">
        <v>5699</v>
      </c>
      <c r="E3697" t="s">
        <v>377</v>
      </c>
    </row>
    <row r="3698" spans="2:5" x14ac:dyDescent="0.2">
      <c r="B3698" t="s">
        <v>5700</v>
      </c>
      <c r="C3698">
        <v>502450</v>
      </c>
      <c r="D3698" t="s">
        <v>5701</v>
      </c>
      <c r="E3698" t="s">
        <v>360</v>
      </c>
    </row>
    <row r="3699" spans="2:5" x14ac:dyDescent="0.2">
      <c r="B3699" t="s">
        <v>5702</v>
      </c>
      <c r="C3699">
        <v>505075</v>
      </c>
      <c r="D3699" t="s">
        <v>5703</v>
      </c>
      <c r="E3699" t="s">
        <v>721</v>
      </c>
    </row>
    <row r="3700" spans="2:5" x14ac:dyDescent="0.2">
      <c r="B3700" t="s">
        <v>5704</v>
      </c>
      <c r="C3700">
        <v>511760</v>
      </c>
      <c r="D3700" t="s">
        <v>366</v>
      </c>
      <c r="E3700" t="s">
        <v>383</v>
      </c>
    </row>
    <row r="3701" spans="2:5" x14ac:dyDescent="0.2">
      <c r="B3701" t="s">
        <v>5705</v>
      </c>
      <c r="C3701">
        <v>524324</v>
      </c>
      <c r="D3701" t="s">
        <v>366</v>
      </c>
      <c r="E3701" t="s">
        <v>526</v>
      </c>
    </row>
    <row r="3702" spans="2:5" x14ac:dyDescent="0.2">
      <c r="B3702" t="s">
        <v>5706</v>
      </c>
      <c r="C3702">
        <v>532993</v>
      </c>
      <c r="D3702" t="s">
        <v>5707</v>
      </c>
      <c r="E3702" t="s">
        <v>894</v>
      </c>
    </row>
    <row r="3703" spans="2:5" x14ac:dyDescent="0.2">
      <c r="B3703" t="s">
        <v>5708</v>
      </c>
      <c r="C3703">
        <v>530867</v>
      </c>
      <c r="D3703" t="s">
        <v>366</v>
      </c>
      <c r="E3703" t="s">
        <v>349</v>
      </c>
    </row>
    <row r="3704" spans="2:5" x14ac:dyDescent="0.2">
      <c r="B3704" t="s">
        <v>5709</v>
      </c>
      <c r="C3704">
        <v>524546</v>
      </c>
      <c r="D3704" t="s">
        <v>366</v>
      </c>
      <c r="E3704" t="s">
        <v>404</v>
      </c>
    </row>
    <row r="3705" spans="2:5" x14ac:dyDescent="0.2">
      <c r="B3705" t="s">
        <v>5710</v>
      </c>
      <c r="C3705">
        <v>513436</v>
      </c>
      <c r="D3705" t="s">
        <v>5711</v>
      </c>
      <c r="E3705" t="s">
        <v>398</v>
      </c>
    </row>
    <row r="3706" spans="2:5" x14ac:dyDescent="0.2">
      <c r="B3706" t="s">
        <v>5712</v>
      </c>
      <c r="C3706">
        <v>509870</v>
      </c>
      <c r="D3706" t="s">
        <v>366</v>
      </c>
      <c r="E3706" t="s">
        <v>452</v>
      </c>
    </row>
    <row r="3707" spans="2:5" x14ac:dyDescent="0.2">
      <c r="B3707" t="s">
        <v>5713</v>
      </c>
      <c r="C3707">
        <v>519031</v>
      </c>
      <c r="D3707" t="s">
        <v>366</v>
      </c>
      <c r="E3707" t="s">
        <v>426</v>
      </c>
    </row>
    <row r="3708" spans="2:5" x14ac:dyDescent="0.2">
      <c r="B3708" t="s">
        <v>5714</v>
      </c>
      <c r="C3708">
        <v>526508</v>
      </c>
      <c r="D3708" t="s">
        <v>366</v>
      </c>
      <c r="E3708" t="s">
        <v>1611</v>
      </c>
    </row>
    <row r="3709" spans="2:5" x14ac:dyDescent="0.2">
      <c r="B3709" t="s">
        <v>5715</v>
      </c>
      <c r="C3709">
        <v>539520</v>
      </c>
      <c r="D3709" t="s">
        <v>366</v>
      </c>
      <c r="E3709" t="s">
        <v>388</v>
      </c>
    </row>
    <row r="3710" spans="2:5" x14ac:dyDescent="0.2">
      <c r="B3710" t="s">
        <v>5716</v>
      </c>
      <c r="C3710">
        <v>501423</v>
      </c>
      <c r="D3710" t="s">
        <v>366</v>
      </c>
      <c r="E3710" t="s">
        <v>486</v>
      </c>
    </row>
    <row r="3711" spans="2:5" x14ac:dyDescent="0.2">
      <c r="B3711" t="s">
        <v>5717</v>
      </c>
      <c r="C3711" t="s">
        <v>366</v>
      </c>
      <c r="D3711" t="s">
        <v>5718</v>
      </c>
      <c r="E3711" t="s">
        <v>377</v>
      </c>
    </row>
    <row r="3712" spans="2:5" x14ac:dyDescent="0.2">
      <c r="B3712" t="s">
        <v>5719</v>
      </c>
      <c r="C3712">
        <v>531431</v>
      </c>
      <c r="D3712" t="s">
        <v>5720</v>
      </c>
      <c r="E3712" t="s">
        <v>374</v>
      </c>
    </row>
    <row r="3713" spans="2:5" x14ac:dyDescent="0.2">
      <c r="B3713" t="s">
        <v>5721</v>
      </c>
      <c r="C3713">
        <v>531431</v>
      </c>
      <c r="D3713" t="s">
        <v>5720</v>
      </c>
      <c r="E3713" t="s">
        <v>374</v>
      </c>
    </row>
    <row r="3714" spans="2:5" x14ac:dyDescent="0.2">
      <c r="B3714" t="s">
        <v>5722</v>
      </c>
      <c r="C3714">
        <v>540797</v>
      </c>
      <c r="D3714" t="s">
        <v>5723</v>
      </c>
      <c r="E3714" t="s">
        <v>836</v>
      </c>
    </row>
    <row r="3715" spans="2:5" x14ac:dyDescent="0.2">
      <c r="B3715" t="s">
        <v>5724</v>
      </c>
      <c r="C3715">
        <v>511754</v>
      </c>
      <c r="D3715" t="s">
        <v>366</v>
      </c>
      <c r="E3715" t="s">
        <v>383</v>
      </c>
    </row>
    <row r="3716" spans="2:5" x14ac:dyDescent="0.2">
      <c r="B3716" t="s">
        <v>5725</v>
      </c>
      <c r="C3716">
        <v>539895</v>
      </c>
      <c r="D3716" t="s">
        <v>366</v>
      </c>
      <c r="E3716" t="s">
        <v>349</v>
      </c>
    </row>
    <row r="3717" spans="2:5" x14ac:dyDescent="0.2">
      <c r="B3717" t="s">
        <v>5726</v>
      </c>
      <c r="C3717">
        <v>509874</v>
      </c>
      <c r="D3717" t="s">
        <v>5727</v>
      </c>
      <c r="E3717" t="s">
        <v>643</v>
      </c>
    </row>
    <row r="3718" spans="2:5" x14ac:dyDescent="0.2">
      <c r="B3718" t="s">
        <v>5728</v>
      </c>
      <c r="C3718">
        <v>512499</v>
      </c>
      <c r="D3718" t="s">
        <v>366</v>
      </c>
      <c r="E3718" t="s">
        <v>349</v>
      </c>
    </row>
    <row r="3719" spans="2:5" x14ac:dyDescent="0.2">
      <c r="B3719" t="s">
        <v>5729</v>
      </c>
      <c r="C3719">
        <v>532455</v>
      </c>
      <c r="D3719" t="s">
        <v>366</v>
      </c>
      <c r="E3719" t="s">
        <v>440</v>
      </c>
    </row>
    <row r="3720" spans="2:5" x14ac:dyDescent="0.2">
      <c r="B3720" t="s">
        <v>5730</v>
      </c>
      <c r="C3720">
        <v>540259</v>
      </c>
      <c r="D3720" t="s">
        <v>366</v>
      </c>
      <c r="E3720" t="s">
        <v>3141</v>
      </c>
    </row>
    <row r="3721" spans="2:5" x14ac:dyDescent="0.2">
      <c r="B3721" t="s">
        <v>5731</v>
      </c>
      <c r="C3721">
        <v>542232</v>
      </c>
      <c r="D3721" t="s">
        <v>5732</v>
      </c>
      <c r="E3721" t="s">
        <v>732</v>
      </c>
    </row>
    <row r="3722" spans="2:5" x14ac:dyDescent="0.2">
      <c r="B3722" t="s">
        <v>5733</v>
      </c>
      <c r="C3722">
        <v>540425</v>
      </c>
      <c r="D3722" t="s">
        <v>5734</v>
      </c>
      <c r="E3722" t="s">
        <v>689</v>
      </c>
    </row>
    <row r="3723" spans="2:5" x14ac:dyDescent="0.2">
      <c r="B3723" t="s">
        <v>5735</v>
      </c>
      <c r="C3723">
        <v>512297</v>
      </c>
      <c r="D3723" t="s">
        <v>366</v>
      </c>
      <c r="E3723" t="s">
        <v>374</v>
      </c>
    </row>
    <row r="3724" spans="2:5" x14ac:dyDescent="0.2">
      <c r="B3724" t="s">
        <v>5736</v>
      </c>
      <c r="C3724">
        <v>531925</v>
      </c>
      <c r="D3724" t="s">
        <v>366</v>
      </c>
      <c r="E3724" t="s">
        <v>426</v>
      </c>
    </row>
    <row r="3725" spans="2:5" x14ac:dyDescent="0.2">
      <c r="B3725" t="s">
        <v>5737</v>
      </c>
      <c r="C3725">
        <v>522034</v>
      </c>
      <c r="D3725" t="s">
        <v>5738</v>
      </c>
      <c r="E3725" t="s">
        <v>721</v>
      </c>
    </row>
    <row r="3726" spans="2:5" x14ac:dyDescent="0.2">
      <c r="B3726" t="s">
        <v>5739</v>
      </c>
      <c r="C3726">
        <v>539921</v>
      </c>
      <c r="D3726" t="s">
        <v>366</v>
      </c>
      <c r="E3726" t="s">
        <v>471</v>
      </c>
    </row>
    <row r="3727" spans="2:5" x14ac:dyDescent="0.2">
      <c r="B3727" t="s">
        <v>5740</v>
      </c>
      <c r="C3727" t="s">
        <v>366</v>
      </c>
      <c r="D3727" t="s">
        <v>5741</v>
      </c>
      <c r="E3727" t="s">
        <v>377</v>
      </c>
    </row>
    <row r="3728" spans="2:5" x14ac:dyDescent="0.2">
      <c r="B3728" t="s">
        <v>5742</v>
      </c>
      <c r="C3728" t="s">
        <v>366</v>
      </c>
      <c r="D3728" t="s">
        <v>5741</v>
      </c>
      <c r="E3728" t="s">
        <v>377</v>
      </c>
    </row>
    <row r="3729" spans="2:5" x14ac:dyDescent="0.2">
      <c r="B3729" t="s">
        <v>5743</v>
      </c>
      <c r="C3729">
        <v>514402</v>
      </c>
      <c r="D3729" t="s">
        <v>366</v>
      </c>
      <c r="E3729" t="s">
        <v>381</v>
      </c>
    </row>
    <row r="3730" spans="2:5" x14ac:dyDescent="0.2">
      <c r="B3730" t="s">
        <v>5744</v>
      </c>
      <c r="C3730">
        <v>539584</v>
      </c>
      <c r="D3730" t="s">
        <v>366</v>
      </c>
      <c r="E3730" t="s">
        <v>388</v>
      </c>
    </row>
    <row r="3731" spans="2:5" x14ac:dyDescent="0.2">
      <c r="B3731" t="s">
        <v>5745</v>
      </c>
      <c r="C3731">
        <v>538666</v>
      </c>
      <c r="D3731" t="s">
        <v>5746</v>
      </c>
      <c r="E3731" t="s">
        <v>510</v>
      </c>
    </row>
    <row r="3732" spans="2:5" x14ac:dyDescent="0.2">
      <c r="B3732" t="s">
        <v>5747</v>
      </c>
      <c r="C3732">
        <v>513548</v>
      </c>
      <c r="D3732" t="s">
        <v>366</v>
      </c>
      <c r="E3732" t="s">
        <v>398</v>
      </c>
    </row>
    <row r="3733" spans="2:5" x14ac:dyDescent="0.2">
      <c r="B3733" t="s">
        <v>5748</v>
      </c>
      <c r="C3733">
        <v>535602</v>
      </c>
      <c r="D3733" t="s">
        <v>5749</v>
      </c>
      <c r="E3733" t="s">
        <v>721</v>
      </c>
    </row>
    <row r="3734" spans="2:5" x14ac:dyDescent="0.2">
      <c r="B3734" t="s">
        <v>5750</v>
      </c>
      <c r="C3734">
        <v>512393</v>
      </c>
      <c r="D3734" t="s">
        <v>366</v>
      </c>
      <c r="E3734" t="s">
        <v>349</v>
      </c>
    </row>
    <row r="3735" spans="2:5" x14ac:dyDescent="0.2">
      <c r="B3735" t="s">
        <v>5751</v>
      </c>
      <c r="C3735">
        <v>540725</v>
      </c>
      <c r="D3735" t="s">
        <v>366</v>
      </c>
      <c r="E3735" t="s">
        <v>349</v>
      </c>
    </row>
    <row r="3736" spans="2:5" x14ac:dyDescent="0.2">
      <c r="B3736" t="s">
        <v>5752</v>
      </c>
      <c r="C3736">
        <v>540786</v>
      </c>
      <c r="D3736" t="s">
        <v>366</v>
      </c>
      <c r="E3736" t="s">
        <v>664</v>
      </c>
    </row>
    <row r="3737" spans="2:5" x14ac:dyDescent="0.2">
      <c r="B3737" t="s">
        <v>5753</v>
      </c>
      <c r="C3737">
        <v>532908</v>
      </c>
      <c r="D3737" t="s">
        <v>5754</v>
      </c>
      <c r="E3737" t="s">
        <v>404</v>
      </c>
    </row>
    <row r="3738" spans="2:5" x14ac:dyDescent="0.2">
      <c r="B3738" t="s">
        <v>5755</v>
      </c>
      <c r="C3738">
        <v>523449</v>
      </c>
      <c r="D3738" t="s">
        <v>366</v>
      </c>
      <c r="E3738" t="s">
        <v>735</v>
      </c>
    </row>
    <row r="3739" spans="2:5" x14ac:dyDescent="0.2">
      <c r="B3739" t="s">
        <v>5756</v>
      </c>
      <c r="C3739">
        <v>523449</v>
      </c>
      <c r="D3739" t="s">
        <v>366</v>
      </c>
      <c r="E3739" t="s">
        <v>735</v>
      </c>
    </row>
    <row r="3740" spans="2:5" x14ac:dyDescent="0.2">
      <c r="B3740" t="s">
        <v>5757</v>
      </c>
      <c r="C3740">
        <v>538212</v>
      </c>
      <c r="D3740" t="s">
        <v>366</v>
      </c>
      <c r="E3740" t="s">
        <v>383</v>
      </c>
    </row>
    <row r="3741" spans="2:5" x14ac:dyDescent="0.2">
      <c r="B3741" t="s">
        <v>5758</v>
      </c>
      <c r="C3741">
        <v>540221</v>
      </c>
      <c r="D3741" t="s">
        <v>366</v>
      </c>
      <c r="E3741" t="s">
        <v>388</v>
      </c>
    </row>
    <row r="3742" spans="2:5" x14ac:dyDescent="0.2">
      <c r="B3742" t="s">
        <v>5759</v>
      </c>
      <c r="C3742">
        <v>540147</v>
      </c>
      <c r="D3742" t="s">
        <v>366</v>
      </c>
      <c r="E3742" t="s">
        <v>764</v>
      </c>
    </row>
    <row r="3743" spans="2:5" x14ac:dyDescent="0.2">
      <c r="B3743" t="s">
        <v>5760</v>
      </c>
      <c r="C3743">
        <v>540203</v>
      </c>
      <c r="D3743" t="s">
        <v>5761</v>
      </c>
      <c r="E3743" t="s">
        <v>643</v>
      </c>
    </row>
    <row r="3744" spans="2:5" x14ac:dyDescent="0.2">
      <c r="B3744" t="s">
        <v>5762</v>
      </c>
      <c r="C3744">
        <v>540757</v>
      </c>
      <c r="D3744" t="s">
        <v>366</v>
      </c>
      <c r="E3744" t="s">
        <v>426</v>
      </c>
    </row>
    <row r="3745" spans="2:5" x14ac:dyDescent="0.2">
      <c r="B3745" t="s">
        <v>5763</v>
      </c>
      <c r="C3745">
        <v>530525</v>
      </c>
      <c r="D3745" t="s">
        <v>366</v>
      </c>
      <c r="E3745" t="s">
        <v>480</v>
      </c>
    </row>
    <row r="3746" spans="2:5" x14ac:dyDescent="0.2">
      <c r="B3746" t="s">
        <v>5764</v>
      </c>
      <c r="C3746">
        <v>533301</v>
      </c>
      <c r="D3746" t="s">
        <v>5765</v>
      </c>
      <c r="E3746" t="s">
        <v>381</v>
      </c>
    </row>
    <row r="3747" spans="2:5" x14ac:dyDescent="0.2">
      <c r="B3747" t="s">
        <v>5766</v>
      </c>
      <c r="C3747">
        <v>526839</v>
      </c>
      <c r="D3747" t="s">
        <v>366</v>
      </c>
      <c r="E3747" t="s">
        <v>764</v>
      </c>
    </row>
    <row r="3748" spans="2:5" x14ac:dyDescent="0.2">
      <c r="B3748" t="s">
        <v>5767</v>
      </c>
      <c r="C3748">
        <v>538685</v>
      </c>
      <c r="D3748" t="s">
        <v>5768</v>
      </c>
      <c r="E3748" t="s">
        <v>369</v>
      </c>
    </row>
    <row r="3749" spans="2:5" x14ac:dyDescent="0.2">
      <c r="B3749" t="s">
        <v>5769</v>
      </c>
      <c r="C3749">
        <v>512367</v>
      </c>
      <c r="D3749" t="s">
        <v>366</v>
      </c>
      <c r="E3749" t="s">
        <v>349</v>
      </c>
    </row>
    <row r="3750" spans="2:5" x14ac:dyDescent="0.2">
      <c r="B3750" t="s">
        <v>5770</v>
      </c>
      <c r="C3750">
        <v>526117</v>
      </c>
      <c r="D3750" t="s">
        <v>366</v>
      </c>
      <c r="E3750" t="s">
        <v>912</v>
      </c>
    </row>
    <row r="3751" spans="2:5" x14ac:dyDescent="0.2">
      <c r="B3751" t="s">
        <v>5771</v>
      </c>
      <c r="C3751">
        <v>539111</v>
      </c>
      <c r="D3751" t="s">
        <v>366</v>
      </c>
      <c r="E3751" t="s">
        <v>381</v>
      </c>
    </row>
    <row r="3752" spans="2:5" x14ac:dyDescent="0.2">
      <c r="B3752" t="s">
        <v>5772</v>
      </c>
      <c r="C3752">
        <v>526137</v>
      </c>
      <c r="D3752" t="s">
        <v>366</v>
      </c>
      <c r="E3752" t="s">
        <v>561</v>
      </c>
    </row>
    <row r="3753" spans="2:5" x14ac:dyDescent="0.2">
      <c r="B3753" t="s">
        <v>5773</v>
      </c>
      <c r="C3753">
        <v>507952</v>
      </c>
      <c r="D3753" t="s">
        <v>366</v>
      </c>
      <c r="E3753" t="s">
        <v>383</v>
      </c>
    </row>
    <row r="3754" spans="2:5" x14ac:dyDescent="0.2">
      <c r="B3754" t="s">
        <v>5774</v>
      </c>
      <c r="C3754">
        <v>531201</v>
      </c>
      <c r="D3754" t="s">
        <v>366</v>
      </c>
      <c r="E3754" t="s">
        <v>664</v>
      </c>
    </row>
    <row r="3755" spans="2:5" x14ac:dyDescent="0.2">
      <c r="B3755" t="s">
        <v>5775</v>
      </c>
      <c r="C3755">
        <v>513709</v>
      </c>
      <c r="D3755" t="s">
        <v>366</v>
      </c>
      <c r="E3755" t="s">
        <v>374</v>
      </c>
    </row>
    <row r="3756" spans="2:5" x14ac:dyDescent="0.2">
      <c r="B3756" t="s">
        <v>5776</v>
      </c>
      <c r="C3756">
        <v>530549</v>
      </c>
      <c r="D3756" t="s">
        <v>5777</v>
      </c>
      <c r="E3756" t="s">
        <v>404</v>
      </c>
    </row>
    <row r="3757" spans="2:5" x14ac:dyDescent="0.2">
      <c r="B3757" t="s">
        <v>5778</v>
      </c>
      <c r="C3757">
        <v>533389</v>
      </c>
      <c r="D3757" t="s">
        <v>5779</v>
      </c>
      <c r="E3757" t="s">
        <v>664</v>
      </c>
    </row>
    <row r="3758" spans="2:5" x14ac:dyDescent="0.2">
      <c r="B3758" t="s">
        <v>5780</v>
      </c>
      <c r="C3758">
        <v>523598</v>
      </c>
      <c r="D3758" t="s">
        <v>5781</v>
      </c>
      <c r="E3758" t="s">
        <v>1611</v>
      </c>
    </row>
    <row r="3759" spans="2:5" x14ac:dyDescent="0.2">
      <c r="B3759" t="s">
        <v>5782</v>
      </c>
      <c r="C3759">
        <v>523598</v>
      </c>
      <c r="D3759" t="s">
        <v>5781</v>
      </c>
      <c r="E3759" t="s">
        <v>1611</v>
      </c>
    </row>
    <row r="3760" spans="2:5" x14ac:dyDescent="0.2">
      <c r="B3760" t="s">
        <v>5783</v>
      </c>
      <c r="C3760">
        <v>512289</v>
      </c>
      <c r="D3760" t="s">
        <v>5784</v>
      </c>
      <c r="E3760" t="s">
        <v>2609</v>
      </c>
    </row>
    <row r="3761" spans="2:5" x14ac:dyDescent="0.2">
      <c r="B3761" t="s">
        <v>5785</v>
      </c>
      <c r="C3761">
        <v>540693</v>
      </c>
      <c r="D3761" t="s">
        <v>366</v>
      </c>
      <c r="E3761" t="s">
        <v>486</v>
      </c>
    </row>
    <row r="3762" spans="2:5" x14ac:dyDescent="0.2">
      <c r="B3762" t="s">
        <v>5786</v>
      </c>
      <c r="C3762">
        <v>532323</v>
      </c>
      <c r="D3762" t="s">
        <v>366</v>
      </c>
      <c r="E3762" t="s">
        <v>379</v>
      </c>
    </row>
    <row r="3763" spans="2:5" x14ac:dyDescent="0.2">
      <c r="B3763" t="s">
        <v>5787</v>
      </c>
      <c r="C3763">
        <v>530433</v>
      </c>
      <c r="D3763" t="s">
        <v>366</v>
      </c>
      <c r="E3763" t="s">
        <v>874</v>
      </c>
    </row>
    <row r="3764" spans="2:5" x14ac:dyDescent="0.2">
      <c r="B3764" t="s">
        <v>5788</v>
      </c>
      <c r="C3764">
        <v>540072</v>
      </c>
      <c r="D3764" t="s">
        <v>366</v>
      </c>
      <c r="E3764" t="s">
        <v>894</v>
      </c>
    </row>
    <row r="3765" spans="2:5" x14ac:dyDescent="0.2">
      <c r="B3765" t="s">
        <v>5789</v>
      </c>
      <c r="C3765">
        <v>524602</v>
      </c>
      <c r="D3765" t="s">
        <v>5790</v>
      </c>
      <c r="E3765" t="s">
        <v>555</v>
      </c>
    </row>
    <row r="3766" spans="2:5" x14ac:dyDescent="0.2">
      <c r="B3766" t="s">
        <v>5791</v>
      </c>
      <c r="C3766">
        <v>540961</v>
      </c>
      <c r="D3766" t="s">
        <v>5792</v>
      </c>
      <c r="E3766" t="s">
        <v>381</v>
      </c>
    </row>
    <row r="3767" spans="2:5" x14ac:dyDescent="0.2">
      <c r="B3767" t="s">
        <v>5793</v>
      </c>
      <c r="C3767">
        <v>521003</v>
      </c>
      <c r="D3767" t="s">
        <v>366</v>
      </c>
      <c r="E3767" t="s">
        <v>388</v>
      </c>
    </row>
    <row r="3768" spans="2:5" x14ac:dyDescent="0.2">
      <c r="B3768" t="s">
        <v>5794</v>
      </c>
      <c r="C3768">
        <v>511108</v>
      </c>
      <c r="D3768" t="s">
        <v>5795</v>
      </c>
      <c r="E3768" t="s">
        <v>381</v>
      </c>
    </row>
    <row r="3769" spans="2:5" x14ac:dyDescent="0.2">
      <c r="B3769" t="s">
        <v>5796</v>
      </c>
      <c r="C3769">
        <v>522237</v>
      </c>
      <c r="D3769" t="s">
        <v>366</v>
      </c>
      <c r="E3769" t="s">
        <v>374</v>
      </c>
    </row>
    <row r="3770" spans="2:5" x14ac:dyDescent="0.2">
      <c r="B3770" t="s">
        <v>5797</v>
      </c>
      <c r="C3770">
        <v>513097</v>
      </c>
      <c r="D3770" t="s">
        <v>366</v>
      </c>
      <c r="E3770" t="s">
        <v>908</v>
      </c>
    </row>
    <row r="3771" spans="2:5" x14ac:dyDescent="0.2">
      <c r="B3771" t="s">
        <v>5798</v>
      </c>
      <c r="C3771">
        <v>539148</v>
      </c>
      <c r="D3771" t="s">
        <v>366</v>
      </c>
      <c r="E3771" t="s">
        <v>510</v>
      </c>
    </row>
    <row r="3772" spans="2:5" x14ac:dyDescent="0.2">
      <c r="B3772" t="s">
        <v>5799</v>
      </c>
      <c r="C3772">
        <v>532776</v>
      </c>
      <c r="D3772" t="s">
        <v>5800</v>
      </c>
      <c r="E3772" t="s">
        <v>721</v>
      </c>
    </row>
    <row r="3773" spans="2:5" x14ac:dyDescent="0.2">
      <c r="B3773" t="s">
        <v>5801</v>
      </c>
      <c r="C3773">
        <v>539593</v>
      </c>
      <c r="D3773" t="s">
        <v>366</v>
      </c>
      <c r="E3773" t="s">
        <v>349</v>
      </c>
    </row>
    <row r="3774" spans="2:5" x14ac:dyDescent="0.2">
      <c r="B3774" t="s">
        <v>5802</v>
      </c>
      <c r="C3774">
        <v>539683</v>
      </c>
      <c r="D3774" t="s">
        <v>366</v>
      </c>
      <c r="E3774" t="s">
        <v>383</v>
      </c>
    </row>
    <row r="3775" spans="2:5" x14ac:dyDescent="0.2">
      <c r="B3775" t="s">
        <v>5803</v>
      </c>
      <c r="C3775">
        <v>539833</v>
      </c>
      <c r="D3775" t="s">
        <v>366</v>
      </c>
      <c r="E3775" t="s">
        <v>383</v>
      </c>
    </row>
    <row r="3776" spans="2:5" x14ac:dyDescent="0.2">
      <c r="B3776" t="s">
        <v>5804</v>
      </c>
      <c r="C3776">
        <v>532638</v>
      </c>
      <c r="D3776" t="s">
        <v>5805</v>
      </c>
      <c r="E3776" t="s">
        <v>535</v>
      </c>
    </row>
    <row r="3777" spans="2:5" x14ac:dyDescent="0.2">
      <c r="B3777" t="s">
        <v>5806</v>
      </c>
      <c r="C3777" t="s">
        <v>366</v>
      </c>
      <c r="D3777" t="s">
        <v>5807</v>
      </c>
      <c r="E3777" t="s">
        <v>377</v>
      </c>
    </row>
    <row r="3778" spans="2:5" x14ac:dyDescent="0.2">
      <c r="B3778" t="s">
        <v>5808</v>
      </c>
      <c r="C3778">
        <v>538795</v>
      </c>
      <c r="D3778" t="s">
        <v>366</v>
      </c>
      <c r="E3778" t="s">
        <v>360</v>
      </c>
    </row>
    <row r="3779" spans="2:5" x14ac:dyDescent="0.2">
      <c r="B3779" t="s">
        <v>5809</v>
      </c>
      <c r="C3779">
        <v>521131</v>
      </c>
      <c r="D3779" t="s">
        <v>366</v>
      </c>
      <c r="E3779" t="s">
        <v>381</v>
      </c>
    </row>
    <row r="3780" spans="2:5" x14ac:dyDescent="0.2">
      <c r="B3780" t="s">
        <v>5810</v>
      </c>
      <c r="C3780">
        <v>502563</v>
      </c>
      <c r="D3780" t="s">
        <v>366</v>
      </c>
      <c r="E3780" t="s">
        <v>360</v>
      </c>
    </row>
    <row r="3781" spans="2:5" x14ac:dyDescent="0.2">
      <c r="B3781" t="s">
        <v>5811</v>
      </c>
      <c r="C3781">
        <v>500387</v>
      </c>
      <c r="D3781" t="s">
        <v>5812</v>
      </c>
      <c r="E3781" t="s">
        <v>379</v>
      </c>
    </row>
    <row r="3782" spans="2:5" x14ac:dyDescent="0.2">
      <c r="B3782" t="s">
        <v>5813</v>
      </c>
      <c r="C3782">
        <v>502180</v>
      </c>
      <c r="D3782" t="s">
        <v>366</v>
      </c>
      <c r="E3782" t="s">
        <v>379</v>
      </c>
    </row>
    <row r="3783" spans="2:5" x14ac:dyDescent="0.2">
      <c r="B3783" t="s">
        <v>5814</v>
      </c>
      <c r="C3783">
        <v>539470</v>
      </c>
      <c r="D3783" t="s">
        <v>366</v>
      </c>
      <c r="E3783" t="s">
        <v>704</v>
      </c>
    </row>
    <row r="3784" spans="2:5" x14ac:dyDescent="0.2">
      <c r="B3784" t="s">
        <v>5815</v>
      </c>
      <c r="C3784">
        <v>539470</v>
      </c>
      <c r="D3784" t="s">
        <v>366</v>
      </c>
      <c r="E3784" t="s">
        <v>704</v>
      </c>
    </row>
    <row r="3785" spans="2:5" x14ac:dyDescent="0.2">
      <c r="B3785" t="s">
        <v>5816</v>
      </c>
      <c r="C3785">
        <v>530797</v>
      </c>
      <c r="D3785" t="s">
        <v>366</v>
      </c>
      <c r="E3785" t="s">
        <v>388</v>
      </c>
    </row>
    <row r="3786" spans="2:5" x14ac:dyDescent="0.2">
      <c r="B3786" t="s">
        <v>5817</v>
      </c>
      <c r="C3786">
        <v>532643</v>
      </c>
      <c r="D3786" t="s">
        <v>5818</v>
      </c>
      <c r="E3786" t="s">
        <v>1284</v>
      </c>
    </row>
    <row r="3787" spans="2:5" x14ac:dyDescent="0.2">
      <c r="B3787" t="s">
        <v>5819</v>
      </c>
      <c r="C3787">
        <v>540737</v>
      </c>
      <c r="D3787" t="s">
        <v>366</v>
      </c>
      <c r="E3787" t="s">
        <v>404</v>
      </c>
    </row>
    <row r="3788" spans="2:5" x14ac:dyDescent="0.2">
      <c r="B3788" t="s">
        <v>5820</v>
      </c>
      <c r="C3788">
        <v>512463</v>
      </c>
      <c r="D3788" t="s">
        <v>366</v>
      </c>
      <c r="E3788" t="s">
        <v>383</v>
      </c>
    </row>
    <row r="3789" spans="2:5" x14ac:dyDescent="0.2">
      <c r="B3789" t="s">
        <v>5821</v>
      </c>
      <c r="C3789">
        <v>524336</v>
      </c>
      <c r="D3789" t="s">
        <v>366</v>
      </c>
      <c r="E3789" t="s">
        <v>414</v>
      </c>
    </row>
    <row r="3790" spans="2:5" x14ac:dyDescent="0.2">
      <c r="B3790" t="s">
        <v>5822</v>
      </c>
      <c r="C3790">
        <v>516106</v>
      </c>
      <c r="D3790" t="s">
        <v>366</v>
      </c>
      <c r="E3790" t="s">
        <v>360</v>
      </c>
    </row>
    <row r="3791" spans="2:5" x14ac:dyDescent="0.2">
      <c r="B3791" t="s">
        <v>5823</v>
      </c>
      <c r="C3791">
        <v>542146</v>
      </c>
      <c r="D3791" t="s">
        <v>366</v>
      </c>
      <c r="E3791" t="s">
        <v>452</v>
      </c>
    </row>
    <row r="3792" spans="2:5" x14ac:dyDescent="0.2">
      <c r="B3792" t="s">
        <v>5824</v>
      </c>
      <c r="C3792">
        <v>500388</v>
      </c>
      <c r="D3792" t="s">
        <v>366</v>
      </c>
      <c r="E3792" t="s">
        <v>360</v>
      </c>
    </row>
    <row r="3793" spans="2:5" x14ac:dyDescent="0.2">
      <c r="B3793" t="s">
        <v>5825</v>
      </c>
      <c r="C3793">
        <v>503863</v>
      </c>
      <c r="D3793" t="s">
        <v>366</v>
      </c>
      <c r="E3793" t="s">
        <v>381</v>
      </c>
    </row>
    <row r="3794" spans="2:5" x14ac:dyDescent="0.2">
      <c r="B3794" t="s">
        <v>5826</v>
      </c>
      <c r="C3794">
        <v>531962</v>
      </c>
      <c r="D3794" t="s">
        <v>366</v>
      </c>
      <c r="E3794" t="s">
        <v>383</v>
      </c>
    </row>
    <row r="3795" spans="2:5" x14ac:dyDescent="0.2">
      <c r="B3795" t="s">
        <v>5827</v>
      </c>
      <c r="C3795">
        <v>540253</v>
      </c>
      <c r="D3795" t="s">
        <v>366</v>
      </c>
      <c r="E3795" t="s">
        <v>349</v>
      </c>
    </row>
    <row r="3796" spans="2:5" x14ac:dyDescent="0.2">
      <c r="B3796" t="s">
        <v>5828</v>
      </c>
      <c r="C3796">
        <v>506180</v>
      </c>
      <c r="D3796" t="s">
        <v>366</v>
      </c>
      <c r="E3796" t="s">
        <v>388</v>
      </c>
    </row>
    <row r="3797" spans="2:5" x14ac:dyDescent="0.2">
      <c r="B3797" t="s">
        <v>5829</v>
      </c>
      <c r="C3797">
        <v>527005</v>
      </c>
      <c r="D3797" t="s">
        <v>366</v>
      </c>
      <c r="E3797" t="s">
        <v>1329</v>
      </c>
    </row>
    <row r="3798" spans="2:5" x14ac:dyDescent="0.2">
      <c r="B3798" t="s">
        <v>5830</v>
      </c>
      <c r="C3798">
        <v>533110</v>
      </c>
      <c r="D3798" t="s">
        <v>366</v>
      </c>
      <c r="E3798" t="s">
        <v>689</v>
      </c>
    </row>
    <row r="3799" spans="2:5" x14ac:dyDescent="0.2">
      <c r="B3799" t="s">
        <v>5831</v>
      </c>
      <c r="C3799">
        <v>539334</v>
      </c>
      <c r="D3799" t="s">
        <v>5832</v>
      </c>
      <c r="E3799" t="s">
        <v>526</v>
      </c>
    </row>
    <row r="3800" spans="2:5" x14ac:dyDescent="0.2">
      <c r="B3800" t="s">
        <v>5833</v>
      </c>
      <c r="C3800">
        <v>503837</v>
      </c>
      <c r="D3800" t="s">
        <v>366</v>
      </c>
      <c r="E3800" t="s">
        <v>381</v>
      </c>
    </row>
    <row r="3801" spans="2:5" x14ac:dyDescent="0.2">
      <c r="B3801" t="s">
        <v>5834</v>
      </c>
      <c r="C3801">
        <v>516086</v>
      </c>
      <c r="D3801" t="s">
        <v>366</v>
      </c>
      <c r="E3801" t="s">
        <v>360</v>
      </c>
    </row>
    <row r="3802" spans="2:5" x14ac:dyDescent="0.2">
      <c r="B3802" t="s">
        <v>5835</v>
      </c>
      <c r="C3802" t="s">
        <v>366</v>
      </c>
      <c r="D3802" t="s">
        <v>5836</v>
      </c>
      <c r="E3802" t="s">
        <v>377</v>
      </c>
    </row>
    <row r="3803" spans="2:5" x14ac:dyDescent="0.2">
      <c r="B3803" t="s">
        <v>5837</v>
      </c>
      <c r="C3803">
        <v>532310</v>
      </c>
      <c r="D3803" t="s">
        <v>5838</v>
      </c>
      <c r="E3803" t="s">
        <v>561</v>
      </c>
    </row>
    <row r="3804" spans="2:5" x14ac:dyDescent="0.2">
      <c r="B3804" t="s">
        <v>5839</v>
      </c>
      <c r="C3804">
        <v>500356</v>
      </c>
      <c r="D3804" t="s">
        <v>5840</v>
      </c>
      <c r="E3804" t="s">
        <v>360</v>
      </c>
    </row>
    <row r="3805" spans="2:5" x14ac:dyDescent="0.2">
      <c r="B3805" t="s">
        <v>5841</v>
      </c>
      <c r="C3805">
        <v>532670</v>
      </c>
      <c r="D3805" t="s">
        <v>5842</v>
      </c>
      <c r="E3805" t="s">
        <v>1065</v>
      </c>
    </row>
    <row r="3806" spans="2:5" x14ac:dyDescent="0.2">
      <c r="B3806" t="s">
        <v>5843</v>
      </c>
      <c r="C3806">
        <v>503635</v>
      </c>
      <c r="D3806" t="s">
        <v>366</v>
      </c>
      <c r="E3806" t="s">
        <v>349</v>
      </c>
    </row>
    <row r="3807" spans="2:5" x14ac:dyDescent="0.2">
      <c r="B3807" t="s">
        <v>5844</v>
      </c>
      <c r="C3807">
        <v>538975</v>
      </c>
      <c r="D3807" t="s">
        <v>366</v>
      </c>
      <c r="E3807" t="s">
        <v>383</v>
      </c>
    </row>
    <row r="3808" spans="2:5" x14ac:dyDescent="0.2">
      <c r="B3808" t="s">
        <v>5845</v>
      </c>
      <c r="C3808">
        <v>513488</v>
      </c>
      <c r="D3808" t="s">
        <v>366</v>
      </c>
      <c r="E3808" t="s">
        <v>689</v>
      </c>
    </row>
    <row r="3809" spans="2:5" x14ac:dyDescent="0.2">
      <c r="B3809" t="s">
        <v>5846</v>
      </c>
      <c r="C3809">
        <v>531667</v>
      </c>
      <c r="D3809" t="s">
        <v>366</v>
      </c>
      <c r="E3809" t="s">
        <v>388</v>
      </c>
    </row>
    <row r="3810" spans="2:5" x14ac:dyDescent="0.2">
      <c r="B3810" t="s">
        <v>5847</v>
      </c>
      <c r="C3810" t="s">
        <v>366</v>
      </c>
      <c r="D3810" t="s">
        <v>5848</v>
      </c>
      <c r="E3810" t="s">
        <v>377</v>
      </c>
    </row>
    <row r="3811" spans="2:5" x14ac:dyDescent="0.2">
      <c r="B3811" t="s">
        <v>5849</v>
      </c>
      <c r="C3811">
        <v>590128</v>
      </c>
      <c r="D3811" t="s">
        <v>366</v>
      </c>
      <c r="E3811" t="s">
        <v>352</v>
      </c>
    </row>
    <row r="3812" spans="2:5" x14ac:dyDescent="0.2">
      <c r="B3812" t="s">
        <v>5850</v>
      </c>
      <c r="C3812" t="s">
        <v>366</v>
      </c>
      <c r="D3812" t="s">
        <v>5851</v>
      </c>
      <c r="E3812" t="s">
        <v>377</v>
      </c>
    </row>
    <row r="3813" spans="2:5" x14ac:dyDescent="0.2">
      <c r="B3813" t="s">
        <v>5852</v>
      </c>
      <c r="C3813">
        <v>541358</v>
      </c>
      <c r="D3813" t="s">
        <v>366</v>
      </c>
      <c r="E3813" t="s">
        <v>383</v>
      </c>
    </row>
    <row r="3814" spans="2:5" x14ac:dyDescent="0.2">
      <c r="B3814" t="s">
        <v>5853</v>
      </c>
      <c r="C3814">
        <v>540738</v>
      </c>
      <c r="D3814" t="s">
        <v>366</v>
      </c>
      <c r="E3814" t="s">
        <v>687</v>
      </c>
    </row>
    <row r="3815" spans="2:5" x14ac:dyDescent="0.2">
      <c r="B3815" t="s">
        <v>5854</v>
      </c>
      <c r="C3815">
        <v>503696</v>
      </c>
      <c r="D3815" t="s">
        <v>366</v>
      </c>
      <c r="E3815" t="s">
        <v>787</v>
      </c>
    </row>
    <row r="3816" spans="2:5" x14ac:dyDescent="0.2">
      <c r="B3816" t="s">
        <v>5855</v>
      </c>
      <c r="C3816" t="s">
        <v>366</v>
      </c>
      <c r="D3816" t="s">
        <v>5856</v>
      </c>
      <c r="E3816" t="s">
        <v>377</v>
      </c>
    </row>
    <row r="3817" spans="2:5" x14ac:dyDescent="0.2">
      <c r="B3817" t="s">
        <v>5857</v>
      </c>
      <c r="C3817">
        <v>541112</v>
      </c>
      <c r="D3817" t="s">
        <v>366</v>
      </c>
      <c r="E3817" t="s">
        <v>764</v>
      </c>
    </row>
    <row r="3818" spans="2:5" x14ac:dyDescent="0.2">
      <c r="B3818" t="s">
        <v>5858</v>
      </c>
      <c r="C3818">
        <v>532007</v>
      </c>
      <c r="D3818" t="s">
        <v>366</v>
      </c>
      <c r="E3818" t="s">
        <v>787</v>
      </c>
    </row>
    <row r="3819" spans="2:5" x14ac:dyDescent="0.2">
      <c r="B3819" t="s">
        <v>5859</v>
      </c>
      <c r="C3819" t="s">
        <v>366</v>
      </c>
      <c r="D3819" t="s">
        <v>5860</v>
      </c>
      <c r="E3819" t="s">
        <v>377</v>
      </c>
    </row>
    <row r="3820" spans="2:5" x14ac:dyDescent="0.2">
      <c r="B3820" t="s">
        <v>5861</v>
      </c>
      <c r="C3820">
        <v>516016</v>
      </c>
      <c r="D3820" t="s">
        <v>5862</v>
      </c>
      <c r="E3820" t="s">
        <v>360</v>
      </c>
    </row>
    <row r="3821" spans="2:5" x14ac:dyDescent="0.2">
      <c r="B3821" t="s">
        <v>5863</v>
      </c>
      <c r="C3821">
        <v>526335</v>
      </c>
      <c r="D3821" t="s">
        <v>366</v>
      </c>
      <c r="E3821" t="s">
        <v>414</v>
      </c>
    </row>
    <row r="3822" spans="2:5" x14ac:dyDescent="0.2">
      <c r="B3822" t="s">
        <v>5864</v>
      </c>
      <c r="C3822">
        <v>520151</v>
      </c>
      <c r="D3822" t="s">
        <v>5865</v>
      </c>
      <c r="E3822" t="s">
        <v>1611</v>
      </c>
    </row>
    <row r="3823" spans="2:5" x14ac:dyDescent="0.2">
      <c r="B3823" t="s">
        <v>5866</v>
      </c>
      <c r="C3823">
        <v>526981</v>
      </c>
      <c r="D3823" t="s">
        <v>366</v>
      </c>
      <c r="E3823" t="s">
        <v>689</v>
      </c>
    </row>
    <row r="3824" spans="2:5" x14ac:dyDescent="0.2">
      <c r="B3824" t="s">
        <v>5867</v>
      </c>
      <c r="C3824">
        <v>530841</v>
      </c>
      <c r="D3824" t="s">
        <v>366</v>
      </c>
      <c r="E3824" t="s">
        <v>643</v>
      </c>
    </row>
    <row r="3825" spans="2:5" x14ac:dyDescent="0.2">
      <c r="B3825" t="s">
        <v>5868</v>
      </c>
      <c r="C3825">
        <v>503804</v>
      </c>
      <c r="D3825" t="s">
        <v>366</v>
      </c>
      <c r="E3825" t="s">
        <v>381</v>
      </c>
    </row>
    <row r="3826" spans="2:5" x14ac:dyDescent="0.2">
      <c r="B3826" t="s">
        <v>5869</v>
      </c>
      <c r="C3826">
        <v>512453</v>
      </c>
      <c r="D3826" t="s">
        <v>366</v>
      </c>
      <c r="E3826" t="s">
        <v>561</v>
      </c>
    </row>
    <row r="3827" spans="2:5" x14ac:dyDescent="0.2">
      <c r="B3827" t="s">
        <v>5870</v>
      </c>
      <c r="C3827">
        <v>532083</v>
      </c>
      <c r="D3827" t="s">
        <v>366</v>
      </c>
      <c r="E3827" t="s">
        <v>787</v>
      </c>
    </row>
    <row r="3828" spans="2:5" x14ac:dyDescent="0.2">
      <c r="B3828" t="s">
        <v>5871</v>
      </c>
      <c r="C3828">
        <v>530977</v>
      </c>
      <c r="D3828" t="s">
        <v>366</v>
      </c>
      <c r="E3828" t="s">
        <v>379</v>
      </c>
    </row>
    <row r="3829" spans="2:5" x14ac:dyDescent="0.2">
      <c r="B3829" t="s">
        <v>5872</v>
      </c>
      <c r="C3829">
        <v>531080</v>
      </c>
      <c r="D3829" t="s">
        <v>366</v>
      </c>
      <c r="E3829" t="s">
        <v>452</v>
      </c>
    </row>
    <row r="3830" spans="2:5" x14ac:dyDescent="0.2">
      <c r="B3830" t="s">
        <v>5873</v>
      </c>
      <c r="C3830">
        <v>538897</v>
      </c>
      <c r="D3830" t="s">
        <v>366</v>
      </c>
      <c r="E3830" t="s">
        <v>383</v>
      </c>
    </row>
    <row r="3831" spans="2:5" x14ac:dyDescent="0.2">
      <c r="B3831" t="s">
        <v>5874</v>
      </c>
      <c r="C3831" t="s">
        <v>366</v>
      </c>
      <c r="D3831" t="s">
        <v>5875</v>
      </c>
      <c r="E3831" t="s">
        <v>377</v>
      </c>
    </row>
    <row r="3832" spans="2:5" x14ac:dyDescent="0.2">
      <c r="B3832" t="s">
        <v>5876</v>
      </c>
      <c r="C3832">
        <v>508961</v>
      </c>
      <c r="D3832" t="s">
        <v>366</v>
      </c>
      <c r="E3832" t="s">
        <v>383</v>
      </c>
    </row>
    <row r="3833" spans="2:5" x14ac:dyDescent="0.2">
      <c r="B3833" t="s">
        <v>5877</v>
      </c>
      <c r="C3833">
        <v>531359</v>
      </c>
      <c r="D3833" t="s">
        <v>366</v>
      </c>
      <c r="E3833" t="s">
        <v>2767</v>
      </c>
    </row>
    <row r="3834" spans="2:5" x14ac:dyDescent="0.2">
      <c r="B3834" t="s">
        <v>5878</v>
      </c>
      <c r="C3834">
        <v>532498</v>
      </c>
      <c r="D3834" t="s">
        <v>5879</v>
      </c>
      <c r="E3834" t="s">
        <v>383</v>
      </c>
    </row>
    <row r="3835" spans="2:5" x14ac:dyDescent="0.2">
      <c r="B3835" t="s">
        <v>5880</v>
      </c>
      <c r="C3835">
        <v>532945</v>
      </c>
      <c r="D3835" t="s">
        <v>5881</v>
      </c>
      <c r="E3835" t="s">
        <v>764</v>
      </c>
    </row>
    <row r="3836" spans="2:5" x14ac:dyDescent="0.2">
      <c r="B3836" t="s">
        <v>5882</v>
      </c>
      <c r="C3836" t="s">
        <v>366</v>
      </c>
      <c r="D3836" t="s">
        <v>5883</v>
      </c>
      <c r="E3836" t="s">
        <v>457</v>
      </c>
    </row>
    <row r="3837" spans="2:5" x14ac:dyDescent="0.2">
      <c r="B3837" t="s">
        <v>5884</v>
      </c>
      <c r="C3837">
        <v>511218</v>
      </c>
      <c r="D3837" t="s">
        <v>5885</v>
      </c>
      <c r="E3837" t="s">
        <v>383</v>
      </c>
    </row>
    <row r="3838" spans="2:5" x14ac:dyDescent="0.2">
      <c r="B3838" t="s">
        <v>5886</v>
      </c>
      <c r="C3838">
        <v>511411</v>
      </c>
      <c r="D3838" t="s">
        <v>366</v>
      </c>
      <c r="E3838" t="s">
        <v>764</v>
      </c>
    </row>
    <row r="3839" spans="2:5" x14ac:dyDescent="0.2">
      <c r="B3839" t="s">
        <v>5887</v>
      </c>
      <c r="C3839">
        <v>542019</v>
      </c>
      <c r="D3839" t="s">
        <v>366</v>
      </c>
      <c r="E3839" t="s">
        <v>381</v>
      </c>
    </row>
    <row r="3840" spans="2:5" x14ac:dyDescent="0.2">
      <c r="B3840" t="s">
        <v>5888</v>
      </c>
      <c r="C3840" t="s">
        <v>366</v>
      </c>
      <c r="D3840" t="s">
        <v>5889</v>
      </c>
      <c r="E3840" t="s">
        <v>377</v>
      </c>
    </row>
    <row r="3841" spans="2:5" x14ac:dyDescent="0.2">
      <c r="B3841" t="s">
        <v>5890</v>
      </c>
      <c r="C3841">
        <v>531506</v>
      </c>
      <c r="D3841" t="s">
        <v>5891</v>
      </c>
      <c r="E3841" t="s">
        <v>787</v>
      </c>
    </row>
    <row r="3842" spans="2:5" x14ac:dyDescent="0.2">
      <c r="B3842" t="s">
        <v>5892</v>
      </c>
      <c r="C3842">
        <v>523790</v>
      </c>
      <c r="D3842" t="s">
        <v>366</v>
      </c>
      <c r="E3842" t="s">
        <v>480</v>
      </c>
    </row>
    <row r="3843" spans="2:5" x14ac:dyDescent="0.2">
      <c r="B3843" t="s">
        <v>5893</v>
      </c>
      <c r="C3843">
        <v>524632</v>
      </c>
      <c r="D3843" t="s">
        <v>366</v>
      </c>
      <c r="E3843" t="s">
        <v>404</v>
      </c>
    </row>
    <row r="3844" spans="2:5" x14ac:dyDescent="0.2">
      <c r="B3844" t="s">
        <v>5894</v>
      </c>
      <c r="C3844">
        <v>539252</v>
      </c>
      <c r="D3844" t="s">
        <v>5895</v>
      </c>
      <c r="E3844" t="s">
        <v>398</v>
      </c>
    </row>
    <row r="3845" spans="2:5" x14ac:dyDescent="0.2">
      <c r="B3845" t="s">
        <v>5896</v>
      </c>
      <c r="C3845">
        <v>517411</v>
      </c>
      <c r="D3845" t="s">
        <v>5897</v>
      </c>
      <c r="E3845" t="s">
        <v>512</v>
      </c>
    </row>
    <row r="3846" spans="2:5" x14ac:dyDescent="0.2">
      <c r="B3846" t="s">
        <v>5898</v>
      </c>
      <c r="C3846">
        <v>531219</v>
      </c>
      <c r="D3846" t="s">
        <v>366</v>
      </c>
      <c r="E3846" t="s">
        <v>404</v>
      </c>
    </row>
    <row r="3847" spans="2:5" x14ac:dyDescent="0.2">
      <c r="B3847" t="s">
        <v>5899</v>
      </c>
      <c r="C3847">
        <v>505515</v>
      </c>
      <c r="D3847" t="s">
        <v>366</v>
      </c>
      <c r="E3847" t="s">
        <v>349</v>
      </c>
    </row>
    <row r="3848" spans="2:5" x14ac:dyDescent="0.2">
      <c r="B3848" t="s">
        <v>5900</v>
      </c>
      <c r="C3848">
        <v>530907</v>
      </c>
      <c r="D3848" t="s">
        <v>366</v>
      </c>
      <c r="E3848" t="s">
        <v>787</v>
      </c>
    </row>
    <row r="3849" spans="2:5" x14ac:dyDescent="0.2">
      <c r="B3849" t="s">
        <v>5901</v>
      </c>
      <c r="C3849">
        <v>520141</v>
      </c>
      <c r="D3849" t="s">
        <v>366</v>
      </c>
      <c r="E3849" t="s">
        <v>721</v>
      </c>
    </row>
    <row r="3850" spans="2:5" x14ac:dyDescent="0.2">
      <c r="B3850" t="s">
        <v>5902</v>
      </c>
      <c r="C3850">
        <v>533014</v>
      </c>
      <c r="D3850" t="s">
        <v>5903</v>
      </c>
      <c r="E3850" t="s">
        <v>388</v>
      </c>
    </row>
    <row r="3851" spans="2:5" x14ac:dyDescent="0.2">
      <c r="B3851" t="s">
        <v>5904</v>
      </c>
      <c r="C3851">
        <v>533014</v>
      </c>
      <c r="D3851" t="s">
        <v>5903</v>
      </c>
      <c r="E3851" t="s">
        <v>388</v>
      </c>
    </row>
    <row r="3852" spans="2:5" x14ac:dyDescent="0.2">
      <c r="B3852" t="s">
        <v>5905</v>
      </c>
      <c r="C3852">
        <v>520086</v>
      </c>
      <c r="D3852" t="s">
        <v>5906</v>
      </c>
      <c r="E3852" t="s">
        <v>687</v>
      </c>
    </row>
    <row r="3853" spans="2:5" x14ac:dyDescent="0.2">
      <c r="B3853" t="s">
        <v>5907</v>
      </c>
      <c r="C3853">
        <v>540736</v>
      </c>
      <c r="D3853" t="s">
        <v>366</v>
      </c>
      <c r="E3853" t="s">
        <v>471</v>
      </c>
    </row>
    <row r="3854" spans="2:5" x14ac:dyDescent="0.2">
      <c r="B3854" t="s">
        <v>5908</v>
      </c>
      <c r="C3854">
        <v>539983</v>
      </c>
      <c r="D3854" t="s">
        <v>366</v>
      </c>
      <c r="E3854" t="s">
        <v>349</v>
      </c>
    </row>
    <row r="3855" spans="2:5" x14ac:dyDescent="0.2">
      <c r="B3855" t="s">
        <v>5909</v>
      </c>
      <c r="C3855">
        <v>532217</v>
      </c>
      <c r="D3855" t="s">
        <v>366</v>
      </c>
      <c r="E3855" t="s">
        <v>349</v>
      </c>
    </row>
    <row r="3856" spans="2:5" x14ac:dyDescent="0.2">
      <c r="B3856" t="s">
        <v>5910</v>
      </c>
      <c r="C3856">
        <v>500550</v>
      </c>
      <c r="D3856" t="s">
        <v>5911</v>
      </c>
      <c r="E3856" t="s">
        <v>409</v>
      </c>
    </row>
    <row r="3857" spans="2:5" x14ac:dyDescent="0.2">
      <c r="B3857" t="s">
        <v>5912</v>
      </c>
      <c r="C3857">
        <v>512131</v>
      </c>
      <c r="D3857" t="s">
        <v>5913</v>
      </c>
      <c r="E3857" t="s">
        <v>486</v>
      </c>
    </row>
    <row r="3858" spans="2:5" x14ac:dyDescent="0.2">
      <c r="B3858" t="s">
        <v>5914</v>
      </c>
      <c r="C3858">
        <v>523606</v>
      </c>
      <c r="D3858" t="s">
        <v>366</v>
      </c>
      <c r="E3858" t="s">
        <v>839</v>
      </c>
    </row>
    <row r="3859" spans="2:5" x14ac:dyDescent="0.2">
      <c r="B3859" t="s">
        <v>5915</v>
      </c>
      <c r="C3859" t="s">
        <v>366</v>
      </c>
      <c r="D3859" t="s">
        <v>5916</v>
      </c>
      <c r="E3859" t="s">
        <v>377</v>
      </c>
    </row>
    <row r="3860" spans="2:5" x14ac:dyDescent="0.2">
      <c r="B3860" t="s">
        <v>5917</v>
      </c>
      <c r="C3860">
        <v>524642</v>
      </c>
      <c r="D3860" t="s">
        <v>366</v>
      </c>
      <c r="E3860" t="s">
        <v>452</v>
      </c>
    </row>
    <row r="3861" spans="2:5" x14ac:dyDescent="0.2">
      <c r="B3861" t="s">
        <v>5918</v>
      </c>
      <c r="C3861">
        <v>521194</v>
      </c>
      <c r="D3861" t="s">
        <v>5919</v>
      </c>
      <c r="E3861" t="s">
        <v>349</v>
      </c>
    </row>
    <row r="3862" spans="2:5" x14ac:dyDescent="0.2">
      <c r="B3862" t="s">
        <v>5920</v>
      </c>
      <c r="C3862" t="s">
        <v>366</v>
      </c>
      <c r="D3862" t="s">
        <v>5921</v>
      </c>
      <c r="E3862" t="s">
        <v>377</v>
      </c>
    </row>
    <row r="3863" spans="2:5" x14ac:dyDescent="0.2">
      <c r="B3863" t="s">
        <v>5922</v>
      </c>
      <c r="C3863" t="s">
        <v>366</v>
      </c>
      <c r="D3863" t="s">
        <v>5923</v>
      </c>
      <c r="E3863" t="s">
        <v>377</v>
      </c>
    </row>
    <row r="3864" spans="2:5" x14ac:dyDescent="0.2">
      <c r="B3864" t="s">
        <v>5924</v>
      </c>
      <c r="C3864">
        <v>531635</v>
      </c>
      <c r="D3864" t="s">
        <v>366</v>
      </c>
      <c r="E3864" t="s">
        <v>998</v>
      </c>
    </row>
    <row r="3865" spans="2:5" x14ac:dyDescent="0.2">
      <c r="B3865" t="s">
        <v>5925</v>
      </c>
      <c r="C3865">
        <v>512197</v>
      </c>
      <c r="D3865" t="s">
        <v>366</v>
      </c>
      <c r="E3865" t="s">
        <v>383</v>
      </c>
    </row>
    <row r="3866" spans="2:5" x14ac:dyDescent="0.2">
      <c r="B3866" t="s">
        <v>5926</v>
      </c>
      <c r="C3866">
        <v>531635</v>
      </c>
      <c r="D3866" t="s">
        <v>366</v>
      </c>
      <c r="E3866" t="s">
        <v>998</v>
      </c>
    </row>
    <row r="3867" spans="2:5" x14ac:dyDescent="0.2">
      <c r="B3867" t="s">
        <v>5927</v>
      </c>
      <c r="C3867" t="s">
        <v>366</v>
      </c>
      <c r="D3867" t="s">
        <v>5928</v>
      </c>
      <c r="E3867" t="s">
        <v>377</v>
      </c>
    </row>
    <row r="3868" spans="2:5" x14ac:dyDescent="0.2">
      <c r="B3868" t="s">
        <v>5929</v>
      </c>
      <c r="C3868">
        <v>536073</v>
      </c>
      <c r="D3868" t="s">
        <v>366</v>
      </c>
      <c r="E3868" t="s">
        <v>764</v>
      </c>
    </row>
    <row r="3869" spans="2:5" x14ac:dyDescent="0.2">
      <c r="B3869" t="s">
        <v>5930</v>
      </c>
      <c r="C3869">
        <v>539742</v>
      </c>
      <c r="D3869" t="s">
        <v>5931</v>
      </c>
      <c r="E3869" t="s">
        <v>1065</v>
      </c>
    </row>
    <row r="3870" spans="2:5" x14ac:dyDescent="0.2">
      <c r="B3870" t="s">
        <v>5932</v>
      </c>
      <c r="C3870">
        <v>507998</v>
      </c>
      <c r="D3870" t="s">
        <v>366</v>
      </c>
      <c r="E3870" t="s">
        <v>721</v>
      </c>
    </row>
    <row r="3871" spans="2:5" x14ac:dyDescent="0.2">
      <c r="B3871" t="s">
        <v>5933</v>
      </c>
      <c r="C3871">
        <v>513472</v>
      </c>
      <c r="D3871" t="s">
        <v>366</v>
      </c>
      <c r="E3871" t="s">
        <v>1284</v>
      </c>
    </row>
    <row r="3872" spans="2:5" x14ac:dyDescent="0.2">
      <c r="B3872" t="s">
        <v>5934</v>
      </c>
      <c r="C3872">
        <v>523838</v>
      </c>
      <c r="D3872" t="s">
        <v>5935</v>
      </c>
      <c r="E3872" t="s">
        <v>764</v>
      </c>
    </row>
    <row r="3873" spans="2:5" x14ac:dyDescent="0.2">
      <c r="B3873" t="s">
        <v>5936</v>
      </c>
      <c r="C3873">
        <v>533018</v>
      </c>
      <c r="D3873" t="s">
        <v>366</v>
      </c>
      <c r="E3873" t="s">
        <v>381</v>
      </c>
    </row>
    <row r="3874" spans="2:5" x14ac:dyDescent="0.2">
      <c r="B3874" t="s">
        <v>5937</v>
      </c>
      <c r="C3874">
        <v>533019</v>
      </c>
      <c r="D3874" t="s">
        <v>366</v>
      </c>
      <c r="E3874" t="s">
        <v>360</v>
      </c>
    </row>
    <row r="3875" spans="2:5" x14ac:dyDescent="0.2">
      <c r="B3875" t="s">
        <v>5938</v>
      </c>
      <c r="C3875">
        <v>503229</v>
      </c>
      <c r="D3875" t="s">
        <v>366</v>
      </c>
      <c r="E3875" t="s">
        <v>452</v>
      </c>
    </row>
    <row r="3876" spans="2:5" x14ac:dyDescent="0.2">
      <c r="B3876" t="s">
        <v>5939</v>
      </c>
      <c r="C3876">
        <v>519566</v>
      </c>
      <c r="D3876" t="s">
        <v>366</v>
      </c>
      <c r="E3876" t="s">
        <v>426</v>
      </c>
    </row>
    <row r="3877" spans="2:5" x14ac:dyDescent="0.2">
      <c r="B3877" t="s">
        <v>5940</v>
      </c>
      <c r="C3877">
        <v>523023</v>
      </c>
      <c r="D3877" t="s">
        <v>366</v>
      </c>
      <c r="E3877" t="s">
        <v>567</v>
      </c>
    </row>
    <row r="3878" spans="2:5" x14ac:dyDescent="0.2">
      <c r="B3878" t="s">
        <v>5941</v>
      </c>
      <c r="C3878">
        <v>532029</v>
      </c>
      <c r="D3878" t="s">
        <v>366</v>
      </c>
      <c r="E3878" t="s">
        <v>787</v>
      </c>
    </row>
    <row r="3879" spans="2:5" x14ac:dyDescent="0.2">
      <c r="B3879" t="s">
        <v>5942</v>
      </c>
      <c r="C3879">
        <v>505504</v>
      </c>
      <c r="D3879" t="s">
        <v>366</v>
      </c>
      <c r="E3879" t="s">
        <v>352</v>
      </c>
    </row>
    <row r="3880" spans="2:5" x14ac:dyDescent="0.2">
      <c r="B3880" t="s">
        <v>5943</v>
      </c>
      <c r="C3880">
        <v>505729</v>
      </c>
      <c r="D3880" t="s">
        <v>366</v>
      </c>
      <c r="E3880" t="s">
        <v>374</v>
      </c>
    </row>
    <row r="3881" spans="2:5" x14ac:dyDescent="0.2">
      <c r="B3881" t="s">
        <v>5944</v>
      </c>
      <c r="C3881">
        <v>505729</v>
      </c>
      <c r="D3881" t="s">
        <v>366</v>
      </c>
      <c r="E3881" t="s">
        <v>374</v>
      </c>
    </row>
    <row r="3882" spans="2:5" x14ac:dyDescent="0.2">
      <c r="B3882" t="s">
        <v>5945</v>
      </c>
      <c r="C3882">
        <v>509887</v>
      </c>
      <c r="D3882" t="s">
        <v>366</v>
      </c>
      <c r="E3882" t="s">
        <v>2533</v>
      </c>
    </row>
    <row r="3883" spans="2:5" x14ac:dyDescent="0.2">
      <c r="B3883" t="s">
        <v>5946</v>
      </c>
      <c r="C3883">
        <v>539410</v>
      </c>
      <c r="D3883" t="s">
        <v>366</v>
      </c>
      <c r="E3883" t="s">
        <v>388</v>
      </c>
    </row>
    <row r="3884" spans="2:5" x14ac:dyDescent="0.2">
      <c r="B3884" t="s">
        <v>5947</v>
      </c>
      <c r="C3884">
        <v>539410</v>
      </c>
      <c r="D3884" t="s">
        <v>366</v>
      </c>
      <c r="E3884" t="s">
        <v>388</v>
      </c>
    </row>
    <row r="3885" spans="2:5" x14ac:dyDescent="0.2">
      <c r="B3885" t="s">
        <v>5948</v>
      </c>
      <c r="C3885" t="s">
        <v>366</v>
      </c>
      <c r="D3885" t="s">
        <v>5949</v>
      </c>
      <c r="E3885" t="s">
        <v>377</v>
      </c>
    </row>
    <row r="3886" spans="2:5" x14ac:dyDescent="0.2">
      <c r="B3886" t="s">
        <v>5950</v>
      </c>
      <c r="C3886" t="s">
        <v>366</v>
      </c>
      <c r="D3886" t="s">
        <v>5949</v>
      </c>
      <c r="E3886" t="s">
        <v>377</v>
      </c>
    </row>
    <row r="3887" spans="2:5" x14ac:dyDescent="0.2">
      <c r="B3887" t="s">
        <v>5951</v>
      </c>
      <c r="C3887">
        <v>502742</v>
      </c>
      <c r="D3887" t="s">
        <v>5952</v>
      </c>
      <c r="E3887" t="s">
        <v>381</v>
      </c>
    </row>
    <row r="3888" spans="2:5" x14ac:dyDescent="0.2">
      <c r="B3888" t="s">
        <v>5953</v>
      </c>
      <c r="C3888">
        <v>540653</v>
      </c>
      <c r="D3888" t="s">
        <v>5954</v>
      </c>
      <c r="E3888" t="s">
        <v>486</v>
      </c>
    </row>
    <row r="3889" spans="2:5" x14ac:dyDescent="0.2">
      <c r="B3889" t="s">
        <v>5955</v>
      </c>
      <c r="C3889">
        <v>523164</v>
      </c>
      <c r="D3889" t="s">
        <v>366</v>
      </c>
      <c r="E3889" t="s">
        <v>564</v>
      </c>
    </row>
    <row r="3890" spans="2:5" x14ac:dyDescent="0.2">
      <c r="B3890" t="s">
        <v>5956</v>
      </c>
      <c r="C3890">
        <v>532879</v>
      </c>
      <c r="D3890" t="s">
        <v>366</v>
      </c>
      <c r="E3890" t="s">
        <v>1065</v>
      </c>
    </row>
    <row r="3891" spans="2:5" x14ac:dyDescent="0.2">
      <c r="B3891" t="s">
        <v>5957</v>
      </c>
      <c r="C3891" t="s">
        <v>366</v>
      </c>
      <c r="D3891" t="s">
        <v>5958</v>
      </c>
      <c r="E3891" t="s">
        <v>377</v>
      </c>
    </row>
    <row r="3892" spans="2:5" x14ac:dyDescent="0.2">
      <c r="B3892" t="s">
        <v>5959</v>
      </c>
      <c r="C3892" t="s">
        <v>366</v>
      </c>
      <c r="D3892" t="s">
        <v>5958</v>
      </c>
      <c r="E3892" t="s">
        <v>377</v>
      </c>
    </row>
    <row r="3893" spans="2:5" x14ac:dyDescent="0.2">
      <c r="B3893" t="s">
        <v>5960</v>
      </c>
      <c r="C3893">
        <v>538667</v>
      </c>
      <c r="D3893" t="s">
        <v>366</v>
      </c>
      <c r="E3893" t="s">
        <v>388</v>
      </c>
    </row>
    <row r="3894" spans="2:5" x14ac:dyDescent="0.2">
      <c r="B3894" t="s">
        <v>5961</v>
      </c>
      <c r="C3894">
        <v>512589</v>
      </c>
      <c r="D3894" t="s">
        <v>366</v>
      </c>
      <c r="E3894" t="s">
        <v>388</v>
      </c>
    </row>
    <row r="3895" spans="2:5" x14ac:dyDescent="0.2">
      <c r="B3895" t="s">
        <v>5962</v>
      </c>
      <c r="C3895">
        <v>532961</v>
      </c>
      <c r="D3895" t="s">
        <v>5963</v>
      </c>
      <c r="E3895" t="s">
        <v>446</v>
      </c>
    </row>
    <row r="3896" spans="2:5" x14ac:dyDescent="0.2">
      <c r="B3896" t="s">
        <v>5964</v>
      </c>
      <c r="C3896">
        <v>532795</v>
      </c>
      <c r="D3896" t="s">
        <v>5965</v>
      </c>
      <c r="E3896" t="s">
        <v>1103</v>
      </c>
    </row>
    <row r="3897" spans="2:5" x14ac:dyDescent="0.2">
      <c r="B3897" t="s">
        <v>5966</v>
      </c>
      <c r="C3897">
        <v>503811</v>
      </c>
      <c r="D3897" t="s">
        <v>5967</v>
      </c>
      <c r="E3897" t="s">
        <v>381</v>
      </c>
    </row>
    <row r="3898" spans="2:5" x14ac:dyDescent="0.2">
      <c r="B3898" t="s">
        <v>5968</v>
      </c>
      <c r="C3898">
        <v>504398</v>
      </c>
      <c r="D3898" t="s">
        <v>366</v>
      </c>
      <c r="E3898" t="s">
        <v>480</v>
      </c>
    </row>
    <row r="3899" spans="2:5" x14ac:dyDescent="0.2">
      <c r="B3899" t="s">
        <v>5969</v>
      </c>
      <c r="C3899">
        <v>533206</v>
      </c>
      <c r="D3899" t="s">
        <v>5970</v>
      </c>
      <c r="E3899" t="s">
        <v>505</v>
      </c>
    </row>
    <row r="3900" spans="2:5" x14ac:dyDescent="0.2">
      <c r="B3900" t="s">
        <v>5971</v>
      </c>
      <c r="C3900">
        <v>500472</v>
      </c>
      <c r="D3900" t="s">
        <v>5972</v>
      </c>
      <c r="E3900" t="s">
        <v>551</v>
      </c>
    </row>
    <row r="3901" spans="2:5" x14ac:dyDescent="0.2">
      <c r="B3901" t="s">
        <v>5973</v>
      </c>
      <c r="C3901">
        <v>500472</v>
      </c>
      <c r="D3901" t="s">
        <v>5974</v>
      </c>
      <c r="E3901" t="s">
        <v>551</v>
      </c>
    </row>
    <row r="3902" spans="2:5" x14ac:dyDescent="0.2">
      <c r="B3902" t="s">
        <v>5975</v>
      </c>
      <c r="C3902">
        <v>539861</v>
      </c>
      <c r="D3902" t="s">
        <v>5976</v>
      </c>
      <c r="E3902" t="s">
        <v>764</v>
      </c>
    </row>
    <row r="3903" spans="2:5" x14ac:dyDescent="0.2">
      <c r="B3903" t="s">
        <v>5977</v>
      </c>
      <c r="C3903">
        <v>538562</v>
      </c>
      <c r="D3903" t="s">
        <v>5978</v>
      </c>
      <c r="E3903" t="s">
        <v>764</v>
      </c>
    </row>
    <row r="3904" spans="2:5" x14ac:dyDescent="0.2">
      <c r="B3904" t="s">
        <v>5979</v>
      </c>
      <c r="C3904">
        <v>532143</v>
      </c>
      <c r="D3904" t="s">
        <v>5980</v>
      </c>
      <c r="E3904" t="s">
        <v>446</v>
      </c>
    </row>
    <row r="3905" spans="2:5" x14ac:dyDescent="0.2">
      <c r="B3905" t="s">
        <v>5981</v>
      </c>
      <c r="C3905">
        <v>532143</v>
      </c>
      <c r="D3905" t="s">
        <v>5980</v>
      </c>
      <c r="E3905" t="s">
        <v>446</v>
      </c>
    </row>
    <row r="3906" spans="2:5" x14ac:dyDescent="0.2">
      <c r="B3906" t="s">
        <v>5982</v>
      </c>
      <c r="C3906">
        <v>531169</v>
      </c>
      <c r="D3906" t="s">
        <v>366</v>
      </c>
      <c r="E3906" t="s">
        <v>383</v>
      </c>
    </row>
    <row r="3907" spans="2:5" x14ac:dyDescent="0.2">
      <c r="B3907" t="s">
        <v>5983</v>
      </c>
      <c r="C3907" t="s">
        <v>366</v>
      </c>
      <c r="D3907" t="s">
        <v>5984</v>
      </c>
      <c r="E3907" t="s">
        <v>377</v>
      </c>
    </row>
    <row r="3908" spans="2:5" x14ac:dyDescent="0.2">
      <c r="B3908" t="s">
        <v>5985</v>
      </c>
      <c r="C3908">
        <v>541967</v>
      </c>
      <c r="D3908" t="s">
        <v>366</v>
      </c>
      <c r="E3908" t="s">
        <v>480</v>
      </c>
    </row>
    <row r="3909" spans="2:5" x14ac:dyDescent="0.2">
      <c r="B3909" t="s">
        <v>5986</v>
      </c>
      <c r="C3909">
        <v>526479</v>
      </c>
      <c r="D3909" t="s">
        <v>366</v>
      </c>
      <c r="E3909" t="s">
        <v>381</v>
      </c>
    </row>
    <row r="3910" spans="2:5" x14ac:dyDescent="0.2">
      <c r="B3910" t="s">
        <v>5987</v>
      </c>
      <c r="C3910">
        <v>505650</v>
      </c>
      <c r="D3910" t="s">
        <v>366</v>
      </c>
      <c r="E3910" t="s">
        <v>444</v>
      </c>
    </row>
    <row r="3911" spans="2:5" x14ac:dyDescent="0.2">
      <c r="B3911" t="s">
        <v>5988</v>
      </c>
      <c r="C3911">
        <v>538919</v>
      </c>
      <c r="D3911" t="s">
        <v>366</v>
      </c>
      <c r="E3911" t="s">
        <v>452</v>
      </c>
    </row>
    <row r="3912" spans="2:5" x14ac:dyDescent="0.2">
      <c r="B3912" t="s">
        <v>5989</v>
      </c>
      <c r="C3912">
        <v>538919</v>
      </c>
      <c r="D3912" t="s">
        <v>366</v>
      </c>
      <c r="E3912" t="s">
        <v>452</v>
      </c>
    </row>
    <row r="3913" spans="2:5" x14ac:dyDescent="0.2">
      <c r="B3913" t="s">
        <v>5990</v>
      </c>
      <c r="C3913">
        <v>539494</v>
      </c>
      <c r="D3913" t="s">
        <v>366</v>
      </c>
      <c r="E3913" t="s">
        <v>383</v>
      </c>
    </row>
    <row r="3914" spans="2:5" x14ac:dyDescent="0.2">
      <c r="B3914" t="s">
        <v>5991</v>
      </c>
      <c r="C3914">
        <v>532419</v>
      </c>
      <c r="D3914" t="s">
        <v>5992</v>
      </c>
      <c r="E3914" t="s">
        <v>1989</v>
      </c>
    </row>
    <row r="3915" spans="2:5" x14ac:dyDescent="0.2">
      <c r="B3915" t="s">
        <v>5993</v>
      </c>
      <c r="C3915">
        <v>508905</v>
      </c>
      <c r="D3915" t="s">
        <v>366</v>
      </c>
      <c r="E3915" t="s">
        <v>349</v>
      </c>
    </row>
    <row r="3916" spans="2:5" x14ac:dyDescent="0.2">
      <c r="B3916" t="s">
        <v>5994</v>
      </c>
      <c r="C3916">
        <v>505192</v>
      </c>
      <c r="D3916" t="s">
        <v>5995</v>
      </c>
      <c r="E3916" t="s">
        <v>444</v>
      </c>
    </row>
    <row r="3917" spans="2:5" x14ac:dyDescent="0.2">
      <c r="B3917" t="s">
        <v>5996</v>
      </c>
      <c r="C3917">
        <v>540686</v>
      </c>
      <c r="D3917" t="s">
        <v>366</v>
      </c>
      <c r="E3917" t="s">
        <v>404</v>
      </c>
    </row>
    <row r="3918" spans="2:5" x14ac:dyDescent="0.2">
      <c r="B3918" t="s">
        <v>5997</v>
      </c>
      <c r="C3918">
        <v>540679</v>
      </c>
      <c r="D3918" t="s">
        <v>5998</v>
      </c>
      <c r="E3918" t="s">
        <v>404</v>
      </c>
    </row>
    <row r="3919" spans="2:5" x14ac:dyDescent="0.2">
      <c r="B3919" t="s">
        <v>5999</v>
      </c>
      <c r="C3919">
        <v>540679</v>
      </c>
      <c r="D3919" t="s">
        <v>5998</v>
      </c>
      <c r="E3919" t="s">
        <v>404</v>
      </c>
    </row>
    <row r="3920" spans="2:5" x14ac:dyDescent="0.2">
      <c r="B3920" t="s">
        <v>6000</v>
      </c>
      <c r="C3920">
        <v>532815</v>
      </c>
      <c r="D3920" t="s">
        <v>6001</v>
      </c>
      <c r="E3920" t="s">
        <v>404</v>
      </c>
    </row>
    <row r="3921" spans="2:5" x14ac:dyDescent="0.2">
      <c r="B3921" t="s">
        <v>6002</v>
      </c>
      <c r="C3921" t="s">
        <v>366</v>
      </c>
      <c r="D3921" t="s">
        <v>6003</v>
      </c>
      <c r="E3921" t="s">
        <v>377</v>
      </c>
    </row>
    <row r="3922" spans="2:5" x14ac:dyDescent="0.2">
      <c r="B3922" t="s">
        <v>6004</v>
      </c>
      <c r="C3922">
        <v>505827</v>
      </c>
      <c r="D3922" t="s">
        <v>366</v>
      </c>
      <c r="E3922" t="s">
        <v>551</v>
      </c>
    </row>
    <row r="3923" spans="2:5" x14ac:dyDescent="0.2">
      <c r="B3923" t="s">
        <v>6005</v>
      </c>
      <c r="C3923">
        <v>538635</v>
      </c>
      <c r="D3923" t="s">
        <v>6006</v>
      </c>
      <c r="E3923" t="s">
        <v>687</v>
      </c>
    </row>
    <row r="3924" spans="2:5" x14ac:dyDescent="0.2">
      <c r="B3924" t="s">
        <v>6007</v>
      </c>
      <c r="C3924">
        <v>532784</v>
      </c>
      <c r="D3924" t="s">
        <v>6008</v>
      </c>
      <c r="E3924" t="s">
        <v>452</v>
      </c>
    </row>
    <row r="3925" spans="2:5" x14ac:dyDescent="0.2">
      <c r="B3925" t="s">
        <v>6009</v>
      </c>
      <c r="C3925">
        <v>512014</v>
      </c>
      <c r="D3925" t="s">
        <v>366</v>
      </c>
      <c r="E3925" t="s">
        <v>787</v>
      </c>
    </row>
    <row r="3926" spans="2:5" x14ac:dyDescent="0.2">
      <c r="B3926" t="s">
        <v>6010</v>
      </c>
      <c r="C3926">
        <v>538923</v>
      </c>
      <c r="D3926" t="s">
        <v>366</v>
      </c>
      <c r="E3926" t="s">
        <v>352</v>
      </c>
    </row>
    <row r="3927" spans="2:5" x14ac:dyDescent="0.2">
      <c r="B3927" t="s">
        <v>6011</v>
      </c>
      <c r="C3927">
        <v>504375</v>
      </c>
      <c r="D3927" t="s">
        <v>366</v>
      </c>
      <c r="E3927" t="s">
        <v>352</v>
      </c>
    </row>
    <row r="3928" spans="2:5" x14ac:dyDescent="0.2">
      <c r="B3928" t="s">
        <v>6012</v>
      </c>
      <c r="C3928">
        <v>532344</v>
      </c>
      <c r="D3928" t="s">
        <v>366</v>
      </c>
      <c r="E3928" t="s">
        <v>459</v>
      </c>
    </row>
    <row r="3929" spans="2:5" x14ac:dyDescent="0.2">
      <c r="B3929" t="s">
        <v>6013</v>
      </c>
      <c r="C3929">
        <v>532344</v>
      </c>
      <c r="D3929" t="s">
        <v>366</v>
      </c>
      <c r="E3929" t="s">
        <v>459</v>
      </c>
    </row>
    <row r="3930" spans="2:5" x14ac:dyDescent="0.2">
      <c r="B3930" t="s">
        <v>6014</v>
      </c>
      <c r="C3930" t="s">
        <v>366</v>
      </c>
      <c r="D3930" t="s">
        <v>6015</v>
      </c>
      <c r="E3930" t="s">
        <v>377</v>
      </c>
    </row>
    <row r="3931" spans="2:5" x14ac:dyDescent="0.2">
      <c r="B3931" t="s">
        <v>6016</v>
      </c>
      <c r="C3931">
        <v>532725</v>
      </c>
      <c r="D3931" t="s">
        <v>6017</v>
      </c>
      <c r="E3931" t="s">
        <v>526</v>
      </c>
    </row>
    <row r="3932" spans="2:5" x14ac:dyDescent="0.2">
      <c r="B3932" t="s">
        <v>6018</v>
      </c>
      <c r="C3932">
        <v>532725</v>
      </c>
      <c r="D3932" t="s">
        <v>6017</v>
      </c>
      <c r="E3932" t="s">
        <v>526</v>
      </c>
    </row>
    <row r="3933" spans="2:5" x14ac:dyDescent="0.2">
      <c r="B3933" t="s">
        <v>6019</v>
      </c>
      <c r="C3933">
        <v>541540</v>
      </c>
      <c r="D3933" t="s">
        <v>6020</v>
      </c>
      <c r="E3933" t="s">
        <v>404</v>
      </c>
    </row>
    <row r="3934" spans="2:5" x14ac:dyDescent="0.2">
      <c r="B3934" t="s">
        <v>6021</v>
      </c>
      <c r="C3934" t="s">
        <v>366</v>
      </c>
      <c r="D3934" t="s">
        <v>6022</v>
      </c>
      <c r="E3934" t="s">
        <v>377</v>
      </c>
    </row>
    <row r="3935" spans="2:5" x14ac:dyDescent="0.2">
      <c r="B3935" t="s">
        <v>6023</v>
      </c>
      <c r="C3935">
        <v>500394</v>
      </c>
      <c r="D3935" t="s">
        <v>366</v>
      </c>
      <c r="E3935" t="s">
        <v>551</v>
      </c>
    </row>
    <row r="3936" spans="2:5" x14ac:dyDescent="0.2">
      <c r="B3936" t="s">
        <v>6024</v>
      </c>
      <c r="C3936">
        <v>502460</v>
      </c>
      <c r="D3936" t="s">
        <v>366</v>
      </c>
      <c r="E3936" t="s">
        <v>360</v>
      </c>
    </row>
    <row r="3937" spans="2:5" x14ac:dyDescent="0.2">
      <c r="B3937" t="s">
        <v>6025</v>
      </c>
      <c r="C3937">
        <v>513699</v>
      </c>
      <c r="D3937" t="s">
        <v>366</v>
      </c>
      <c r="E3937" t="s">
        <v>894</v>
      </c>
    </row>
    <row r="3938" spans="2:5" x14ac:dyDescent="0.2">
      <c r="B3938" t="s">
        <v>6026</v>
      </c>
      <c r="C3938">
        <v>538575</v>
      </c>
      <c r="D3938" t="s">
        <v>366</v>
      </c>
      <c r="E3938" t="s">
        <v>388</v>
      </c>
    </row>
    <row r="3939" spans="2:5" x14ac:dyDescent="0.2">
      <c r="B3939" t="s">
        <v>6027</v>
      </c>
      <c r="C3939">
        <v>522152</v>
      </c>
      <c r="D3939" t="s">
        <v>366</v>
      </c>
      <c r="E3939" t="s">
        <v>374</v>
      </c>
    </row>
    <row r="3940" spans="2:5" x14ac:dyDescent="0.2">
      <c r="B3940" t="s">
        <v>6028</v>
      </c>
      <c r="C3940">
        <v>511571</v>
      </c>
      <c r="D3940" t="s">
        <v>366</v>
      </c>
      <c r="E3940" t="s">
        <v>383</v>
      </c>
    </row>
    <row r="3941" spans="2:5" x14ac:dyDescent="0.2">
      <c r="B3941" t="s">
        <v>6029</v>
      </c>
      <c r="C3941">
        <v>507514</v>
      </c>
      <c r="D3941" t="s">
        <v>6030</v>
      </c>
      <c r="E3941" t="s">
        <v>998</v>
      </c>
    </row>
    <row r="3942" spans="2:5" x14ac:dyDescent="0.2">
      <c r="B3942" t="s">
        <v>6031</v>
      </c>
      <c r="C3942">
        <v>521034</v>
      </c>
      <c r="D3942" t="s">
        <v>6032</v>
      </c>
      <c r="E3942" t="s">
        <v>381</v>
      </c>
    </row>
    <row r="3943" spans="2:5" x14ac:dyDescent="0.2">
      <c r="B3943" t="s">
        <v>6033</v>
      </c>
      <c r="C3943">
        <v>531548</v>
      </c>
      <c r="D3943" t="s">
        <v>6034</v>
      </c>
      <c r="E3943" t="s">
        <v>643</v>
      </c>
    </row>
    <row r="3944" spans="2:5" x14ac:dyDescent="0.2">
      <c r="B3944" t="s">
        <v>6035</v>
      </c>
      <c r="C3944">
        <v>533001</v>
      </c>
      <c r="D3944" t="s">
        <v>6036</v>
      </c>
      <c r="E3944" t="s">
        <v>374</v>
      </c>
    </row>
    <row r="3945" spans="2:5" x14ac:dyDescent="0.2">
      <c r="B3945" t="s">
        <v>6037</v>
      </c>
      <c r="C3945">
        <v>526901</v>
      </c>
      <c r="D3945" t="s">
        <v>366</v>
      </c>
      <c r="E3945" t="s">
        <v>414</v>
      </c>
    </row>
    <row r="3946" spans="2:5" x14ac:dyDescent="0.2">
      <c r="B3946" t="s">
        <v>6038</v>
      </c>
      <c r="C3946">
        <v>538943</v>
      </c>
      <c r="D3946" t="s">
        <v>366</v>
      </c>
      <c r="E3946" t="s">
        <v>383</v>
      </c>
    </row>
    <row r="3947" spans="2:5" x14ac:dyDescent="0.2">
      <c r="B3947" t="s">
        <v>6039</v>
      </c>
      <c r="C3947" t="s">
        <v>366</v>
      </c>
      <c r="D3947" t="s">
        <v>6040</v>
      </c>
      <c r="E3947" t="s">
        <v>377</v>
      </c>
    </row>
    <row r="3948" spans="2:5" x14ac:dyDescent="0.2">
      <c r="B3948" t="s">
        <v>6041</v>
      </c>
      <c r="C3948">
        <v>532221</v>
      </c>
      <c r="D3948" t="s">
        <v>6042</v>
      </c>
      <c r="E3948" t="s">
        <v>352</v>
      </c>
    </row>
    <row r="3949" spans="2:5" x14ac:dyDescent="0.2">
      <c r="B3949" t="s">
        <v>6043</v>
      </c>
      <c r="C3949">
        <v>539378</v>
      </c>
      <c r="D3949" t="s">
        <v>366</v>
      </c>
      <c r="E3949" t="s">
        <v>836</v>
      </c>
    </row>
    <row r="3950" spans="2:5" x14ac:dyDescent="0.2">
      <c r="B3950" t="s">
        <v>6044</v>
      </c>
      <c r="C3950" t="s">
        <v>366</v>
      </c>
      <c r="D3950" t="s">
        <v>6045</v>
      </c>
      <c r="E3950" t="s">
        <v>377</v>
      </c>
    </row>
    <row r="3951" spans="2:5" x14ac:dyDescent="0.2">
      <c r="B3951" t="s">
        <v>6046</v>
      </c>
      <c r="C3951">
        <v>541633</v>
      </c>
      <c r="D3951" t="s">
        <v>366</v>
      </c>
      <c r="E3951" t="s">
        <v>360</v>
      </c>
    </row>
    <row r="3952" spans="2:5" x14ac:dyDescent="0.2">
      <c r="B3952" t="s">
        <v>6047</v>
      </c>
      <c r="C3952">
        <v>532679</v>
      </c>
      <c r="D3952" t="s">
        <v>6048</v>
      </c>
      <c r="E3952" t="s">
        <v>355</v>
      </c>
    </row>
    <row r="3953" spans="2:5" x14ac:dyDescent="0.2">
      <c r="B3953" t="s">
        <v>6049</v>
      </c>
      <c r="C3953">
        <v>521036</v>
      </c>
      <c r="D3953" t="s">
        <v>366</v>
      </c>
      <c r="E3953" t="s">
        <v>381</v>
      </c>
    </row>
    <row r="3954" spans="2:5" x14ac:dyDescent="0.2">
      <c r="B3954" t="s">
        <v>6050</v>
      </c>
      <c r="C3954">
        <v>521036</v>
      </c>
      <c r="D3954" t="s">
        <v>366</v>
      </c>
      <c r="E3954" t="s">
        <v>381</v>
      </c>
    </row>
    <row r="3955" spans="2:5" x14ac:dyDescent="0.2">
      <c r="B3955" t="s">
        <v>6051</v>
      </c>
      <c r="C3955">
        <v>531398</v>
      </c>
      <c r="D3955" t="s">
        <v>366</v>
      </c>
      <c r="E3955" t="s">
        <v>404</v>
      </c>
    </row>
    <row r="3956" spans="2:5" x14ac:dyDescent="0.2">
      <c r="B3956" t="s">
        <v>6052</v>
      </c>
      <c r="C3956">
        <v>526477</v>
      </c>
      <c r="D3956" t="s">
        <v>366</v>
      </c>
      <c r="E3956" t="s">
        <v>544</v>
      </c>
    </row>
    <row r="3957" spans="2:5" x14ac:dyDescent="0.2">
      <c r="B3957" t="s">
        <v>6053</v>
      </c>
      <c r="C3957">
        <v>516108</v>
      </c>
      <c r="D3957" t="s">
        <v>366</v>
      </c>
      <c r="E3957" t="s">
        <v>360</v>
      </c>
    </row>
    <row r="3958" spans="2:5" x14ac:dyDescent="0.2">
      <c r="B3958" t="s">
        <v>6054</v>
      </c>
      <c r="C3958">
        <v>538891</v>
      </c>
      <c r="D3958" t="s">
        <v>366</v>
      </c>
      <c r="E3958" t="s">
        <v>383</v>
      </c>
    </row>
    <row r="3959" spans="2:5" x14ac:dyDescent="0.2">
      <c r="B3959" t="s">
        <v>6055</v>
      </c>
      <c r="C3959" t="s">
        <v>366</v>
      </c>
      <c r="D3959" t="s">
        <v>6056</v>
      </c>
      <c r="E3959" t="s">
        <v>377</v>
      </c>
    </row>
    <row r="3960" spans="2:5" x14ac:dyDescent="0.2">
      <c r="B3960" t="s">
        <v>6057</v>
      </c>
      <c r="C3960">
        <v>509910</v>
      </c>
      <c r="D3960" t="s">
        <v>366</v>
      </c>
      <c r="E3960" t="s">
        <v>414</v>
      </c>
    </row>
    <row r="3961" spans="2:5" x14ac:dyDescent="0.2">
      <c r="B3961" t="s">
        <v>6058</v>
      </c>
      <c r="C3961">
        <v>540174</v>
      </c>
      <c r="D3961" t="s">
        <v>366</v>
      </c>
      <c r="E3961" t="s">
        <v>352</v>
      </c>
    </row>
    <row r="3962" spans="2:5" x14ac:dyDescent="0.2">
      <c r="B3962" t="s">
        <v>6059</v>
      </c>
      <c r="C3962">
        <v>514454</v>
      </c>
      <c r="D3962" t="s">
        <v>366</v>
      </c>
      <c r="E3962" t="s">
        <v>381</v>
      </c>
    </row>
    <row r="3963" spans="2:5" x14ac:dyDescent="0.2">
      <c r="B3963" t="s">
        <v>6060</v>
      </c>
      <c r="C3963">
        <v>513498</v>
      </c>
      <c r="D3963" t="s">
        <v>366</v>
      </c>
      <c r="E3963" t="s">
        <v>346</v>
      </c>
    </row>
    <row r="3964" spans="2:5" x14ac:dyDescent="0.2">
      <c r="B3964" t="s">
        <v>6061</v>
      </c>
      <c r="C3964">
        <v>532669</v>
      </c>
      <c r="D3964" t="s">
        <v>366</v>
      </c>
      <c r="E3964" t="s">
        <v>414</v>
      </c>
    </row>
    <row r="3965" spans="2:5" x14ac:dyDescent="0.2">
      <c r="B3965" t="s">
        <v>6062</v>
      </c>
      <c r="C3965">
        <v>590030</v>
      </c>
      <c r="D3965" t="s">
        <v>6063</v>
      </c>
      <c r="E3965" t="s">
        <v>874</v>
      </c>
    </row>
    <row r="3966" spans="2:5" x14ac:dyDescent="0.2">
      <c r="B3966" t="s">
        <v>6064</v>
      </c>
      <c r="C3966">
        <v>523826</v>
      </c>
      <c r="D3966" t="s">
        <v>366</v>
      </c>
      <c r="E3966" t="s">
        <v>480</v>
      </c>
    </row>
    <row r="3967" spans="2:5" x14ac:dyDescent="0.2">
      <c r="B3967" t="s">
        <v>6065</v>
      </c>
      <c r="C3967">
        <v>532025</v>
      </c>
      <c r="D3967" t="s">
        <v>366</v>
      </c>
      <c r="E3967" t="s">
        <v>369</v>
      </c>
    </row>
    <row r="3968" spans="2:5" x14ac:dyDescent="0.2">
      <c r="B3968" t="s">
        <v>6066</v>
      </c>
      <c r="C3968">
        <v>530289</v>
      </c>
      <c r="D3968" t="s">
        <v>366</v>
      </c>
      <c r="E3968" t="s">
        <v>787</v>
      </c>
    </row>
    <row r="3969" spans="2:5" x14ac:dyDescent="0.2">
      <c r="B3969" t="s">
        <v>6067</v>
      </c>
      <c r="C3969">
        <v>542376</v>
      </c>
      <c r="D3969" t="s">
        <v>6068</v>
      </c>
      <c r="E3969" t="s">
        <v>349</v>
      </c>
    </row>
    <row r="3970" spans="2:5" x14ac:dyDescent="0.2">
      <c r="B3970" t="s">
        <v>6069</v>
      </c>
      <c r="C3970">
        <v>541890</v>
      </c>
      <c r="D3970" t="s">
        <v>366</v>
      </c>
      <c r="E3970" t="s">
        <v>352</v>
      </c>
    </row>
    <row r="3971" spans="2:5" x14ac:dyDescent="0.2">
      <c r="B3971" t="s">
        <v>6070</v>
      </c>
      <c r="C3971">
        <v>538920</v>
      </c>
      <c r="D3971" t="s">
        <v>366</v>
      </c>
      <c r="E3971" t="s">
        <v>388</v>
      </c>
    </row>
    <row r="3972" spans="2:5" x14ac:dyDescent="0.2">
      <c r="B3972" t="s">
        <v>6071</v>
      </c>
      <c r="C3972" t="s">
        <v>366</v>
      </c>
      <c r="D3972" t="s">
        <v>6072</v>
      </c>
      <c r="E3972" t="s">
        <v>457</v>
      </c>
    </row>
    <row r="3973" spans="2:5" x14ac:dyDescent="0.2">
      <c r="B3973" t="s">
        <v>6073</v>
      </c>
      <c r="C3973" t="s">
        <v>366</v>
      </c>
      <c r="D3973" t="s">
        <v>6072</v>
      </c>
      <c r="E3973" t="s">
        <v>457</v>
      </c>
    </row>
    <row r="3974" spans="2:5" x14ac:dyDescent="0.2">
      <c r="B3974" t="s">
        <v>6074</v>
      </c>
      <c r="C3974">
        <v>524727</v>
      </c>
      <c r="D3974" t="s">
        <v>366</v>
      </c>
      <c r="E3974" t="s">
        <v>404</v>
      </c>
    </row>
    <row r="3975" spans="2:5" x14ac:dyDescent="0.2">
      <c r="B3975" t="s">
        <v>6075</v>
      </c>
      <c r="C3975">
        <v>531370</v>
      </c>
      <c r="D3975" t="s">
        <v>366</v>
      </c>
      <c r="E3975" t="s">
        <v>352</v>
      </c>
    </row>
    <row r="3976" spans="2:5" x14ac:dyDescent="0.2">
      <c r="B3976" t="s">
        <v>6076</v>
      </c>
      <c r="C3976">
        <v>540211</v>
      </c>
      <c r="D3976" t="s">
        <v>366</v>
      </c>
      <c r="E3976" t="s">
        <v>383</v>
      </c>
    </row>
    <row r="3977" spans="2:5" x14ac:dyDescent="0.2">
      <c r="B3977" t="s">
        <v>6077</v>
      </c>
      <c r="C3977">
        <v>534425</v>
      </c>
      <c r="D3977" t="s">
        <v>6078</v>
      </c>
      <c r="E3977" t="s">
        <v>855</v>
      </c>
    </row>
    <row r="3978" spans="2:5" x14ac:dyDescent="0.2">
      <c r="B3978" t="s">
        <v>6079</v>
      </c>
      <c r="C3978">
        <v>513687</v>
      </c>
      <c r="D3978" t="s">
        <v>366</v>
      </c>
      <c r="E3978" t="s">
        <v>721</v>
      </c>
    </row>
    <row r="3979" spans="2:5" x14ac:dyDescent="0.2">
      <c r="B3979" t="s">
        <v>6080</v>
      </c>
      <c r="C3979" t="s">
        <v>366</v>
      </c>
      <c r="D3979" t="s">
        <v>6081</v>
      </c>
      <c r="E3979" t="s">
        <v>377</v>
      </c>
    </row>
    <row r="3980" spans="2:5" x14ac:dyDescent="0.2">
      <c r="B3980" t="s">
        <v>6082</v>
      </c>
      <c r="C3980">
        <v>531982</v>
      </c>
      <c r="D3980" t="s">
        <v>366</v>
      </c>
      <c r="E3980" t="s">
        <v>446</v>
      </c>
    </row>
    <row r="3981" spans="2:5" x14ac:dyDescent="0.2">
      <c r="B3981" t="s">
        <v>6083</v>
      </c>
      <c r="C3981">
        <v>512153</v>
      </c>
      <c r="D3981" t="s">
        <v>366</v>
      </c>
      <c r="E3981" t="s">
        <v>787</v>
      </c>
    </row>
    <row r="3982" spans="2:5" x14ac:dyDescent="0.2">
      <c r="B3982" t="s">
        <v>6084</v>
      </c>
      <c r="C3982">
        <v>512291</v>
      </c>
      <c r="D3982" t="s">
        <v>366</v>
      </c>
      <c r="E3982" t="s">
        <v>349</v>
      </c>
    </row>
    <row r="3983" spans="2:5" x14ac:dyDescent="0.2">
      <c r="B3983" t="s">
        <v>6085</v>
      </c>
      <c r="C3983">
        <v>517166</v>
      </c>
      <c r="D3983" t="s">
        <v>366</v>
      </c>
      <c r="E3983" t="s">
        <v>908</v>
      </c>
    </row>
    <row r="3984" spans="2:5" x14ac:dyDescent="0.2">
      <c r="B3984" t="s">
        <v>6086</v>
      </c>
      <c r="C3984">
        <v>542337</v>
      </c>
      <c r="D3984" t="s">
        <v>6087</v>
      </c>
      <c r="E3984" t="s">
        <v>535</v>
      </c>
    </row>
    <row r="3985" spans="2:5" x14ac:dyDescent="0.2">
      <c r="B3985" t="s">
        <v>6088</v>
      </c>
      <c r="C3985" t="s">
        <v>366</v>
      </c>
      <c r="D3985" t="s">
        <v>6089</v>
      </c>
      <c r="E3985" t="s">
        <v>535</v>
      </c>
    </row>
    <row r="3986" spans="2:5" x14ac:dyDescent="0.2">
      <c r="B3986" t="s">
        <v>6090</v>
      </c>
      <c r="C3986">
        <v>526161</v>
      </c>
      <c r="D3986" t="s">
        <v>366</v>
      </c>
      <c r="E3986" t="s">
        <v>480</v>
      </c>
    </row>
    <row r="3987" spans="2:5" x14ac:dyDescent="0.2">
      <c r="B3987" t="s">
        <v>6091</v>
      </c>
      <c r="C3987">
        <v>521082</v>
      </c>
      <c r="D3987" t="s">
        <v>6092</v>
      </c>
      <c r="E3987" t="s">
        <v>381</v>
      </c>
    </row>
    <row r="3988" spans="2:5" x14ac:dyDescent="0.2">
      <c r="B3988" t="s">
        <v>6093</v>
      </c>
      <c r="C3988">
        <v>526827</v>
      </c>
      <c r="D3988" t="s">
        <v>366</v>
      </c>
      <c r="E3988" t="s">
        <v>480</v>
      </c>
    </row>
    <row r="3989" spans="2:5" x14ac:dyDescent="0.2">
      <c r="B3989" t="s">
        <v>6094</v>
      </c>
      <c r="C3989">
        <v>517214</v>
      </c>
      <c r="D3989" t="s">
        <v>6095</v>
      </c>
      <c r="E3989" t="s">
        <v>512</v>
      </c>
    </row>
    <row r="3990" spans="2:5" x14ac:dyDescent="0.2">
      <c r="B3990" t="s">
        <v>6096</v>
      </c>
      <c r="C3990">
        <v>500285</v>
      </c>
      <c r="D3990" t="s">
        <v>366</v>
      </c>
      <c r="E3990" t="s">
        <v>2500</v>
      </c>
    </row>
    <row r="3991" spans="2:5" x14ac:dyDescent="0.2">
      <c r="B3991" t="s">
        <v>6097</v>
      </c>
      <c r="C3991">
        <v>540084</v>
      </c>
      <c r="D3991" t="s">
        <v>366</v>
      </c>
      <c r="E3991" t="s">
        <v>369</v>
      </c>
    </row>
    <row r="3992" spans="2:5" x14ac:dyDescent="0.2">
      <c r="B3992" t="s">
        <v>6098</v>
      </c>
      <c r="C3992">
        <v>532651</v>
      </c>
      <c r="D3992" t="s">
        <v>6099</v>
      </c>
      <c r="E3992" t="s">
        <v>480</v>
      </c>
    </row>
    <row r="3993" spans="2:5" x14ac:dyDescent="0.2">
      <c r="B3993" t="s">
        <v>6100</v>
      </c>
      <c r="C3993">
        <v>513414</v>
      </c>
      <c r="D3993" t="s">
        <v>6101</v>
      </c>
      <c r="E3993" t="s">
        <v>398</v>
      </c>
    </row>
    <row r="3994" spans="2:5" x14ac:dyDescent="0.2">
      <c r="B3994" t="s">
        <v>6102</v>
      </c>
      <c r="C3994">
        <v>500402</v>
      </c>
      <c r="D3994" t="s">
        <v>6103</v>
      </c>
      <c r="E3994" t="s">
        <v>764</v>
      </c>
    </row>
    <row r="3995" spans="2:5" x14ac:dyDescent="0.2">
      <c r="B3995" t="s">
        <v>6104</v>
      </c>
      <c r="C3995">
        <v>539221</v>
      </c>
      <c r="D3995" t="s">
        <v>366</v>
      </c>
      <c r="E3995" t="s">
        <v>381</v>
      </c>
    </row>
    <row r="3996" spans="2:5" x14ac:dyDescent="0.2">
      <c r="B3996" t="s">
        <v>6105</v>
      </c>
      <c r="C3996">
        <v>539221</v>
      </c>
      <c r="D3996" t="s">
        <v>366</v>
      </c>
      <c r="E3996" t="s">
        <v>381</v>
      </c>
    </row>
    <row r="3997" spans="2:5" x14ac:dyDescent="0.2">
      <c r="B3997" t="s">
        <v>6106</v>
      </c>
      <c r="C3997">
        <v>540079</v>
      </c>
      <c r="D3997" t="s">
        <v>366</v>
      </c>
      <c r="E3997" t="s">
        <v>1284</v>
      </c>
    </row>
    <row r="3998" spans="2:5" x14ac:dyDescent="0.2">
      <c r="B3998" t="s">
        <v>6107</v>
      </c>
      <c r="C3998">
        <v>540570</v>
      </c>
      <c r="D3998" t="s">
        <v>6108</v>
      </c>
      <c r="E3998" t="s">
        <v>5177</v>
      </c>
    </row>
    <row r="3999" spans="2:5" x14ac:dyDescent="0.2">
      <c r="B3999" t="s">
        <v>6109</v>
      </c>
      <c r="C3999">
        <v>538402</v>
      </c>
      <c r="D3999" t="s">
        <v>366</v>
      </c>
      <c r="E3999" t="s">
        <v>383</v>
      </c>
    </row>
    <row r="4000" spans="2:5" x14ac:dyDescent="0.2">
      <c r="B4000" t="s">
        <v>6110</v>
      </c>
      <c r="C4000">
        <v>530177</v>
      </c>
      <c r="D4000" t="s">
        <v>366</v>
      </c>
      <c r="E4000" t="s">
        <v>388</v>
      </c>
    </row>
    <row r="4001" spans="2:5" x14ac:dyDescent="0.2">
      <c r="B4001" t="s">
        <v>6111</v>
      </c>
      <c r="C4001">
        <v>533121</v>
      </c>
      <c r="D4001" t="s">
        <v>6112</v>
      </c>
      <c r="E4001" t="s">
        <v>352</v>
      </c>
    </row>
    <row r="4002" spans="2:5" x14ac:dyDescent="0.2">
      <c r="B4002" t="s">
        <v>6113</v>
      </c>
      <c r="C4002">
        <v>526532</v>
      </c>
      <c r="D4002" t="s">
        <v>366</v>
      </c>
      <c r="E4002" t="s">
        <v>414</v>
      </c>
    </row>
    <row r="4003" spans="2:5" x14ac:dyDescent="0.2">
      <c r="B4003" t="s">
        <v>6114</v>
      </c>
      <c r="C4003">
        <v>526532</v>
      </c>
      <c r="D4003" t="s">
        <v>366</v>
      </c>
      <c r="E4003" t="s">
        <v>414</v>
      </c>
    </row>
    <row r="4004" spans="2:5" x14ac:dyDescent="0.2">
      <c r="B4004" t="s">
        <v>6115</v>
      </c>
      <c r="C4004">
        <v>530037</v>
      </c>
      <c r="D4004" t="s">
        <v>366</v>
      </c>
      <c r="E4004" t="s">
        <v>381</v>
      </c>
    </row>
    <row r="4005" spans="2:5" x14ac:dyDescent="0.2">
      <c r="B4005" t="s">
        <v>6116</v>
      </c>
      <c r="C4005">
        <v>532842</v>
      </c>
      <c r="D4005" t="s">
        <v>6117</v>
      </c>
      <c r="E4005" t="s">
        <v>414</v>
      </c>
    </row>
    <row r="4006" spans="2:5" x14ac:dyDescent="0.2">
      <c r="B4006" t="s">
        <v>6118</v>
      </c>
      <c r="C4006">
        <v>514248</v>
      </c>
      <c r="D4006" t="s">
        <v>366</v>
      </c>
      <c r="E4006" t="s">
        <v>414</v>
      </c>
    </row>
    <row r="4007" spans="2:5" x14ac:dyDescent="0.2">
      <c r="B4007" t="s">
        <v>6119</v>
      </c>
      <c r="C4007">
        <v>535601</v>
      </c>
      <c r="D4007" t="s">
        <v>6120</v>
      </c>
      <c r="E4007" t="s">
        <v>792</v>
      </c>
    </row>
    <row r="4008" spans="2:5" x14ac:dyDescent="0.2">
      <c r="B4008" t="s">
        <v>6121</v>
      </c>
      <c r="C4008">
        <v>523756</v>
      </c>
      <c r="D4008" t="s">
        <v>6122</v>
      </c>
      <c r="E4008" t="s">
        <v>383</v>
      </c>
    </row>
    <row r="4009" spans="2:5" x14ac:dyDescent="0.2">
      <c r="B4009" t="s">
        <v>6123</v>
      </c>
      <c r="C4009">
        <v>539217</v>
      </c>
      <c r="D4009" t="s">
        <v>366</v>
      </c>
      <c r="E4009" t="s">
        <v>386</v>
      </c>
    </row>
    <row r="4010" spans="2:5" x14ac:dyDescent="0.2">
      <c r="B4010" t="s">
        <v>6124</v>
      </c>
      <c r="C4010">
        <v>503806</v>
      </c>
      <c r="D4010" t="s">
        <v>6125</v>
      </c>
      <c r="E4010" t="s">
        <v>381</v>
      </c>
    </row>
    <row r="4011" spans="2:5" x14ac:dyDescent="0.2">
      <c r="B4011" t="s">
        <v>6126</v>
      </c>
      <c r="C4011">
        <v>534680</v>
      </c>
      <c r="D4011" t="s">
        <v>366</v>
      </c>
      <c r="E4011" t="s">
        <v>424</v>
      </c>
    </row>
    <row r="4012" spans="2:5" x14ac:dyDescent="0.2">
      <c r="B4012" t="s">
        <v>6127</v>
      </c>
      <c r="C4012">
        <v>530943</v>
      </c>
      <c r="D4012" t="s">
        <v>6128</v>
      </c>
      <c r="E4012" t="s">
        <v>369</v>
      </c>
    </row>
    <row r="4013" spans="2:5" x14ac:dyDescent="0.2">
      <c r="B4013" t="s">
        <v>6129</v>
      </c>
      <c r="C4013">
        <v>538863</v>
      </c>
      <c r="D4013" t="s">
        <v>366</v>
      </c>
      <c r="E4013" t="s">
        <v>383</v>
      </c>
    </row>
    <row r="4014" spans="2:5" x14ac:dyDescent="0.2">
      <c r="B4014" t="s">
        <v>6130</v>
      </c>
      <c r="C4014">
        <v>531322</v>
      </c>
      <c r="D4014" t="s">
        <v>6131</v>
      </c>
      <c r="E4014" t="s">
        <v>576</v>
      </c>
    </row>
    <row r="4015" spans="2:5" x14ac:dyDescent="0.2">
      <c r="B4015" t="s">
        <v>6132</v>
      </c>
      <c r="C4015">
        <v>514442</v>
      </c>
      <c r="D4015" t="s">
        <v>366</v>
      </c>
      <c r="E4015" t="s">
        <v>486</v>
      </c>
    </row>
    <row r="4016" spans="2:5" x14ac:dyDescent="0.2">
      <c r="B4016" t="s">
        <v>6133</v>
      </c>
      <c r="C4016">
        <v>539363</v>
      </c>
      <c r="D4016" t="s">
        <v>366</v>
      </c>
      <c r="E4016" t="s">
        <v>452</v>
      </c>
    </row>
    <row r="4017" spans="2:5" x14ac:dyDescent="0.2">
      <c r="B4017" t="s">
        <v>6134</v>
      </c>
      <c r="C4017">
        <v>539363</v>
      </c>
      <c r="D4017" t="s">
        <v>366</v>
      </c>
      <c r="E4017" t="s">
        <v>452</v>
      </c>
    </row>
    <row r="4018" spans="2:5" x14ac:dyDescent="0.2">
      <c r="B4018" t="s">
        <v>6135</v>
      </c>
      <c r="C4018" t="s">
        <v>366</v>
      </c>
      <c r="D4018" t="s">
        <v>6136</v>
      </c>
      <c r="E4018" t="s">
        <v>377</v>
      </c>
    </row>
    <row r="4019" spans="2:5" x14ac:dyDescent="0.2">
      <c r="B4019" t="s">
        <v>6137</v>
      </c>
      <c r="C4019">
        <v>521161</v>
      </c>
      <c r="D4019" t="s">
        <v>366</v>
      </c>
      <c r="E4019" t="s">
        <v>381</v>
      </c>
    </row>
    <row r="4020" spans="2:5" x14ac:dyDescent="0.2">
      <c r="B4020" t="s">
        <v>6138</v>
      </c>
      <c r="C4020">
        <v>521234</v>
      </c>
      <c r="D4020" t="s">
        <v>366</v>
      </c>
      <c r="E4020" t="s">
        <v>381</v>
      </c>
    </row>
    <row r="4021" spans="2:5" x14ac:dyDescent="0.2">
      <c r="B4021" t="s">
        <v>6139</v>
      </c>
      <c r="C4021">
        <v>521178</v>
      </c>
      <c r="D4021" t="s">
        <v>366</v>
      </c>
      <c r="E4021" t="s">
        <v>381</v>
      </c>
    </row>
    <row r="4022" spans="2:5" x14ac:dyDescent="0.2">
      <c r="B4022" t="s">
        <v>6140</v>
      </c>
      <c r="C4022">
        <v>515081</v>
      </c>
      <c r="D4022" t="s">
        <v>366</v>
      </c>
      <c r="E4022" t="s">
        <v>894</v>
      </c>
    </row>
    <row r="4023" spans="2:5" x14ac:dyDescent="0.2">
      <c r="B4023" t="s">
        <v>6141</v>
      </c>
      <c r="C4023">
        <v>513605</v>
      </c>
      <c r="D4023" t="s">
        <v>6142</v>
      </c>
      <c r="E4023" t="s">
        <v>689</v>
      </c>
    </row>
    <row r="4024" spans="2:5" x14ac:dyDescent="0.2">
      <c r="B4024" t="s">
        <v>6143</v>
      </c>
      <c r="C4024">
        <v>523222</v>
      </c>
      <c r="D4024" t="s">
        <v>366</v>
      </c>
      <c r="E4024" t="s">
        <v>505</v>
      </c>
    </row>
    <row r="4025" spans="2:5" x14ac:dyDescent="0.2">
      <c r="B4025" t="s">
        <v>6144</v>
      </c>
      <c r="C4025">
        <v>536799</v>
      </c>
      <c r="D4025" t="s">
        <v>366</v>
      </c>
      <c r="E4025" t="s">
        <v>383</v>
      </c>
    </row>
    <row r="4026" spans="2:5" x14ac:dyDescent="0.2">
      <c r="B4026" t="s">
        <v>6145</v>
      </c>
      <c r="C4026">
        <v>533569</v>
      </c>
      <c r="D4026" t="s">
        <v>6146</v>
      </c>
      <c r="E4026" t="s">
        <v>480</v>
      </c>
    </row>
    <row r="4027" spans="2:5" x14ac:dyDescent="0.2">
      <c r="B4027" t="s">
        <v>6147</v>
      </c>
      <c r="C4027">
        <v>540914</v>
      </c>
      <c r="D4027" t="s">
        <v>366</v>
      </c>
      <c r="E4027" t="s">
        <v>388</v>
      </c>
    </row>
    <row r="4028" spans="2:5" x14ac:dyDescent="0.2">
      <c r="B4028" t="s">
        <v>6148</v>
      </c>
      <c r="C4028">
        <v>524636</v>
      </c>
      <c r="D4028" t="s">
        <v>366</v>
      </c>
      <c r="E4028" t="s">
        <v>404</v>
      </c>
    </row>
    <row r="4029" spans="2:5" x14ac:dyDescent="0.2">
      <c r="B4029" t="s">
        <v>6149</v>
      </c>
      <c r="C4029">
        <v>530821</v>
      </c>
      <c r="D4029" t="s">
        <v>366</v>
      </c>
      <c r="E4029" t="s">
        <v>452</v>
      </c>
    </row>
    <row r="4030" spans="2:5" x14ac:dyDescent="0.2">
      <c r="B4030" t="s">
        <v>6150</v>
      </c>
      <c r="C4030">
        <v>539026</v>
      </c>
      <c r="D4030" t="s">
        <v>366</v>
      </c>
      <c r="E4030" t="s">
        <v>349</v>
      </c>
    </row>
    <row r="4031" spans="2:5" x14ac:dyDescent="0.2">
      <c r="B4031" t="s">
        <v>6151</v>
      </c>
      <c r="C4031">
        <v>531723</v>
      </c>
      <c r="D4031" t="s">
        <v>6152</v>
      </c>
      <c r="E4031" t="s">
        <v>349</v>
      </c>
    </row>
    <row r="4032" spans="2:5" x14ac:dyDescent="0.2">
      <c r="B4032" t="s">
        <v>6151</v>
      </c>
      <c r="C4032">
        <v>570005</v>
      </c>
      <c r="D4032" t="s">
        <v>6153</v>
      </c>
      <c r="E4032" t="s">
        <v>349</v>
      </c>
    </row>
    <row r="4033" spans="2:5" x14ac:dyDescent="0.2">
      <c r="B4033" t="s">
        <v>6154</v>
      </c>
      <c r="C4033">
        <v>504180</v>
      </c>
      <c r="D4033" t="s">
        <v>366</v>
      </c>
      <c r="E4033" t="s">
        <v>383</v>
      </c>
    </row>
    <row r="4034" spans="2:5" x14ac:dyDescent="0.2">
      <c r="B4034" t="s">
        <v>6155</v>
      </c>
      <c r="C4034">
        <v>511700</v>
      </c>
      <c r="D4034" t="s">
        <v>366</v>
      </c>
      <c r="E4034" t="s">
        <v>383</v>
      </c>
    </row>
    <row r="4035" spans="2:5" x14ac:dyDescent="0.2">
      <c r="B4035" t="s">
        <v>6156</v>
      </c>
      <c r="C4035">
        <v>580001</v>
      </c>
      <c r="D4035" t="s">
        <v>366</v>
      </c>
      <c r="E4035" t="s">
        <v>684</v>
      </c>
    </row>
    <row r="4036" spans="2:5" x14ac:dyDescent="0.2">
      <c r="B4036" t="s">
        <v>6157</v>
      </c>
      <c r="C4036">
        <v>530017</v>
      </c>
      <c r="D4036" t="s">
        <v>6158</v>
      </c>
      <c r="E4036" t="s">
        <v>414</v>
      </c>
    </row>
    <row r="4037" spans="2:5" x14ac:dyDescent="0.2">
      <c r="B4037" t="s">
        <v>6159</v>
      </c>
      <c r="C4037">
        <v>523351</v>
      </c>
      <c r="D4037" t="s">
        <v>366</v>
      </c>
      <c r="E4037" t="s">
        <v>526</v>
      </c>
    </row>
    <row r="4038" spans="2:5" x14ac:dyDescent="0.2">
      <c r="B4038" t="s">
        <v>6160</v>
      </c>
      <c r="C4038">
        <v>523351</v>
      </c>
      <c r="D4038" t="s">
        <v>366</v>
      </c>
      <c r="E4038" t="s">
        <v>526</v>
      </c>
    </row>
    <row r="4039" spans="2:5" x14ac:dyDescent="0.2">
      <c r="B4039" t="s">
        <v>6161</v>
      </c>
      <c r="C4039">
        <v>526231</v>
      </c>
      <c r="D4039" t="s">
        <v>366</v>
      </c>
      <c r="E4039" t="s">
        <v>414</v>
      </c>
    </row>
    <row r="4040" spans="2:5" x14ac:dyDescent="0.2">
      <c r="B4040" t="s">
        <v>6162</v>
      </c>
      <c r="C4040">
        <v>530931</v>
      </c>
      <c r="D4040" t="s">
        <v>366</v>
      </c>
      <c r="E4040" t="s">
        <v>561</v>
      </c>
    </row>
    <row r="4041" spans="2:5" x14ac:dyDescent="0.2">
      <c r="B4041" t="s">
        <v>6163</v>
      </c>
      <c r="C4041">
        <v>530931</v>
      </c>
      <c r="D4041" t="s">
        <v>366</v>
      </c>
      <c r="E4041" t="s">
        <v>561</v>
      </c>
    </row>
    <row r="4042" spans="2:5" x14ac:dyDescent="0.2">
      <c r="B4042" t="s">
        <v>6164</v>
      </c>
      <c r="C4042">
        <v>506105</v>
      </c>
      <c r="D4042" t="s">
        <v>366</v>
      </c>
      <c r="E4042" t="s">
        <v>386</v>
      </c>
    </row>
    <row r="4043" spans="2:5" x14ac:dyDescent="0.2">
      <c r="B4043" t="s">
        <v>6165</v>
      </c>
      <c r="C4043">
        <v>540575</v>
      </c>
      <c r="D4043" t="s">
        <v>6166</v>
      </c>
      <c r="E4043" t="s">
        <v>379</v>
      </c>
    </row>
    <row r="4044" spans="2:5" x14ac:dyDescent="0.2">
      <c r="B4044" t="s">
        <v>6167</v>
      </c>
      <c r="C4044">
        <v>539255</v>
      </c>
      <c r="D4044" t="s">
        <v>366</v>
      </c>
      <c r="E4044" t="s">
        <v>409</v>
      </c>
    </row>
    <row r="4045" spans="2:5" x14ac:dyDescent="0.2">
      <c r="B4045" t="s">
        <v>6168</v>
      </c>
      <c r="C4045">
        <v>516022</v>
      </c>
      <c r="D4045" t="s">
        <v>6169</v>
      </c>
      <c r="E4045" t="s">
        <v>360</v>
      </c>
    </row>
    <row r="4046" spans="2:5" x14ac:dyDescent="0.2">
      <c r="B4046" t="s">
        <v>6170</v>
      </c>
      <c r="C4046">
        <v>531616</v>
      </c>
      <c r="D4046" t="s">
        <v>366</v>
      </c>
      <c r="E4046" t="s">
        <v>352</v>
      </c>
    </row>
    <row r="4047" spans="2:5" x14ac:dyDescent="0.2">
      <c r="B4047" t="s">
        <v>6171</v>
      </c>
      <c r="C4047">
        <v>538733</v>
      </c>
      <c r="D4047" t="s">
        <v>366</v>
      </c>
      <c r="E4047" t="s">
        <v>2609</v>
      </c>
    </row>
    <row r="4048" spans="2:5" x14ac:dyDescent="0.2">
      <c r="B4048" t="s">
        <v>6172</v>
      </c>
      <c r="C4048">
        <v>517548</v>
      </c>
      <c r="D4048" t="s">
        <v>366</v>
      </c>
      <c r="E4048" t="s">
        <v>388</v>
      </c>
    </row>
    <row r="4049" spans="2:5" x14ac:dyDescent="0.2">
      <c r="B4049" t="s">
        <v>6173</v>
      </c>
      <c r="C4049">
        <v>520155</v>
      </c>
      <c r="D4049" t="s">
        <v>366</v>
      </c>
      <c r="E4049" t="s">
        <v>502</v>
      </c>
    </row>
    <row r="4050" spans="2:5" x14ac:dyDescent="0.2">
      <c r="B4050" t="s">
        <v>6174</v>
      </c>
      <c r="C4050">
        <v>500112</v>
      </c>
      <c r="D4050" t="s">
        <v>6175</v>
      </c>
      <c r="E4050" t="s">
        <v>684</v>
      </c>
    </row>
    <row r="4051" spans="2:5" x14ac:dyDescent="0.2">
      <c r="B4051" t="s">
        <v>6176</v>
      </c>
      <c r="C4051">
        <v>500113</v>
      </c>
      <c r="D4051" t="s">
        <v>6177</v>
      </c>
      <c r="E4051" t="s">
        <v>398</v>
      </c>
    </row>
    <row r="4052" spans="2:5" x14ac:dyDescent="0.2">
      <c r="B4052" t="s">
        <v>6178</v>
      </c>
      <c r="C4052">
        <v>500113</v>
      </c>
      <c r="D4052" t="s">
        <v>6177</v>
      </c>
      <c r="E4052" t="s">
        <v>398</v>
      </c>
    </row>
    <row r="4053" spans="2:5" x14ac:dyDescent="0.2">
      <c r="B4053" t="s">
        <v>6179</v>
      </c>
      <c r="C4053" t="s">
        <v>366</v>
      </c>
      <c r="D4053" t="s">
        <v>6180</v>
      </c>
      <c r="E4053" t="s">
        <v>377</v>
      </c>
    </row>
    <row r="4054" spans="2:5" x14ac:dyDescent="0.2">
      <c r="B4054" t="s">
        <v>6181</v>
      </c>
      <c r="C4054">
        <v>534748</v>
      </c>
      <c r="D4054" t="s">
        <v>6182</v>
      </c>
      <c r="E4054" t="s">
        <v>398</v>
      </c>
    </row>
    <row r="4055" spans="2:5" x14ac:dyDescent="0.2">
      <c r="B4055" t="s">
        <v>6183</v>
      </c>
      <c r="C4055">
        <v>534748</v>
      </c>
      <c r="D4055" t="s">
        <v>6182</v>
      </c>
      <c r="E4055" t="s">
        <v>398</v>
      </c>
    </row>
    <row r="4056" spans="2:5" x14ac:dyDescent="0.2">
      <c r="B4056" t="s">
        <v>6184</v>
      </c>
      <c r="C4056">
        <v>513173</v>
      </c>
      <c r="D4056" t="s">
        <v>366</v>
      </c>
      <c r="E4056" t="s">
        <v>452</v>
      </c>
    </row>
    <row r="4057" spans="2:5" x14ac:dyDescent="0.2">
      <c r="B4057" t="s">
        <v>6185</v>
      </c>
      <c r="C4057">
        <v>504717</v>
      </c>
      <c r="D4057" t="s">
        <v>6186</v>
      </c>
      <c r="E4057" t="s">
        <v>4234</v>
      </c>
    </row>
    <row r="4058" spans="2:5" x14ac:dyDescent="0.2">
      <c r="B4058" t="s">
        <v>6187</v>
      </c>
      <c r="C4058">
        <v>513262</v>
      </c>
      <c r="D4058" t="s">
        <v>6188</v>
      </c>
      <c r="E4058" t="s">
        <v>721</v>
      </c>
    </row>
    <row r="4059" spans="2:5" x14ac:dyDescent="0.2">
      <c r="B4059" t="s">
        <v>6189</v>
      </c>
      <c r="C4059">
        <v>513517</v>
      </c>
      <c r="D4059" t="s">
        <v>366</v>
      </c>
      <c r="E4059" t="s">
        <v>1284</v>
      </c>
    </row>
    <row r="4060" spans="2:5" x14ac:dyDescent="0.2">
      <c r="B4060" t="s">
        <v>6190</v>
      </c>
      <c r="C4060">
        <v>500399</v>
      </c>
      <c r="D4060" t="s">
        <v>366</v>
      </c>
      <c r="E4060" t="s">
        <v>398</v>
      </c>
    </row>
    <row r="4061" spans="2:5" x14ac:dyDescent="0.2">
      <c r="B4061" t="s">
        <v>6191</v>
      </c>
      <c r="C4061">
        <v>533316</v>
      </c>
      <c r="D4061" t="s">
        <v>6192</v>
      </c>
      <c r="E4061" t="s">
        <v>532</v>
      </c>
    </row>
    <row r="4062" spans="2:5" x14ac:dyDescent="0.2">
      <c r="B4062" t="s">
        <v>6193</v>
      </c>
      <c r="C4062">
        <v>526071</v>
      </c>
      <c r="D4062" t="s">
        <v>366</v>
      </c>
      <c r="E4062" t="s">
        <v>349</v>
      </c>
    </row>
    <row r="4063" spans="2:5" x14ac:dyDescent="0.2">
      <c r="B4063" t="s">
        <v>6194</v>
      </c>
      <c r="C4063">
        <v>526071</v>
      </c>
      <c r="D4063" t="s">
        <v>366</v>
      </c>
      <c r="E4063" t="s">
        <v>349</v>
      </c>
    </row>
    <row r="4064" spans="2:5" x14ac:dyDescent="0.2">
      <c r="B4064" t="s">
        <v>6195</v>
      </c>
      <c r="C4064">
        <v>536738</v>
      </c>
      <c r="D4064" t="s">
        <v>366</v>
      </c>
      <c r="E4064" t="s">
        <v>349</v>
      </c>
    </row>
    <row r="4065" spans="2:5" x14ac:dyDescent="0.2">
      <c r="B4065" t="s">
        <v>6196</v>
      </c>
      <c r="C4065">
        <v>531509</v>
      </c>
      <c r="D4065" t="s">
        <v>366</v>
      </c>
      <c r="E4065" t="s">
        <v>349</v>
      </c>
    </row>
    <row r="4066" spans="2:5" x14ac:dyDescent="0.2">
      <c r="B4066" t="s">
        <v>6197</v>
      </c>
      <c r="C4066">
        <v>526500</v>
      </c>
      <c r="D4066" t="s">
        <v>366</v>
      </c>
      <c r="E4066" t="s">
        <v>567</v>
      </c>
    </row>
    <row r="4067" spans="2:5" x14ac:dyDescent="0.2">
      <c r="B4067" t="s">
        <v>6198</v>
      </c>
      <c r="C4067">
        <v>508963</v>
      </c>
      <c r="D4067" t="s">
        <v>6199</v>
      </c>
      <c r="E4067" t="s">
        <v>383</v>
      </c>
    </row>
    <row r="4068" spans="2:5" x14ac:dyDescent="0.2">
      <c r="B4068" t="s">
        <v>6200</v>
      </c>
      <c r="C4068">
        <v>531628</v>
      </c>
      <c r="D4068" t="s">
        <v>366</v>
      </c>
      <c r="E4068" t="s">
        <v>381</v>
      </c>
    </row>
    <row r="4069" spans="2:5" x14ac:dyDescent="0.2">
      <c r="B4069" t="s">
        <v>6201</v>
      </c>
      <c r="C4069">
        <v>530759</v>
      </c>
      <c r="D4069" t="s">
        <v>6202</v>
      </c>
      <c r="E4069" t="s">
        <v>721</v>
      </c>
    </row>
    <row r="4070" spans="2:5" x14ac:dyDescent="0.2">
      <c r="B4070" t="s">
        <v>6203</v>
      </c>
      <c r="C4070">
        <v>532374</v>
      </c>
      <c r="D4070" t="s">
        <v>6204</v>
      </c>
      <c r="E4070" t="s">
        <v>1311</v>
      </c>
    </row>
    <row r="4071" spans="2:5" x14ac:dyDescent="0.2">
      <c r="B4071" t="s">
        <v>6205</v>
      </c>
      <c r="C4071">
        <v>513151</v>
      </c>
      <c r="D4071" t="s">
        <v>6206</v>
      </c>
      <c r="E4071" t="s">
        <v>381</v>
      </c>
    </row>
    <row r="4072" spans="2:5" x14ac:dyDescent="0.2">
      <c r="B4072" t="s">
        <v>6207</v>
      </c>
      <c r="C4072">
        <v>513151</v>
      </c>
      <c r="D4072" t="s">
        <v>6208</v>
      </c>
      <c r="E4072" t="s">
        <v>381</v>
      </c>
    </row>
    <row r="4073" spans="2:5" x14ac:dyDescent="0.2">
      <c r="B4073" t="s">
        <v>6209</v>
      </c>
      <c r="C4073">
        <v>532730</v>
      </c>
      <c r="D4073" t="s">
        <v>6210</v>
      </c>
      <c r="E4073" t="s">
        <v>381</v>
      </c>
    </row>
    <row r="4074" spans="2:5" x14ac:dyDescent="0.2">
      <c r="B4074" t="s">
        <v>6211</v>
      </c>
      <c r="C4074">
        <v>504959</v>
      </c>
      <c r="D4074" t="s">
        <v>366</v>
      </c>
      <c r="E4074" t="s">
        <v>374</v>
      </c>
    </row>
    <row r="4075" spans="2:5" x14ac:dyDescent="0.2">
      <c r="B4075" t="s">
        <v>6212</v>
      </c>
      <c r="C4075">
        <v>530495</v>
      </c>
      <c r="D4075" t="s">
        <v>366</v>
      </c>
      <c r="E4075" t="s">
        <v>388</v>
      </c>
    </row>
    <row r="4076" spans="2:5" x14ac:dyDescent="0.2">
      <c r="B4076" t="s">
        <v>6213</v>
      </c>
      <c r="C4076">
        <v>532531</v>
      </c>
      <c r="D4076" t="s">
        <v>6214</v>
      </c>
      <c r="E4076" t="s">
        <v>404</v>
      </c>
    </row>
    <row r="4077" spans="2:5" x14ac:dyDescent="0.2">
      <c r="B4077" t="s">
        <v>6215</v>
      </c>
      <c r="C4077">
        <v>530611</v>
      </c>
      <c r="D4077" t="s">
        <v>366</v>
      </c>
      <c r="E4077" t="s">
        <v>486</v>
      </c>
    </row>
    <row r="4078" spans="2:5" x14ac:dyDescent="0.2">
      <c r="B4078" t="s">
        <v>6216</v>
      </c>
      <c r="C4078">
        <v>526951</v>
      </c>
      <c r="D4078" t="s">
        <v>366</v>
      </c>
      <c r="E4078" t="s">
        <v>861</v>
      </c>
    </row>
    <row r="4079" spans="2:5" x14ac:dyDescent="0.2">
      <c r="B4079" t="s">
        <v>6217</v>
      </c>
      <c r="C4079" t="s">
        <v>366</v>
      </c>
      <c r="D4079" t="s">
        <v>6218</v>
      </c>
      <c r="E4079" t="s">
        <v>861</v>
      </c>
    </row>
    <row r="4080" spans="2:5" x14ac:dyDescent="0.2">
      <c r="B4080" t="s">
        <v>6219</v>
      </c>
      <c r="C4080">
        <v>532348</v>
      </c>
      <c r="D4080" t="s">
        <v>366</v>
      </c>
      <c r="E4080" t="s">
        <v>459</v>
      </c>
    </row>
    <row r="4081" spans="2:5" x14ac:dyDescent="0.2">
      <c r="B4081" t="s">
        <v>6220</v>
      </c>
      <c r="C4081">
        <v>530231</v>
      </c>
      <c r="D4081" t="s">
        <v>366</v>
      </c>
      <c r="E4081" t="s">
        <v>381</v>
      </c>
    </row>
    <row r="4082" spans="2:5" x14ac:dyDescent="0.2">
      <c r="B4082" t="s">
        <v>6221</v>
      </c>
      <c r="C4082">
        <v>517168</v>
      </c>
      <c r="D4082" t="s">
        <v>6222</v>
      </c>
      <c r="E4082" t="s">
        <v>721</v>
      </c>
    </row>
    <row r="4083" spans="2:5" x14ac:dyDescent="0.2">
      <c r="B4083" t="s">
        <v>6223</v>
      </c>
      <c r="C4083">
        <v>511024</v>
      </c>
      <c r="D4083" t="s">
        <v>366</v>
      </c>
      <c r="E4083" t="s">
        <v>787</v>
      </c>
    </row>
    <row r="4084" spans="2:5" x14ac:dyDescent="0.2">
      <c r="B4084" t="s">
        <v>6224</v>
      </c>
      <c r="C4084">
        <v>538714</v>
      </c>
      <c r="D4084" t="s">
        <v>366</v>
      </c>
      <c r="E4084" t="s">
        <v>383</v>
      </c>
    </row>
    <row r="4085" spans="2:5" x14ac:dyDescent="0.2">
      <c r="B4085" t="s">
        <v>6225</v>
      </c>
      <c r="C4085">
        <v>506003</v>
      </c>
      <c r="D4085" t="s">
        <v>366</v>
      </c>
      <c r="E4085" t="s">
        <v>671</v>
      </c>
    </row>
    <row r="4086" spans="2:5" x14ac:dyDescent="0.2">
      <c r="B4086" t="s">
        <v>6226</v>
      </c>
      <c r="C4086">
        <v>506655</v>
      </c>
      <c r="D4086" t="s">
        <v>6227</v>
      </c>
      <c r="E4086" t="s">
        <v>526</v>
      </c>
    </row>
    <row r="4087" spans="2:5" x14ac:dyDescent="0.2">
      <c r="B4087" t="s">
        <v>6228</v>
      </c>
      <c r="C4087">
        <v>521113</v>
      </c>
      <c r="D4087" t="s">
        <v>366</v>
      </c>
      <c r="E4087" t="s">
        <v>381</v>
      </c>
    </row>
    <row r="4088" spans="2:5" x14ac:dyDescent="0.2">
      <c r="B4088" t="s">
        <v>6229</v>
      </c>
      <c r="C4088">
        <v>540318</v>
      </c>
      <c r="D4088" t="s">
        <v>366</v>
      </c>
      <c r="E4088" t="s">
        <v>381</v>
      </c>
    </row>
    <row r="4089" spans="2:5" x14ac:dyDescent="0.2">
      <c r="B4089" t="s">
        <v>6230</v>
      </c>
      <c r="C4089">
        <v>511654</v>
      </c>
      <c r="D4089" t="s">
        <v>366</v>
      </c>
      <c r="E4089" t="s">
        <v>383</v>
      </c>
    </row>
    <row r="4090" spans="2:5" x14ac:dyDescent="0.2">
      <c r="B4090" t="s">
        <v>6231</v>
      </c>
      <c r="C4090">
        <v>542683</v>
      </c>
      <c r="D4090" t="s">
        <v>6232</v>
      </c>
      <c r="E4090" t="s">
        <v>512</v>
      </c>
    </row>
    <row r="4091" spans="2:5" x14ac:dyDescent="0.2">
      <c r="B4091" t="s">
        <v>6233</v>
      </c>
      <c r="C4091">
        <v>539117</v>
      </c>
      <c r="D4091" t="s">
        <v>366</v>
      </c>
      <c r="E4091" t="s">
        <v>383</v>
      </c>
    </row>
    <row r="4092" spans="2:5" x14ac:dyDescent="0.2">
      <c r="B4092" t="s">
        <v>6234</v>
      </c>
      <c r="C4092">
        <v>517224</v>
      </c>
      <c r="D4092" t="s">
        <v>6235</v>
      </c>
      <c r="E4092" t="s">
        <v>1284</v>
      </c>
    </row>
    <row r="4093" spans="2:5" x14ac:dyDescent="0.2">
      <c r="B4093" t="s">
        <v>6236</v>
      </c>
      <c r="C4093">
        <v>524542</v>
      </c>
      <c r="D4093" t="s">
        <v>366</v>
      </c>
      <c r="E4093" t="s">
        <v>564</v>
      </c>
    </row>
    <row r="4094" spans="2:5" x14ac:dyDescent="0.2">
      <c r="B4094" t="s">
        <v>6237</v>
      </c>
      <c r="C4094">
        <v>508969</v>
      </c>
      <c r="D4094" t="s">
        <v>366</v>
      </c>
      <c r="E4094" t="s">
        <v>383</v>
      </c>
    </row>
    <row r="4095" spans="2:5" x14ac:dyDescent="0.2">
      <c r="B4095" t="s">
        <v>6238</v>
      </c>
      <c r="C4095">
        <v>530419</v>
      </c>
      <c r="D4095" t="s">
        <v>366</v>
      </c>
      <c r="E4095" t="s">
        <v>349</v>
      </c>
    </row>
    <row r="4096" spans="2:5" x14ac:dyDescent="0.2">
      <c r="B4096" t="s">
        <v>6239</v>
      </c>
      <c r="C4096">
        <v>514211</v>
      </c>
      <c r="D4096" t="s">
        <v>6240</v>
      </c>
      <c r="E4096" t="s">
        <v>381</v>
      </c>
    </row>
    <row r="4097" spans="2:5" x14ac:dyDescent="0.2">
      <c r="B4097" t="s">
        <v>6241</v>
      </c>
      <c r="C4097">
        <v>530445</v>
      </c>
      <c r="D4097" t="s">
        <v>366</v>
      </c>
      <c r="E4097" t="s">
        <v>388</v>
      </c>
    </row>
    <row r="4098" spans="2:5" x14ac:dyDescent="0.2">
      <c r="B4098" t="s">
        <v>6242</v>
      </c>
      <c r="C4098" t="s">
        <v>366</v>
      </c>
      <c r="D4098" t="s">
        <v>6243</v>
      </c>
      <c r="E4098" t="s">
        <v>377</v>
      </c>
    </row>
    <row r="4099" spans="2:5" x14ac:dyDescent="0.2">
      <c r="B4099" t="s">
        <v>6244</v>
      </c>
      <c r="C4099">
        <v>533306</v>
      </c>
      <c r="D4099" t="s">
        <v>6245</v>
      </c>
      <c r="E4099" t="s">
        <v>386</v>
      </c>
    </row>
    <row r="4100" spans="2:5" x14ac:dyDescent="0.2">
      <c r="B4100" t="s">
        <v>6246</v>
      </c>
      <c r="C4100">
        <v>532154</v>
      </c>
      <c r="D4100" t="s">
        <v>366</v>
      </c>
      <c r="E4100" t="s">
        <v>787</v>
      </c>
    </row>
    <row r="4101" spans="2:5" x14ac:dyDescent="0.2">
      <c r="B4101" t="s">
        <v>6247</v>
      </c>
      <c r="C4101">
        <v>532872</v>
      </c>
      <c r="D4101" t="s">
        <v>6248</v>
      </c>
      <c r="E4101" t="s">
        <v>404</v>
      </c>
    </row>
    <row r="4102" spans="2:5" x14ac:dyDescent="0.2">
      <c r="B4102" t="s">
        <v>6249</v>
      </c>
      <c r="C4102">
        <v>524715</v>
      </c>
      <c r="D4102" t="s">
        <v>6250</v>
      </c>
      <c r="E4102" t="s">
        <v>404</v>
      </c>
    </row>
    <row r="4103" spans="2:5" x14ac:dyDescent="0.2">
      <c r="B4103" t="s">
        <v>6251</v>
      </c>
      <c r="C4103">
        <v>542025</v>
      </c>
      <c r="D4103" t="s">
        <v>366</v>
      </c>
      <c r="E4103" t="s">
        <v>388</v>
      </c>
    </row>
    <row r="4104" spans="2:5" x14ac:dyDescent="0.2">
      <c r="B4104" t="s">
        <v>6252</v>
      </c>
      <c r="C4104">
        <v>517403</v>
      </c>
      <c r="D4104" t="s">
        <v>366</v>
      </c>
      <c r="E4104" t="s">
        <v>505</v>
      </c>
    </row>
    <row r="4105" spans="2:5" x14ac:dyDescent="0.2">
      <c r="B4105" t="s">
        <v>6253</v>
      </c>
      <c r="C4105">
        <v>517403</v>
      </c>
      <c r="D4105" t="s">
        <v>366</v>
      </c>
      <c r="E4105" t="s">
        <v>505</v>
      </c>
    </row>
    <row r="4106" spans="2:5" x14ac:dyDescent="0.2">
      <c r="B4106" t="s">
        <v>6254</v>
      </c>
      <c r="C4106">
        <v>531752</v>
      </c>
      <c r="D4106" t="s">
        <v>366</v>
      </c>
      <c r="E4106" t="s">
        <v>388</v>
      </c>
    </row>
    <row r="4107" spans="2:5" x14ac:dyDescent="0.2">
      <c r="B4107" t="s">
        <v>6255</v>
      </c>
      <c r="C4107">
        <v>532733</v>
      </c>
      <c r="D4107" t="s">
        <v>6256</v>
      </c>
      <c r="E4107" t="s">
        <v>1103</v>
      </c>
    </row>
    <row r="4108" spans="2:5" x14ac:dyDescent="0.2">
      <c r="B4108" t="s">
        <v>6257</v>
      </c>
      <c r="C4108">
        <v>539526</v>
      </c>
      <c r="D4108" t="s">
        <v>366</v>
      </c>
      <c r="E4108" t="s">
        <v>400</v>
      </c>
    </row>
    <row r="4109" spans="2:5" x14ac:dyDescent="0.2">
      <c r="B4109" t="s">
        <v>6258</v>
      </c>
      <c r="C4109">
        <v>530795</v>
      </c>
      <c r="D4109" t="s">
        <v>366</v>
      </c>
      <c r="E4109" t="s">
        <v>381</v>
      </c>
    </row>
    <row r="4110" spans="2:5" x14ac:dyDescent="0.2">
      <c r="B4110" t="s">
        <v>6259</v>
      </c>
      <c r="C4110">
        <v>590072</v>
      </c>
      <c r="D4110" t="s">
        <v>6260</v>
      </c>
      <c r="E4110" t="s">
        <v>721</v>
      </c>
    </row>
    <row r="4111" spans="2:5" x14ac:dyDescent="0.2">
      <c r="B4111" t="s">
        <v>6261</v>
      </c>
      <c r="C4111">
        <v>520056</v>
      </c>
      <c r="D4111" t="s">
        <v>6262</v>
      </c>
      <c r="E4111" t="s">
        <v>721</v>
      </c>
    </row>
    <row r="4112" spans="2:5" x14ac:dyDescent="0.2">
      <c r="B4112" t="s">
        <v>6263</v>
      </c>
      <c r="C4112" t="s">
        <v>366</v>
      </c>
      <c r="D4112" t="s">
        <v>6264</v>
      </c>
      <c r="E4112" t="s">
        <v>457</v>
      </c>
    </row>
    <row r="4113" spans="2:5" x14ac:dyDescent="0.2">
      <c r="B4113" t="s">
        <v>6265</v>
      </c>
      <c r="C4113">
        <v>590071</v>
      </c>
      <c r="D4113" t="s">
        <v>6266</v>
      </c>
      <c r="E4113" t="s">
        <v>383</v>
      </c>
    </row>
    <row r="4114" spans="2:5" x14ac:dyDescent="0.2">
      <c r="B4114" t="s">
        <v>6267</v>
      </c>
      <c r="C4114">
        <v>533166</v>
      </c>
      <c r="D4114" t="s">
        <v>6268</v>
      </c>
      <c r="E4114" t="s">
        <v>2355</v>
      </c>
    </row>
    <row r="4115" spans="2:5" x14ac:dyDescent="0.2">
      <c r="B4115" t="s">
        <v>6269</v>
      </c>
      <c r="C4115">
        <v>500403</v>
      </c>
      <c r="D4115" t="s">
        <v>6270</v>
      </c>
      <c r="E4115" t="s">
        <v>721</v>
      </c>
    </row>
    <row r="4116" spans="2:5" x14ac:dyDescent="0.2">
      <c r="B4116" t="s">
        <v>6271</v>
      </c>
      <c r="C4116">
        <v>500404</v>
      </c>
      <c r="D4116" t="s">
        <v>6272</v>
      </c>
      <c r="E4116" t="s">
        <v>398</v>
      </c>
    </row>
    <row r="4117" spans="2:5" x14ac:dyDescent="0.2">
      <c r="B4117" t="s">
        <v>6273</v>
      </c>
      <c r="C4117">
        <v>531433</v>
      </c>
      <c r="D4117" t="s">
        <v>366</v>
      </c>
      <c r="E4117" t="s">
        <v>383</v>
      </c>
    </row>
    <row r="4118" spans="2:5" x14ac:dyDescent="0.2">
      <c r="B4118" t="s">
        <v>6274</v>
      </c>
      <c r="C4118">
        <v>541799</v>
      </c>
      <c r="D4118" t="s">
        <v>366</v>
      </c>
      <c r="E4118" t="s">
        <v>1965</v>
      </c>
    </row>
    <row r="4119" spans="2:5" x14ac:dyDescent="0.2">
      <c r="B4119" t="s">
        <v>6275</v>
      </c>
      <c r="C4119">
        <v>530953</v>
      </c>
      <c r="D4119" t="s">
        <v>366</v>
      </c>
      <c r="E4119" t="s">
        <v>426</v>
      </c>
    </row>
    <row r="4120" spans="2:5" x14ac:dyDescent="0.2">
      <c r="B4120" t="s">
        <v>6276</v>
      </c>
      <c r="C4120">
        <v>537253</v>
      </c>
      <c r="D4120" t="s">
        <v>366</v>
      </c>
      <c r="E4120" t="s">
        <v>404</v>
      </c>
    </row>
    <row r="4121" spans="2:5" x14ac:dyDescent="0.2">
      <c r="B4121" t="s">
        <v>6277</v>
      </c>
      <c r="C4121">
        <v>532711</v>
      </c>
      <c r="D4121" t="s">
        <v>6278</v>
      </c>
      <c r="E4121" t="s">
        <v>764</v>
      </c>
    </row>
    <row r="4122" spans="2:5" x14ac:dyDescent="0.2">
      <c r="B4122" t="s">
        <v>6279</v>
      </c>
      <c r="C4122">
        <v>521232</v>
      </c>
      <c r="D4122" t="s">
        <v>366</v>
      </c>
      <c r="E4122" t="s">
        <v>388</v>
      </c>
    </row>
    <row r="4123" spans="2:5" x14ac:dyDescent="0.2">
      <c r="B4123" t="s">
        <v>6280</v>
      </c>
      <c r="C4123">
        <v>523425</v>
      </c>
      <c r="D4123" t="s">
        <v>6281</v>
      </c>
      <c r="E4123" t="s">
        <v>922</v>
      </c>
    </row>
    <row r="4124" spans="2:5" x14ac:dyDescent="0.2">
      <c r="B4124" t="s">
        <v>6282</v>
      </c>
      <c r="C4124">
        <v>501110</v>
      </c>
      <c r="D4124" t="s">
        <v>366</v>
      </c>
      <c r="E4124" t="s">
        <v>349</v>
      </c>
    </row>
    <row r="4125" spans="2:5" x14ac:dyDescent="0.2">
      <c r="B4125" t="s">
        <v>6283</v>
      </c>
      <c r="C4125">
        <v>530845</v>
      </c>
      <c r="D4125" t="s">
        <v>366</v>
      </c>
      <c r="E4125" t="s">
        <v>414</v>
      </c>
    </row>
    <row r="4126" spans="2:5" x14ac:dyDescent="0.2">
      <c r="B4126" t="s">
        <v>6284</v>
      </c>
      <c r="C4126">
        <v>539574</v>
      </c>
      <c r="D4126" t="s">
        <v>366</v>
      </c>
      <c r="E4126" t="s">
        <v>383</v>
      </c>
    </row>
    <row r="4127" spans="2:5" x14ac:dyDescent="0.2">
      <c r="B4127" t="s">
        <v>6285</v>
      </c>
      <c r="C4127">
        <v>535141</v>
      </c>
      <c r="D4127" t="s">
        <v>366</v>
      </c>
      <c r="E4127" t="s">
        <v>452</v>
      </c>
    </row>
    <row r="4128" spans="2:5" x14ac:dyDescent="0.2">
      <c r="B4128" t="s">
        <v>6286</v>
      </c>
      <c r="C4128">
        <v>512179</v>
      </c>
      <c r="D4128" t="s">
        <v>6287</v>
      </c>
      <c r="E4128" t="s">
        <v>452</v>
      </c>
    </row>
    <row r="4129" spans="2:5" x14ac:dyDescent="0.2">
      <c r="B4129" t="s">
        <v>6288</v>
      </c>
      <c r="C4129">
        <v>530735</v>
      </c>
      <c r="D4129" t="s">
        <v>366</v>
      </c>
      <c r="E4129" t="s">
        <v>426</v>
      </c>
    </row>
    <row r="4130" spans="2:5" x14ac:dyDescent="0.2">
      <c r="B4130" t="s">
        <v>6289</v>
      </c>
      <c r="C4130">
        <v>530735</v>
      </c>
      <c r="D4130" t="s">
        <v>366</v>
      </c>
      <c r="E4130" t="s">
        <v>426</v>
      </c>
    </row>
    <row r="4131" spans="2:5" x14ac:dyDescent="0.2">
      <c r="B4131" t="s">
        <v>6290</v>
      </c>
      <c r="C4131">
        <v>530883</v>
      </c>
      <c r="D4131" t="s">
        <v>366</v>
      </c>
      <c r="E4131" t="s">
        <v>510</v>
      </c>
    </row>
    <row r="4132" spans="2:5" x14ac:dyDescent="0.2">
      <c r="B4132" t="s">
        <v>6291</v>
      </c>
      <c r="C4132">
        <v>531699</v>
      </c>
      <c r="D4132" t="s">
        <v>366</v>
      </c>
      <c r="E4132" t="s">
        <v>1129</v>
      </c>
    </row>
    <row r="4133" spans="2:5" x14ac:dyDescent="0.2">
      <c r="B4133" t="s">
        <v>6292</v>
      </c>
      <c r="C4133">
        <v>540269</v>
      </c>
      <c r="D4133" t="s">
        <v>366</v>
      </c>
      <c r="E4133" t="s">
        <v>480</v>
      </c>
    </row>
    <row r="4134" spans="2:5" x14ac:dyDescent="0.2">
      <c r="B4134" t="s">
        <v>6293</v>
      </c>
      <c r="C4134">
        <v>512527</v>
      </c>
      <c r="D4134" t="s">
        <v>366</v>
      </c>
      <c r="E4134" t="s">
        <v>381</v>
      </c>
    </row>
    <row r="4135" spans="2:5" x14ac:dyDescent="0.2">
      <c r="B4135" t="s">
        <v>6294</v>
      </c>
      <c r="C4135">
        <v>512527</v>
      </c>
      <c r="D4135" t="s">
        <v>366</v>
      </c>
      <c r="E4135" t="s">
        <v>381</v>
      </c>
    </row>
    <row r="4136" spans="2:5" x14ac:dyDescent="0.2">
      <c r="B4136" t="s">
        <v>6295</v>
      </c>
      <c r="C4136">
        <v>521180</v>
      </c>
      <c r="D4136" t="s">
        <v>6296</v>
      </c>
      <c r="E4136" t="s">
        <v>381</v>
      </c>
    </row>
    <row r="4137" spans="2:5" x14ac:dyDescent="0.2">
      <c r="B4137" t="s">
        <v>6297</v>
      </c>
      <c r="C4137">
        <v>523842</v>
      </c>
      <c r="D4137" t="s">
        <v>366</v>
      </c>
      <c r="E4137" t="s">
        <v>480</v>
      </c>
    </row>
    <row r="4138" spans="2:5" x14ac:dyDescent="0.2">
      <c r="B4138" t="s">
        <v>6298</v>
      </c>
      <c r="C4138">
        <v>532070</v>
      </c>
      <c r="D4138" t="s">
        <v>366</v>
      </c>
      <c r="E4138" t="s">
        <v>360</v>
      </c>
    </row>
    <row r="4139" spans="2:5" x14ac:dyDescent="0.2">
      <c r="B4139" t="s">
        <v>6299</v>
      </c>
      <c r="C4139">
        <v>523283</v>
      </c>
      <c r="D4139" t="s">
        <v>6300</v>
      </c>
      <c r="E4139" t="s">
        <v>792</v>
      </c>
    </row>
    <row r="4140" spans="2:5" x14ac:dyDescent="0.2">
      <c r="B4140" t="s">
        <v>6301</v>
      </c>
      <c r="C4140">
        <v>539835</v>
      </c>
      <c r="D4140" t="s">
        <v>366</v>
      </c>
      <c r="E4140" t="s">
        <v>383</v>
      </c>
    </row>
    <row r="4141" spans="2:5" x14ac:dyDescent="0.2">
      <c r="B4141" t="s">
        <v>6302</v>
      </c>
      <c r="C4141">
        <v>519234</v>
      </c>
      <c r="D4141" t="s">
        <v>6303</v>
      </c>
      <c r="E4141" t="s">
        <v>615</v>
      </c>
    </row>
    <row r="4142" spans="2:5" x14ac:dyDescent="0.2">
      <c r="B4142" t="s">
        <v>6304</v>
      </c>
      <c r="C4142">
        <v>780008</v>
      </c>
      <c r="D4142" t="s">
        <v>366</v>
      </c>
      <c r="E4142" t="s">
        <v>457</v>
      </c>
    </row>
    <row r="4143" spans="2:5" x14ac:dyDescent="0.2">
      <c r="B4143" t="s">
        <v>6305</v>
      </c>
      <c r="C4143">
        <v>541701</v>
      </c>
      <c r="D4143" t="s">
        <v>366</v>
      </c>
      <c r="E4143" t="s">
        <v>689</v>
      </c>
    </row>
    <row r="4144" spans="2:5" x14ac:dyDescent="0.2">
      <c r="B4144" t="s">
        <v>6306</v>
      </c>
      <c r="C4144">
        <v>526133</v>
      </c>
      <c r="D4144" t="s">
        <v>366</v>
      </c>
      <c r="E4144" t="s">
        <v>381</v>
      </c>
    </row>
    <row r="4145" spans="2:5" x14ac:dyDescent="0.2">
      <c r="B4145" t="s">
        <v>6307</v>
      </c>
      <c r="C4145">
        <v>540168</v>
      </c>
      <c r="D4145" t="s">
        <v>366</v>
      </c>
      <c r="E4145" t="s">
        <v>383</v>
      </c>
    </row>
    <row r="4146" spans="2:5" x14ac:dyDescent="0.2">
      <c r="B4146" t="s">
        <v>6308</v>
      </c>
      <c r="C4146">
        <v>511539</v>
      </c>
      <c r="D4146" t="s">
        <v>366</v>
      </c>
      <c r="E4146" t="s">
        <v>349</v>
      </c>
    </row>
    <row r="4147" spans="2:5" x14ac:dyDescent="0.2">
      <c r="B4147" t="s">
        <v>6309</v>
      </c>
      <c r="C4147">
        <v>532509</v>
      </c>
      <c r="D4147" t="s">
        <v>6310</v>
      </c>
      <c r="E4147" t="s">
        <v>721</v>
      </c>
    </row>
    <row r="4148" spans="2:5" x14ac:dyDescent="0.2">
      <c r="B4148" t="s">
        <v>6311</v>
      </c>
      <c r="C4148" t="s">
        <v>366</v>
      </c>
      <c r="D4148" t="s">
        <v>6312</v>
      </c>
      <c r="E4148" t="s">
        <v>377</v>
      </c>
    </row>
    <row r="4149" spans="2:5" x14ac:dyDescent="0.2">
      <c r="B4149" t="s">
        <v>6313</v>
      </c>
      <c r="C4149">
        <v>530677</v>
      </c>
      <c r="D4149" t="s">
        <v>366</v>
      </c>
      <c r="E4149" t="s">
        <v>452</v>
      </c>
    </row>
    <row r="4150" spans="2:5" x14ac:dyDescent="0.2">
      <c r="B4150" t="s">
        <v>6314</v>
      </c>
      <c r="C4150">
        <v>530677</v>
      </c>
      <c r="D4150" t="s">
        <v>366</v>
      </c>
      <c r="E4150" t="s">
        <v>452</v>
      </c>
    </row>
    <row r="4151" spans="2:5" x14ac:dyDescent="0.2">
      <c r="B4151" t="s">
        <v>6315</v>
      </c>
      <c r="C4151" t="s">
        <v>366</v>
      </c>
      <c r="D4151" t="s">
        <v>6316</v>
      </c>
      <c r="E4151" t="s">
        <v>377</v>
      </c>
    </row>
    <row r="4152" spans="2:5" x14ac:dyDescent="0.2">
      <c r="B4152" t="s">
        <v>6317</v>
      </c>
      <c r="C4152">
        <v>509930</v>
      </c>
      <c r="D4152" t="s">
        <v>6318</v>
      </c>
      <c r="E4152" t="s">
        <v>486</v>
      </c>
    </row>
    <row r="4153" spans="2:5" x14ac:dyDescent="0.2">
      <c r="B4153" t="s">
        <v>6319</v>
      </c>
      <c r="C4153">
        <v>532904</v>
      </c>
      <c r="D4153" t="s">
        <v>6320</v>
      </c>
      <c r="E4153" t="s">
        <v>764</v>
      </c>
    </row>
    <row r="4154" spans="2:5" x14ac:dyDescent="0.2">
      <c r="B4154" t="s">
        <v>6321</v>
      </c>
      <c r="C4154">
        <v>532904</v>
      </c>
      <c r="D4154" t="s">
        <v>6320</v>
      </c>
      <c r="E4154" t="s">
        <v>764</v>
      </c>
    </row>
    <row r="4155" spans="2:5" x14ac:dyDescent="0.2">
      <c r="B4155" t="s">
        <v>6322</v>
      </c>
      <c r="C4155">
        <v>500405</v>
      </c>
      <c r="D4155" t="s">
        <v>6323</v>
      </c>
      <c r="E4155" t="s">
        <v>580</v>
      </c>
    </row>
    <row r="4156" spans="2:5" x14ac:dyDescent="0.2">
      <c r="B4156" t="s">
        <v>6324</v>
      </c>
      <c r="C4156">
        <v>534733</v>
      </c>
      <c r="D4156" t="s">
        <v>366</v>
      </c>
      <c r="E4156" t="s">
        <v>398</v>
      </c>
    </row>
    <row r="4157" spans="2:5" x14ac:dyDescent="0.2">
      <c r="B4157" t="s">
        <v>6325</v>
      </c>
      <c r="C4157">
        <v>531638</v>
      </c>
      <c r="D4157" t="s">
        <v>366</v>
      </c>
      <c r="E4157" t="s">
        <v>689</v>
      </c>
    </row>
    <row r="4158" spans="2:5" x14ac:dyDescent="0.2">
      <c r="B4158" t="s">
        <v>6326</v>
      </c>
      <c r="C4158">
        <v>518075</v>
      </c>
      <c r="D4158" t="s">
        <v>366</v>
      </c>
      <c r="E4158" t="s">
        <v>398</v>
      </c>
    </row>
    <row r="4159" spans="2:5" x14ac:dyDescent="0.2">
      <c r="B4159" t="s">
        <v>6327</v>
      </c>
      <c r="C4159">
        <v>533298</v>
      </c>
      <c r="D4159" t="s">
        <v>6328</v>
      </c>
      <c r="E4159" t="s">
        <v>908</v>
      </c>
    </row>
    <row r="4160" spans="2:5" x14ac:dyDescent="0.2">
      <c r="B4160" t="s">
        <v>6329</v>
      </c>
      <c r="C4160">
        <v>517530</v>
      </c>
      <c r="D4160" t="s">
        <v>6330</v>
      </c>
      <c r="E4160" t="s">
        <v>636</v>
      </c>
    </row>
    <row r="4161" spans="2:5" x14ac:dyDescent="0.2">
      <c r="B4161" t="s">
        <v>6331</v>
      </c>
      <c r="C4161">
        <v>530185</v>
      </c>
      <c r="D4161" t="s">
        <v>366</v>
      </c>
      <c r="E4161" t="s">
        <v>381</v>
      </c>
    </row>
    <row r="4162" spans="2:5" x14ac:dyDescent="0.2">
      <c r="B4162" t="s">
        <v>6332</v>
      </c>
      <c r="C4162" t="s">
        <v>366</v>
      </c>
      <c r="D4162" t="s">
        <v>6333</v>
      </c>
      <c r="E4162" t="s">
        <v>377</v>
      </c>
    </row>
    <row r="4163" spans="2:5" x14ac:dyDescent="0.2">
      <c r="B4163" t="s">
        <v>6334</v>
      </c>
      <c r="C4163">
        <v>539253</v>
      </c>
      <c r="D4163" t="s">
        <v>366</v>
      </c>
      <c r="E4163" t="s">
        <v>383</v>
      </c>
    </row>
    <row r="4164" spans="2:5" x14ac:dyDescent="0.2">
      <c r="B4164" t="s">
        <v>6335</v>
      </c>
      <c r="C4164">
        <v>539253</v>
      </c>
      <c r="D4164" t="s">
        <v>366</v>
      </c>
      <c r="E4164" t="s">
        <v>383</v>
      </c>
    </row>
    <row r="4165" spans="2:5" x14ac:dyDescent="0.2">
      <c r="B4165" t="s">
        <v>6336</v>
      </c>
      <c r="C4165">
        <v>500336</v>
      </c>
      <c r="D4165" t="s">
        <v>6337</v>
      </c>
      <c r="E4165" t="s">
        <v>355</v>
      </c>
    </row>
    <row r="4166" spans="2:5" x14ac:dyDescent="0.2">
      <c r="B4166" t="s">
        <v>6338</v>
      </c>
      <c r="C4166">
        <v>533101</v>
      </c>
      <c r="D4166" t="s">
        <v>366</v>
      </c>
      <c r="E4166" t="s">
        <v>381</v>
      </c>
    </row>
    <row r="4167" spans="2:5" x14ac:dyDescent="0.2">
      <c r="B4167" t="s">
        <v>6339</v>
      </c>
      <c r="C4167">
        <v>532874</v>
      </c>
      <c r="D4167" t="s">
        <v>366</v>
      </c>
      <c r="E4167" t="s">
        <v>505</v>
      </c>
    </row>
    <row r="4168" spans="2:5" x14ac:dyDescent="0.2">
      <c r="B4168" t="s">
        <v>6340</v>
      </c>
      <c r="C4168">
        <v>511185</v>
      </c>
      <c r="D4168" t="s">
        <v>366</v>
      </c>
      <c r="E4168" t="s">
        <v>687</v>
      </c>
    </row>
    <row r="4169" spans="2:5" x14ac:dyDescent="0.2">
      <c r="B4169" t="s">
        <v>6341</v>
      </c>
      <c r="C4169">
        <v>521200</v>
      </c>
      <c r="D4169" t="s">
        <v>6342</v>
      </c>
      <c r="E4169" t="s">
        <v>381</v>
      </c>
    </row>
    <row r="4170" spans="2:5" x14ac:dyDescent="0.2">
      <c r="B4170" t="s">
        <v>6343</v>
      </c>
      <c r="C4170">
        <v>514138</v>
      </c>
      <c r="D4170" t="s">
        <v>366</v>
      </c>
      <c r="E4170" t="s">
        <v>381</v>
      </c>
    </row>
    <row r="4171" spans="2:5" x14ac:dyDescent="0.2">
      <c r="B4171" t="s">
        <v>6344</v>
      </c>
      <c r="C4171">
        <v>514140</v>
      </c>
      <c r="D4171" t="s">
        <v>366</v>
      </c>
      <c r="E4171" t="s">
        <v>381</v>
      </c>
    </row>
    <row r="4172" spans="2:5" x14ac:dyDescent="0.2">
      <c r="B4172" t="s">
        <v>6345</v>
      </c>
      <c r="C4172">
        <v>519604</v>
      </c>
      <c r="D4172" t="s">
        <v>6346</v>
      </c>
      <c r="E4172" t="s">
        <v>426</v>
      </c>
    </row>
    <row r="4173" spans="2:5" x14ac:dyDescent="0.2">
      <c r="B4173" t="s">
        <v>6347</v>
      </c>
      <c r="C4173">
        <v>532782</v>
      </c>
      <c r="D4173" t="s">
        <v>6348</v>
      </c>
      <c r="E4173" t="s">
        <v>381</v>
      </c>
    </row>
    <row r="4174" spans="2:5" x14ac:dyDescent="0.2">
      <c r="B4174" t="s">
        <v>6349</v>
      </c>
      <c r="C4174" t="s">
        <v>366</v>
      </c>
      <c r="D4174" t="s">
        <v>6350</v>
      </c>
      <c r="E4174" t="s">
        <v>377</v>
      </c>
    </row>
    <row r="4175" spans="2:5" x14ac:dyDescent="0.2">
      <c r="B4175" t="s">
        <v>6351</v>
      </c>
      <c r="C4175">
        <v>530239</v>
      </c>
      <c r="D4175" t="s">
        <v>6352</v>
      </c>
      <c r="E4175" t="s">
        <v>404</v>
      </c>
    </row>
    <row r="4176" spans="2:5" x14ac:dyDescent="0.2">
      <c r="B4176" t="s">
        <v>6353</v>
      </c>
      <c r="C4176">
        <v>531640</v>
      </c>
      <c r="D4176" t="s">
        <v>366</v>
      </c>
      <c r="E4176" t="s">
        <v>452</v>
      </c>
    </row>
    <row r="4177" spans="2:5" x14ac:dyDescent="0.2">
      <c r="B4177" t="s">
        <v>6354</v>
      </c>
      <c r="C4177">
        <v>537259</v>
      </c>
      <c r="D4177" t="s">
        <v>366</v>
      </c>
      <c r="E4177" t="s">
        <v>1311</v>
      </c>
    </row>
    <row r="4178" spans="2:5" x14ac:dyDescent="0.2">
      <c r="B4178" t="s">
        <v>6355</v>
      </c>
      <c r="C4178">
        <v>532667</v>
      </c>
      <c r="D4178" t="s">
        <v>6356</v>
      </c>
      <c r="E4178" t="s">
        <v>409</v>
      </c>
    </row>
    <row r="4179" spans="2:5" x14ac:dyDescent="0.2">
      <c r="B4179" t="s">
        <v>6357</v>
      </c>
      <c r="C4179">
        <v>531885</v>
      </c>
      <c r="D4179" t="s">
        <v>366</v>
      </c>
      <c r="E4179" t="s">
        <v>388</v>
      </c>
    </row>
    <row r="4180" spans="2:5" x14ac:dyDescent="0.2">
      <c r="B4180" t="s">
        <v>6358</v>
      </c>
      <c r="C4180">
        <v>531885</v>
      </c>
      <c r="D4180" t="s">
        <v>366</v>
      </c>
      <c r="E4180" t="s">
        <v>388</v>
      </c>
    </row>
    <row r="4181" spans="2:5" x14ac:dyDescent="0.2">
      <c r="B4181" t="s">
        <v>6359</v>
      </c>
      <c r="C4181">
        <v>523722</v>
      </c>
      <c r="D4181" t="s">
        <v>366</v>
      </c>
      <c r="E4181" t="s">
        <v>459</v>
      </c>
    </row>
    <row r="4182" spans="2:5" x14ac:dyDescent="0.2">
      <c r="B4182" t="s">
        <v>6360</v>
      </c>
      <c r="C4182">
        <v>503624</v>
      </c>
      <c r="D4182" t="s">
        <v>366</v>
      </c>
      <c r="E4182" t="s">
        <v>349</v>
      </c>
    </row>
    <row r="4183" spans="2:5" x14ac:dyDescent="0.2">
      <c r="B4183" t="s">
        <v>6361</v>
      </c>
      <c r="C4183">
        <v>539911</v>
      </c>
      <c r="D4183" t="s">
        <v>366</v>
      </c>
      <c r="E4183" t="s">
        <v>388</v>
      </c>
    </row>
    <row r="4184" spans="2:5" x14ac:dyDescent="0.2">
      <c r="B4184" t="s">
        <v>6362</v>
      </c>
      <c r="C4184">
        <v>524488</v>
      </c>
      <c r="D4184" t="s">
        <v>6363</v>
      </c>
      <c r="E4184" t="s">
        <v>414</v>
      </c>
    </row>
    <row r="4185" spans="2:5" x14ac:dyDescent="0.2">
      <c r="B4185" t="s">
        <v>6364</v>
      </c>
      <c r="C4185">
        <v>512449</v>
      </c>
      <c r="D4185" t="s">
        <v>366</v>
      </c>
      <c r="E4185" t="s">
        <v>346</v>
      </c>
    </row>
    <row r="4186" spans="2:5" x14ac:dyDescent="0.2">
      <c r="B4186" t="s">
        <v>6365</v>
      </c>
      <c r="C4186">
        <v>505590</v>
      </c>
      <c r="D4186" t="s">
        <v>366</v>
      </c>
      <c r="E4186" t="s">
        <v>381</v>
      </c>
    </row>
    <row r="4187" spans="2:5" x14ac:dyDescent="0.2">
      <c r="B4187" t="s">
        <v>6366</v>
      </c>
      <c r="C4187">
        <v>539041</v>
      </c>
      <c r="D4187" t="s">
        <v>366</v>
      </c>
      <c r="E4187" t="s">
        <v>388</v>
      </c>
    </row>
    <row r="4188" spans="2:5" x14ac:dyDescent="0.2">
      <c r="B4188" t="s">
        <v>6367</v>
      </c>
      <c r="C4188">
        <v>503659</v>
      </c>
      <c r="D4188" t="s">
        <v>366</v>
      </c>
      <c r="E4188" t="s">
        <v>787</v>
      </c>
    </row>
    <row r="4189" spans="2:5" x14ac:dyDescent="0.2">
      <c r="B4189" t="s">
        <v>6368</v>
      </c>
      <c r="C4189">
        <v>506863</v>
      </c>
      <c r="D4189" t="s">
        <v>366</v>
      </c>
      <c r="E4189" t="s">
        <v>561</v>
      </c>
    </row>
    <row r="4190" spans="2:5" x14ac:dyDescent="0.2">
      <c r="B4190" t="s">
        <v>6369</v>
      </c>
      <c r="C4190">
        <v>503816</v>
      </c>
      <c r="D4190" t="s">
        <v>366</v>
      </c>
      <c r="E4190" t="s">
        <v>381</v>
      </c>
    </row>
    <row r="4191" spans="2:5" x14ac:dyDescent="0.2">
      <c r="B4191" t="s">
        <v>6370</v>
      </c>
      <c r="C4191">
        <v>531909</v>
      </c>
      <c r="D4191" t="s">
        <v>366</v>
      </c>
      <c r="E4191" t="s">
        <v>452</v>
      </c>
    </row>
    <row r="4192" spans="2:5" x14ac:dyDescent="0.2">
      <c r="B4192" t="s">
        <v>6371</v>
      </c>
      <c r="C4192">
        <v>539406</v>
      </c>
      <c r="D4192" t="s">
        <v>366</v>
      </c>
      <c r="E4192" t="s">
        <v>388</v>
      </c>
    </row>
    <row r="4193" spans="2:5" x14ac:dyDescent="0.2">
      <c r="B4193" t="s">
        <v>6372</v>
      </c>
      <c r="C4193">
        <v>503310</v>
      </c>
      <c r="D4193" t="s">
        <v>6373</v>
      </c>
      <c r="E4193" t="s">
        <v>381</v>
      </c>
    </row>
    <row r="4194" spans="2:5" x14ac:dyDescent="0.2">
      <c r="B4194" t="s">
        <v>6374</v>
      </c>
      <c r="C4194">
        <v>539353</v>
      </c>
      <c r="D4194" t="s">
        <v>366</v>
      </c>
      <c r="E4194" t="s">
        <v>721</v>
      </c>
    </row>
    <row r="4195" spans="2:5" x14ac:dyDescent="0.2">
      <c r="B4195" t="s">
        <v>6375</v>
      </c>
      <c r="C4195">
        <v>500407</v>
      </c>
      <c r="D4195" t="s">
        <v>6376</v>
      </c>
      <c r="E4195" t="s">
        <v>721</v>
      </c>
    </row>
    <row r="4196" spans="2:5" x14ac:dyDescent="0.2">
      <c r="B4196" t="s">
        <v>6377</v>
      </c>
      <c r="C4196">
        <v>531003</v>
      </c>
      <c r="D4196" t="s">
        <v>366</v>
      </c>
      <c r="E4196" t="s">
        <v>383</v>
      </c>
    </row>
    <row r="4197" spans="2:5" x14ac:dyDescent="0.2">
      <c r="B4197" t="s">
        <v>6378</v>
      </c>
      <c r="C4197">
        <v>526365</v>
      </c>
      <c r="D4197" t="s">
        <v>366</v>
      </c>
      <c r="E4197" t="s">
        <v>480</v>
      </c>
    </row>
    <row r="4198" spans="2:5" x14ac:dyDescent="0.2">
      <c r="B4198" t="s">
        <v>6379</v>
      </c>
      <c r="C4198">
        <v>512257</v>
      </c>
      <c r="D4198" t="s">
        <v>366</v>
      </c>
      <c r="E4198" t="s">
        <v>355</v>
      </c>
    </row>
    <row r="4199" spans="2:5" x14ac:dyDescent="0.2">
      <c r="B4199" t="s">
        <v>6380</v>
      </c>
      <c r="C4199">
        <v>510245</v>
      </c>
      <c r="D4199" t="s">
        <v>366</v>
      </c>
      <c r="E4199" t="s">
        <v>388</v>
      </c>
    </row>
    <row r="4200" spans="2:5" x14ac:dyDescent="0.2">
      <c r="B4200" t="s">
        <v>6381</v>
      </c>
      <c r="C4200">
        <v>501386</v>
      </c>
      <c r="D4200" t="s">
        <v>366</v>
      </c>
      <c r="E4200" t="s">
        <v>349</v>
      </c>
    </row>
    <row r="4201" spans="2:5" x14ac:dyDescent="0.2">
      <c r="B4201" t="s">
        <v>6382</v>
      </c>
      <c r="C4201">
        <v>530585</v>
      </c>
      <c r="D4201" t="s">
        <v>366</v>
      </c>
      <c r="E4201" t="s">
        <v>349</v>
      </c>
    </row>
    <row r="4202" spans="2:5" x14ac:dyDescent="0.2">
      <c r="B4202" t="s">
        <v>6383</v>
      </c>
      <c r="C4202">
        <v>532051</v>
      </c>
      <c r="D4202" t="s">
        <v>6384</v>
      </c>
      <c r="E4202" t="s">
        <v>409</v>
      </c>
    </row>
    <row r="4203" spans="2:5" x14ac:dyDescent="0.2">
      <c r="B4203" t="s">
        <v>6385</v>
      </c>
      <c r="C4203">
        <v>522215</v>
      </c>
      <c r="D4203" t="s">
        <v>366</v>
      </c>
      <c r="E4203" t="s">
        <v>374</v>
      </c>
    </row>
    <row r="4204" spans="2:5" x14ac:dyDescent="0.2">
      <c r="B4204" t="s">
        <v>6386</v>
      </c>
      <c r="C4204">
        <v>517201</v>
      </c>
      <c r="D4204" t="s">
        <v>366</v>
      </c>
      <c r="E4204" t="s">
        <v>908</v>
      </c>
    </row>
    <row r="4205" spans="2:5" x14ac:dyDescent="0.2">
      <c r="B4205" t="s">
        <v>6387</v>
      </c>
      <c r="C4205">
        <v>531637</v>
      </c>
      <c r="D4205" t="s">
        <v>366</v>
      </c>
      <c r="E4205" t="s">
        <v>404</v>
      </c>
    </row>
    <row r="4206" spans="2:5" x14ac:dyDescent="0.2">
      <c r="B4206" t="s">
        <v>6388</v>
      </c>
      <c r="C4206">
        <v>512359</v>
      </c>
      <c r="D4206" t="s">
        <v>366</v>
      </c>
      <c r="E4206" t="s">
        <v>388</v>
      </c>
    </row>
    <row r="4207" spans="2:5" x14ac:dyDescent="0.2">
      <c r="B4207" t="s">
        <v>6389</v>
      </c>
      <c r="C4207">
        <v>531499</v>
      </c>
      <c r="D4207" t="s">
        <v>366</v>
      </c>
      <c r="E4207" t="s">
        <v>381</v>
      </c>
    </row>
    <row r="4208" spans="2:5" x14ac:dyDescent="0.2">
      <c r="B4208" t="s">
        <v>6390</v>
      </c>
      <c r="C4208">
        <v>539682</v>
      </c>
      <c r="D4208" t="s">
        <v>366</v>
      </c>
      <c r="E4208" t="s">
        <v>471</v>
      </c>
    </row>
    <row r="4209" spans="2:5" x14ac:dyDescent="0.2">
      <c r="B4209" t="s">
        <v>6391</v>
      </c>
      <c r="C4209">
        <v>511447</v>
      </c>
      <c r="D4209" t="s">
        <v>366</v>
      </c>
      <c r="E4209" t="s">
        <v>372</v>
      </c>
    </row>
    <row r="4210" spans="2:5" x14ac:dyDescent="0.2">
      <c r="B4210" t="s">
        <v>6392</v>
      </c>
      <c r="C4210">
        <v>539278</v>
      </c>
      <c r="D4210" t="s">
        <v>366</v>
      </c>
      <c r="E4210" t="s">
        <v>349</v>
      </c>
    </row>
    <row r="4211" spans="2:5" x14ac:dyDescent="0.2">
      <c r="B4211" t="s">
        <v>6393</v>
      </c>
      <c r="C4211">
        <v>517385</v>
      </c>
      <c r="D4211" t="s">
        <v>6394</v>
      </c>
      <c r="E4211" t="s">
        <v>735</v>
      </c>
    </row>
    <row r="4212" spans="2:5" x14ac:dyDescent="0.2">
      <c r="B4212" t="s">
        <v>6395</v>
      </c>
      <c r="C4212">
        <v>524470</v>
      </c>
      <c r="D4212" t="s">
        <v>366</v>
      </c>
      <c r="E4212" t="s">
        <v>404</v>
      </c>
    </row>
    <row r="4213" spans="2:5" x14ac:dyDescent="0.2">
      <c r="B4213" t="s">
        <v>6396</v>
      </c>
      <c r="C4213">
        <v>524470</v>
      </c>
      <c r="D4213" t="s">
        <v>366</v>
      </c>
      <c r="E4213" t="s">
        <v>404</v>
      </c>
    </row>
    <row r="4214" spans="2:5" x14ac:dyDescent="0.2">
      <c r="B4214" t="s">
        <v>6397</v>
      </c>
      <c r="C4214">
        <v>533157</v>
      </c>
      <c r="D4214" t="s">
        <v>6398</v>
      </c>
      <c r="E4214" t="s">
        <v>404</v>
      </c>
    </row>
    <row r="4215" spans="2:5" x14ac:dyDescent="0.2">
      <c r="B4215" t="s">
        <v>6399</v>
      </c>
      <c r="C4215">
        <v>532276</v>
      </c>
      <c r="D4215" t="s">
        <v>6400</v>
      </c>
      <c r="E4215" t="s">
        <v>684</v>
      </c>
    </row>
    <row r="4216" spans="2:5" x14ac:dyDescent="0.2">
      <c r="B4216" t="s">
        <v>6401</v>
      </c>
      <c r="C4216">
        <v>541929</v>
      </c>
      <c r="D4216" t="s">
        <v>366</v>
      </c>
      <c r="E4216" t="s">
        <v>1284</v>
      </c>
    </row>
    <row r="4217" spans="2:5" x14ac:dyDescent="0.2">
      <c r="B4217" t="s">
        <v>6402</v>
      </c>
      <c r="C4217">
        <v>539268</v>
      </c>
      <c r="D4217" t="s">
        <v>6403</v>
      </c>
      <c r="E4217" t="s">
        <v>404</v>
      </c>
    </row>
    <row r="4218" spans="2:5" x14ac:dyDescent="0.2">
      <c r="B4218" t="s">
        <v>6404</v>
      </c>
      <c r="C4218">
        <v>513307</v>
      </c>
      <c r="D4218" t="s">
        <v>366</v>
      </c>
      <c r="E4218" t="s">
        <v>671</v>
      </c>
    </row>
    <row r="4219" spans="2:5" x14ac:dyDescent="0.2">
      <c r="B4219" t="s">
        <v>6405</v>
      </c>
      <c r="C4219">
        <v>531173</v>
      </c>
      <c r="D4219" t="s">
        <v>366</v>
      </c>
      <c r="E4219" t="s">
        <v>404</v>
      </c>
    </row>
    <row r="4220" spans="2:5" x14ac:dyDescent="0.2">
      <c r="B4220" t="s">
        <v>6406</v>
      </c>
      <c r="C4220">
        <v>531173</v>
      </c>
      <c r="D4220" t="s">
        <v>366</v>
      </c>
      <c r="E4220" t="s">
        <v>404</v>
      </c>
    </row>
    <row r="4221" spans="2:5" x14ac:dyDescent="0.2">
      <c r="B4221" t="s">
        <v>6407</v>
      </c>
      <c r="C4221">
        <v>539842</v>
      </c>
      <c r="D4221" t="s">
        <v>366</v>
      </c>
      <c r="E4221" t="s">
        <v>561</v>
      </c>
    </row>
    <row r="4222" spans="2:5" x14ac:dyDescent="0.2">
      <c r="B4222" t="s">
        <v>6408</v>
      </c>
      <c r="C4222">
        <v>526506</v>
      </c>
      <c r="D4222" t="s">
        <v>366</v>
      </c>
      <c r="E4222" t="s">
        <v>349</v>
      </c>
    </row>
    <row r="4223" spans="2:5" x14ac:dyDescent="0.2">
      <c r="B4223" t="s">
        <v>6409</v>
      </c>
      <c r="C4223">
        <v>531432</v>
      </c>
      <c r="D4223" t="s">
        <v>366</v>
      </c>
      <c r="E4223" t="s">
        <v>383</v>
      </c>
    </row>
    <row r="4224" spans="2:5" x14ac:dyDescent="0.2">
      <c r="B4224" t="s">
        <v>6410</v>
      </c>
      <c r="C4224">
        <v>522294</v>
      </c>
      <c r="D4224" t="s">
        <v>366</v>
      </c>
      <c r="E4224" t="s">
        <v>374</v>
      </c>
    </row>
    <row r="4225" spans="2:5" x14ac:dyDescent="0.2">
      <c r="B4225" t="s">
        <v>6411</v>
      </c>
      <c r="C4225">
        <v>533553</v>
      </c>
      <c r="D4225" t="s">
        <v>366</v>
      </c>
      <c r="E4225" t="s">
        <v>409</v>
      </c>
    </row>
    <row r="4226" spans="2:5" x14ac:dyDescent="0.2">
      <c r="B4226" t="s">
        <v>6412</v>
      </c>
      <c r="C4226">
        <v>532444</v>
      </c>
      <c r="D4226" t="s">
        <v>366</v>
      </c>
      <c r="E4226" t="s">
        <v>459</v>
      </c>
    </row>
    <row r="4227" spans="2:5" x14ac:dyDescent="0.2">
      <c r="B4227" t="s">
        <v>6413</v>
      </c>
      <c r="C4227">
        <v>514142</v>
      </c>
      <c r="D4227" t="s">
        <v>6414</v>
      </c>
      <c r="E4227" t="s">
        <v>381</v>
      </c>
    </row>
    <row r="4228" spans="2:5" x14ac:dyDescent="0.2">
      <c r="B4228" t="s">
        <v>6415</v>
      </c>
      <c r="C4228">
        <v>539956</v>
      </c>
      <c r="D4228" t="s">
        <v>366</v>
      </c>
      <c r="E4228" t="s">
        <v>2500</v>
      </c>
    </row>
    <row r="4229" spans="2:5" x14ac:dyDescent="0.2">
      <c r="B4229" t="s">
        <v>6416</v>
      </c>
      <c r="C4229">
        <v>537392</v>
      </c>
      <c r="D4229" t="s">
        <v>366</v>
      </c>
      <c r="E4229" t="s">
        <v>535</v>
      </c>
    </row>
    <row r="4230" spans="2:5" x14ac:dyDescent="0.2">
      <c r="B4230" t="s">
        <v>6417</v>
      </c>
      <c r="C4230">
        <v>519483</v>
      </c>
      <c r="D4230" t="s">
        <v>366</v>
      </c>
      <c r="E4230" t="s">
        <v>388</v>
      </c>
    </row>
    <row r="4231" spans="2:5" x14ac:dyDescent="0.2">
      <c r="B4231" t="s">
        <v>6418</v>
      </c>
      <c r="C4231">
        <v>507785</v>
      </c>
      <c r="D4231" t="s">
        <v>6419</v>
      </c>
      <c r="E4231" t="s">
        <v>486</v>
      </c>
    </row>
    <row r="4232" spans="2:5" x14ac:dyDescent="0.2">
      <c r="B4232" t="s">
        <v>6420</v>
      </c>
      <c r="C4232">
        <v>532390</v>
      </c>
      <c r="D4232" t="s">
        <v>6421</v>
      </c>
      <c r="E4232" t="s">
        <v>567</v>
      </c>
    </row>
    <row r="4233" spans="2:5" x14ac:dyDescent="0.2">
      <c r="B4233" t="s">
        <v>6422</v>
      </c>
      <c r="C4233">
        <v>532890</v>
      </c>
      <c r="D4233" t="s">
        <v>6423</v>
      </c>
      <c r="E4233" t="s">
        <v>352</v>
      </c>
    </row>
    <row r="4234" spans="2:5" x14ac:dyDescent="0.2">
      <c r="B4234" t="s">
        <v>6424</v>
      </c>
      <c r="C4234">
        <v>505160</v>
      </c>
      <c r="D4234" t="s">
        <v>6425</v>
      </c>
      <c r="E4234" t="s">
        <v>721</v>
      </c>
    </row>
    <row r="4235" spans="2:5" x14ac:dyDescent="0.2">
      <c r="B4235" t="s">
        <v>6426</v>
      </c>
      <c r="C4235">
        <v>538987</v>
      </c>
      <c r="D4235" t="s">
        <v>366</v>
      </c>
      <c r="E4235" t="s">
        <v>721</v>
      </c>
    </row>
    <row r="4236" spans="2:5" x14ac:dyDescent="0.2">
      <c r="B4236" t="s">
        <v>6427</v>
      </c>
      <c r="C4236">
        <v>533200</v>
      </c>
      <c r="D4236" t="s">
        <v>6428</v>
      </c>
      <c r="E4236" t="s">
        <v>544</v>
      </c>
    </row>
    <row r="4237" spans="2:5" x14ac:dyDescent="0.2">
      <c r="B4237" t="s">
        <v>6429</v>
      </c>
      <c r="C4237">
        <v>541545</v>
      </c>
      <c r="D4237" t="s">
        <v>6430</v>
      </c>
      <c r="E4237" t="s">
        <v>544</v>
      </c>
    </row>
    <row r="4238" spans="2:5" x14ac:dyDescent="0.2">
      <c r="B4238" t="s">
        <v>6431</v>
      </c>
      <c r="C4238">
        <v>533170</v>
      </c>
      <c r="D4238" t="s">
        <v>366</v>
      </c>
      <c r="E4238" t="s">
        <v>386</v>
      </c>
    </row>
    <row r="4239" spans="2:5" x14ac:dyDescent="0.2">
      <c r="B4239" t="s">
        <v>6432</v>
      </c>
      <c r="C4239">
        <v>531426</v>
      </c>
      <c r="D4239" t="s">
        <v>6433</v>
      </c>
      <c r="E4239" t="s">
        <v>360</v>
      </c>
    </row>
    <row r="4240" spans="2:5" x14ac:dyDescent="0.2">
      <c r="B4240" t="s">
        <v>6434</v>
      </c>
      <c r="C4240">
        <v>521038</v>
      </c>
      <c r="D4240" t="s">
        <v>366</v>
      </c>
      <c r="E4240" t="s">
        <v>381</v>
      </c>
    </row>
    <row r="4241" spans="2:5" x14ac:dyDescent="0.2">
      <c r="B4241" t="s">
        <v>6435</v>
      </c>
      <c r="C4241">
        <v>500777</v>
      </c>
      <c r="D4241" t="s">
        <v>6436</v>
      </c>
      <c r="E4241" t="s">
        <v>414</v>
      </c>
    </row>
    <row r="4242" spans="2:5" x14ac:dyDescent="0.2">
      <c r="B4242" t="s">
        <v>6437</v>
      </c>
      <c r="C4242">
        <v>513540</v>
      </c>
      <c r="D4242" t="s">
        <v>366</v>
      </c>
      <c r="E4242" t="s">
        <v>689</v>
      </c>
    </row>
    <row r="4243" spans="2:5" x14ac:dyDescent="0.2">
      <c r="B4243" t="s">
        <v>6438</v>
      </c>
      <c r="C4243">
        <v>523419</v>
      </c>
      <c r="D4243" t="s">
        <v>6439</v>
      </c>
      <c r="E4243" t="s">
        <v>636</v>
      </c>
    </row>
    <row r="4244" spans="2:5" x14ac:dyDescent="0.2">
      <c r="B4244" t="s">
        <v>6440</v>
      </c>
      <c r="C4244">
        <v>522229</v>
      </c>
      <c r="D4244" t="s">
        <v>366</v>
      </c>
      <c r="E4244" t="s">
        <v>2846</v>
      </c>
    </row>
    <row r="4245" spans="2:5" x14ac:dyDescent="0.2">
      <c r="B4245" t="s">
        <v>6441</v>
      </c>
      <c r="C4245">
        <v>506854</v>
      </c>
      <c r="D4245" t="s">
        <v>366</v>
      </c>
      <c r="E4245" t="s">
        <v>414</v>
      </c>
    </row>
    <row r="4246" spans="2:5" x14ac:dyDescent="0.2">
      <c r="B4246" t="s">
        <v>6442</v>
      </c>
      <c r="C4246">
        <v>532790</v>
      </c>
      <c r="D4246" t="s">
        <v>6443</v>
      </c>
      <c r="E4246" t="s">
        <v>459</v>
      </c>
    </row>
    <row r="4247" spans="2:5" x14ac:dyDescent="0.2">
      <c r="B4247" t="s">
        <v>6444</v>
      </c>
      <c r="C4247">
        <v>532738</v>
      </c>
      <c r="D4247" t="s">
        <v>6445</v>
      </c>
      <c r="E4247" t="s">
        <v>764</v>
      </c>
    </row>
    <row r="4248" spans="2:5" x14ac:dyDescent="0.2">
      <c r="B4248" t="s">
        <v>6446</v>
      </c>
      <c r="C4248">
        <v>540332</v>
      </c>
      <c r="D4248" t="s">
        <v>366</v>
      </c>
      <c r="E4248" t="s">
        <v>388</v>
      </c>
    </row>
    <row r="4249" spans="2:5" x14ac:dyDescent="0.2">
      <c r="B4249" t="s">
        <v>6447</v>
      </c>
      <c r="C4249">
        <v>540332</v>
      </c>
      <c r="D4249" t="s">
        <v>366</v>
      </c>
      <c r="E4249" t="s">
        <v>388</v>
      </c>
    </row>
    <row r="4250" spans="2:5" x14ac:dyDescent="0.2">
      <c r="B4250" t="s">
        <v>6448</v>
      </c>
      <c r="C4250">
        <v>505685</v>
      </c>
      <c r="D4250" t="s">
        <v>366</v>
      </c>
      <c r="E4250" t="s">
        <v>689</v>
      </c>
    </row>
    <row r="4251" spans="2:5" x14ac:dyDescent="0.2">
      <c r="B4251" t="s">
        <v>6449</v>
      </c>
      <c r="C4251" t="s">
        <v>366</v>
      </c>
      <c r="D4251" t="s">
        <v>6450</v>
      </c>
      <c r="E4251" t="s">
        <v>377</v>
      </c>
    </row>
    <row r="4252" spans="2:5" x14ac:dyDescent="0.2">
      <c r="B4252" t="s">
        <v>6451</v>
      </c>
      <c r="C4252">
        <v>534756</v>
      </c>
      <c r="D4252" t="s">
        <v>6452</v>
      </c>
      <c r="E4252" t="s">
        <v>480</v>
      </c>
    </row>
    <row r="4253" spans="2:5" x14ac:dyDescent="0.2">
      <c r="B4253" t="s">
        <v>6453</v>
      </c>
      <c r="C4253">
        <v>519285</v>
      </c>
      <c r="D4253" t="s">
        <v>366</v>
      </c>
      <c r="E4253" t="s">
        <v>564</v>
      </c>
    </row>
    <row r="4254" spans="2:5" x14ac:dyDescent="0.2">
      <c r="B4254" t="s">
        <v>6454</v>
      </c>
      <c r="C4254">
        <v>533203</v>
      </c>
      <c r="D4254" t="s">
        <v>6455</v>
      </c>
      <c r="E4254" t="s">
        <v>409</v>
      </c>
    </row>
    <row r="4255" spans="2:5" x14ac:dyDescent="0.2">
      <c r="B4255" t="s">
        <v>6456</v>
      </c>
      <c r="C4255">
        <v>538496</v>
      </c>
      <c r="D4255" t="s">
        <v>366</v>
      </c>
      <c r="E4255" t="s">
        <v>450</v>
      </c>
    </row>
    <row r="4256" spans="2:5" x14ac:dyDescent="0.2">
      <c r="B4256" t="s">
        <v>6457</v>
      </c>
      <c r="C4256">
        <v>532869</v>
      </c>
      <c r="D4256" t="s">
        <v>6458</v>
      </c>
      <c r="E4256" t="s">
        <v>764</v>
      </c>
    </row>
    <row r="4257" spans="2:5" x14ac:dyDescent="0.2">
      <c r="B4257" t="s">
        <v>6459</v>
      </c>
      <c r="C4257">
        <v>512271</v>
      </c>
      <c r="D4257" t="s">
        <v>366</v>
      </c>
      <c r="E4257" t="s">
        <v>787</v>
      </c>
    </row>
    <row r="4258" spans="2:5" x14ac:dyDescent="0.2">
      <c r="B4258" t="s">
        <v>6460</v>
      </c>
      <c r="C4258">
        <v>512271</v>
      </c>
      <c r="D4258" t="s">
        <v>366</v>
      </c>
      <c r="E4258" t="s">
        <v>787</v>
      </c>
    </row>
    <row r="4259" spans="2:5" x14ac:dyDescent="0.2">
      <c r="B4259" t="s">
        <v>6461</v>
      </c>
      <c r="C4259">
        <v>519091</v>
      </c>
      <c r="D4259" t="s">
        <v>6462</v>
      </c>
      <c r="E4259" t="s">
        <v>426</v>
      </c>
    </row>
    <row r="4260" spans="2:5" x14ac:dyDescent="0.2">
      <c r="B4260" t="s">
        <v>6463</v>
      </c>
      <c r="C4260">
        <v>540955</v>
      </c>
      <c r="D4260" t="s">
        <v>366</v>
      </c>
      <c r="E4260" t="s">
        <v>426</v>
      </c>
    </row>
    <row r="4261" spans="2:5" x14ac:dyDescent="0.2">
      <c r="B4261" t="s">
        <v>6464</v>
      </c>
      <c r="C4261">
        <v>500770</v>
      </c>
      <c r="D4261" t="s">
        <v>6465</v>
      </c>
      <c r="E4261" t="s">
        <v>414</v>
      </c>
    </row>
    <row r="4262" spans="2:5" x14ac:dyDescent="0.2">
      <c r="B4262" t="s">
        <v>6466</v>
      </c>
      <c r="C4262">
        <v>532301</v>
      </c>
      <c r="D4262" t="s">
        <v>6467</v>
      </c>
      <c r="E4262" t="s">
        <v>773</v>
      </c>
    </row>
    <row r="4263" spans="2:5" x14ac:dyDescent="0.2">
      <c r="B4263" t="s">
        <v>6468</v>
      </c>
      <c r="C4263">
        <v>500483</v>
      </c>
      <c r="D4263" t="s">
        <v>6469</v>
      </c>
      <c r="E4263" t="s">
        <v>6470</v>
      </c>
    </row>
    <row r="4264" spans="2:5" x14ac:dyDescent="0.2">
      <c r="B4264" t="s">
        <v>6471</v>
      </c>
      <c r="C4264">
        <v>532540</v>
      </c>
      <c r="D4264" t="s">
        <v>6472</v>
      </c>
      <c r="E4264" t="s">
        <v>352</v>
      </c>
    </row>
    <row r="4265" spans="2:5" x14ac:dyDescent="0.2">
      <c r="B4265" t="s">
        <v>6473</v>
      </c>
      <c r="C4265">
        <v>500408</v>
      </c>
      <c r="D4265" t="s">
        <v>6474</v>
      </c>
      <c r="E4265" t="s">
        <v>459</v>
      </c>
    </row>
    <row r="4266" spans="2:5" x14ac:dyDescent="0.2">
      <c r="B4266" t="s">
        <v>6475</v>
      </c>
      <c r="C4266">
        <v>500800</v>
      </c>
      <c r="D4266" t="s">
        <v>6476</v>
      </c>
      <c r="E4266" t="s">
        <v>773</v>
      </c>
    </row>
    <row r="4267" spans="2:5" x14ac:dyDescent="0.2">
      <c r="B4267" t="s">
        <v>6477</v>
      </c>
      <c r="C4267">
        <v>501301</v>
      </c>
      <c r="D4267" t="s">
        <v>6478</v>
      </c>
      <c r="E4267" t="s">
        <v>532</v>
      </c>
    </row>
    <row r="4268" spans="2:5" x14ac:dyDescent="0.2">
      <c r="B4268" t="s">
        <v>6479</v>
      </c>
      <c r="C4268">
        <v>513434</v>
      </c>
      <c r="D4268" t="s">
        <v>6480</v>
      </c>
      <c r="E4268" t="s">
        <v>398</v>
      </c>
    </row>
    <row r="4269" spans="2:5" x14ac:dyDescent="0.2">
      <c r="B4269" t="s">
        <v>6481</v>
      </c>
      <c r="C4269">
        <v>500570</v>
      </c>
      <c r="D4269" t="s">
        <v>6482</v>
      </c>
      <c r="E4269" t="s">
        <v>444</v>
      </c>
    </row>
    <row r="4270" spans="2:5" x14ac:dyDescent="0.2">
      <c r="B4270" t="s">
        <v>6481</v>
      </c>
      <c r="C4270">
        <v>570001</v>
      </c>
      <c r="D4270" t="s">
        <v>6483</v>
      </c>
      <c r="E4270" t="s">
        <v>444</v>
      </c>
    </row>
    <row r="4271" spans="2:5" x14ac:dyDescent="0.2">
      <c r="B4271" t="s">
        <v>6484</v>
      </c>
      <c r="C4271">
        <v>500400</v>
      </c>
      <c r="D4271" t="s">
        <v>6485</v>
      </c>
      <c r="E4271" t="s">
        <v>505</v>
      </c>
    </row>
    <row r="4272" spans="2:5" x14ac:dyDescent="0.2">
      <c r="B4272" t="s">
        <v>6486</v>
      </c>
      <c r="C4272">
        <v>513010</v>
      </c>
      <c r="D4272" t="s">
        <v>6487</v>
      </c>
      <c r="E4272" t="s">
        <v>398</v>
      </c>
    </row>
    <row r="4273" spans="2:5" x14ac:dyDescent="0.2">
      <c r="B4273" t="s">
        <v>6488</v>
      </c>
      <c r="C4273" t="s">
        <v>366</v>
      </c>
      <c r="D4273" t="s">
        <v>6489</v>
      </c>
      <c r="E4273" t="s">
        <v>398</v>
      </c>
    </row>
    <row r="4274" spans="2:5" x14ac:dyDescent="0.2">
      <c r="B4274" t="s">
        <v>6490</v>
      </c>
      <c r="C4274">
        <v>500470</v>
      </c>
      <c r="D4274" t="s">
        <v>6491</v>
      </c>
      <c r="E4274" t="s">
        <v>398</v>
      </c>
    </row>
    <row r="4275" spans="2:5" x14ac:dyDescent="0.2">
      <c r="B4275" t="s">
        <v>6492</v>
      </c>
      <c r="C4275">
        <v>532371</v>
      </c>
      <c r="D4275" t="s">
        <v>6493</v>
      </c>
      <c r="E4275" t="s">
        <v>1308</v>
      </c>
    </row>
    <row r="4276" spans="2:5" x14ac:dyDescent="0.2">
      <c r="B4276" t="s">
        <v>6494</v>
      </c>
      <c r="C4276">
        <v>521228</v>
      </c>
      <c r="D4276" t="s">
        <v>366</v>
      </c>
      <c r="E4276" t="s">
        <v>480</v>
      </c>
    </row>
    <row r="4277" spans="2:5" x14ac:dyDescent="0.2">
      <c r="B4277" t="s">
        <v>6495</v>
      </c>
      <c r="C4277">
        <v>531190</v>
      </c>
      <c r="D4277" t="s">
        <v>366</v>
      </c>
      <c r="E4277" t="s">
        <v>381</v>
      </c>
    </row>
    <row r="4278" spans="2:5" x14ac:dyDescent="0.2">
      <c r="B4278" t="s">
        <v>6496</v>
      </c>
      <c r="C4278">
        <v>541228</v>
      </c>
      <c r="D4278" t="s">
        <v>366</v>
      </c>
      <c r="E4278" t="s">
        <v>374</v>
      </c>
    </row>
    <row r="4279" spans="2:5" x14ac:dyDescent="0.2">
      <c r="B4279" t="s">
        <v>6497</v>
      </c>
      <c r="C4279">
        <v>504961</v>
      </c>
      <c r="D4279" t="s">
        <v>366</v>
      </c>
      <c r="E4279" t="s">
        <v>398</v>
      </c>
    </row>
    <row r="4280" spans="2:5" x14ac:dyDescent="0.2">
      <c r="B4280" t="s">
        <v>6498</v>
      </c>
      <c r="C4280">
        <v>532284</v>
      </c>
      <c r="D4280" t="s">
        <v>366</v>
      </c>
      <c r="E4280" t="s">
        <v>349</v>
      </c>
    </row>
    <row r="4281" spans="2:5" x14ac:dyDescent="0.2">
      <c r="B4281" t="s">
        <v>6499</v>
      </c>
      <c r="C4281">
        <v>533393</v>
      </c>
      <c r="D4281" t="s">
        <v>6500</v>
      </c>
      <c r="E4281" t="s">
        <v>452</v>
      </c>
    </row>
    <row r="4282" spans="2:5" x14ac:dyDescent="0.2">
      <c r="B4282" t="s">
        <v>6501</v>
      </c>
      <c r="C4282">
        <v>540212</v>
      </c>
      <c r="D4282" t="s">
        <v>6502</v>
      </c>
      <c r="E4282" t="s">
        <v>687</v>
      </c>
    </row>
    <row r="4283" spans="2:5" x14ac:dyDescent="0.2">
      <c r="B4283" t="s">
        <v>6503</v>
      </c>
      <c r="C4283">
        <v>501242</v>
      </c>
      <c r="D4283" t="s">
        <v>6504</v>
      </c>
      <c r="E4283" t="s">
        <v>383</v>
      </c>
    </row>
    <row r="4284" spans="2:5" x14ac:dyDescent="0.2">
      <c r="B4284" t="s">
        <v>6505</v>
      </c>
      <c r="C4284">
        <v>532262</v>
      </c>
      <c r="D4284" t="s">
        <v>366</v>
      </c>
      <c r="E4284" t="s">
        <v>687</v>
      </c>
    </row>
    <row r="4285" spans="2:5" x14ac:dyDescent="0.2">
      <c r="B4285" t="s">
        <v>6506</v>
      </c>
      <c r="C4285">
        <v>524156</v>
      </c>
      <c r="D4285" t="s">
        <v>366</v>
      </c>
      <c r="E4285" t="s">
        <v>414</v>
      </c>
    </row>
    <row r="4286" spans="2:5" x14ac:dyDescent="0.2">
      <c r="B4286" t="s">
        <v>6507</v>
      </c>
      <c r="C4286">
        <v>541700</v>
      </c>
      <c r="D4286" t="s">
        <v>6508</v>
      </c>
      <c r="E4286" t="s">
        <v>480</v>
      </c>
    </row>
    <row r="4287" spans="2:5" x14ac:dyDescent="0.2">
      <c r="B4287" t="s">
        <v>6509</v>
      </c>
      <c r="C4287">
        <v>523301</v>
      </c>
      <c r="D4287" t="s">
        <v>6510</v>
      </c>
      <c r="E4287" t="s">
        <v>360</v>
      </c>
    </row>
    <row r="4288" spans="2:5" x14ac:dyDescent="0.2">
      <c r="B4288" t="s">
        <v>6511</v>
      </c>
      <c r="C4288" t="s">
        <v>366</v>
      </c>
      <c r="D4288" t="s">
        <v>6512</v>
      </c>
      <c r="E4288" t="s">
        <v>457</v>
      </c>
    </row>
    <row r="4289" spans="2:5" x14ac:dyDescent="0.2">
      <c r="B4289" t="s">
        <v>6513</v>
      </c>
      <c r="C4289">
        <v>512011</v>
      </c>
      <c r="D4289" t="s">
        <v>366</v>
      </c>
      <c r="E4289" t="s">
        <v>388</v>
      </c>
    </row>
    <row r="4290" spans="2:5" x14ac:dyDescent="0.2">
      <c r="B4290" t="s">
        <v>6514</v>
      </c>
      <c r="C4290">
        <v>539658</v>
      </c>
      <c r="D4290" t="s">
        <v>6515</v>
      </c>
      <c r="E4290" t="s">
        <v>3141</v>
      </c>
    </row>
    <row r="4291" spans="2:5" x14ac:dyDescent="0.2">
      <c r="B4291" t="s">
        <v>6516</v>
      </c>
      <c r="C4291">
        <v>532755</v>
      </c>
      <c r="D4291" t="s">
        <v>6517</v>
      </c>
      <c r="E4291" t="s">
        <v>352</v>
      </c>
    </row>
    <row r="4292" spans="2:5" x14ac:dyDescent="0.2">
      <c r="B4292" t="s">
        <v>6518</v>
      </c>
      <c r="C4292">
        <v>526576</v>
      </c>
      <c r="D4292" t="s">
        <v>6519</v>
      </c>
      <c r="E4292" t="s">
        <v>564</v>
      </c>
    </row>
    <row r="4293" spans="2:5" x14ac:dyDescent="0.2">
      <c r="B4293" t="s">
        <v>6520</v>
      </c>
      <c r="C4293">
        <v>542141</v>
      </c>
      <c r="D4293" t="s">
        <v>6521</v>
      </c>
      <c r="E4293" t="s">
        <v>764</v>
      </c>
    </row>
    <row r="4294" spans="2:5" x14ac:dyDescent="0.2">
      <c r="B4294" t="s">
        <v>6522</v>
      </c>
      <c r="C4294">
        <v>532804</v>
      </c>
      <c r="D4294" t="s">
        <v>6523</v>
      </c>
      <c r="E4294" t="s">
        <v>689</v>
      </c>
    </row>
    <row r="4295" spans="2:5" x14ac:dyDescent="0.2">
      <c r="B4295" t="s">
        <v>6524</v>
      </c>
      <c r="C4295">
        <v>532804</v>
      </c>
      <c r="D4295" t="s">
        <v>6523</v>
      </c>
      <c r="E4295" t="s">
        <v>689</v>
      </c>
    </row>
    <row r="4296" spans="2:5" x14ac:dyDescent="0.2">
      <c r="B4296" t="s">
        <v>6525</v>
      </c>
      <c r="C4296">
        <v>533216</v>
      </c>
      <c r="D4296" t="s">
        <v>6526</v>
      </c>
      <c r="E4296" t="s">
        <v>764</v>
      </c>
    </row>
    <row r="4297" spans="2:5" x14ac:dyDescent="0.2">
      <c r="B4297" t="s">
        <v>6527</v>
      </c>
      <c r="C4297">
        <v>509917</v>
      </c>
      <c r="D4297" t="s">
        <v>366</v>
      </c>
      <c r="E4297" t="s">
        <v>908</v>
      </c>
    </row>
    <row r="4298" spans="2:5" x14ac:dyDescent="0.2">
      <c r="B4298" t="s">
        <v>6528</v>
      </c>
      <c r="C4298">
        <v>501421</v>
      </c>
      <c r="D4298" t="s">
        <v>366</v>
      </c>
      <c r="E4298" t="s">
        <v>459</v>
      </c>
    </row>
    <row r="4299" spans="2:5" x14ac:dyDescent="0.2">
      <c r="B4299" t="s">
        <v>6529</v>
      </c>
      <c r="C4299">
        <v>524204</v>
      </c>
      <c r="D4299" t="s">
        <v>366</v>
      </c>
      <c r="E4299" t="s">
        <v>874</v>
      </c>
    </row>
    <row r="4300" spans="2:5" x14ac:dyDescent="0.2">
      <c r="B4300" t="s">
        <v>6530</v>
      </c>
      <c r="C4300">
        <v>540595</v>
      </c>
      <c r="D4300" t="s">
        <v>6531</v>
      </c>
      <c r="E4300" t="s">
        <v>1311</v>
      </c>
    </row>
    <row r="4301" spans="2:5" x14ac:dyDescent="0.2">
      <c r="B4301" t="s">
        <v>6532</v>
      </c>
      <c r="C4301">
        <v>539428</v>
      </c>
      <c r="D4301" t="s">
        <v>366</v>
      </c>
      <c r="E4301" t="s">
        <v>836</v>
      </c>
    </row>
    <row r="4302" spans="2:5" x14ac:dyDescent="0.2">
      <c r="B4302" t="s">
        <v>6533</v>
      </c>
      <c r="C4302">
        <v>530595</v>
      </c>
      <c r="D4302" t="s">
        <v>366</v>
      </c>
      <c r="E4302" t="s">
        <v>459</v>
      </c>
    </row>
    <row r="4303" spans="2:5" x14ac:dyDescent="0.2">
      <c r="B4303" t="s">
        <v>6534</v>
      </c>
      <c r="C4303">
        <v>533982</v>
      </c>
      <c r="D4303" t="s">
        <v>6535</v>
      </c>
      <c r="E4303" t="s">
        <v>352</v>
      </c>
    </row>
    <row r="4304" spans="2:5" x14ac:dyDescent="0.2">
      <c r="B4304" t="s">
        <v>6536</v>
      </c>
      <c r="C4304">
        <v>530533</v>
      </c>
      <c r="D4304" t="s">
        <v>366</v>
      </c>
      <c r="E4304" t="s">
        <v>773</v>
      </c>
    </row>
    <row r="4305" spans="2:5" x14ac:dyDescent="0.2">
      <c r="B4305" t="s">
        <v>6537</v>
      </c>
      <c r="C4305">
        <v>506162</v>
      </c>
      <c r="D4305" t="s">
        <v>366</v>
      </c>
      <c r="E4305" t="s">
        <v>349</v>
      </c>
    </row>
    <row r="4306" spans="2:5" x14ac:dyDescent="0.2">
      <c r="B4306" t="s">
        <v>6538</v>
      </c>
      <c r="C4306">
        <v>512157</v>
      </c>
      <c r="D4306" t="s">
        <v>366</v>
      </c>
      <c r="E4306" t="s">
        <v>787</v>
      </c>
    </row>
    <row r="4307" spans="2:5" x14ac:dyDescent="0.2">
      <c r="B4307" t="s">
        <v>6539</v>
      </c>
      <c r="C4307">
        <v>505400</v>
      </c>
      <c r="D4307" t="s">
        <v>6540</v>
      </c>
      <c r="E4307" t="s">
        <v>452</v>
      </c>
    </row>
    <row r="4308" spans="2:5" x14ac:dyDescent="0.2">
      <c r="B4308" t="s">
        <v>6541</v>
      </c>
      <c r="C4308">
        <v>533326</v>
      </c>
      <c r="D4308" t="s">
        <v>6542</v>
      </c>
      <c r="E4308" t="s">
        <v>764</v>
      </c>
    </row>
    <row r="4309" spans="2:5" x14ac:dyDescent="0.2">
      <c r="B4309" t="s">
        <v>6543</v>
      </c>
      <c r="C4309">
        <v>533164</v>
      </c>
      <c r="D4309" t="s">
        <v>6544</v>
      </c>
      <c r="E4309" t="s">
        <v>486</v>
      </c>
    </row>
    <row r="4310" spans="2:5" x14ac:dyDescent="0.2">
      <c r="B4310" t="s">
        <v>6545</v>
      </c>
      <c r="C4310">
        <v>532845</v>
      </c>
      <c r="D4310" t="s">
        <v>6546</v>
      </c>
      <c r="E4310" t="s">
        <v>567</v>
      </c>
    </row>
    <row r="4311" spans="2:5" x14ac:dyDescent="0.2">
      <c r="B4311" t="s">
        <v>6547</v>
      </c>
      <c r="C4311">
        <v>507753</v>
      </c>
      <c r="D4311" t="s">
        <v>366</v>
      </c>
      <c r="E4311" t="s">
        <v>414</v>
      </c>
    </row>
    <row r="4312" spans="2:5" x14ac:dyDescent="0.2">
      <c r="B4312" t="s">
        <v>6548</v>
      </c>
      <c r="C4312">
        <v>509945</v>
      </c>
      <c r="D4312" t="s">
        <v>366</v>
      </c>
      <c r="E4312" t="s">
        <v>349</v>
      </c>
    </row>
    <row r="4313" spans="2:5" x14ac:dyDescent="0.2">
      <c r="B4313" t="s">
        <v>6549</v>
      </c>
      <c r="C4313">
        <v>526654</v>
      </c>
      <c r="D4313" t="s">
        <v>366</v>
      </c>
      <c r="E4313" t="s">
        <v>452</v>
      </c>
    </row>
    <row r="4314" spans="2:5" x14ac:dyDescent="0.2">
      <c r="B4314" t="s">
        <v>6550</v>
      </c>
      <c r="C4314">
        <v>509015</v>
      </c>
      <c r="D4314" t="s">
        <v>366</v>
      </c>
      <c r="E4314" t="s">
        <v>908</v>
      </c>
    </row>
    <row r="4315" spans="2:5" x14ac:dyDescent="0.2">
      <c r="B4315" t="s">
        <v>6551</v>
      </c>
      <c r="C4315">
        <v>509015</v>
      </c>
      <c r="D4315" t="s">
        <v>366</v>
      </c>
      <c r="E4315" t="s">
        <v>908</v>
      </c>
    </row>
    <row r="4316" spans="2:5" x14ac:dyDescent="0.2">
      <c r="B4316" t="s">
        <v>6552</v>
      </c>
      <c r="C4316">
        <v>514484</v>
      </c>
      <c r="D4316" t="s">
        <v>366</v>
      </c>
      <c r="E4316" t="s">
        <v>381</v>
      </c>
    </row>
    <row r="4317" spans="2:5" x14ac:dyDescent="0.2">
      <c r="B4317" t="s">
        <v>6553</v>
      </c>
      <c r="C4317">
        <v>533158</v>
      </c>
      <c r="D4317" t="s">
        <v>6554</v>
      </c>
      <c r="E4317" t="s">
        <v>480</v>
      </c>
    </row>
    <row r="4318" spans="2:5" x14ac:dyDescent="0.2">
      <c r="B4318" t="s">
        <v>6555</v>
      </c>
      <c r="C4318">
        <v>590062</v>
      </c>
      <c r="D4318" t="s">
        <v>6556</v>
      </c>
      <c r="E4318" t="s">
        <v>414</v>
      </c>
    </row>
    <row r="4319" spans="2:5" x14ac:dyDescent="0.2">
      <c r="B4319" t="s">
        <v>6557</v>
      </c>
      <c r="C4319">
        <v>542460</v>
      </c>
      <c r="D4319" t="s">
        <v>6558</v>
      </c>
      <c r="E4319" t="s">
        <v>374</v>
      </c>
    </row>
    <row r="4320" spans="2:5" x14ac:dyDescent="0.2">
      <c r="B4320" t="s">
        <v>6559</v>
      </c>
      <c r="C4320">
        <v>531373</v>
      </c>
      <c r="D4320" t="s">
        <v>6560</v>
      </c>
      <c r="E4320" t="s">
        <v>567</v>
      </c>
    </row>
    <row r="4321" spans="2:5" x14ac:dyDescent="0.2">
      <c r="B4321" t="s">
        <v>6561</v>
      </c>
      <c r="C4321">
        <v>500469</v>
      </c>
      <c r="D4321" t="s">
        <v>6562</v>
      </c>
      <c r="E4321" t="s">
        <v>684</v>
      </c>
    </row>
    <row r="4322" spans="2:5" x14ac:dyDescent="0.2">
      <c r="B4322" t="s">
        <v>6563</v>
      </c>
      <c r="C4322">
        <v>500620</v>
      </c>
      <c r="D4322" t="s">
        <v>6564</v>
      </c>
      <c r="E4322" t="s">
        <v>1611</v>
      </c>
    </row>
    <row r="4323" spans="2:5" x14ac:dyDescent="0.2">
      <c r="B4323" t="s">
        <v>6565</v>
      </c>
      <c r="C4323" t="s">
        <v>366</v>
      </c>
      <c r="D4323" t="s">
        <v>6566</v>
      </c>
      <c r="E4323" t="s">
        <v>457</v>
      </c>
    </row>
    <row r="4324" spans="2:5" x14ac:dyDescent="0.2">
      <c r="B4324" t="s">
        <v>6567</v>
      </c>
      <c r="C4324">
        <v>522073</v>
      </c>
      <c r="D4324" t="s">
        <v>6568</v>
      </c>
      <c r="E4324" t="s">
        <v>721</v>
      </c>
    </row>
    <row r="4325" spans="2:5" x14ac:dyDescent="0.2">
      <c r="B4325" t="s">
        <v>6569</v>
      </c>
      <c r="C4325">
        <v>530005</v>
      </c>
      <c r="D4325" t="s">
        <v>6570</v>
      </c>
      <c r="E4325" t="s">
        <v>379</v>
      </c>
    </row>
    <row r="4326" spans="2:5" x14ac:dyDescent="0.2">
      <c r="B4326" t="s">
        <v>6571</v>
      </c>
      <c r="C4326">
        <v>500850</v>
      </c>
      <c r="D4326" t="s">
        <v>6572</v>
      </c>
      <c r="E4326" t="s">
        <v>567</v>
      </c>
    </row>
    <row r="4327" spans="2:5" x14ac:dyDescent="0.2">
      <c r="B4327" t="s">
        <v>6573</v>
      </c>
      <c r="C4327">
        <v>540954</v>
      </c>
      <c r="D4327" t="s">
        <v>366</v>
      </c>
      <c r="E4327" t="s">
        <v>861</v>
      </c>
    </row>
    <row r="4328" spans="2:5" x14ac:dyDescent="0.2">
      <c r="B4328" t="s">
        <v>6574</v>
      </c>
      <c r="C4328">
        <v>530023</v>
      </c>
      <c r="D4328" t="s">
        <v>6575</v>
      </c>
      <c r="E4328" t="s">
        <v>383</v>
      </c>
    </row>
    <row r="4329" spans="2:5" x14ac:dyDescent="0.2">
      <c r="B4329" t="s">
        <v>6576</v>
      </c>
      <c r="C4329">
        <v>530023</v>
      </c>
      <c r="D4329" t="s">
        <v>6575</v>
      </c>
      <c r="E4329" t="s">
        <v>383</v>
      </c>
    </row>
    <row r="4330" spans="2:5" x14ac:dyDescent="0.2">
      <c r="B4330" t="s">
        <v>6577</v>
      </c>
      <c r="C4330">
        <v>532209</v>
      </c>
      <c r="D4330" t="s">
        <v>6578</v>
      </c>
      <c r="E4330" t="s">
        <v>684</v>
      </c>
    </row>
    <row r="4331" spans="2:5" x14ac:dyDescent="0.2">
      <c r="B4331" t="s">
        <v>6579</v>
      </c>
      <c r="C4331">
        <v>532652</v>
      </c>
      <c r="D4331" t="s">
        <v>6580</v>
      </c>
      <c r="E4331" t="s">
        <v>684</v>
      </c>
    </row>
    <row r="4332" spans="2:5" x14ac:dyDescent="0.2">
      <c r="B4332" t="s">
        <v>6581</v>
      </c>
      <c r="C4332">
        <v>540210</v>
      </c>
      <c r="D4332" t="s">
        <v>6582</v>
      </c>
      <c r="E4332" t="s">
        <v>367</v>
      </c>
    </row>
    <row r="4333" spans="2:5" x14ac:dyDescent="0.2">
      <c r="B4333" t="s">
        <v>6583</v>
      </c>
      <c r="C4333">
        <v>501343</v>
      </c>
      <c r="D4333" t="s">
        <v>6584</v>
      </c>
      <c r="E4333" t="s">
        <v>383</v>
      </c>
    </row>
    <row r="4334" spans="2:5" x14ac:dyDescent="0.2">
      <c r="B4334" t="s">
        <v>6585</v>
      </c>
      <c r="C4334">
        <v>540769</v>
      </c>
      <c r="D4334" t="s">
        <v>6586</v>
      </c>
      <c r="E4334" t="s">
        <v>2445</v>
      </c>
    </row>
    <row r="4335" spans="2:5" x14ac:dyDescent="0.2">
      <c r="B4335" t="s">
        <v>6587</v>
      </c>
      <c r="C4335">
        <v>590086</v>
      </c>
      <c r="D4335" t="s">
        <v>6588</v>
      </c>
      <c r="E4335" t="s">
        <v>346</v>
      </c>
    </row>
    <row r="4336" spans="2:5" x14ac:dyDescent="0.2">
      <c r="B4336" t="s">
        <v>6589</v>
      </c>
      <c r="C4336" t="s">
        <v>366</v>
      </c>
      <c r="D4336" t="s">
        <v>6590</v>
      </c>
      <c r="E4336" t="s">
        <v>457</v>
      </c>
    </row>
    <row r="4337" spans="2:5" x14ac:dyDescent="0.2">
      <c r="B4337" t="s">
        <v>6591</v>
      </c>
      <c r="C4337">
        <v>503100</v>
      </c>
      <c r="D4337" t="s">
        <v>6592</v>
      </c>
      <c r="E4337" t="s">
        <v>452</v>
      </c>
    </row>
    <row r="4338" spans="2:5" x14ac:dyDescent="0.2">
      <c r="B4338" t="s">
        <v>6593</v>
      </c>
      <c r="C4338">
        <v>542123</v>
      </c>
      <c r="D4338" t="s">
        <v>366</v>
      </c>
      <c r="E4338" t="s">
        <v>874</v>
      </c>
    </row>
    <row r="4339" spans="2:5" x14ac:dyDescent="0.2">
      <c r="B4339" t="s">
        <v>6594</v>
      </c>
      <c r="C4339">
        <v>500260</v>
      </c>
      <c r="D4339" t="s">
        <v>6595</v>
      </c>
      <c r="E4339" t="s">
        <v>379</v>
      </c>
    </row>
    <row r="4340" spans="2:5" x14ac:dyDescent="0.2">
      <c r="B4340" t="s">
        <v>6596</v>
      </c>
      <c r="C4340">
        <v>503169</v>
      </c>
      <c r="D4340" t="s">
        <v>6597</v>
      </c>
      <c r="E4340" t="s">
        <v>381</v>
      </c>
    </row>
    <row r="4341" spans="2:5" x14ac:dyDescent="0.2">
      <c r="B4341" t="s">
        <v>6598</v>
      </c>
      <c r="C4341">
        <v>526725</v>
      </c>
      <c r="D4341" t="s">
        <v>6599</v>
      </c>
      <c r="E4341" t="s">
        <v>890</v>
      </c>
    </row>
    <row r="4342" spans="2:5" x14ac:dyDescent="0.2">
      <c r="B4342" t="s">
        <v>6600</v>
      </c>
      <c r="C4342">
        <v>532218</v>
      </c>
      <c r="D4342" t="s">
        <v>6601</v>
      </c>
      <c r="E4342" t="s">
        <v>684</v>
      </c>
    </row>
    <row r="4343" spans="2:5" x14ac:dyDescent="0.2">
      <c r="B4343" t="s">
        <v>6602</v>
      </c>
      <c r="C4343">
        <v>512531</v>
      </c>
      <c r="D4343" t="s">
        <v>6603</v>
      </c>
      <c r="E4343" t="s">
        <v>388</v>
      </c>
    </row>
    <row r="4344" spans="2:5" x14ac:dyDescent="0.2">
      <c r="B4344" t="s">
        <v>6604</v>
      </c>
      <c r="C4344">
        <v>512531</v>
      </c>
      <c r="D4344" t="s">
        <v>6605</v>
      </c>
      <c r="E4344" t="s">
        <v>388</v>
      </c>
    </row>
    <row r="4345" spans="2:5" x14ac:dyDescent="0.2">
      <c r="B4345" t="s">
        <v>6606</v>
      </c>
      <c r="C4345">
        <v>504966</v>
      </c>
      <c r="D4345" t="s">
        <v>6607</v>
      </c>
      <c r="E4345" t="s">
        <v>561</v>
      </c>
    </row>
    <row r="4346" spans="2:5" x14ac:dyDescent="0.2">
      <c r="B4346" t="s">
        <v>6608</v>
      </c>
      <c r="C4346">
        <v>504966</v>
      </c>
      <c r="D4346" t="s">
        <v>6607</v>
      </c>
      <c r="E4346" t="s">
        <v>561</v>
      </c>
    </row>
    <row r="4347" spans="2:5" x14ac:dyDescent="0.2">
      <c r="B4347" t="s">
        <v>6609</v>
      </c>
      <c r="C4347">
        <v>530363</v>
      </c>
      <c r="D4347" t="s">
        <v>6610</v>
      </c>
      <c r="E4347" t="s">
        <v>1065</v>
      </c>
    </row>
    <row r="4348" spans="2:5" x14ac:dyDescent="0.2">
      <c r="B4348" t="s">
        <v>6611</v>
      </c>
      <c r="C4348" t="s">
        <v>366</v>
      </c>
      <c r="D4348" t="s">
        <v>6612</v>
      </c>
      <c r="E4348" t="s">
        <v>457</v>
      </c>
    </row>
    <row r="4349" spans="2:5" x14ac:dyDescent="0.2">
      <c r="B4349" t="s">
        <v>6613</v>
      </c>
      <c r="C4349" t="s">
        <v>366</v>
      </c>
      <c r="D4349" t="s">
        <v>6614</v>
      </c>
      <c r="E4349" t="s">
        <v>457</v>
      </c>
    </row>
    <row r="4350" spans="2:5" x14ac:dyDescent="0.2">
      <c r="B4350" t="s">
        <v>6615</v>
      </c>
      <c r="C4350">
        <v>540980</v>
      </c>
      <c r="D4350" t="s">
        <v>366</v>
      </c>
      <c r="E4350" t="s">
        <v>388</v>
      </c>
    </row>
    <row r="4351" spans="2:5" x14ac:dyDescent="0.2">
      <c r="B4351" t="s">
        <v>6616</v>
      </c>
      <c r="C4351" t="s">
        <v>366</v>
      </c>
      <c r="D4351" t="s">
        <v>6617</v>
      </c>
      <c r="E4351" t="s">
        <v>377</v>
      </c>
    </row>
    <row r="4352" spans="2:5" x14ac:dyDescent="0.2">
      <c r="B4352" t="s">
        <v>6618</v>
      </c>
      <c r="C4352">
        <v>530199</v>
      </c>
      <c r="D4352" t="s">
        <v>6619</v>
      </c>
      <c r="E4352" t="s">
        <v>404</v>
      </c>
    </row>
    <row r="4353" spans="2:5" x14ac:dyDescent="0.2">
      <c r="B4353" t="s">
        <v>6620</v>
      </c>
      <c r="C4353">
        <v>500411</v>
      </c>
      <c r="D4353" t="s">
        <v>6621</v>
      </c>
      <c r="E4353" t="s">
        <v>409</v>
      </c>
    </row>
    <row r="4354" spans="2:5" x14ac:dyDescent="0.2">
      <c r="B4354" t="s">
        <v>6622</v>
      </c>
      <c r="C4354">
        <v>539310</v>
      </c>
      <c r="D4354" t="s">
        <v>366</v>
      </c>
      <c r="E4354" t="s">
        <v>1965</v>
      </c>
    </row>
    <row r="4355" spans="2:5" x14ac:dyDescent="0.2">
      <c r="B4355" t="s">
        <v>6623</v>
      </c>
      <c r="C4355">
        <v>538464</v>
      </c>
      <c r="D4355" t="s">
        <v>366</v>
      </c>
      <c r="E4355" t="s">
        <v>383</v>
      </c>
    </row>
    <row r="4356" spans="2:5" x14ac:dyDescent="0.2">
      <c r="B4356" t="s">
        <v>6624</v>
      </c>
      <c r="C4356">
        <v>531652</v>
      </c>
      <c r="D4356" t="s">
        <v>366</v>
      </c>
      <c r="E4356" t="s">
        <v>383</v>
      </c>
    </row>
    <row r="4357" spans="2:5" x14ac:dyDescent="0.2">
      <c r="B4357" t="s">
        <v>6625</v>
      </c>
      <c r="C4357">
        <v>507450</v>
      </c>
      <c r="D4357" t="s">
        <v>6626</v>
      </c>
      <c r="E4357" t="s">
        <v>1065</v>
      </c>
    </row>
    <row r="4358" spans="2:5" x14ac:dyDescent="0.2">
      <c r="B4358" t="s">
        <v>6627</v>
      </c>
      <c r="C4358">
        <v>500412</v>
      </c>
      <c r="D4358" t="s">
        <v>6628</v>
      </c>
      <c r="E4358" t="s">
        <v>414</v>
      </c>
    </row>
    <row r="4359" spans="2:5" x14ac:dyDescent="0.2">
      <c r="B4359" t="s">
        <v>6629</v>
      </c>
      <c r="C4359">
        <v>500413</v>
      </c>
      <c r="D4359" t="s">
        <v>6630</v>
      </c>
      <c r="E4359" t="s">
        <v>1367</v>
      </c>
    </row>
    <row r="4360" spans="2:5" x14ac:dyDescent="0.2">
      <c r="B4360" t="s">
        <v>6631</v>
      </c>
      <c r="C4360">
        <v>500413</v>
      </c>
      <c r="D4360" t="s">
        <v>6630</v>
      </c>
      <c r="E4360" t="s">
        <v>1367</v>
      </c>
    </row>
    <row r="4361" spans="2:5" x14ac:dyDescent="0.2">
      <c r="B4361" t="s">
        <v>6632</v>
      </c>
      <c r="C4361">
        <v>533941</v>
      </c>
      <c r="D4361" t="s">
        <v>6633</v>
      </c>
      <c r="E4361" t="s">
        <v>480</v>
      </c>
    </row>
    <row r="4362" spans="2:5" x14ac:dyDescent="0.2">
      <c r="B4362" t="s">
        <v>6634</v>
      </c>
      <c r="C4362">
        <v>533941</v>
      </c>
      <c r="D4362" t="s">
        <v>6633</v>
      </c>
      <c r="E4362" t="s">
        <v>480</v>
      </c>
    </row>
    <row r="4363" spans="2:5" x14ac:dyDescent="0.2">
      <c r="B4363" t="s">
        <v>6635</v>
      </c>
      <c r="C4363">
        <v>539871</v>
      </c>
      <c r="D4363" t="s">
        <v>6636</v>
      </c>
      <c r="E4363" t="s">
        <v>555</v>
      </c>
    </row>
    <row r="4364" spans="2:5" x14ac:dyDescent="0.2">
      <c r="B4364" t="s">
        <v>6637</v>
      </c>
      <c r="C4364">
        <v>504973</v>
      </c>
      <c r="D4364" t="s">
        <v>6638</v>
      </c>
      <c r="E4364" t="s">
        <v>721</v>
      </c>
    </row>
    <row r="4365" spans="2:5" x14ac:dyDescent="0.2">
      <c r="B4365" t="s">
        <v>6639</v>
      </c>
      <c r="C4365">
        <v>540108</v>
      </c>
      <c r="D4365" t="s">
        <v>366</v>
      </c>
      <c r="E4365" t="s">
        <v>349</v>
      </c>
    </row>
    <row r="4366" spans="2:5" x14ac:dyDescent="0.2">
      <c r="B4366" t="s">
        <v>6640</v>
      </c>
      <c r="C4366">
        <v>590005</v>
      </c>
      <c r="D4366" t="s">
        <v>6641</v>
      </c>
      <c r="E4366" t="s">
        <v>576</v>
      </c>
    </row>
    <row r="4367" spans="2:5" x14ac:dyDescent="0.2">
      <c r="B4367" t="s">
        <v>6642</v>
      </c>
      <c r="C4367">
        <v>590005</v>
      </c>
      <c r="D4367" t="s">
        <v>6641</v>
      </c>
      <c r="E4367" t="s">
        <v>576</v>
      </c>
    </row>
    <row r="4368" spans="2:5" x14ac:dyDescent="0.2">
      <c r="B4368" t="s">
        <v>6643</v>
      </c>
      <c r="C4368">
        <v>536264</v>
      </c>
      <c r="D4368" t="s">
        <v>366</v>
      </c>
      <c r="E4368" t="s">
        <v>687</v>
      </c>
    </row>
    <row r="4369" spans="2:5" x14ac:dyDescent="0.2">
      <c r="B4369" t="s">
        <v>6644</v>
      </c>
      <c r="C4369">
        <v>536264</v>
      </c>
      <c r="D4369" t="s">
        <v>366</v>
      </c>
      <c r="E4369" t="s">
        <v>687</v>
      </c>
    </row>
    <row r="4370" spans="2:5" x14ac:dyDescent="0.2">
      <c r="B4370" t="s">
        <v>6645</v>
      </c>
      <c r="C4370">
        <v>533629</v>
      </c>
      <c r="D4370" t="s">
        <v>6646</v>
      </c>
      <c r="E4370" t="s">
        <v>486</v>
      </c>
    </row>
    <row r="4371" spans="2:5" x14ac:dyDescent="0.2">
      <c r="B4371" t="s">
        <v>6647</v>
      </c>
      <c r="C4371">
        <v>505196</v>
      </c>
      <c r="D4371" t="s">
        <v>6648</v>
      </c>
      <c r="E4371" t="s">
        <v>489</v>
      </c>
    </row>
    <row r="4372" spans="2:5" x14ac:dyDescent="0.2">
      <c r="B4372" t="s">
        <v>6649</v>
      </c>
      <c r="C4372">
        <v>503663</v>
      </c>
      <c r="D4372" t="s">
        <v>6650</v>
      </c>
      <c r="E4372" t="s">
        <v>386</v>
      </c>
    </row>
    <row r="4373" spans="2:5" x14ac:dyDescent="0.2">
      <c r="B4373" t="s">
        <v>6651</v>
      </c>
      <c r="C4373">
        <v>507205</v>
      </c>
      <c r="D4373" t="s">
        <v>6652</v>
      </c>
      <c r="E4373" t="s">
        <v>998</v>
      </c>
    </row>
    <row r="4374" spans="2:5" x14ac:dyDescent="0.2">
      <c r="B4374" t="s">
        <v>6653</v>
      </c>
      <c r="C4374">
        <v>532856</v>
      </c>
      <c r="D4374" t="s">
        <v>6654</v>
      </c>
      <c r="E4374" t="s">
        <v>486</v>
      </c>
    </row>
    <row r="4375" spans="2:5" x14ac:dyDescent="0.2">
      <c r="B4375" t="s">
        <v>6655</v>
      </c>
      <c r="C4375">
        <v>511559</v>
      </c>
      <c r="D4375" t="s">
        <v>6656</v>
      </c>
      <c r="E4375" t="s">
        <v>383</v>
      </c>
    </row>
    <row r="4376" spans="2:5" x14ac:dyDescent="0.2">
      <c r="B4376" t="s">
        <v>6657</v>
      </c>
      <c r="C4376">
        <v>500414</v>
      </c>
      <c r="D4376" t="s">
        <v>366</v>
      </c>
      <c r="E4376" t="s">
        <v>480</v>
      </c>
    </row>
    <row r="4377" spans="2:5" x14ac:dyDescent="0.2">
      <c r="B4377" t="s">
        <v>6658</v>
      </c>
      <c r="C4377">
        <v>500414</v>
      </c>
      <c r="D4377" t="s">
        <v>366</v>
      </c>
      <c r="E4377" t="s">
        <v>480</v>
      </c>
    </row>
    <row r="4378" spans="2:5" x14ac:dyDescent="0.2">
      <c r="B4378" t="s">
        <v>6659</v>
      </c>
      <c r="C4378">
        <v>522113</v>
      </c>
      <c r="D4378" t="s">
        <v>6660</v>
      </c>
      <c r="E4378" t="s">
        <v>374</v>
      </c>
    </row>
    <row r="4379" spans="2:5" x14ac:dyDescent="0.2">
      <c r="B4379" t="s">
        <v>6661</v>
      </c>
      <c r="C4379">
        <v>522113</v>
      </c>
      <c r="D4379" t="s">
        <v>6660</v>
      </c>
      <c r="E4379" t="s">
        <v>374</v>
      </c>
    </row>
    <row r="4380" spans="2:5" x14ac:dyDescent="0.2">
      <c r="B4380" t="s">
        <v>6662</v>
      </c>
      <c r="C4380">
        <v>530475</v>
      </c>
      <c r="D4380" t="s">
        <v>366</v>
      </c>
      <c r="E4380" t="s">
        <v>526</v>
      </c>
    </row>
    <row r="4381" spans="2:5" x14ac:dyDescent="0.2">
      <c r="B4381" t="s">
        <v>6663</v>
      </c>
      <c r="C4381">
        <v>541741</v>
      </c>
      <c r="D4381" t="s">
        <v>366</v>
      </c>
      <c r="E4381" t="s">
        <v>388</v>
      </c>
    </row>
    <row r="4382" spans="2:5" x14ac:dyDescent="0.2">
      <c r="B4382" t="s">
        <v>6664</v>
      </c>
      <c r="C4382">
        <v>532375</v>
      </c>
      <c r="D4382" t="s">
        <v>6665</v>
      </c>
      <c r="E4382" t="s">
        <v>369</v>
      </c>
    </row>
    <row r="4383" spans="2:5" x14ac:dyDescent="0.2">
      <c r="B4383" t="s">
        <v>6666</v>
      </c>
      <c r="C4383">
        <v>539488</v>
      </c>
      <c r="D4383" t="s">
        <v>366</v>
      </c>
      <c r="E4383" t="s">
        <v>386</v>
      </c>
    </row>
    <row r="4384" spans="2:5" x14ac:dyDescent="0.2">
      <c r="B4384" t="s">
        <v>6667</v>
      </c>
      <c r="C4384">
        <v>540904</v>
      </c>
      <c r="D4384" t="s">
        <v>366</v>
      </c>
      <c r="E4384" t="s">
        <v>643</v>
      </c>
    </row>
    <row r="4385" spans="2:5" x14ac:dyDescent="0.2">
      <c r="B4385" t="s">
        <v>6668</v>
      </c>
      <c r="C4385" t="s">
        <v>366</v>
      </c>
      <c r="D4385" t="s">
        <v>6669</v>
      </c>
      <c r="E4385" t="s">
        <v>377</v>
      </c>
    </row>
    <row r="4386" spans="2:5" x14ac:dyDescent="0.2">
      <c r="B4386" t="s">
        <v>6670</v>
      </c>
      <c r="C4386">
        <v>531547</v>
      </c>
      <c r="D4386" t="s">
        <v>366</v>
      </c>
      <c r="E4386" t="s">
        <v>564</v>
      </c>
    </row>
    <row r="4387" spans="2:5" x14ac:dyDescent="0.2">
      <c r="B4387" t="s">
        <v>6671</v>
      </c>
      <c r="C4387">
        <v>531547</v>
      </c>
      <c r="D4387" t="s">
        <v>366</v>
      </c>
      <c r="E4387" t="s">
        <v>564</v>
      </c>
    </row>
    <row r="4388" spans="2:5" x14ac:dyDescent="0.2">
      <c r="B4388" t="s">
        <v>6672</v>
      </c>
      <c r="C4388">
        <v>531814</v>
      </c>
      <c r="D4388" t="s">
        <v>366</v>
      </c>
      <c r="E4388" t="s">
        <v>452</v>
      </c>
    </row>
    <row r="4389" spans="2:5" x14ac:dyDescent="0.2">
      <c r="B4389" t="s">
        <v>6673</v>
      </c>
      <c r="C4389">
        <v>524582</v>
      </c>
      <c r="D4389" t="s">
        <v>366</v>
      </c>
      <c r="E4389" t="s">
        <v>446</v>
      </c>
    </row>
    <row r="4390" spans="2:5" x14ac:dyDescent="0.2">
      <c r="B4390" t="s">
        <v>6674</v>
      </c>
      <c r="C4390">
        <v>539040</v>
      </c>
      <c r="D4390" t="s">
        <v>366</v>
      </c>
      <c r="E4390" t="s">
        <v>846</v>
      </c>
    </row>
    <row r="4391" spans="2:5" x14ac:dyDescent="0.2">
      <c r="B4391" t="s">
        <v>6675</v>
      </c>
      <c r="C4391">
        <v>539985</v>
      </c>
      <c r="D4391" t="s">
        <v>366</v>
      </c>
      <c r="E4391" t="s">
        <v>381</v>
      </c>
    </row>
    <row r="4392" spans="2:5" x14ac:dyDescent="0.2">
      <c r="B4392" t="s">
        <v>6676</v>
      </c>
      <c r="C4392">
        <v>532966</v>
      </c>
      <c r="D4392" t="s">
        <v>6677</v>
      </c>
      <c r="E4392" t="s">
        <v>444</v>
      </c>
    </row>
    <row r="4393" spans="2:5" x14ac:dyDescent="0.2">
      <c r="B4393" t="s">
        <v>6678</v>
      </c>
      <c r="C4393">
        <v>524717</v>
      </c>
      <c r="D4393" t="s">
        <v>366</v>
      </c>
      <c r="E4393" t="s">
        <v>526</v>
      </c>
    </row>
    <row r="4394" spans="2:5" x14ac:dyDescent="0.2">
      <c r="B4394" t="s">
        <v>6679</v>
      </c>
      <c r="C4394">
        <v>500114</v>
      </c>
      <c r="D4394" t="s">
        <v>6680</v>
      </c>
      <c r="E4394" t="s">
        <v>480</v>
      </c>
    </row>
    <row r="4395" spans="2:5" x14ac:dyDescent="0.2">
      <c r="B4395" t="s">
        <v>6681</v>
      </c>
      <c r="C4395">
        <v>530045</v>
      </c>
      <c r="D4395" t="s">
        <v>366</v>
      </c>
      <c r="E4395" t="s">
        <v>383</v>
      </c>
    </row>
    <row r="4396" spans="2:5" x14ac:dyDescent="0.2">
      <c r="B4396" t="s">
        <v>6682</v>
      </c>
      <c r="C4396">
        <v>511096</v>
      </c>
      <c r="D4396" t="s">
        <v>366</v>
      </c>
      <c r="E4396" t="s">
        <v>452</v>
      </c>
    </row>
    <row r="4397" spans="2:5" x14ac:dyDescent="0.2">
      <c r="B4397" t="s">
        <v>6683</v>
      </c>
      <c r="C4397">
        <v>531830</v>
      </c>
      <c r="D4397" t="s">
        <v>6684</v>
      </c>
      <c r="E4397" t="s">
        <v>912</v>
      </c>
    </row>
    <row r="4398" spans="2:5" x14ac:dyDescent="0.2">
      <c r="B4398" t="s">
        <v>6685</v>
      </c>
      <c r="C4398">
        <v>531644</v>
      </c>
      <c r="D4398" t="s">
        <v>366</v>
      </c>
      <c r="E4398" t="s">
        <v>383</v>
      </c>
    </row>
    <row r="4399" spans="2:5" x14ac:dyDescent="0.2">
      <c r="B4399" t="s">
        <v>6686</v>
      </c>
      <c r="C4399">
        <v>500418</v>
      </c>
      <c r="D4399" t="s">
        <v>6687</v>
      </c>
      <c r="E4399" t="s">
        <v>486</v>
      </c>
    </row>
    <row r="4400" spans="2:5" x14ac:dyDescent="0.2">
      <c r="B4400" t="s">
        <v>6688</v>
      </c>
      <c r="C4400">
        <v>500420</v>
      </c>
      <c r="D4400" t="s">
        <v>6689</v>
      </c>
      <c r="E4400" t="s">
        <v>404</v>
      </c>
    </row>
    <row r="4401" spans="2:5" x14ac:dyDescent="0.2">
      <c r="B4401" t="s">
        <v>6690</v>
      </c>
      <c r="C4401">
        <v>532779</v>
      </c>
      <c r="D4401" t="s">
        <v>6691</v>
      </c>
      <c r="E4401" t="s">
        <v>505</v>
      </c>
    </row>
    <row r="4402" spans="2:5" x14ac:dyDescent="0.2">
      <c r="B4402" t="s">
        <v>6692</v>
      </c>
      <c r="C4402">
        <v>523878</v>
      </c>
      <c r="D4402" t="s">
        <v>366</v>
      </c>
      <c r="E4402" t="s">
        <v>691</v>
      </c>
    </row>
    <row r="4403" spans="2:5" x14ac:dyDescent="0.2">
      <c r="B4403" t="s">
        <v>6693</v>
      </c>
      <c r="C4403" t="s">
        <v>366</v>
      </c>
      <c r="D4403" t="s">
        <v>6694</v>
      </c>
      <c r="E4403" t="s">
        <v>377</v>
      </c>
    </row>
    <row r="4404" spans="2:5" x14ac:dyDescent="0.2">
      <c r="B4404" t="s">
        <v>6695</v>
      </c>
      <c r="C4404" t="s">
        <v>366</v>
      </c>
      <c r="D4404" t="s">
        <v>6696</v>
      </c>
      <c r="E4404" t="s">
        <v>377</v>
      </c>
    </row>
    <row r="4405" spans="2:5" x14ac:dyDescent="0.2">
      <c r="B4405" t="s">
        <v>6697</v>
      </c>
      <c r="C4405">
        <v>526650</v>
      </c>
      <c r="D4405" t="s">
        <v>6698</v>
      </c>
      <c r="E4405" t="s">
        <v>2694</v>
      </c>
    </row>
    <row r="4406" spans="2:5" x14ac:dyDescent="0.2">
      <c r="B4406" t="s">
        <v>6699</v>
      </c>
      <c r="C4406">
        <v>526650</v>
      </c>
      <c r="D4406" t="s">
        <v>6698</v>
      </c>
      <c r="E4406" t="s">
        <v>2694</v>
      </c>
    </row>
    <row r="4407" spans="2:5" x14ac:dyDescent="0.2">
      <c r="B4407" t="s">
        <v>6700</v>
      </c>
      <c r="C4407">
        <v>531771</v>
      </c>
      <c r="D4407" t="s">
        <v>366</v>
      </c>
      <c r="E4407" t="s">
        <v>664</v>
      </c>
    </row>
    <row r="4408" spans="2:5" x14ac:dyDescent="0.2">
      <c r="B4408" t="s">
        <v>6701</v>
      </c>
      <c r="C4408">
        <v>538607</v>
      </c>
      <c r="D4408" t="s">
        <v>366</v>
      </c>
      <c r="E4408" t="s">
        <v>349</v>
      </c>
    </row>
    <row r="4409" spans="2:5" x14ac:dyDescent="0.2">
      <c r="B4409" t="s">
        <v>6702</v>
      </c>
      <c r="C4409">
        <v>500421</v>
      </c>
      <c r="D4409" t="s">
        <v>366</v>
      </c>
      <c r="E4409" t="s">
        <v>561</v>
      </c>
    </row>
    <row r="4410" spans="2:5" x14ac:dyDescent="0.2">
      <c r="B4410" t="s">
        <v>6703</v>
      </c>
      <c r="C4410">
        <v>500421</v>
      </c>
      <c r="D4410" t="s">
        <v>366</v>
      </c>
      <c r="E4410" t="s">
        <v>561</v>
      </c>
    </row>
    <row r="4411" spans="2:5" x14ac:dyDescent="0.2">
      <c r="B4411" t="s">
        <v>6704</v>
      </c>
      <c r="C4411">
        <v>526582</v>
      </c>
      <c r="D4411" t="s">
        <v>6705</v>
      </c>
      <c r="E4411" t="s">
        <v>486</v>
      </c>
    </row>
    <row r="4412" spans="2:5" x14ac:dyDescent="0.2">
      <c r="B4412" t="s">
        <v>6706</v>
      </c>
      <c r="C4412">
        <v>509953</v>
      </c>
      <c r="D4412" t="s">
        <v>366</v>
      </c>
      <c r="E4412" t="s">
        <v>1367</v>
      </c>
    </row>
    <row r="4413" spans="2:5" x14ac:dyDescent="0.2">
      <c r="B4413" t="s">
        <v>6707</v>
      </c>
      <c r="C4413">
        <v>530783</v>
      </c>
      <c r="D4413" t="s">
        <v>366</v>
      </c>
      <c r="E4413" t="s">
        <v>404</v>
      </c>
    </row>
    <row r="4414" spans="2:5" x14ac:dyDescent="0.2">
      <c r="B4414" t="s">
        <v>6708</v>
      </c>
      <c r="C4414">
        <v>526961</v>
      </c>
      <c r="D4414" t="s">
        <v>6709</v>
      </c>
      <c r="E4414" t="s">
        <v>383</v>
      </c>
    </row>
    <row r="4415" spans="2:5" x14ac:dyDescent="0.2">
      <c r="B4415" t="s">
        <v>6710</v>
      </c>
      <c r="C4415">
        <v>500422</v>
      </c>
      <c r="D4415" t="s">
        <v>366</v>
      </c>
      <c r="E4415" t="s">
        <v>404</v>
      </c>
    </row>
    <row r="4416" spans="2:5" x14ac:dyDescent="0.2">
      <c r="B4416" t="s">
        <v>6711</v>
      </c>
      <c r="C4416">
        <v>532410</v>
      </c>
      <c r="D4416" t="s">
        <v>366</v>
      </c>
      <c r="E4416" t="s">
        <v>349</v>
      </c>
    </row>
    <row r="4417" spans="2:5" x14ac:dyDescent="0.2">
      <c r="B4417" t="s">
        <v>6712</v>
      </c>
      <c r="C4417">
        <v>532928</v>
      </c>
      <c r="D4417" t="s">
        <v>6713</v>
      </c>
      <c r="E4417" t="s">
        <v>409</v>
      </c>
    </row>
    <row r="4418" spans="2:5" x14ac:dyDescent="0.2">
      <c r="B4418" t="s">
        <v>6714</v>
      </c>
      <c r="C4418">
        <v>532928</v>
      </c>
      <c r="D4418" t="s">
        <v>6713</v>
      </c>
      <c r="E4418" t="s">
        <v>409</v>
      </c>
    </row>
    <row r="4419" spans="2:5" x14ac:dyDescent="0.2">
      <c r="B4419" t="s">
        <v>6715</v>
      </c>
      <c r="C4419">
        <v>513063</v>
      </c>
      <c r="D4419" t="s">
        <v>366</v>
      </c>
      <c r="E4419" t="s">
        <v>689</v>
      </c>
    </row>
    <row r="4420" spans="2:5" x14ac:dyDescent="0.2">
      <c r="B4420" t="s">
        <v>6716</v>
      </c>
      <c r="C4420">
        <v>526139</v>
      </c>
      <c r="D4420" t="s">
        <v>366</v>
      </c>
      <c r="E4420" t="s">
        <v>555</v>
      </c>
    </row>
    <row r="4421" spans="2:5" x14ac:dyDescent="0.2">
      <c r="B4421" t="s">
        <v>6717</v>
      </c>
      <c r="C4421">
        <v>519367</v>
      </c>
      <c r="D4421" t="s">
        <v>366</v>
      </c>
      <c r="E4421" t="s">
        <v>801</v>
      </c>
    </row>
    <row r="4422" spans="2:5" x14ac:dyDescent="0.2">
      <c r="B4422" t="s">
        <v>6718</v>
      </c>
      <c r="C4422">
        <v>509003</v>
      </c>
      <c r="D4422" t="s">
        <v>366</v>
      </c>
      <c r="E4422" t="s">
        <v>787</v>
      </c>
    </row>
    <row r="4423" spans="2:5" x14ac:dyDescent="0.2">
      <c r="B4423" t="s">
        <v>6719</v>
      </c>
      <c r="C4423">
        <v>506687</v>
      </c>
      <c r="D4423" t="s">
        <v>366</v>
      </c>
      <c r="E4423" t="s">
        <v>414</v>
      </c>
    </row>
    <row r="4424" spans="2:5" x14ac:dyDescent="0.2">
      <c r="B4424" t="s">
        <v>6720</v>
      </c>
      <c r="C4424">
        <v>532349</v>
      </c>
      <c r="D4424" t="s">
        <v>6721</v>
      </c>
      <c r="E4424" t="s">
        <v>438</v>
      </c>
    </row>
    <row r="4425" spans="2:5" x14ac:dyDescent="0.2">
      <c r="B4425" t="s">
        <v>6722</v>
      </c>
      <c r="C4425">
        <v>532349</v>
      </c>
      <c r="D4425" t="s">
        <v>6721</v>
      </c>
      <c r="E4425" t="s">
        <v>438</v>
      </c>
    </row>
    <row r="4426" spans="2:5" x14ac:dyDescent="0.2">
      <c r="B4426" t="s">
        <v>6723</v>
      </c>
      <c r="C4426">
        <v>532812</v>
      </c>
      <c r="D4426" t="s">
        <v>6724</v>
      </c>
      <c r="E4426" t="s">
        <v>383</v>
      </c>
    </row>
    <row r="4427" spans="2:5" x14ac:dyDescent="0.2">
      <c r="B4427" t="s">
        <v>6725</v>
      </c>
      <c r="C4427" t="s">
        <v>366</v>
      </c>
      <c r="D4427" t="s">
        <v>6726</v>
      </c>
      <c r="E4427" t="s">
        <v>377</v>
      </c>
    </row>
    <row r="4428" spans="2:5" x14ac:dyDescent="0.2">
      <c r="B4428" t="s">
        <v>6727</v>
      </c>
      <c r="C4428">
        <v>533540</v>
      </c>
      <c r="D4428" t="s">
        <v>6728</v>
      </c>
      <c r="E4428" t="s">
        <v>471</v>
      </c>
    </row>
    <row r="4429" spans="2:5" x14ac:dyDescent="0.2">
      <c r="B4429" t="s">
        <v>6729</v>
      </c>
      <c r="C4429">
        <v>542233</v>
      </c>
      <c r="D4429" t="s">
        <v>6730</v>
      </c>
      <c r="E4429" t="s">
        <v>1560</v>
      </c>
    </row>
    <row r="4430" spans="2:5" x14ac:dyDescent="0.2">
      <c r="B4430" t="s">
        <v>6731</v>
      </c>
      <c r="C4430">
        <v>500251</v>
      </c>
      <c r="D4430" t="s">
        <v>6732</v>
      </c>
      <c r="E4430" t="s">
        <v>367</v>
      </c>
    </row>
    <row r="4431" spans="2:5" x14ac:dyDescent="0.2">
      <c r="B4431" t="s">
        <v>6733</v>
      </c>
      <c r="C4431">
        <v>532159</v>
      </c>
      <c r="D4431" t="s">
        <v>366</v>
      </c>
      <c r="E4431" t="s">
        <v>349</v>
      </c>
    </row>
    <row r="4432" spans="2:5" x14ac:dyDescent="0.2">
      <c r="B4432" t="s">
        <v>6734</v>
      </c>
      <c r="C4432">
        <v>505854</v>
      </c>
      <c r="D4432" t="s">
        <v>6735</v>
      </c>
      <c r="E4432" t="s">
        <v>374</v>
      </c>
    </row>
    <row r="4433" spans="2:5" x14ac:dyDescent="0.2">
      <c r="B4433" t="s">
        <v>6736</v>
      </c>
      <c r="C4433">
        <v>534369</v>
      </c>
      <c r="D4433" t="s">
        <v>6737</v>
      </c>
      <c r="E4433" t="s">
        <v>480</v>
      </c>
    </row>
    <row r="4434" spans="2:5" x14ac:dyDescent="0.2">
      <c r="B4434" t="s">
        <v>6738</v>
      </c>
      <c r="C4434">
        <v>531716</v>
      </c>
      <c r="D4434" t="s">
        <v>366</v>
      </c>
      <c r="E4434" t="s">
        <v>446</v>
      </c>
    </row>
    <row r="4435" spans="2:5" x14ac:dyDescent="0.2">
      <c r="B4435" t="s">
        <v>6739</v>
      </c>
      <c r="C4435">
        <v>521064</v>
      </c>
      <c r="D4435" t="s">
        <v>6740</v>
      </c>
      <c r="E4435" t="s">
        <v>381</v>
      </c>
    </row>
    <row r="4436" spans="2:5" x14ac:dyDescent="0.2">
      <c r="B4436" t="s">
        <v>6741</v>
      </c>
      <c r="C4436">
        <v>540726</v>
      </c>
      <c r="D4436" t="s">
        <v>366</v>
      </c>
      <c r="E4436" t="s">
        <v>388</v>
      </c>
    </row>
    <row r="4437" spans="2:5" x14ac:dyDescent="0.2">
      <c r="B4437" t="s">
        <v>6742</v>
      </c>
      <c r="C4437">
        <v>531972</v>
      </c>
      <c r="D4437" t="s">
        <v>366</v>
      </c>
      <c r="E4437" t="s">
        <v>551</v>
      </c>
    </row>
    <row r="4438" spans="2:5" x14ac:dyDescent="0.2">
      <c r="B4438" t="s">
        <v>6743</v>
      </c>
      <c r="C4438">
        <v>517562</v>
      </c>
      <c r="D4438" t="s">
        <v>6744</v>
      </c>
      <c r="E4438" t="s">
        <v>352</v>
      </c>
    </row>
    <row r="4439" spans="2:5" x14ac:dyDescent="0.2">
      <c r="B4439" t="s">
        <v>6745</v>
      </c>
      <c r="C4439">
        <v>531658</v>
      </c>
      <c r="D4439" t="s">
        <v>366</v>
      </c>
      <c r="E4439" t="s">
        <v>383</v>
      </c>
    </row>
    <row r="4440" spans="2:5" x14ac:dyDescent="0.2">
      <c r="B4440" t="s">
        <v>6746</v>
      </c>
      <c r="C4440">
        <v>536565</v>
      </c>
      <c r="D4440" t="s">
        <v>366</v>
      </c>
      <c r="E4440" t="s">
        <v>6747</v>
      </c>
    </row>
    <row r="4441" spans="2:5" x14ac:dyDescent="0.2">
      <c r="B4441" t="s">
        <v>6748</v>
      </c>
      <c r="C4441">
        <v>531846</v>
      </c>
      <c r="D4441" t="s">
        <v>366</v>
      </c>
      <c r="E4441" t="s">
        <v>349</v>
      </c>
    </row>
    <row r="4442" spans="2:5" x14ac:dyDescent="0.2">
      <c r="B4442" t="s">
        <v>6749</v>
      </c>
      <c r="C4442">
        <v>531846</v>
      </c>
      <c r="D4442" t="s">
        <v>366</v>
      </c>
      <c r="E4442" t="s">
        <v>349</v>
      </c>
    </row>
    <row r="4443" spans="2:5" x14ac:dyDescent="0.2">
      <c r="B4443" t="s">
        <v>6750</v>
      </c>
      <c r="C4443">
        <v>534755</v>
      </c>
      <c r="D4443" t="s">
        <v>6751</v>
      </c>
      <c r="E4443" t="s">
        <v>349</v>
      </c>
    </row>
    <row r="4444" spans="2:5" x14ac:dyDescent="0.2">
      <c r="B4444" t="s">
        <v>6752</v>
      </c>
      <c r="C4444">
        <v>512101</v>
      </c>
      <c r="D4444" t="s">
        <v>366</v>
      </c>
      <c r="E4444" t="s">
        <v>404</v>
      </c>
    </row>
    <row r="4445" spans="2:5" x14ac:dyDescent="0.2">
      <c r="B4445" t="s">
        <v>6753</v>
      </c>
      <c r="C4445">
        <v>531279</v>
      </c>
      <c r="D4445" t="s">
        <v>366</v>
      </c>
      <c r="E4445" t="s">
        <v>383</v>
      </c>
    </row>
    <row r="4446" spans="2:5" x14ac:dyDescent="0.2">
      <c r="B4446" t="s">
        <v>6754</v>
      </c>
      <c r="C4446">
        <v>523387</v>
      </c>
      <c r="D4446" t="s">
        <v>366</v>
      </c>
      <c r="E4446" t="s">
        <v>480</v>
      </c>
    </row>
    <row r="4447" spans="2:5" x14ac:dyDescent="0.2">
      <c r="B4447" t="s">
        <v>6755</v>
      </c>
      <c r="C4447">
        <v>505978</v>
      </c>
      <c r="D4447" t="s">
        <v>366</v>
      </c>
      <c r="E4447" t="s">
        <v>721</v>
      </c>
    </row>
    <row r="4448" spans="2:5" x14ac:dyDescent="0.2">
      <c r="B4448" t="s">
        <v>6756</v>
      </c>
      <c r="C4448">
        <v>532356</v>
      </c>
      <c r="D4448" t="s">
        <v>6757</v>
      </c>
      <c r="E4448" t="s">
        <v>1065</v>
      </c>
    </row>
    <row r="4449" spans="2:5" x14ac:dyDescent="0.2">
      <c r="B4449" t="s">
        <v>6758</v>
      </c>
      <c r="C4449">
        <v>538569</v>
      </c>
      <c r="D4449" t="s">
        <v>6759</v>
      </c>
      <c r="E4449" t="s">
        <v>732</v>
      </c>
    </row>
    <row r="4450" spans="2:5" x14ac:dyDescent="0.2">
      <c r="B4450" t="s">
        <v>6760</v>
      </c>
      <c r="C4450">
        <v>502281</v>
      </c>
      <c r="D4450" t="s">
        <v>366</v>
      </c>
      <c r="E4450" t="s">
        <v>894</v>
      </c>
    </row>
    <row r="4451" spans="2:5" x14ac:dyDescent="0.2">
      <c r="B4451" t="s">
        <v>6761</v>
      </c>
      <c r="C4451">
        <v>533655</v>
      </c>
      <c r="D4451" t="s">
        <v>6762</v>
      </c>
      <c r="E4451" t="s">
        <v>409</v>
      </c>
    </row>
    <row r="4452" spans="2:5" x14ac:dyDescent="0.2">
      <c r="B4452" t="s">
        <v>6763</v>
      </c>
      <c r="C4452">
        <v>538579</v>
      </c>
      <c r="D4452" t="s">
        <v>366</v>
      </c>
      <c r="E4452" t="s">
        <v>388</v>
      </c>
    </row>
    <row r="4453" spans="2:5" x14ac:dyDescent="0.2">
      <c r="B4453" t="s">
        <v>6764</v>
      </c>
      <c r="C4453">
        <v>519303</v>
      </c>
      <c r="D4453" t="s">
        <v>366</v>
      </c>
      <c r="E4453" t="s">
        <v>615</v>
      </c>
    </row>
    <row r="4454" spans="2:5" x14ac:dyDescent="0.2">
      <c r="B4454" t="s">
        <v>6765</v>
      </c>
      <c r="C4454">
        <v>538597</v>
      </c>
      <c r="D4454" t="s">
        <v>366</v>
      </c>
      <c r="E4454" t="s">
        <v>383</v>
      </c>
    </row>
    <row r="4455" spans="2:5" x14ac:dyDescent="0.2">
      <c r="B4455" t="s">
        <v>6766</v>
      </c>
      <c r="C4455">
        <v>507747</v>
      </c>
      <c r="D4455" t="s">
        <v>6767</v>
      </c>
      <c r="E4455" t="s">
        <v>404</v>
      </c>
    </row>
    <row r="4456" spans="2:5" x14ac:dyDescent="0.2">
      <c r="B4456" t="s">
        <v>6768</v>
      </c>
      <c r="C4456">
        <v>517506</v>
      </c>
      <c r="D4456" t="s">
        <v>6769</v>
      </c>
      <c r="E4456" t="s">
        <v>1410</v>
      </c>
    </row>
    <row r="4457" spans="2:5" x14ac:dyDescent="0.2">
      <c r="B4457" t="s">
        <v>6770</v>
      </c>
      <c r="C4457">
        <v>514236</v>
      </c>
      <c r="D4457" t="s">
        <v>6771</v>
      </c>
      <c r="E4457" t="s">
        <v>732</v>
      </c>
    </row>
    <row r="4458" spans="2:5" x14ac:dyDescent="0.2">
      <c r="B4458" t="s">
        <v>6772</v>
      </c>
      <c r="C4458">
        <v>540762</v>
      </c>
      <c r="D4458" t="s">
        <v>6773</v>
      </c>
      <c r="E4458" t="s">
        <v>721</v>
      </c>
    </row>
    <row r="4459" spans="2:5" x14ac:dyDescent="0.2">
      <c r="B4459" t="s">
        <v>6774</v>
      </c>
      <c r="C4459">
        <v>540762</v>
      </c>
      <c r="D4459" t="s">
        <v>6775</v>
      </c>
      <c r="E4459" t="s">
        <v>721</v>
      </c>
    </row>
    <row r="4460" spans="2:5" x14ac:dyDescent="0.2">
      <c r="B4460" t="s">
        <v>6776</v>
      </c>
      <c r="C4460">
        <v>524514</v>
      </c>
      <c r="D4460" t="s">
        <v>366</v>
      </c>
      <c r="E4460" t="s">
        <v>414</v>
      </c>
    </row>
    <row r="4461" spans="2:5" x14ac:dyDescent="0.2">
      <c r="B4461" t="s">
        <v>6777</v>
      </c>
      <c r="C4461">
        <v>531088</v>
      </c>
      <c r="D4461" t="s">
        <v>366</v>
      </c>
      <c r="E4461" t="s">
        <v>383</v>
      </c>
    </row>
    <row r="4462" spans="2:5" x14ac:dyDescent="0.2">
      <c r="B4462" t="s">
        <v>6778</v>
      </c>
      <c r="C4462">
        <v>505285</v>
      </c>
      <c r="D4462" t="s">
        <v>366</v>
      </c>
      <c r="E4462" t="s">
        <v>551</v>
      </c>
    </row>
    <row r="4463" spans="2:5" x14ac:dyDescent="0.2">
      <c r="B4463" t="s">
        <v>6779</v>
      </c>
      <c r="C4463">
        <v>532948</v>
      </c>
      <c r="D4463" t="s">
        <v>6780</v>
      </c>
      <c r="E4463" t="s">
        <v>486</v>
      </c>
    </row>
    <row r="4464" spans="2:5" x14ac:dyDescent="0.2">
      <c r="B4464" t="s">
        <v>6781</v>
      </c>
      <c r="C4464">
        <v>504273</v>
      </c>
      <c r="D4464" t="s">
        <v>366</v>
      </c>
      <c r="E4464" t="s">
        <v>664</v>
      </c>
    </row>
    <row r="4465" spans="2:5" x14ac:dyDescent="0.2">
      <c r="B4465" t="s">
        <v>6782</v>
      </c>
      <c r="C4465">
        <v>531411</v>
      </c>
      <c r="D4465" t="s">
        <v>366</v>
      </c>
      <c r="E4465" t="s">
        <v>381</v>
      </c>
    </row>
    <row r="4466" spans="2:5" x14ac:dyDescent="0.2">
      <c r="B4466" t="s">
        <v>6783</v>
      </c>
      <c r="C4466">
        <v>506808</v>
      </c>
      <c r="D4466" t="s">
        <v>366</v>
      </c>
      <c r="E4466" t="s">
        <v>414</v>
      </c>
    </row>
    <row r="4467" spans="2:5" x14ac:dyDescent="0.2">
      <c r="B4467" t="s">
        <v>6784</v>
      </c>
      <c r="C4467">
        <v>532515</v>
      </c>
      <c r="D4467" t="s">
        <v>6785</v>
      </c>
      <c r="E4467" t="s">
        <v>1103</v>
      </c>
    </row>
    <row r="4468" spans="2:5" x14ac:dyDescent="0.2">
      <c r="B4468" t="s">
        <v>6786</v>
      </c>
      <c r="C4468">
        <v>540083</v>
      </c>
      <c r="D4468" t="s">
        <v>6787</v>
      </c>
      <c r="E4468" t="s">
        <v>1103</v>
      </c>
    </row>
    <row r="4469" spans="2:5" x14ac:dyDescent="0.2">
      <c r="B4469" t="s">
        <v>6788</v>
      </c>
      <c r="C4469">
        <v>532800</v>
      </c>
      <c r="D4469" t="s">
        <v>6789</v>
      </c>
      <c r="E4469" t="s">
        <v>1103</v>
      </c>
    </row>
    <row r="4470" spans="2:5" x14ac:dyDescent="0.2">
      <c r="B4470" t="s">
        <v>6790</v>
      </c>
      <c r="C4470">
        <v>532513</v>
      </c>
      <c r="D4470" t="s">
        <v>6791</v>
      </c>
      <c r="E4470" t="s">
        <v>463</v>
      </c>
    </row>
    <row r="4471" spans="2:5" x14ac:dyDescent="0.2">
      <c r="B4471" t="s">
        <v>6792</v>
      </c>
      <c r="C4471">
        <v>532343</v>
      </c>
      <c r="D4471" t="s">
        <v>6793</v>
      </c>
      <c r="E4471" t="s">
        <v>1024</v>
      </c>
    </row>
    <row r="4472" spans="2:5" x14ac:dyDescent="0.2">
      <c r="B4472" t="s">
        <v>6794</v>
      </c>
      <c r="C4472">
        <v>509243</v>
      </c>
      <c r="D4472" t="s">
        <v>6795</v>
      </c>
      <c r="E4472" t="s">
        <v>846</v>
      </c>
    </row>
    <row r="4473" spans="2:5" x14ac:dyDescent="0.2">
      <c r="B4473" t="s">
        <v>6796</v>
      </c>
      <c r="C4473">
        <v>512117</v>
      </c>
      <c r="D4473" t="s">
        <v>366</v>
      </c>
      <c r="E4473" t="s">
        <v>787</v>
      </c>
    </row>
    <row r="4474" spans="2:5" x14ac:dyDescent="0.2">
      <c r="B4474" t="s">
        <v>6797</v>
      </c>
      <c r="C4474">
        <v>531917</v>
      </c>
      <c r="D4474" t="s">
        <v>366</v>
      </c>
      <c r="E4474" t="s">
        <v>459</v>
      </c>
    </row>
    <row r="4475" spans="2:5" x14ac:dyDescent="0.2">
      <c r="B4475" t="s">
        <v>6798</v>
      </c>
      <c r="C4475">
        <v>532384</v>
      </c>
      <c r="D4475" t="s">
        <v>366</v>
      </c>
      <c r="E4475" t="s">
        <v>404</v>
      </c>
    </row>
    <row r="4476" spans="2:5" x14ac:dyDescent="0.2">
      <c r="B4476" t="s">
        <v>6799</v>
      </c>
      <c r="C4476">
        <v>539468</v>
      </c>
      <c r="D4476" t="s">
        <v>366</v>
      </c>
      <c r="E4476" t="s">
        <v>383</v>
      </c>
    </row>
    <row r="4477" spans="2:5" x14ac:dyDescent="0.2">
      <c r="B4477" t="s">
        <v>6800</v>
      </c>
      <c r="C4477">
        <v>512307</v>
      </c>
      <c r="D4477" t="s">
        <v>366</v>
      </c>
      <c r="E4477" t="s">
        <v>381</v>
      </c>
    </row>
    <row r="4478" spans="2:5" x14ac:dyDescent="0.2">
      <c r="B4478" t="s">
        <v>6801</v>
      </c>
      <c r="C4478">
        <v>526945</v>
      </c>
      <c r="D4478" t="s">
        <v>366</v>
      </c>
      <c r="E4478" t="s">
        <v>773</v>
      </c>
    </row>
    <row r="4479" spans="2:5" x14ac:dyDescent="0.2">
      <c r="B4479" t="s">
        <v>6802</v>
      </c>
      <c r="C4479">
        <v>541338</v>
      </c>
      <c r="D4479" t="s">
        <v>366</v>
      </c>
      <c r="E4479" t="s">
        <v>480</v>
      </c>
    </row>
    <row r="4480" spans="2:5" x14ac:dyDescent="0.2">
      <c r="B4480" t="s">
        <v>6803</v>
      </c>
      <c r="C4480">
        <v>500464</v>
      </c>
      <c r="D4480" t="s">
        <v>6804</v>
      </c>
      <c r="E4480" t="s">
        <v>721</v>
      </c>
    </row>
    <row r="4481" spans="2:5" x14ac:dyDescent="0.2">
      <c r="B4481" t="s">
        <v>6805</v>
      </c>
      <c r="C4481">
        <v>532505</v>
      </c>
      <c r="D4481" t="s">
        <v>6806</v>
      </c>
      <c r="E4481" t="s">
        <v>684</v>
      </c>
    </row>
    <row r="4482" spans="2:5" x14ac:dyDescent="0.2">
      <c r="B4482" t="s">
        <v>6807</v>
      </c>
      <c r="C4482">
        <v>530131</v>
      </c>
      <c r="D4482" t="s">
        <v>366</v>
      </c>
      <c r="E4482" t="s">
        <v>379</v>
      </c>
    </row>
    <row r="4483" spans="2:5" x14ac:dyDescent="0.2">
      <c r="B4483" t="s">
        <v>6808</v>
      </c>
      <c r="C4483">
        <v>539518</v>
      </c>
      <c r="D4483" t="s">
        <v>366</v>
      </c>
      <c r="E4483" t="s">
        <v>400</v>
      </c>
    </row>
    <row r="4484" spans="2:5" x14ac:dyDescent="0.2">
      <c r="B4484" t="s">
        <v>6809</v>
      </c>
      <c r="C4484">
        <v>500148</v>
      </c>
      <c r="D4484" t="s">
        <v>6810</v>
      </c>
      <c r="E4484" t="s">
        <v>561</v>
      </c>
    </row>
    <row r="4485" spans="2:5" x14ac:dyDescent="0.2">
      <c r="B4485" t="s">
        <v>6811</v>
      </c>
      <c r="C4485">
        <v>539141</v>
      </c>
      <c r="D4485" t="s">
        <v>6812</v>
      </c>
      <c r="E4485" t="s">
        <v>1103</v>
      </c>
    </row>
    <row r="4486" spans="2:5" x14ac:dyDescent="0.2">
      <c r="B4486" t="s">
        <v>6813</v>
      </c>
      <c r="C4486">
        <v>539141</v>
      </c>
      <c r="D4486" t="s">
        <v>6812</v>
      </c>
      <c r="E4486" t="s">
        <v>1103</v>
      </c>
    </row>
    <row r="4487" spans="2:5" x14ac:dyDescent="0.2">
      <c r="B4487" t="s">
        <v>6814</v>
      </c>
      <c r="C4487">
        <v>511742</v>
      </c>
      <c r="D4487" t="s">
        <v>366</v>
      </c>
      <c r="E4487" t="s">
        <v>383</v>
      </c>
    </row>
    <row r="4488" spans="2:5" x14ac:dyDescent="0.2">
      <c r="B4488" t="s">
        <v>6815</v>
      </c>
      <c r="C4488">
        <v>533644</v>
      </c>
      <c r="D4488" t="s">
        <v>6816</v>
      </c>
      <c r="E4488" t="s">
        <v>409</v>
      </c>
    </row>
    <row r="4489" spans="2:5" x14ac:dyDescent="0.2">
      <c r="B4489" t="s">
        <v>6817</v>
      </c>
      <c r="C4489">
        <v>539874</v>
      </c>
      <c r="D4489" t="s">
        <v>6818</v>
      </c>
      <c r="E4489" t="s">
        <v>383</v>
      </c>
    </row>
    <row r="4490" spans="2:5" x14ac:dyDescent="0.2">
      <c r="B4490" t="s">
        <v>6819</v>
      </c>
      <c r="C4490" t="s">
        <v>366</v>
      </c>
      <c r="D4490" t="s">
        <v>6820</v>
      </c>
      <c r="E4490" t="s">
        <v>377</v>
      </c>
    </row>
    <row r="4491" spans="2:5" x14ac:dyDescent="0.2">
      <c r="B4491" t="s">
        <v>6821</v>
      </c>
      <c r="C4491">
        <v>538706</v>
      </c>
      <c r="D4491" t="s">
        <v>366</v>
      </c>
      <c r="E4491" t="s">
        <v>664</v>
      </c>
    </row>
    <row r="4492" spans="2:5" x14ac:dyDescent="0.2">
      <c r="B4492" t="s">
        <v>6822</v>
      </c>
      <c r="C4492">
        <v>538706</v>
      </c>
      <c r="D4492" t="s">
        <v>366</v>
      </c>
      <c r="E4492" t="s">
        <v>664</v>
      </c>
    </row>
    <row r="4493" spans="2:5" x14ac:dyDescent="0.2">
      <c r="B4493" t="s">
        <v>6823</v>
      </c>
      <c r="C4493">
        <v>506685</v>
      </c>
      <c r="D4493" t="s">
        <v>366</v>
      </c>
      <c r="E4493" t="s">
        <v>526</v>
      </c>
    </row>
    <row r="4494" spans="2:5" x14ac:dyDescent="0.2">
      <c r="B4494" t="s">
        <v>6824</v>
      </c>
      <c r="C4494">
        <v>532538</v>
      </c>
      <c r="D4494" t="s">
        <v>6825</v>
      </c>
      <c r="E4494" t="s">
        <v>379</v>
      </c>
    </row>
    <row r="4495" spans="2:5" x14ac:dyDescent="0.2">
      <c r="B4495" t="s">
        <v>6826</v>
      </c>
      <c r="C4495">
        <v>500231</v>
      </c>
      <c r="D4495" t="s">
        <v>6827</v>
      </c>
      <c r="E4495" t="s">
        <v>426</v>
      </c>
    </row>
    <row r="4496" spans="2:5" x14ac:dyDescent="0.2">
      <c r="B4496" t="s">
        <v>6828</v>
      </c>
      <c r="C4496">
        <v>539798</v>
      </c>
      <c r="D4496" t="s">
        <v>366</v>
      </c>
      <c r="E4496" t="s">
        <v>689</v>
      </c>
    </row>
    <row r="4497" spans="2:5" x14ac:dyDescent="0.2">
      <c r="B4497" t="s">
        <v>6829</v>
      </c>
      <c r="C4497">
        <v>504605</v>
      </c>
      <c r="D4497" t="s">
        <v>366</v>
      </c>
      <c r="E4497" t="s">
        <v>689</v>
      </c>
    </row>
    <row r="4498" spans="2:5" x14ac:dyDescent="0.2">
      <c r="B4498" t="s">
        <v>6830</v>
      </c>
      <c r="C4498">
        <v>506690</v>
      </c>
      <c r="D4498" t="s">
        <v>6831</v>
      </c>
      <c r="E4498" t="s">
        <v>404</v>
      </c>
    </row>
    <row r="4499" spans="2:5" x14ac:dyDescent="0.2">
      <c r="B4499" t="s">
        <v>6832</v>
      </c>
      <c r="C4499">
        <v>541503</v>
      </c>
      <c r="D4499" t="s">
        <v>366</v>
      </c>
      <c r="E4499" t="s">
        <v>2355</v>
      </c>
    </row>
    <row r="4500" spans="2:5" x14ac:dyDescent="0.2">
      <c r="B4500" t="s">
        <v>6833</v>
      </c>
      <c r="C4500" t="s">
        <v>366</v>
      </c>
      <c r="D4500" t="s">
        <v>6834</v>
      </c>
      <c r="E4500" t="s">
        <v>377</v>
      </c>
    </row>
    <row r="4501" spans="2:5" x14ac:dyDescent="0.2">
      <c r="B4501" t="s">
        <v>6835</v>
      </c>
      <c r="C4501">
        <v>503671</v>
      </c>
      <c r="D4501" t="s">
        <v>366</v>
      </c>
      <c r="E4501" t="s">
        <v>349</v>
      </c>
    </row>
    <row r="4502" spans="2:5" x14ac:dyDescent="0.2">
      <c r="B4502" t="s">
        <v>6836</v>
      </c>
      <c r="C4502">
        <v>512595</v>
      </c>
      <c r="D4502" t="s">
        <v>6837</v>
      </c>
      <c r="E4502" t="s">
        <v>922</v>
      </c>
    </row>
    <row r="4503" spans="2:5" x14ac:dyDescent="0.2">
      <c r="B4503" t="s">
        <v>6838</v>
      </c>
      <c r="C4503">
        <v>532477</v>
      </c>
      <c r="D4503" t="s">
        <v>6839</v>
      </c>
      <c r="E4503" t="s">
        <v>684</v>
      </c>
    </row>
    <row r="4504" spans="2:5" x14ac:dyDescent="0.2">
      <c r="B4504" t="s">
        <v>6840</v>
      </c>
      <c r="C4504">
        <v>526799</v>
      </c>
      <c r="D4504" t="s">
        <v>366</v>
      </c>
      <c r="E4504" t="s">
        <v>561</v>
      </c>
    </row>
    <row r="4505" spans="2:5" x14ac:dyDescent="0.2">
      <c r="B4505" t="s">
        <v>6841</v>
      </c>
      <c r="C4505">
        <v>500429</v>
      </c>
      <c r="D4505" t="s">
        <v>6842</v>
      </c>
      <c r="E4505" t="s">
        <v>388</v>
      </c>
    </row>
    <row r="4506" spans="2:5" x14ac:dyDescent="0.2">
      <c r="B4506" t="s">
        <v>6843</v>
      </c>
      <c r="C4506">
        <v>526957</v>
      </c>
      <c r="D4506" t="s">
        <v>366</v>
      </c>
      <c r="E4506" t="s">
        <v>861</v>
      </c>
    </row>
    <row r="4507" spans="2:5" x14ac:dyDescent="0.2">
      <c r="B4507" t="s">
        <v>6844</v>
      </c>
      <c r="C4507">
        <v>532646</v>
      </c>
      <c r="D4507" t="s">
        <v>6845</v>
      </c>
      <c r="E4507" t="s">
        <v>861</v>
      </c>
    </row>
    <row r="4508" spans="2:5" x14ac:dyDescent="0.2">
      <c r="B4508" t="s">
        <v>6846</v>
      </c>
      <c r="C4508">
        <v>530997</v>
      </c>
      <c r="D4508" t="s">
        <v>366</v>
      </c>
      <c r="E4508" t="s">
        <v>564</v>
      </c>
    </row>
    <row r="4509" spans="2:5" x14ac:dyDescent="0.2">
      <c r="B4509" t="s">
        <v>6847</v>
      </c>
      <c r="C4509">
        <v>521226</v>
      </c>
      <c r="D4509" t="s">
        <v>366</v>
      </c>
      <c r="E4509" t="s">
        <v>381</v>
      </c>
    </row>
    <row r="4510" spans="2:5" x14ac:dyDescent="0.2">
      <c r="B4510" t="s">
        <v>6848</v>
      </c>
      <c r="C4510">
        <v>526113</v>
      </c>
      <c r="D4510" t="s">
        <v>366</v>
      </c>
      <c r="E4510" t="s">
        <v>426</v>
      </c>
    </row>
    <row r="4511" spans="2:5" x14ac:dyDescent="0.2">
      <c r="B4511" t="s">
        <v>6849</v>
      </c>
      <c r="C4511">
        <v>537582</v>
      </c>
      <c r="D4511" t="s">
        <v>366</v>
      </c>
      <c r="E4511" t="s">
        <v>452</v>
      </c>
    </row>
    <row r="4512" spans="2:5" x14ac:dyDescent="0.2">
      <c r="B4512" t="s">
        <v>6850</v>
      </c>
      <c r="C4512">
        <v>538610</v>
      </c>
      <c r="D4512" t="s">
        <v>366</v>
      </c>
      <c r="E4512" t="s">
        <v>689</v>
      </c>
    </row>
    <row r="4513" spans="2:5" x14ac:dyDescent="0.2">
      <c r="B4513" t="s">
        <v>6851</v>
      </c>
      <c r="C4513">
        <v>532035</v>
      </c>
      <c r="D4513" t="s">
        <v>366</v>
      </c>
      <c r="E4513" t="s">
        <v>383</v>
      </c>
    </row>
    <row r="4514" spans="2:5" x14ac:dyDescent="0.2">
      <c r="B4514" t="s">
        <v>6852</v>
      </c>
      <c r="C4514">
        <v>531831</v>
      </c>
      <c r="D4514" t="s">
        <v>366</v>
      </c>
      <c r="E4514" t="s">
        <v>424</v>
      </c>
    </row>
    <row r="4515" spans="2:5" x14ac:dyDescent="0.2">
      <c r="B4515" t="s">
        <v>6853</v>
      </c>
      <c r="C4515">
        <v>531867</v>
      </c>
      <c r="D4515" t="s">
        <v>366</v>
      </c>
      <c r="E4515" t="s">
        <v>388</v>
      </c>
    </row>
    <row r="4516" spans="2:5" x14ac:dyDescent="0.2">
      <c r="B4516" t="s">
        <v>6854</v>
      </c>
      <c r="C4516">
        <v>507878</v>
      </c>
      <c r="D4516" t="s">
        <v>6855</v>
      </c>
      <c r="E4516" t="s">
        <v>452</v>
      </c>
    </row>
    <row r="4517" spans="2:5" x14ac:dyDescent="0.2">
      <c r="B4517" t="s">
        <v>6856</v>
      </c>
      <c r="C4517">
        <v>533171</v>
      </c>
      <c r="D4517" t="s">
        <v>6857</v>
      </c>
      <c r="E4517" t="s">
        <v>684</v>
      </c>
    </row>
    <row r="4518" spans="2:5" x14ac:dyDescent="0.2">
      <c r="B4518" t="s">
        <v>6858</v>
      </c>
      <c r="C4518">
        <v>532478</v>
      </c>
      <c r="D4518" t="s">
        <v>6859</v>
      </c>
      <c r="E4518" t="s">
        <v>998</v>
      </c>
    </row>
    <row r="4519" spans="2:5" x14ac:dyDescent="0.2">
      <c r="B4519" t="s">
        <v>6860</v>
      </c>
      <c r="C4519">
        <v>531091</v>
      </c>
      <c r="D4519" t="s">
        <v>366</v>
      </c>
      <c r="E4519" t="s">
        <v>383</v>
      </c>
    </row>
    <row r="4520" spans="2:5" x14ac:dyDescent="0.2">
      <c r="B4520" t="s">
        <v>6861</v>
      </c>
      <c r="C4520">
        <v>522014</v>
      </c>
      <c r="D4520" t="s">
        <v>366</v>
      </c>
      <c r="E4520" t="s">
        <v>551</v>
      </c>
    </row>
    <row r="4521" spans="2:5" x14ac:dyDescent="0.2">
      <c r="B4521" t="s">
        <v>6862</v>
      </c>
      <c r="C4521">
        <v>502893</v>
      </c>
      <c r="D4521" t="s">
        <v>366</v>
      </c>
      <c r="E4521" t="s">
        <v>372</v>
      </c>
    </row>
    <row r="4522" spans="2:5" x14ac:dyDescent="0.2">
      <c r="B4522" t="s">
        <v>6863</v>
      </c>
      <c r="C4522">
        <v>507808</v>
      </c>
      <c r="D4522" t="s">
        <v>366</v>
      </c>
      <c r="E4522" t="s">
        <v>383</v>
      </c>
    </row>
    <row r="4523" spans="2:5" x14ac:dyDescent="0.2">
      <c r="B4523" t="s">
        <v>6864</v>
      </c>
      <c r="C4523" t="s">
        <v>366</v>
      </c>
      <c r="D4523" t="s">
        <v>6865</v>
      </c>
      <c r="E4523" t="s">
        <v>377</v>
      </c>
    </row>
    <row r="4524" spans="2:5" x14ac:dyDescent="0.2">
      <c r="B4524" t="s">
        <v>6866</v>
      </c>
      <c r="C4524">
        <v>532432</v>
      </c>
      <c r="D4524" t="s">
        <v>318</v>
      </c>
      <c r="E4524" t="s">
        <v>998</v>
      </c>
    </row>
    <row r="4525" spans="2:5" x14ac:dyDescent="0.2">
      <c r="B4525" t="s">
        <v>6867</v>
      </c>
      <c r="C4525">
        <v>521188</v>
      </c>
      <c r="D4525" t="s">
        <v>366</v>
      </c>
      <c r="E4525" t="s">
        <v>381</v>
      </c>
    </row>
    <row r="4526" spans="2:5" x14ac:dyDescent="0.2">
      <c r="B4526" t="s">
        <v>6868</v>
      </c>
      <c r="C4526">
        <v>522091</v>
      </c>
      <c r="D4526" t="s">
        <v>366</v>
      </c>
      <c r="E4526" t="s">
        <v>409</v>
      </c>
    </row>
    <row r="4527" spans="2:5" x14ac:dyDescent="0.2">
      <c r="B4527" t="s">
        <v>6869</v>
      </c>
      <c r="C4527">
        <v>532746</v>
      </c>
      <c r="D4527" t="s">
        <v>6870</v>
      </c>
      <c r="E4527" t="s">
        <v>764</v>
      </c>
    </row>
    <row r="4528" spans="2:5" x14ac:dyDescent="0.2">
      <c r="B4528" t="s">
        <v>6871</v>
      </c>
      <c r="C4528" t="s">
        <v>366</v>
      </c>
      <c r="D4528" t="s">
        <v>6872</v>
      </c>
      <c r="E4528" t="s">
        <v>377</v>
      </c>
    </row>
    <row r="4529" spans="2:5" x14ac:dyDescent="0.2">
      <c r="B4529" t="s">
        <v>6873</v>
      </c>
      <c r="C4529" t="s">
        <v>366</v>
      </c>
      <c r="D4529" t="s">
        <v>6872</v>
      </c>
      <c r="E4529" t="s">
        <v>377</v>
      </c>
    </row>
    <row r="4530" spans="2:5" x14ac:dyDescent="0.2">
      <c r="B4530" t="s">
        <v>6874</v>
      </c>
      <c r="C4530">
        <v>532378</v>
      </c>
      <c r="D4530" t="s">
        <v>366</v>
      </c>
      <c r="E4530" t="s">
        <v>369</v>
      </c>
    </row>
    <row r="4531" spans="2:5" x14ac:dyDescent="0.2">
      <c r="B4531" t="s">
        <v>6875</v>
      </c>
      <c r="C4531">
        <v>539314</v>
      </c>
      <c r="D4531" t="s">
        <v>366</v>
      </c>
      <c r="E4531" t="s">
        <v>721</v>
      </c>
    </row>
    <row r="4532" spans="2:5" x14ac:dyDescent="0.2">
      <c r="B4532" t="s">
        <v>6876</v>
      </c>
      <c r="C4532">
        <v>504212</v>
      </c>
      <c r="D4532" t="s">
        <v>6877</v>
      </c>
      <c r="E4532" t="s">
        <v>664</v>
      </c>
    </row>
    <row r="4533" spans="2:5" x14ac:dyDescent="0.2">
      <c r="B4533" t="s">
        <v>6878</v>
      </c>
      <c r="C4533">
        <v>531963</v>
      </c>
      <c r="D4533" t="s">
        <v>366</v>
      </c>
      <c r="E4533" t="s">
        <v>787</v>
      </c>
    </row>
    <row r="4534" spans="2:5" x14ac:dyDescent="0.2">
      <c r="B4534" t="s">
        <v>6879</v>
      </c>
      <c r="C4534">
        <v>523519</v>
      </c>
      <c r="D4534" t="s">
        <v>366</v>
      </c>
      <c r="E4534" t="s">
        <v>388</v>
      </c>
    </row>
    <row r="4535" spans="2:5" x14ac:dyDescent="0.2">
      <c r="B4535" t="s">
        <v>6880</v>
      </c>
      <c r="C4535">
        <v>504673</v>
      </c>
      <c r="D4535" t="s">
        <v>366</v>
      </c>
      <c r="E4535" t="s">
        <v>671</v>
      </c>
    </row>
    <row r="4536" spans="2:5" x14ac:dyDescent="0.2">
      <c r="B4536" t="s">
        <v>6881</v>
      </c>
      <c r="C4536">
        <v>524408</v>
      </c>
      <c r="D4536" t="s">
        <v>366</v>
      </c>
      <c r="E4536" t="s">
        <v>414</v>
      </c>
    </row>
    <row r="4537" spans="2:5" x14ac:dyDescent="0.2">
      <c r="B4537" t="s">
        <v>6882</v>
      </c>
      <c r="C4537">
        <v>514144</v>
      </c>
      <c r="D4537" t="s">
        <v>366</v>
      </c>
      <c r="E4537" t="s">
        <v>381</v>
      </c>
    </row>
    <row r="4538" spans="2:5" x14ac:dyDescent="0.2">
      <c r="B4538" t="s">
        <v>6883</v>
      </c>
      <c r="C4538">
        <v>512408</v>
      </c>
      <c r="D4538" t="s">
        <v>366</v>
      </c>
      <c r="E4538" t="s">
        <v>381</v>
      </c>
    </row>
    <row r="4539" spans="2:5" x14ac:dyDescent="0.2">
      <c r="B4539" t="s">
        <v>6884</v>
      </c>
      <c r="C4539">
        <v>531762</v>
      </c>
      <c r="D4539" t="s">
        <v>366</v>
      </c>
      <c r="E4539" t="s">
        <v>404</v>
      </c>
    </row>
    <row r="4540" spans="2:5" x14ac:dyDescent="0.2">
      <c r="B4540" t="s">
        <v>6885</v>
      </c>
      <c r="C4540">
        <v>511764</v>
      </c>
      <c r="D4540" t="s">
        <v>366</v>
      </c>
      <c r="E4540" t="s">
        <v>383</v>
      </c>
    </row>
    <row r="4541" spans="2:5" x14ac:dyDescent="0.2">
      <c r="B4541" t="s">
        <v>6886</v>
      </c>
      <c r="C4541">
        <v>512070</v>
      </c>
      <c r="D4541" t="s">
        <v>6887</v>
      </c>
      <c r="E4541" t="s">
        <v>510</v>
      </c>
    </row>
    <row r="4542" spans="2:5" x14ac:dyDescent="0.2">
      <c r="B4542" t="s">
        <v>6888</v>
      </c>
      <c r="C4542">
        <v>531390</v>
      </c>
      <c r="D4542" t="s">
        <v>366</v>
      </c>
      <c r="E4542" t="s">
        <v>383</v>
      </c>
    </row>
    <row r="4543" spans="2:5" x14ac:dyDescent="0.2">
      <c r="B4543" t="s">
        <v>6889</v>
      </c>
      <c r="C4543" t="s">
        <v>366</v>
      </c>
      <c r="D4543" t="s">
        <v>6890</v>
      </c>
      <c r="E4543" t="s">
        <v>377</v>
      </c>
    </row>
    <row r="4544" spans="2:5" x14ac:dyDescent="0.2">
      <c r="B4544" t="s">
        <v>6891</v>
      </c>
      <c r="C4544">
        <v>526987</v>
      </c>
      <c r="D4544" t="s">
        <v>6892</v>
      </c>
      <c r="E4544" t="s">
        <v>388</v>
      </c>
    </row>
    <row r="4545" spans="2:5" x14ac:dyDescent="0.2">
      <c r="B4545" t="s">
        <v>6893</v>
      </c>
      <c r="C4545">
        <v>532402</v>
      </c>
      <c r="D4545" t="s">
        <v>366</v>
      </c>
      <c r="E4545" t="s">
        <v>459</v>
      </c>
    </row>
    <row r="4546" spans="2:5" x14ac:dyDescent="0.2">
      <c r="B4546" t="s">
        <v>6894</v>
      </c>
      <c r="C4546">
        <v>532398</v>
      </c>
      <c r="D4546" t="s">
        <v>6895</v>
      </c>
      <c r="E4546" t="s">
        <v>459</v>
      </c>
    </row>
    <row r="4547" spans="2:5" x14ac:dyDescent="0.2">
      <c r="B4547" t="s">
        <v>6896</v>
      </c>
      <c r="C4547">
        <v>517146</v>
      </c>
      <c r="D4547" t="s">
        <v>6897</v>
      </c>
      <c r="E4547" t="s">
        <v>689</v>
      </c>
    </row>
    <row r="4548" spans="2:5" x14ac:dyDescent="0.2">
      <c r="B4548" t="s">
        <v>6898</v>
      </c>
      <c r="C4548">
        <v>511507</v>
      </c>
      <c r="D4548" t="s">
        <v>366</v>
      </c>
      <c r="E4548" t="s">
        <v>383</v>
      </c>
    </row>
    <row r="4549" spans="2:5" x14ac:dyDescent="0.2">
      <c r="B4549" t="s">
        <v>6899</v>
      </c>
      <c r="C4549" t="s">
        <v>366</v>
      </c>
      <c r="D4549" t="s">
        <v>6900</v>
      </c>
      <c r="E4549" t="s">
        <v>377</v>
      </c>
    </row>
    <row r="4550" spans="2:5" x14ac:dyDescent="0.2">
      <c r="B4550" t="s">
        <v>6901</v>
      </c>
      <c r="C4550">
        <v>511736</v>
      </c>
      <c r="D4550" t="s">
        <v>366</v>
      </c>
      <c r="E4550" t="s">
        <v>388</v>
      </c>
    </row>
    <row r="4551" spans="2:5" x14ac:dyDescent="0.2">
      <c r="B4551" t="s">
        <v>6902</v>
      </c>
      <c r="C4551">
        <v>532765</v>
      </c>
      <c r="D4551" t="s">
        <v>6903</v>
      </c>
      <c r="E4551" t="s">
        <v>564</v>
      </c>
    </row>
    <row r="4552" spans="2:5" x14ac:dyDescent="0.2">
      <c r="B4552" t="s">
        <v>6904</v>
      </c>
      <c r="C4552">
        <v>590101</v>
      </c>
      <c r="D4552" t="s">
        <v>6905</v>
      </c>
      <c r="E4552" t="s">
        <v>349</v>
      </c>
    </row>
    <row r="4553" spans="2:5" x14ac:dyDescent="0.2">
      <c r="B4553" t="s">
        <v>6906</v>
      </c>
      <c r="C4553">
        <v>500426</v>
      </c>
      <c r="D4553" t="s">
        <v>366</v>
      </c>
      <c r="E4553" t="s">
        <v>452</v>
      </c>
    </row>
    <row r="4554" spans="2:5" x14ac:dyDescent="0.2">
      <c r="B4554" t="s">
        <v>6907</v>
      </c>
      <c r="C4554">
        <v>513216</v>
      </c>
      <c r="D4554" t="s">
        <v>6908</v>
      </c>
      <c r="E4554" t="s">
        <v>398</v>
      </c>
    </row>
    <row r="4555" spans="2:5" x14ac:dyDescent="0.2">
      <c r="B4555" t="s">
        <v>6909</v>
      </c>
      <c r="C4555">
        <v>532729</v>
      </c>
      <c r="D4555" t="s">
        <v>6910</v>
      </c>
      <c r="E4555" t="s">
        <v>1065</v>
      </c>
    </row>
    <row r="4556" spans="2:5" x14ac:dyDescent="0.2">
      <c r="B4556" t="s">
        <v>6911</v>
      </c>
      <c r="C4556">
        <v>500254</v>
      </c>
      <c r="D4556" t="s">
        <v>6912</v>
      </c>
      <c r="E4556" t="s">
        <v>398</v>
      </c>
    </row>
    <row r="4557" spans="2:5" x14ac:dyDescent="0.2">
      <c r="B4557" t="s">
        <v>6913</v>
      </c>
      <c r="C4557">
        <v>511110</v>
      </c>
      <c r="D4557" t="s">
        <v>366</v>
      </c>
      <c r="E4557" t="s">
        <v>349</v>
      </c>
    </row>
    <row r="4558" spans="2:5" x14ac:dyDescent="0.2">
      <c r="B4558" t="s">
        <v>6914</v>
      </c>
      <c r="C4558">
        <v>539123</v>
      </c>
      <c r="D4558" t="s">
        <v>366</v>
      </c>
      <c r="E4558" t="s">
        <v>386</v>
      </c>
    </row>
    <row r="4559" spans="2:5" x14ac:dyDescent="0.2">
      <c r="B4559" t="s">
        <v>6915</v>
      </c>
      <c r="C4559">
        <v>542654</v>
      </c>
      <c r="D4559" t="s">
        <v>6916</v>
      </c>
      <c r="E4559" t="s">
        <v>367</v>
      </c>
    </row>
    <row r="4560" spans="2:5" x14ac:dyDescent="0.2">
      <c r="B4560" t="s">
        <v>6917</v>
      </c>
      <c r="C4560">
        <v>523888</v>
      </c>
      <c r="D4560" t="s">
        <v>366</v>
      </c>
      <c r="E4560" t="s">
        <v>846</v>
      </c>
    </row>
    <row r="4561" spans="2:5" x14ac:dyDescent="0.2">
      <c r="B4561" t="s">
        <v>6918</v>
      </c>
      <c r="C4561">
        <v>531266</v>
      </c>
      <c r="D4561" t="s">
        <v>6919</v>
      </c>
      <c r="E4561" t="s">
        <v>444</v>
      </c>
    </row>
    <row r="4562" spans="2:5" x14ac:dyDescent="0.2">
      <c r="B4562" t="s">
        <v>6920</v>
      </c>
      <c r="C4562">
        <v>532867</v>
      </c>
      <c r="D4562" t="s">
        <v>6921</v>
      </c>
      <c r="E4562" t="s">
        <v>535</v>
      </c>
    </row>
    <row r="4563" spans="2:5" x14ac:dyDescent="0.2">
      <c r="B4563" t="s">
        <v>6922</v>
      </c>
      <c r="C4563">
        <v>533269</v>
      </c>
      <c r="D4563" t="s">
        <v>6923</v>
      </c>
      <c r="E4563" t="s">
        <v>391</v>
      </c>
    </row>
    <row r="4564" spans="2:5" x14ac:dyDescent="0.2">
      <c r="B4564" t="s">
        <v>6924</v>
      </c>
      <c r="C4564">
        <v>532320</v>
      </c>
      <c r="D4564" t="s">
        <v>366</v>
      </c>
      <c r="E4564" t="s">
        <v>383</v>
      </c>
    </row>
    <row r="4565" spans="2:5" x14ac:dyDescent="0.2">
      <c r="B4565" t="s">
        <v>6925</v>
      </c>
      <c r="C4565">
        <v>519152</v>
      </c>
      <c r="D4565" t="s">
        <v>366</v>
      </c>
      <c r="E4565" t="s">
        <v>388</v>
      </c>
    </row>
    <row r="4566" spans="2:5" x14ac:dyDescent="0.2">
      <c r="B4566" t="s">
        <v>6926</v>
      </c>
      <c r="C4566">
        <v>519156</v>
      </c>
      <c r="D4566" t="s">
        <v>6927</v>
      </c>
      <c r="E4566" t="s">
        <v>426</v>
      </c>
    </row>
    <row r="4567" spans="2:5" x14ac:dyDescent="0.2">
      <c r="B4567" t="s">
        <v>6928</v>
      </c>
      <c r="C4567" t="s">
        <v>366</v>
      </c>
      <c r="D4567" t="s">
        <v>6929</v>
      </c>
      <c r="E4567" t="s">
        <v>377</v>
      </c>
    </row>
    <row r="4568" spans="2:5" x14ac:dyDescent="0.2">
      <c r="B4568" t="s">
        <v>6930</v>
      </c>
      <c r="C4568">
        <v>531676</v>
      </c>
      <c r="D4568" t="s">
        <v>366</v>
      </c>
      <c r="E4568" t="s">
        <v>426</v>
      </c>
    </row>
    <row r="4569" spans="2:5" x14ac:dyDescent="0.2">
      <c r="B4569" t="s">
        <v>6931</v>
      </c>
      <c r="C4569">
        <v>532156</v>
      </c>
      <c r="D4569" t="s">
        <v>6932</v>
      </c>
      <c r="E4569" t="s">
        <v>480</v>
      </c>
    </row>
    <row r="4570" spans="2:5" x14ac:dyDescent="0.2">
      <c r="B4570" t="s">
        <v>6933</v>
      </c>
      <c r="C4570" t="s">
        <v>366</v>
      </c>
      <c r="D4570" t="s">
        <v>6934</v>
      </c>
      <c r="E4570" t="s">
        <v>377</v>
      </c>
    </row>
    <row r="4571" spans="2:5" x14ac:dyDescent="0.2">
      <c r="B4571" t="s">
        <v>6935</v>
      </c>
      <c r="C4571">
        <v>511431</v>
      </c>
      <c r="D4571" t="s">
        <v>6936</v>
      </c>
      <c r="E4571" t="s">
        <v>367</v>
      </c>
    </row>
    <row r="4572" spans="2:5" x14ac:dyDescent="0.2">
      <c r="B4572" t="s">
        <v>6937</v>
      </c>
      <c r="C4572">
        <v>539402</v>
      </c>
      <c r="D4572" t="s">
        <v>366</v>
      </c>
      <c r="E4572" t="s">
        <v>564</v>
      </c>
    </row>
    <row r="4573" spans="2:5" x14ac:dyDescent="0.2">
      <c r="B4573" t="s">
        <v>6938</v>
      </c>
      <c r="C4573">
        <v>526775</v>
      </c>
      <c r="D4573" t="s">
        <v>366</v>
      </c>
      <c r="E4573" t="s">
        <v>512</v>
      </c>
    </row>
    <row r="4574" spans="2:5" x14ac:dyDescent="0.2">
      <c r="B4574" t="s">
        <v>6939</v>
      </c>
      <c r="C4574">
        <v>540145</v>
      </c>
      <c r="D4574" t="s">
        <v>366</v>
      </c>
      <c r="E4574" t="s">
        <v>404</v>
      </c>
    </row>
    <row r="4575" spans="2:5" x14ac:dyDescent="0.2">
      <c r="B4575" t="s">
        <v>6940</v>
      </c>
      <c r="C4575">
        <v>530403</v>
      </c>
      <c r="D4575" t="s">
        <v>366</v>
      </c>
      <c r="E4575" t="s">
        <v>561</v>
      </c>
    </row>
    <row r="4576" spans="2:5" x14ac:dyDescent="0.2">
      <c r="B4576" t="s">
        <v>6941</v>
      </c>
      <c r="C4576">
        <v>513397</v>
      </c>
      <c r="D4576" t="s">
        <v>366</v>
      </c>
      <c r="E4576" t="s">
        <v>689</v>
      </c>
    </row>
    <row r="4577" spans="2:5" x14ac:dyDescent="0.2">
      <c r="B4577" t="s">
        <v>6942</v>
      </c>
      <c r="C4577">
        <v>539543</v>
      </c>
      <c r="D4577" t="s">
        <v>366</v>
      </c>
      <c r="E4577" t="s">
        <v>386</v>
      </c>
    </row>
    <row r="4578" spans="2:5" x14ac:dyDescent="0.2">
      <c r="B4578" t="s">
        <v>6943</v>
      </c>
      <c r="C4578">
        <v>530459</v>
      </c>
      <c r="D4578" t="s">
        <v>366</v>
      </c>
      <c r="E4578" t="s">
        <v>381</v>
      </c>
    </row>
    <row r="4579" spans="2:5" x14ac:dyDescent="0.2">
      <c r="B4579" t="s">
        <v>6944</v>
      </c>
      <c r="C4579">
        <v>512175</v>
      </c>
      <c r="D4579" t="s">
        <v>366</v>
      </c>
      <c r="E4579" t="s">
        <v>352</v>
      </c>
    </row>
    <row r="4580" spans="2:5" x14ac:dyDescent="0.2">
      <c r="B4580" t="s">
        <v>6945</v>
      </c>
      <c r="C4580">
        <v>530369</v>
      </c>
      <c r="D4580" t="s">
        <v>366</v>
      </c>
      <c r="E4580" t="s">
        <v>846</v>
      </c>
    </row>
    <row r="4581" spans="2:5" x14ac:dyDescent="0.2">
      <c r="B4581" t="s">
        <v>6946</v>
      </c>
      <c r="C4581">
        <v>532090</v>
      </c>
      <c r="D4581" t="s">
        <v>366</v>
      </c>
      <c r="E4581" t="s">
        <v>381</v>
      </c>
    </row>
    <row r="4582" spans="2:5" x14ac:dyDescent="0.2">
      <c r="B4582" t="s">
        <v>6947</v>
      </c>
      <c r="C4582">
        <v>538918</v>
      </c>
      <c r="D4582" t="s">
        <v>366</v>
      </c>
      <c r="E4582" t="s">
        <v>383</v>
      </c>
    </row>
    <row r="4583" spans="2:5" x14ac:dyDescent="0.2">
      <c r="B4583" t="s">
        <v>6948</v>
      </c>
      <c r="C4583">
        <v>540729</v>
      </c>
      <c r="D4583" t="s">
        <v>366</v>
      </c>
      <c r="E4583" t="s">
        <v>404</v>
      </c>
    </row>
    <row r="4584" spans="2:5" x14ac:dyDescent="0.2">
      <c r="B4584" t="s">
        <v>6949</v>
      </c>
      <c r="C4584">
        <v>539761</v>
      </c>
      <c r="D4584" t="s">
        <v>366</v>
      </c>
      <c r="E4584" t="s">
        <v>471</v>
      </c>
    </row>
    <row r="4585" spans="2:5" x14ac:dyDescent="0.2">
      <c r="B4585" t="s">
        <v>6950</v>
      </c>
      <c r="C4585">
        <v>502589</v>
      </c>
      <c r="D4585" t="s">
        <v>366</v>
      </c>
      <c r="E4585" t="s">
        <v>360</v>
      </c>
    </row>
    <row r="4586" spans="2:5" x14ac:dyDescent="0.2">
      <c r="B4586" t="s">
        <v>6951</v>
      </c>
      <c r="C4586">
        <v>524796</v>
      </c>
      <c r="D4586" t="s">
        <v>366</v>
      </c>
      <c r="E4586" t="s">
        <v>404</v>
      </c>
    </row>
    <row r="4587" spans="2:5" x14ac:dyDescent="0.2">
      <c r="B4587" t="s">
        <v>6952</v>
      </c>
      <c r="C4587" t="s">
        <v>366</v>
      </c>
      <c r="D4587" t="s">
        <v>6953</v>
      </c>
      <c r="E4587" t="s">
        <v>457</v>
      </c>
    </row>
    <row r="4588" spans="2:5" x14ac:dyDescent="0.2">
      <c r="B4588" t="s">
        <v>6954</v>
      </c>
      <c r="C4588">
        <v>531444</v>
      </c>
      <c r="D4588" t="s">
        <v>366</v>
      </c>
      <c r="E4588" t="s">
        <v>379</v>
      </c>
    </row>
    <row r="4589" spans="2:5" x14ac:dyDescent="0.2">
      <c r="B4589" t="s">
        <v>6955</v>
      </c>
      <c r="C4589">
        <v>500439</v>
      </c>
      <c r="D4589" t="s">
        <v>6956</v>
      </c>
      <c r="E4589" t="s">
        <v>383</v>
      </c>
    </row>
    <row r="4590" spans="2:5" x14ac:dyDescent="0.2">
      <c r="B4590" t="s">
        <v>6957</v>
      </c>
      <c r="C4590">
        <v>513534</v>
      </c>
      <c r="D4590" t="s">
        <v>366</v>
      </c>
      <c r="E4590" t="s">
        <v>398</v>
      </c>
    </row>
    <row r="4591" spans="2:5" x14ac:dyDescent="0.2">
      <c r="B4591" t="s">
        <v>6958</v>
      </c>
      <c r="C4591">
        <v>514175</v>
      </c>
      <c r="D4591" t="s">
        <v>6959</v>
      </c>
      <c r="E4591" t="s">
        <v>381</v>
      </c>
    </row>
    <row r="4592" spans="2:5" x14ac:dyDescent="0.2">
      <c r="B4592" t="s">
        <v>6960</v>
      </c>
      <c r="C4592">
        <v>534392</v>
      </c>
      <c r="D4592" t="s">
        <v>6961</v>
      </c>
      <c r="E4592" t="s">
        <v>689</v>
      </c>
    </row>
    <row r="4593" spans="2:5" x14ac:dyDescent="0.2">
      <c r="B4593" t="s">
        <v>6962</v>
      </c>
      <c r="C4593">
        <v>502986</v>
      </c>
      <c r="D4593" t="s">
        <v>6963</v>
      </c>
      <c r="E4593" t="s">
        <v>381</v>
      </c>
    </row>
    <row r="4594" spans="2:5" x14ac:dyDescent="0.2">
      <c r="B4594" t="s">
        <v>6964</v>
      </c>
      <c r="C4594">
        <v>541578</v>
      </c>
      <c r="D4594" t="s">
        <v>6965</v>
      </c>
      <c r="E4594" t="s">
        <v>721</v>
      </c>
    </row>
    <row r="4595" spans="2:5" x14ac:dyDescent="0.2">
      <c r="B4595" t="s">
        <v>6966</v>
      </c>
      <c r="C4595">
        <v>540180</v>
      </c>
      <c r="D4595" t="s">
        <v>314</v>
      </c>
      <c r="E4595" t="s">
        <v>561</v>
      </c>
    </row>
    <row r="4596" spans="2:5" x14ac:dyDescent="0.2">
      <c r="B4596" t="s">
        <v>6967</v>
      </c>
      <c r="C4596">
        <v>512511</v>
      </c>
      <c r="D4596" t="s">
        <v>366</v>
      </c>
      <c r="E4596" t="s">
        <v>787</v>
      </c>
    </row>
    <row r="4597" spans="2:5" x14ac:dyDescent="0.2">
      <c r="B4597" t="s">
        <v>6968</v>
      </c>
      <c r="C4597">
        <v>531574</v>
      </c>
      <c r="D4597" t="s">
        <v>366</v>
      </c>
      <c r="E4597" t="s">
        <v>452</v>
      </c>
    </row>
    <row r="4598" spans="2:5" x14ac:dyDescent="0.2">
      <c r="B4598" t="s">
        <v>6969</v>
      </c>
      <c r="C4598" t="s">
        <v>366</v>
      </c>
      <c r="D4598" t="s">
        <v>6970</v>
      </c>
      <c r="E4598" t="s">
        <v>377</v>
      </c>
    </row>
    <row r="4599" spans="2:5" x14ac:dyDescent="0.2">
      <c r="B4599" t="s">
        <v>6971</v>
      </c>
      <c r="C4599">
        <v>533156</v>
      </c>
      <c r="D4599" t="s">
        <v>6972</v>
      </c>
      <c r="E4599" t="s">
        <v>452</v>
      </c>
    </row>
    <row r="4600" spans="2:5" x14ac:dyDescent="0.2">
      <c r="B4600" t="s">
        <v>6973</v>
      </c>
      <c r="C4600">
        <v>538634</v>
      </c>
      <c r="D4600" t="s">
        <v>366</v>
      </c>
      <c r="E4600" t="s">
        <v>404</v>
      </c>
    </row>
    <row r="4601" spans="2:5" x14ac:dyDescent="0.2">
      <c r="B4601" t="s">
        <v>6974</v>
      </c>
      <c r="C4601">
        <v>533576</v>
      </c>
      <c r="D4601" t="s">
        <v>6975</v>
      </c>
      <c r="E4601" t="s">
        <v>398</v>
      </c>
    </row>
    <row r="4602" spans="2:5" x14ac:dyDescent="0.2">
      <c r="B4602" t="s">
        <v>6976</v>
      </c>
      <c r="C4602">
        <v>531650</v>
      </c>
      <c r="D4602" t="s">
        <v>366</v>
      </c>
      <c r="E4602" t="s">
        <v>787</v>
      </c>
    </row>
    <row r="4603" spans="2:5" x14ac:dyDescent="0.2">
      <c r="B4603" t="s">
        <v>6977</v>
      </c>
      <c r="C4603">
        <v>513005</v>
      </c>
      <c r="D4603" t="s">
        <v>366</v>
      </c>
      <c r="E4603" t="s">
        <v>398</v>
      </c>
    </row>
    <row r="4604" spans="2:5" x14ac:dyDescent="0.2">
      <c r="B4604" t="s">
        <v>6978</v>
      </c>
      <c r="C4604">
        <v>511493</v>
      </c>
      <c r="D4604" t="s">
        <v>366</v>
      </c>
      <c r="E4604" t="s">
        <v>383</v>
      </c>
    </row>
    <row r="4605" spans="2:5" x14ac:dyDescent="0.2">
      <c r="B4605" t="s">
        <v>6979</v>
      </c>
      <c r="C4605">
        <v>536672</v>
      </c>
      <c r="D4605" t="s">
        <v>366</v>
      </c>
      <c r="E4605" t="s">
        <v>1989</v>
      </c>
    </row>
    <row r="4606" spans="2:5" x14ac:dyDescent="0.2">
      <c r="B4606" t="s">
        <v>6980</v>
      </c>
      <c r="C4606">
        <v>500295</v>
      </c>
      <c r="D4606" t="s">
        <v>6981</v>
      </c>
      <c r="E4606" t="s">
        <v>2876</v>
      </c>
    </row>
    <row r="4607" spans="2:5" x14ac:dyDescent="0.2">
      <c r="B4607" t="s">
        <v>6982</v>
      </c>
      <c r="C4607">
        <v>533056</v>
      </c>
      <c r="D4607" t="s">
        <v>366</v>
      </c>
      <c r="E4607" t="s">
        <v>372</v>
      </c>
    </row>
    <row r="4608" spans="2:5" x14ac:dyDescent="0.2">
      <c r="B4608" t="s">
        <v>6983</v>
      </c>
      <c r="C4608">
        <v>522267</v>
      </c>
      <c r="D4608" t="s">
        <v>366</v>
      </c>
      <c r="E4608" t="s">
        <v>374</v>
      </c>
    </row>
    <row r="4609" spans="2:5" x14ac:dyDescent="0.2">
      <c r="B4609" t="s">
        <v>6984</v>
      </c>
      <c r="C4609">
        <v>503657</v>
      </c>
      <c r="D4609" t="s">
        <v>366</v>
      </c>
      <c r="E4609" t="s">
        <v>505</v>
      </c>
    </row>
    <row r="4610" spans="2:5" x14ac:dyDescent="0.2">
      <c r="B4610" t="s">
        <v>6985</v>
      </c>
      <c r="C4610">
        <v>542046</v>
      </c>
      <c r="D4610" t="s">
        <v>366</v>
      </c>
      <c r="E4610" t="s">
        <v>452</v>
      </c>
    </row>
    <row r="4611" spans="2:5" x14ac:dyDescent="0.2">
      <c r="B4611" t="s">
        <v>6986</v>
      </c>
      <c r="C4611">
        <v>540252</v>
      </c>
      <c r="D4611" t="s">
        <v>366</v>
      </c>
      <c r="E4611" t="s">
        <v>480</v>
      </c>
    </row>
    <row r="4612" spans="2:5" x14ac:dyDescent="0.2">
      <c r="B4612" t="s">
        <v>6987</v>
      </c>
      <c r="C4612">
        <v>511523</v>
      </c>
      <c r="D4612" t="s">
        <v>366</v>
      </c>
      <c r="E4612" t="s">
        <v>404</v>
      </c>
    </row>
    <row r="4613" spans="2:5" x14ac:dyDescent="0.2">
      <c r="B4613" t="s">
        <v>6988</v>
      </c>
      <c r="C4613">
        <v>539132</v>
      </c>
      <c r="D4613" t="s">
        <v>366</v>
      </c>
      <c r="E4613" t="s">
        <v>615</v>
      </c>
    </row>
    <row r="4614" spans="2:5" x14ac:dyDescent="0.2">
      <c r="B4614" t="s">
        <v>6989</v>
      </c>
      <c r="C4614">
        <v>526755</v>
      </c>
      <c r="D4614" t="s">
        <v>366</v>
      </c>
      <c r="E4614" t="s">
        <v>567</v>
      </c>
    </row>
    <row r="4615" spans="2:5" x14ac:dyDescent="0.2">
      <c r="B4615" t="s">
        <v>6990</v>
      </c>
      <c r="C4615">
        <v>505232</v>
      </c>
      <c r="D4615" t="s">
        <v>366</v>
      </c>
      <c r="E4615" t="s">
        <v>721</v>
      </c>
    </row>
    <row r="4616" spans="2:5" x14ac:dyDescent="0.2">
      <c r="B4616" t="s">
        <v>6991</v>
      </c>
      <c r="C4616">
        <v>523261</v>
      </c>
      <c r="D4616" t="s">
        <v>6992</v>
      </c>
      <c r="E4616" t="s">
        <v>426</v>
      </c>
    </row>
    <row r="4617" spans="2:5" x14ac:dyDescent="0.2">
      <c r="B4617" t="s">
        <v>6993</v>
      </c>
      <c r="C4617">
        <v>523261</v>
      </c>
      <c r="D4617" t="s">
        <v>6992</v>
      </c>
      <c r="E4617" t="s">
        <v>426</v>
      </c>
    </row>
    <row r="4618" spans="2:5" x14ac:dyDescent="0.2">
      <c r="B4618" t="s">
        <v>6994</v>
      </c>
      <c r="C4618">
        <v>524038</v>
      </c>
      <c r="D4618" t="s">
        <v>366</v>
      </c>
      <c r="E4618" t="s">
        <v>414</v>
      </c>
    </row>
    <row r="4619" spans="2:5" x14ac:dyDescent="0.2">
      <c r="B4619" t="s">
        <v>6995</v>
      </c>
      <c r="C4619">
        <v>512060</v>
      </c>
      <c r="D4619" t="s">
        <v>6996</v>
      </c>
      <c r="E4619" t="s">
        <v>787</v>
      </c>
    </row>
    <row r="4620" spans="2:5" x14ac:dyDescent="0.2">
      <c r="B4620" t="s">
        <v>6997</v>
      </c>
      <c r="C4620">
        <v>516098</v>
      </c>
      <c r="D4620" t="s">
        <v>366</v>
      </c>
      <c r="E4620" t="s">
        <v>381</v>
      </c>
    </row>
    <row r="4621" spans="2:5" x14ac:dyDescent="0.2">
      <c r="B4621" t="s">
        <v>6998</v>
      </c>
      <c r="C4621">
        <v>526953</v>
      </c>
      <c r="D4621" t="s">
        <v>6999</v>
      </c>
      <c r="E4621" t="s">
        <v>404</v>
      </c>
    </row>
    <row r="4622" spans="2:5" x14ac:dyDescent="0.2">
      <c r="B4622" t="s">
        <v>7000</v>
      </c>
      <c r="C4622" t="s">
        <v>366</v>
      </c>
      <c r="D4622" t="s">
        <v>7001</v>
      </c>
      <c r="E4622" t="s">
        <v>377</v>
      </c>
    </row>
    <row r="4623" spans="2:5" x14ac:dyDescent="0.2">
      <c r="B4623" t="s">
        <v>7002</v>
      </c>
      <c r="C4623">
        <v>512229</v>
      </c>
      <c r="D4623" t="s">
        <v>366</v>
      </c>
      <c r="E4623" t="s">
        <v>388</v>
      </c>
    </row>
    <row r="4624" spans="2:5" x14ac:dyDescent="0.2">
      <c r="B4624" t="s">
        <v>7003</v>
      </c>
      <c r="C4624">
        <v>512229</v>
      </c>
      <c r="D4624" t="s">
        <v>366</v>
      </c>
      <c r="E4624" t="s">
        <v>388</v>
      </c>
    </row>
    <row r="4625" spans="2:5" x14ac:dyDescent="0.2">
      <c r="B4625" t="s">
        <v>7004</v>
      </c>
      <c r="C4625">
        <v>531695</v>
      </c>
      <c r="D4625" t="s">
        <v>366</v>
      </c>
      <c r="E4625" t="s">
        <v>369</v>
      </c>
    </row>
    <row r="4626" spans="2:5" x14ac:dyDescent="0.2">
      <c r="B4626" t="s">
        <v>7005</v>
      </c>
      <c r="C4626">
        <v>531950</v>
      </c>
      <c r="D4626" t="s">
        <v>366</v>
      </c>
      <c r="E4626" t="s">
        <v>349</v>
      </c>
    </row>
    <row r="4627" spans="2:5" x14ac:dyDescent="0.2">
      <c r="B4627" t="s">
        <v>7006</v>
      </c>
      <c r="C4627">
        <v>515099</v>
      </c>
      <c r="D4627" t="s">
        <v>366</v>
      </c>
      <c r="E4627" t="s">
        <v>894</v>
      </c>
    </row>
    <row r="4628" spans="2:5" x14ac:dyDescent="0.2">
      <c r="B4628" t="s">
        <v>7007</v>
      </c>
      <c r="C4628" t="s">
        <v>366</v>
      </c>
      <c r="D4628" t="s">
        <v>7008</v>
      </c>
      <c r="E4628" t="s">
        <v>377</v>
      </c>
    </row>
    <row r="4629" spans="2:5" x14ac:dyDescent="0.2">
      <c r="B4629" t="s">
        <v>7009</v>
      </c>
      <c r="C4629">
        <v>520113</v>
      </c>
      <c r="D4629" t="s">
        <v>7010</v>
      </c>
      <c r="E4629" t="s">
        <v>551</v>
      </c>
    </row>
    <row r="4630" spans="2:5" x14ac:dyDescent="0.2">
      <c r="B4630" t="s">
        <v>7011</v>
      </c>
      <c r="C4630">
        <v>520113</v>
      </c>
      <c r="D4630" t="s">
        <v>7010</v>
      </c>
      <c r="E4630" t="s">
        <v>551</v>
      </c>
    </row>
    <row r="4631" spans="2:5" x14ac:dyDescent="0.2">
      <c r="B4631" t="s">
        <v>7012</v>
      </c>
      <c r="C4631">
        <v>539331</v>
      </c>
      <c r="D4631" t="s">
        <v>7013</v>
      </c>
      <c r="E4631" t="s">
        <v>664</v>
      </c>
    </row>
    <row r="4632" spans="2:5" x14ac:dyDescent="0.2">
      <c r="B4632" t="s">
        <v>7014</v>
      </c>
      <c r="C4632">
        <v>532953</v>
      </c>
      <c r="D4632" t="s">
        <v>7015</v>
      </c>
      <c r="E4632" t="s">
        <v>664</v>
      </c>
    </row>
    <row r="4633" spans="2:5" x14ac:dyDescent="0.2">
      <c r="B4633" t="s">
        <v>7016</v>
      </c>
      <c r="C4633">
        <v>537524</v>
      </c>
      <c r="D4633" t="s">
        <v>366</v>
      </c>
      <c r="E4633" t="s">
        <v>1410</v>
      </c>
    </row>
    <row r="4634" spans="2:5" x14ac:dyDescent="0.2">
      <c r="B4634" t="s">
        <v>7017</v>
      </c>
      <c r="C4634">
        <v>538732</v>
      </c>
      <c r="D4634" t="s">
        <v>366</v>
      </c>
      <c r="E4634" t="s">
        <v>383</v>
      </c>
    </row>
    <row r="4635" spans="2:5" x14ac:dyDescent="0.2">
      <c r="B4635" t="s">
        <v>7018</v>
      </c>
      <c r="C4635">
        <v>523796</v>
      </c>
      <c r="D4635" t="s">
        <v>7019</v>
      </c>
      <c r="E4635" t="s">
        <v>567</v>
      </c>
    </row>
    <row r="4636" spans="2:5" x14ac:dyDescent="0.2">
      <c r="B4636" t="s">
        <v>7020</v>
      </c>
      <c r="C4636">
        <v>503349</v>
      </c>
      <c r="D4636" t="s">
        <v>366</v>
      </c>
      <c r="E4636" t="s">
        <v>381</v>
      </c>
    </row>
    <row r="4637" spans="2:5" x14ac:dyDescent="0.2">
      <c r="B4637" t="s">
        <v>7021</v>
      </c>
      <c r="C4637">
        <v>531234</v>
      </c>
      <c r="D4637" t="s">
        <v>366</v>
      </c>
      <c r="E4637" t="s">
        <v>360</v>
      </c>
    </row>
    <row r="4638" spans="2:5" x14ac:dyDescent="0.2">
      <c r="B4638" t="s">
        <v>7022</v>
      </c>
      <c r="C4638">
        <v>531234</v>
      </c>
      <c r="D4638" t="s">
        <v>366</v>
      </c>
      <c r="E4638" t="s">
        <v>360</v>
      </c>
    </row>
    <row r="4639" spans="2:5" x14ac:dyDescent="0.2">
      <c r="B4639" t="s">
        <v>7023</v>
      </c>
      <c r="C4639">
        <v>511389</v>
      </c>
      <c r="D4639" t="s">
        <v>7024</v>
      </c>
      <c r="E4639" t="s">
        <v>735</v>
      </c>
    </row>
    <row r="4640" spans="2:5" x14ac:dyDescent="0.2">
      <c r="B4640" t="s">
        <v>7025</v>
      </c>
      <c r="C4640">
        <v>531717</v>
      </c>
      <c r="D4640" t="s">
        <v>7026</v>
      </c>
      <c r="E4640" t="s">
        <v>526</v>
      </c>
    </row>
    <row r="4641" spans="2:5" x14ac:dyDescent="0.2">
      <c r="B4641" t="s">
        <v>7027</v>
      </c>
      <c r="C4641">
        <v>539659</v>
      </c>
      <c r="D4641" t="s">
        <v>366</v>
      </c>
      <c r="E4641" t="s">
        <v>855</v>
      </c>
    </row>
    <row r="4642" spans="2:5" x14ac:dyDescent="0.2">
      <c r="B4642" t="s">
        <v>7028</v>
      </c>
      <c r="C4642">
        <v>523724</v>
      </c>
      <c r="D4642" t="s">
        <v>7029</v>
      </c>
      <c r="E4642" t="s">
        <v>452</v>
      </c>
    </row>
    <row r="4643" spans="2:5" x14ac:dyDescent="0.2">
      <c r="B4643" t="s">
        <v>7030</v>
      </c>
      <c r="C4643">
        <v>531069</v>
      </c>
      <c r="D4643" t="s">
        <v>366</v>
      </c>
      <c r="E4643" t="s">
        <v>615</v>
      </c>
    </row>
    <row r="4644" spans="2:5" x14ac:dyDescent="0.2">
      <c r="B4644" t="s">
        <v>7031</v>
      </c>
      <c r="C4644">
        <v>530151</v>
      </c>
      <c r="D4644" t="s">
        <v>366</v>
      </c>
      <c r="E4644" t="s">
        <v>388</v>
      </c>
    </row>
    <row r="4645" spans="2:5" x14ac:dyDescent="0.2">
      <c r="B4645" t="s">
        <v>7032</v>
      </c>
      <c r="C4645">
        <v>532401</v>
      </c>
      <c r="D4645" t="s">
        <v>7033</v>
      </c>
      <c r="E4645" t="s">
        <v>684</v>
      </c>
    </row>
    <row r="4646" spans="2:5" x14ac:dyDescent="0.2">
      <c r="B4646" t="s">
        <v>7034</v>
      </c>
      <c r="C4646">
        <v>537820</v>
      </c>
      <c r="D4646" t="s">
        <v>7035</v>
      </c>
      <c r="E4646" t="s">
        <v>383</v>
      </c>
    </row>
    <row r="4647" spans="2:5" x14ac:dyDescent="0.2">
      <c r="B4647" t="s">
        <v>7036</v>
      </c>
      <c r="C4647">
        <v>531334</v>
      </c>
      <c r="D4647" t="s">
        <v>366</v>
      </c>
      <c r="E4647" t="s">
        <v>787</v>
      </c>
    </row>
    <row r="4648" spans="2:5" x14ac:dyDescent="0.2">
      <c r="B4648" t="s">
        <v>7037</v>
      </c>
      <c r="C4648">
        <v>530961</v>
      </c>
      <c r="D4648" t="s">
        <v>7038</v>
      </c>
      <c r="E4648" t="s">
        <v>526</v>
      </c>
    </row>
    <row r="4649" spans="2:5" x14ac:dyDescent="0.2">
      <c r="B4649" t="s">
        <v>7039</v>
      </c>
      <c r="C4649">
        <v>542655</v>
      </c>
      <c r="D4649" t="s">
        <v>7040</v>
      </c>
      <c r="E4649" t="s">
        <v>732</v>
      </c>
    </row>
    <row r="4650" spans="2:5" x14ac:dyDescent="0.2">
      <c r="B4650" t="s">
        <v>7041</v>
      </c>
      <c r="C4650">
        <v>531518</v>
      </c>
      <c r="D4650" t="s">
        <v>366</v>
      </c>
      <c r="E4650" t="s">
        <v>564</v>
      </c>
    </row>
    <row r="4651" spans="2:5" x14ac:dyDescent="0.2">
      <c r="B4651" t="s">
        <v>7042</v>
      </c>
      <c r="C4651">
        <v>519307</v>
      </c>
      <c r="D4651" t="s">
        <v>366</v>
      </c>
      <c r="E4651" t="s">
        <v>526</v>
      </c>
    </row>
    <row r="4652" spans="2:5" x14ac:dyDescent="0.2">
      <c r="B4652" t="s">
        <v>7043</v>
      </c>
      <c r="C4652">
        <v>530477</v>
      </c>
      <c r="D4652" t="s">
        <v>366</v>
      </c>
      <c r="E4652" t="s">
        <v>404</v>
      </c>
    </row>
    <row r="4653" spans="2:5" x14ac:dyDescent="0.2">
      <c r="B4653" t="s">
        <v>7044</v>
      </c>
      <c r="C4653">
        <v>530477</v>
      </c>
      <c r="D4653" t="s">
        <v>366</v>
      </c>
      <c r="E4653" t="s">
        <v>404</v>
      </c>
    </row>
    <row r="4654" spans="2:5" x14ac:dyDescent="0.2">
      <c r="B4654" t="s">
        <v>7045</v>
      </c>
      <c r="C4654">
        <v>506196</v>
      </c>
      <c r="D4654" t="s">
        <v>366</v>
      </c>
      <c r="E4654" t="s">
        <v>388</v>
      </c>
    </row>
    <row r="4655" spans="2:5" x14ac:dyDescent="0.2">
      <c r="B4655" t="s">
        <v>7046</v>
      </c>
      <c r="C4655">
        <v>519373</v>
      </c>
      <c r="D4655" t="s">
        <v>7047</v>
      </c>
      <c r="E4655" t="s">
        <v>615</v>
      </c>
    </row>
    <row r="4656" spans="2:5" x14ac:dyDescent="0.2">
      <c r="B4656" t="s">
        <v>7048</v>
      </c>
      <c r="C4656">
        <v>524394</v>
      </c>
      <c r="D4656" t="s">
        <v>7049</v>
      </c>
      <c r="E4656" t="s">
        <v>555</v>
      </c>
    </row>
    <row r="4657" spans="2:5" x14ac:dyDescent="0.2">
      <c r="B4657" t="s">
        <v>7050</v>
      </c>
      <c r="C4657">
        <v>504380</v>
      </c>
      <c r="D4657" t="s">
        <v>366</v>
      </c>
      <c r="E4657" t="s">
        <v>388</v>
      </c>
    </row>
    <row r="4658" spans="2:5" x14ac:dyDescent="0.2">
      <c r="B4658" t="s">
        <v>7051</v>
      </c>
      <c r="C4658">
        <v>524200</v>
      </c>
      <c r="D4658" t="s">
        <v>7052</v>
      </c>
      <c r="E4658" t="s">
        <v>414</v>
      </c>
    </row>
    <row r="4659" spans="2:5" x14ac:dyDescent="0.2">
      <c r="B4659" t="s">
        <v>7053</v>
      </c>
      <c r="C4659">
        <v>534639</v>
      </c>
      <c r="D4659" t="s">
        <v>366</v>
      </c>
      <c r="E4659" t="s">
        <v>561</v>
      </c>
    </row>
    <row r="4660" spans="2:5" x14ac:dyDescent="0.2">
      <c r="B4660" t="s">
        <v>7054</v>
      </c>
      <c r="C4660">
        <v>517015</v>
      </c>
      <c r="D4660" t="s">
        <v>7055</v>
      </c>
      <c r="E4660" t="s">
        <v>636</v>
      </c>
    </row>
    <row r="4661" spans="2:5" x14ac:dyDescent="0.2">
      <c r="B4661" t="s">
        <v>7056</v>
      </c>
      <c r="C4661" t="s">
        <v>366</v>
      </c>
      <c r="D4661" t="s">
        <v>7057</v>
      </c>
      <c r="E4661" t="s">
        <v>377</v>
      </c>
    </row>
    <row r="4662" spans="2:5" x14ac:dyDescent="0.2">
      <c r="B4662" t="s">
        <v>7058</v>
      </c>
      <c r="C4662">
        <v>531051</v>
      </c>
      <c r="D4662" t="s">
        <v>366</v>
      </c>
      <c r="E4662" t="s">
        <v>383</v>
      </c>
    </row>
    <row r="4663" spans="2:5" x14ac:dyDescent="0.2">
      <c r="B4663" t="s">
        <v>7059</v>
      </c>
      <c r="C4663">
        <v>524129</v>
      </c>
      <c r="D4663" t="s">
        <v>7060</v>
      </c>
      <c r="E4663" t="s">
        <v>743</v>
      </c>
    </row>
    <row r="4664" spans="2:5" x14ac:dyDescent="0.2">
      <c r="B4664" t="s">
        <v>7061</v>
      </c>
      <c r="C4664">
        <v>524129</v>
      </c>
      <c r="D4664" t="s">
        <v>7062</v>
      </c>
      <c r="E4664" t="s">
        <v>743</v>
      </c>
    </row>
    <row r="4665" spans="2:5" x14ac:dyDescent="0.2">
      <c r="B4665" t="s">
        <v>7063</v>
      </c>
      <c r="C4665">
        <v>530401</v>
      </c>
      <c r="D4665" t="s">
        <v>366</v>
      </c>
      <c r="E4665" t="s">
        <v>414</v>
      </c>
    </row>
    <row r="4666" spans="2:5" x14ac:dyDescent="0.2">
      <c r="B4666" t="s">
        <v>7064</v>
      </c>
      <c r="C4666">
        <v>532613</v>
      </c>
      <c r="D4666" t="s">
        <v>7065</v>
      </c>
      <c r="E4666" t="s">
        <v>388</v>
      </c>
    </row>
    <row r="4667" spans="2:5" x14ac:dyDescent="0.2">
      <c r="B4667" t="s">
        <v>7066</v>
      </c>
      <c r="C4667">
        <v>507880</v>
      </c>
      <c r="D4667" t="s">
        <v>7067</v>
      </c>
      <c r="E4667" t="s">
        <v>480</v>
      </c>
    </row>
    <row r="4668" spans="2:5" x14ac:dyDescent="0.2">
      <c r="B4668" t="s">
        <v>7068</v>
      </c>
      <c r="C4668">
        <v>514302</v>
      </c>
      <c r="D4668" t="s">
        <v>366</v>
      </c>
      <c r="E4668" t="s">
        <v>381</v>
      </c>
    </row>
    <row r="4669" spans="2:5" x14ac:dyDescent="0.2">
      <c r="B4669" t="s">
        <v>7069</v>
      </c>
      <c r="C4669">
        <v>511726</v>
      </c>
      <c r="D4669" t="s">
        <v>7070</v>
      </c>
      <c r="E4669" t="s">
        <v>452</v>
      </c>
    </row>
    <row r="4670" spans="2:5" x14ac:dyDescent="0.2">
      <c r="B4670" t="s">
        <v>7071</v>
      </c>
      <c r="C4670">
        <v>530627</v>
      </c>
      <c r="D4670" t="s">
        <v>366</v>
      </c>
      <c r="E4670" t="s">
        <v>526</v>
      </c>
    </row>
    <row r="4671" spans="2:5" x14ac:dyDescent="0.2">
      <c r="B4671" t="s">
        <v>7072</v>
      </c>
      <c r="C4671">
        <v>519457</v>
      </c>
      <c r="D4671" t="s">
        <v>366</v>
      </c>
      <c r="E4671" t="s">
        <v>426</v>
      </c>
    </row>
    <row r="4672" spans="2:5" x14ac:dyDescent="0.2">
      <c r="B4672" t="s">
        <v>7073</v>
      </c>
      <c r="C4672">
        <v>530521</v>
      </c>
      <c r="D4672" t="s">
        <v>366</v>
      </c>
      <c r="E4672" t="s">
        <v>480</v>
      </c>
    </row>
    <row r="4673" spans="2:5" x14ac:dyDescent="0.2">
      <c r="B4673" t="s">
        <v>7074</v>
      </c>
      <c r="C4673">
        <v>539167</v>
      </c>
      <c r="D4673" t="s">
        <v>366</v>
      </c>
      <c r="E4673" t="s">
        <v>383</v>
      </c>
    </row>
    <row r="4674" spans="2:5" x14ac:dyDescent="0.2">
      <c r="B4674" t="s">
        <v>7075</v>
      </c>
      <c r="C4674">
        <v>532354</v>
      </c>
      <c r="D4674" t="s">
        <v>366</v>
      </c>
      <c r="E4674" t="s">
        <v>459</v>
      </c>
    </row>
    <row r="4675" spans="2:5" x14ac:dyDescent="0.2">
      <c r="B4675" t="s">
        <v>7076</v>
      </c>
      <c r="C4675">
        <v>532372</v>
      </c>
      <c r="D4675" t="s">
        <v>366</v>
      </c>
      <c r="E4675" t="s">
        <v>459</v>
      </c>
    </row>
    <row r="4676" spans="2:5" x14ac:dyDescent="0.2">
      <c r="B4676" t="s">
        <v>7077</v>
      </c>
      <c r="C4676">
        <v>534741</v>
      </c>
      <c r="D4676" t="s">
        <v>366</v>
      </c>
      <c r="E4676" t="s">
        <v>471</v>
      </c>
    </row>
    <row r="4677" spans="2:5" x14ac:dyDescent="0.2">
      <c r="B4677" t="s">
        <v>7078</v>
      </c>
      <c r="C4677">
        <v>531126</v>
      </c>
      <c r="D4677" t="s">
        <v>366</v>
      </c>
      <c r="E4677" t="s">
        <v>459</v>
      </c>
    </row>
    <row r="4678" spans="2:5" x14ac:dyDescent="0.2">
      <c r="B4678" t="s">
        <v>7079</v>
      </c>
      <c r="C4678">
        <v>532721</v>
      </c>
      <c r="D4678" t="s">
        <v>7080</v>
      </c>
      <c r="E4678" t="s">
        <v>398</v>
      </c>
    </row>
    <row r="4679" spans="2:5" x14ac:dyDescent="0.2">
      <c r="B4679" t="s">
        <v>7081</v>
      </c>
      <c r="C4679">
        <v>531025</v>
      </c>
      <c r="D4679" t="s">
        <v>366</v>
      </c>
      <c r="E4679" t="s">
        <v>349</v>
      </c>
    </row>
    <row r="4680" spans="2:5" x14ac:dyDescent="0.2">
      <c r="B4680" t="s">
        <v>7082</v>
      </c>
      <c r="C4680">
        <v>506146</v>
      </c>
      <c r="D4680" t="s">
        <v>7083</v>
      </c>
      <c r="E4680" t="s">
        <v>381</v>
      </c>
    </row>
    <row r="4681" spans="2:5" x14ac:dyDescent="0.2">
      <c r="B4681" t="s">
        <v>7084</v>
      </c>
      <c r="C4681">
        <v>509055</v>
      </c>
      <c r="D4681" t="s">
        <v>7085</v>
      </c>
      <c r="E4681" t="s">
        <v>379</v>
      </c>
    </row>
    <row r="4682" spans="2:5" x14ac:dyDescent="0.2">
      <c r="B4682" t="s">
        <v>7086</v>
      </c>
      <c r="C4682">
        <v>540097</v>
      </c>
      <c r="D4682" t="s">
        <v>366</v>
      </c>
      <c r="E4682" t="s">
        <v>349</v>
      </c>
    </row>
    <row r="4683" spans="2:5" x14ac:dyDescent="0.2">
      <c r="B4683" t="s">
        <v>7087</v>
      </c>
      <c r="C4683">
        <v>532411</v>
      </c>
      <c r="D4683" t="s">
        <v>7088</v>
      </c>
      <c r="E4683" t="s">
        <v>459</v>
      </c>
    </row>
    <row r="4684" spans="2:5" x14ac:dyDescent="0.2">
      <c r="B4684" t="s">
        <v>7089</v>
      </c>
      <c r="C4684">
        <v>539398</v>
      </c>
      <c r="D4684" t="s">
        <v>366</v>
      </c>
      <c r="E4684" t="s">
        <v>374</v>
      </c>
    </row>
    <row r="4685" spans="2:5" x14ac:dyDescent="0.2">
      <c r="B4685" t="s">
        <v>7090</v>
      </c>
      <c r="C4685">
        <v>538598</v>
      </c>
      <c r="D4685" t="s">
        <v>366</v>
      </c>
      <c r="E4685" t="s">
        <v>381</v>
      </c>
    </row>
    <row r="4686" spans="2:5" x14ac:dyDescent="0.2">
      <c r="B4686" t="s">
        <v>7091</v>
      </c>
      <c r="C4686">
        <v>516072</v>
      </c>
      <c r="D4686" t="s">
        <v>7092</v>
      </c>
      <c r="E4686" t="s">
        <v>414</v>
      </c>
    </row>
    <row r="4687" spans="2:5" x14ac:dyDescent="0.2">
      <c r="B4687" t="s">
        <v>7093</v>
      </c>
      <c r="C4687">
        <v>512064</v>
      </c>
      <c r="D4687" t="s">
        <v>7094</v>
      </c>
      <c r="E4687" t="s">
        <v>787</v>
      </c>
    </row>
    <row r="4688" spans="2:5" x14ac:dyDescent="0.2">
      <c r="B4688" t="s">
        <v>7095</v>
      </c>
      <c r="C4688">
        <v>526441</v>
      </c>
      <c r="D4688" t="s">
        <v>366</v>
      </c>
      <c r="E4688" t="s">
        <v>1965</v>
      </c>
    </row>
    <row r="4689" spans="2:5" x14ac:dyDescent="0.2">
      <c r="B4689" t="s">
        <v>7096</v>
      </c>
      <c r="C4689">
        <v>531668</v>
      </c>
      <c r="D4689" t="s">
        <v>366</v>
      </c>
      <c r="E4689" t="s">
        <v>369</v>
      </c>
    </row>
    <row r="4690" spans="2:5" x14ac:dyDescent="0.2">
      <c r="B4690" t="s">
        <v>7097</v>
      </c>
      <c r="C4690">
        <v>524711</v>
      </c>
      <c r="D4690" t="s">
        <v>366</v>
      </c>
      <c r="E4690" t="s">
        <v>404</v>
      </c>
    </row>
    <row r="4691" spans="2:5" x14ac:dyDescent="0.2">
      <c r="B4691" t="s">
        <v>7098</v>
      </c>
      <c r="C4691">
        <v>538565</v>
      </c>
      <c r="D4691" t="s">
        <v>366</v>
      </c>
      <c r="E4691" t="s">
        <v>383</v>
      </c>
    </row>
    <row r="4692" spans="2:5" x14ac:dyDescent="0.2">
      <c r="B4692" t="s">
        <v>7099</v>
      </c>
      <c r="C4692">
        <v>540823</v>
      </c>
      <c r="D4692" t="s">
        <v>366</v>
      </c>
      <c r="E4692" t="s">
        <v>388</v>
      </c>
    </row>
    <row r="4693" spans="2:5" x14ac:dyDescent="0.2">
      <c r="B4693" t="s">
        <v>7100</v>
      </c>
      <c r="C4693">
        <v>541735</v>
      </c>
      <c r="D4693" t="s">
        <v>366</v>
      </c>
      <c r="E4693" t="s">
        <v>764</v>
      </c>
    </row>
    <row r="4694" spans="2:5" x14ac:dyDescent="0.2">
      <c r="B4694" t="s">
        <v>7101</v>
      </c>
      <c r="C4694">
        <v>530057</v>
      </c>
      <c r="D4694" t="s">
        <v>366</v>
      </c>
      <c r="E4694" t="s">
        <v>404</v>
      </c>
    </row>
    <row r="4695" spans="2:5" x14ac:dyDescent="0.2">
      <c r="B4695" t="s">
        <v>7102</v>
      </c>
      <c r="C4695">
        <v>524576</v>
      </c>
      <c r="D4695" t="s">
        <v>366</v>
      </c>
      <c r="E4695" t="s">
        <v>414</v>
      </c>
    </row>
    <row r="4696" spans="2:5" x14ac:dyDescent="0.2">
      <c r="B4696" t="s">
        <v>7103</v>
      </c>
      <c r="C4696">
        <v>532660</v>
      </c>
      <c r="D4696" t="s">
        <v>7104</v>
      </c>
      <c r="E4696" t="s">
        <v>404</v>
      </c>
    </row>
    <row r="4697" spans="2:5" x14ac:dyDescent="0.2">
      <c r="B4697" t="s">
        <v>7105</v>
      </c>
      <c r="C4697">
        <v>511509</v>
      </c>
      <c r="D4697" t="s">
        <v>366</v>
      </c>
      <c r="E4697" t="s">
        <v>704</v>
      </c>
    </row>
    <row r="4698" spans="2:5" x14ac:dyDescent="0.2">
      <c r="B4698" t="s">
        <v>7106</v>
      </c>
      <c r="C4698">
        <v>509026</v>
      </c>
      <c r="D4698" t="s">
        <v>366</v>
      </c>
      <c r="E4698" t="s">
        <v>471</v>
      </c>
    </row>
    <row r="4699" spans="2:5" x14ac:dyDescent="0.2">
      <c r="B4699" t="s">
        <v>7107</v>
      </c>
      <c r="C4699">
        <v>536128</v>
      </c>
      <c r="D4699" t="s">
        <v>366</v>
      </c>
      <c r="E4699" t="s">
        <v>764</v>
      </c>
    </row>
    <row r="4700" spans="2:5" x14ac:dyDescent="0.2">
      <c r="B4700" t="s">
        <v>7108</v>
      </c>
      <c r="C4700">
        <v>511333</v>
      </c>
      <c r="D4700" t="s">
        <v>7109</v>
      </c>
      <c r="E4700" t="s">
        <v>349</v>
      </c>
    </row>
    <row r="4701" spans="2:5" x14ac:dyDescent="0.2">
      <c r="B4701" t="s">
        <v>7110</v>
      </c>
      <c r="C4701">
        <v>534976</v>
      </c>
      <c r="D4701" t="s">
        <v>7111</v>
      </c>
      <c r="E4701" t="s">
        <v>535</v>
      </c>
    </row>
    <row r="4702" spans="2:5" x14ac:dyDescent="0.2">
      <c r="B4702" t="s">
        <v>7112</v>
      </c>
      <c r="C4702">
        <v>533427</v>
      </c>
      <c r="D4702" t="s">
        <v>366</v>
      </c>
      <c r="E4702" t="s">
        <v>502</v>
      </c>
    </row>
    <row r="4703" spans="2:5" x14ac:dyDescent="0.2">
      <c r="B4703" t="s">
        <v>7113</v>
      </c>
      <c r="C4703">
        <v>539222</v>
      </c>
      <c r="D4703" t="s">
        <v>366</v>
      </c>
      <c r="E4703" t="s">
        <v>1367</v>
      </c>
    </row>
    <row r="4704" spans="2:5" x14ac:dyDescent="0.2">
      <c r="B4704" t="s">
        <v>7114</v>
      </c>
      <c r="C4704">
        <v>532822</v>
      </c>
      <c r="D4704" t="s">
        <v>7115</v>
      </c>
      <c r="E4704" t="s">
        <v>1308</v>
      </c>
    </row>
    <row r="4705" spans="2:5" x14ac:dyDescent="0.2">
      <c r="B4705" t="s">
        <v>7116</v>
      </c>
      <c r="C4705">
        <v>522122</v>
      </c>
      <c r="D4705" t="s">
        <v>366</v>
      </c>
      <c r="E4705" t="s">
        <v>381</v>
      </c>
    </row>
    <row r="4706" spans="2:5" x14ac:dyDescent="0.2">
      <c r="B4706" t="s">
        <v>7117</v>
      </c>
      <c r="C4706">
        <v>522122</v>
      </c>
      <c r="D4706" t="s">
        <v>366</v>
      </c>
      <c r="E4706" t="s">
        <v>381</v>
      </c>
    </row>
    <row r="4707" spans="2:5" x14ac:dyDescent="0.2">
      <c r="B4707" t="s">
        <v>7118</v>
      </c>
      <c r="C4707">
        <v>509038</v>
      </c>
      <c r="D4707" t="s">
        <v>366</v>
      </c>
      <c r="E4707" t="s">
        <v>383</v>
      </c>
    </row>
    <row r="4708" spans="2:5" x14ac:dyDescent="0.2">
      <c r="B4708" t="s">
        <v>7119</v>
      </c>
      <c r="C4708">
        <v>532757</v>
      </c>
      <c r="D4708" t="s">
        <v>7120</v>
      </c>
      <c r="E4708" t="s">
        <v>409</v>
      </c>
    </row>
    <row r="4709" spans="2:5" x14ac:dyDescent="0.2">
      <c r="B4709" t="s">
        <v>7121</v>
      </c>
      <c r="C4709">
        <v>500575</v>
      </c>
      <c r="D4709" t="s">
        <v>7122</v>
      </c>
      <c r="E4709" t="s">
        <v>735</v>
      </c>
    </row>
    <row r="4710" spans="2:5" x14ac:dyDescent="0.2">
      <c r="B4710" t="s">
        <v>7123</v>
      </c>
      <c r="C4710">
        <v>512215</v>
      </c>
      <c r="D4710" t="s">
        <v>366</v>
      </c>
      <c r="E4710" t="s">
        <v>349</v>
      </c>
    </row>
    <row r="4711" spans="2:5" x14ac:dyDescent="0.2">
      <c r="B4711" t="s">
        <v>7124</v>
      </c>
      <c r="C4711">
        <v>539118</v>
      </c>
      <c r="D4711" t="s">
        <v>7125</v>
      </c>
      <c r="E4711" t="s">
        <v>687</v>
      </c>
    </row>
    <row r="4712" spans="2:5" x14ac:dyDescent="0.2">
      <c r="B4712" t="s">
        <v>7126</v>
      </c>
      <c r="C4712">
        <v>519331</v>
      </c>
      <c r="D4712" t="s">
        <v>366</v>
      </c>
      <c r="E4712" t="s">
        <v>764</v>
      </c>
    </row>
    <row r="4713" spans="2:5" x14ac:dyDescent="0.2">
      <c r="B4713" t="s">
        <v>7127</v>
      </c>
      <c r="C4713">
        <v>509966</v>
      </c>
      <c r="D4713" t="s">
        <v>7128</v>
      </c>
      <c r="E4713" t="s">
        <v>2533</v>
      </c>
    </row>
    <row r="4714" spans="2:5" x14ac:dyDescent="0.2">
      <c r="B4714" t="s">
        <v>7129</v>
      </c>
      <c r="C4714">
        <v>532893</v>
      </c>
      <c r="D4714" t="s">
        <v>366</v>
      </c>
      <c r="E4714" t="s">
        <v>381</v>
      </c>
    </row>
    <row r="4715" spans="2:5" x14ac:dyDescent="0.2">
      <c r="B4715" t="s">
        <v>7130</v>
      </c>
      <c r="C4715">
        <v>517399</v>
      </c>
      <c r="D4715" t="s">
        <v>7131</v>
      </c>
      <c r="E4715" t="s">
        <v>735</v>
      </c>
    </row>
    <row r="4716" spans="2:5" x14ac:dyDescent="0.2">
      <c r="B4716" t="s">
        <v>7132</v>
      </c>
      <c r="C4716">
        <v>506142</v>
      </c>
      <c r="D4716" t="s">
        <v>366</v>
      </c>
      <c r="E4716" t="s">
        <v>349</v>
      </c>
    </row>
    <row r="4717" spans="2:5" x14ac:dyDescent="0.2">
      <c r="B4717" t="s">
        <v>7133</v>
      </c>
      <c r="C4717">
        <v>501391</v>
      </c>
      <c r="D4717" t="s">
        <v>366</v>
      </c>
      <c r="E4717" t="s">
        <v>388</v>
      </c>
    </row>
    <row r="4718" spans="2:5" x14ac:dyDescent="0.2">
      <c r="B4718" t="s">
        <v>7134</v>
      </c>
      <c r="C4718">
        <v>504220</v>
      </c>
      <c r="D4718" t="s">
        <v>366</v>
      </c>
      <c r="E4718" t="s">
        <v>374</v>
      </c>
    </row>
    <row r="4719" spans="2:5" x14ac:dyDescent="0.2">
      <c r="B4719" t="s">
        <v>7135</v>
      </c>
      <c r="C4719" t="s">
        <v>366</v>
      </c>
      <c r="D4719" t="s">
        <v>7136</v>
      </c>
      <c r="E4719" t="s">
        <v>457</v>
      </c>
    </row>
    <row r="4720" spans="2:5" x14ac:dyDescent="0.2">
      <c r="B4720" t="s">
        <v>7137</v>
      </c>
      <c r="C4720">
        <v>504220</v>
      </c>
      <c r="D4720" t="s">
        <v>366</v>
      </c>
      <c r="E4720" t="s">
        <v>374</v>
      </c>
    </row>
    <row r="4721" spans="2:5" x14ac:dyDescent="0.2">
      <c r="B4721" t="s">
        <v>7138</v>
      </c>
      <c r="C4721">
        <v>505583</v>
      </c>
      <c r="D4721" t="s">
        <v>366</v>
      </c>
      <c r="E4721" t="s">
        <v>452</v>
      </c>
    </row>
    <row r="4722" spans="2:5" x14ac:dyDescent="0.2">
      <c r="B4722" t="s">
        <v>7139</v>
      </c>
      <c r="C4722">
        <v>541445</v>
      </c>
      <c r="D4722" t="s">
        <v>366</v>
      </c>
      <c r="E4722" t="s">
        <v>664</v>
      </c>
    </row>
    <row r="4723" spans="2:5" x14ac:dyDescent="0.2">
      <c r="B4723" t="s">
        <v>7140</v>
      </c>
      <c r="C4723">
        <v>533023</v>
      </c>
      <c r="D4723" t="s">
        <v>7141</v>
      </c>
      <c r="E4723" t="s">
        <v>721</v>
      </c>
    </row>
    <row r="4724" spans="2:5" x14ac:dyDescent="0.2">
      <c r="B4724" t="s">
        <v>7142</v>
      </c>
      <c r="C4724">
        <v>533023</v>
      </c>
      <c r="D4724" t="s">
        <v>7143</v>
      </c>
      <c r="E4724" t="s">
        <v>721</v>
      </c>
    </row>
    <row r="4725" spans="2:5" x14ac:dyDescent="0.2">
      <c r="B4725" t="s">
        <v>7144</v>
      </c>
      <c r="C4725">
        <v>503675</v>
      </c>
      <c r="D4725" t="s">
        <v>366</v>
      </c>
      <c r="E4725" t="s">
        <v>787</v>
      </c>
    </row>
    <row r="4726" spans="2:5" x14ac:dyDescent="0.2">
      <c r="B4726" t="s">
        <v>7145</v>
      </c>
      <c r="C4726">
        <v>501370</v>
      </c>
      <c r="D4726" t="s">
        <v>366</v>
      </c>
      <c r="E4726" t="s">
        <v>450</v>
      </c>
    </row>
    <row r="4727" spans="2:5" x14ac:dyDescent="0.2">
      <c r="B4727" t="s">
        <v>7146</v>
      </c>
      <c r="C4727">
        <v>507410</v>
      </c>
      <c r="D4727" t="s">
        <v>7147</v>
      </c>
      <c r="E4727" t="s">
        <v>355</v>
      </c>
    </row>
    <row r="4728" spans="2:5" x14ac:dyDescent="0.2">
      <c r="B4728" t="s">
        <v>7148</v>
      </c>
      <c r="C4728">
        <v>511147</v>
      </c>
      <c r="D4728" t="s">
        <v>366</v>
      </c>
      <c r="E4728" t="s">
        <v>383</v>
      </c>
    </row>
    <row r="4729" spans="2:5" x14ac:dyDescent="0.2">
      <c r="B4729" t="s">
        <v>7149</v>
      </c>
      <c r="C4729">
        <v>532053</v>
      </c>
      <c r="D4729" t="s">
        <v>366</v>
      </c>
      <c r="E4729" t="s">
        <v>349</v>
      </c>
    </row>
    <row r="4730" spans="2:5" x14ac:dyDescent="0.2">
      <c r="B4730" t="s">
        <v>7150</v>
      </c>
      <c r="C4730">
        <v>524212</v>
      </c>
      <c r="D4730" t="s">
        <v>7151</v>
      </c>
      <c r="E4730" t="s">
        <v>404</v>
      </c>
    </row>
    <row r="4731" spans="2:5" x14ac:dyDescent="0.2">
      <c r="B4731" t="s">
        <v>7152</v>
      </c>
      <c r="C4731">
        <v>511690</v>
      </c>
      <c r="D4731" t="s">
        <v>366</v>
      </c>
      <c r="E4731" t="s">
        <v>383</v>
      </c>
    </row>
    <row r="4732" spans="2:5" x14ac:dyDescent="0.2">
      <c r="B4732" t="s">
        <v>7153</v>
      </c>
      <c r="C4732">
        <v>508494</v>
      </c>
      <c r="D4732" t="s">
        <v>366</v>
      </c>
      <c r="E4732" t="s">
        <v>773</v>
      </c>
    </row>
    <row r="4733" spans="2:5" x14ac:dyDescent="0.2">
      <c r="B4733" t="s">
        <v>7154</v>
      </c>
      <c r="C4733">
        <v>523660</v>
      </c>
      <c r="D4733" t="s">
        <v>366</v>
      </c>
      <c r="E4733" t="s">
        <v>446</v>
      </c>
    </row>
    <row r="4734" spans="2:5" x14ac:dyDescent="0.2">
      <c r="B4734" t="s">
        <v>7155</v>
      </c>
      <c r="C4734" t="s">
        <v>366</v>
      </c>
      <c r="D4734" t="s">
        <v>7156</v>
      </c>
      <c r="E4734" t="s">
        <v>377</v>
      </c>
    </row>
    <row r="4735" spans="2:5" x14ac:dyDescent="0.2">
      <c r="B4735" t="s">
        <v>7157</v>
      </c>
      <c r="C4735">
        <v>780016</v>
      </c>
      <c r="D4735" t="s">
        <v>366</v>
      </c>
      <c r="E4735" t="s">
        <v>457</v>
      </c>
    </row>
    <row r="4736" spans="2:5" x14ac:dyDescent="0.2">
      <c r="B4736" t="s">
        <v>7158</v>
      </c>
      <c r="C4736">
        <v>517498</v>
      </c>
      <c r="D4736" t="s">
        <v>7159</v>
      </c>
      <c r="E4736" t="s">
        <v>664</v>
      </c>
    </row>
    <row r="4737" spans="2:5" x14ac:dyDescent="0.2">
      <c r="B4737" t="s">
        <v>7160</v>
      </c>
      <c r="C4737">
        <v>511074</v>
      </c>
      <c r="D4737" t="s">
        <v>366</v>
      </c>
      <c r="E4737" t="s">
        <v>383</v>
      </c>
    </row>
    <row r="4738" spans="2:5" x14ac:dyDescent="0.2">
      <c r="B4738" t="s">
        <v>7161</v>
      </c>
      <c r="C4738">
        <v>533452</v>
      </c>
      <c r="D4738" t="s">
        <v>7162</v>
      </c>
      <c r="E4738" t="s">
        <v>349</v>
      </c>
    </row>
    <row r="4739" spans="2:5" x14ac:dyDescent="0.2">
      <c r="B4739" t="s">
        <v>7163</v>
      </c>
      <c r="C4739">
        <v>523011</v>
      </c>
      <c r="D4739" t="s">
        <v>7164</v>
      </c>
      <c r="E4739" t="s">
        <v>388</v>
      </c>
    </row>
    <row r="4740" spans="2:5" x14ac:dyDescent="0.2">
      <c r="B4740" t="s">
        <v>7165</v>
      </c>
      <c r="C4740">
        <v>504988</v>
      </c>
      <c r="D4740" t="s">
        <v>366</v>
      </c>
      <c r="E4740" t="s">
        <v>1284</v>
      </c>
    </row>
    <row r="4741" spans="2:5" x14ac:dyDescent="0.2">
      <c r="B4741" t="s">
        <v>7166</v>
      </c>
      <c r="C4741">
        <v>524661</v>
      </c>
      <c r="D4741" t="s">
        <v>366</v>
      </c>
      <c r="E4741" t="s">
        <v>404</v>
      </c>
    </row>
    <row r="4742" spans="2:5" x14ac:dyDescent="0.2">
      <c r="B4742" t="s">
        <v>7167</v>
      </c>
      <c r="C4742">
        <v>532016</v>
      </c>
      <c r="D4742" t="s">
        <v>366</v>
      </c>
      <c r="E4742" t="s">
        <v>452</v>
      </c>
    </row>
    <row r="4743" spans="2:5" x14ac:dyDescent="0.2">
      <c r="B4743" t="s">
        <v>7168</v>
      </c>
      <c r="C4743">
        <v>531211</v>
      </c>
      <c r="D4743" t="s">
        <v>366</v>
      </c>
      <c r="E4743" t="s">
        <v>349</v>
      </c>
    </row>
    <row r="4744" spans="2:5" x14ac:dyDescent="0.2">
      <c r="B4744" t="s">
        <v>7169</v>
      </c>
      <c r="C4744">
        <v>514162</v>
      </c>
      <c r="D4744" t="s">
        <v>7170</v>
      </c>
      <c r="E4744" t="s">
        <v>381</v>
      </c>
    </row>
    <row r="4745" spans="2:5" x14ac:dyDescent="0.2">
      <c r="B4745" t="s">
        <v>7171</v>
      </c>
      <c r="C4745">
        <v>532144</v>
      </c>
      <c r="D4745" t="s">
        <v>7172</v>
      </c>
      <c r="E4745" t="s">
        <v>764</v>
      </c>
    </row>
    <row r="4746" spans="2:5" x14ac:dyDescent="0.2">
      <c r="B4746" t="s">
        <v>7173</v>
      </c>
      <c r="C4746">
        <v>532553</v>
      </c>
      <c r="D4746" t="s">
        <v>7174</v>
      </c>
      <c r="E4746" t="s">
        <v>764</v>
      </c>
    </row>
    <row r="4747" spans="2:5" x14ac:dyDescent="0.2">
      <c r="B4747" t="s">
        <v>7175</v>
      </c>
      <c r="C4747">
        <v>514162</v>
      </c>
      <c r="D4747" t="s">
        <v>7170</v>
      </c>
      <c r="E4747" t="s">
        <v>381</v>
      </c>
    </row>
    <row r="4748" spans="2:5" x14ac:dyDescent="0.2">
      <c r="B4748" t="s">
        <v>7176</v>
      </c>
      <c r="C4748">
        <v>533252</v>
      </c>
      <c r="D4748" t="s">
        <v>7177</v>
      </c>
      <c r="E4748" t="s">
        <v>349</v>
      </c>
    </row>
    <row r="4749" spans="2:5" x14ac:dyDescent="0.2">
      <c r="B4749" t="s">
        <v>7178</v>
      </c>
      <c r="C4749">
        <v>526431</v>
      </c>
      <c r="D4749" t="s">
        <v>366</v>
      </c>
      <c r="E4749" t="s">
        <v>792</v>
      </c>
    </row>
    <row r="4750" spans="2:5" x14ac:dyDescent="0.2">
      <c r="B4750" t="s">
        <v>7179</v>
      </c>
      <c r="C4750">
        <v>505412</v>
      </c>
      <c r="D4750" t="s">
        <v>7180</v>
      </c>
      <c r="E4750" t="s">
        <v>374</v>
      </c>
    </row>
    <row r="4751" spans="2:5" x14ac:dyDescent="0.2">
      <c r="B4751" t="s">
        <v>7181</v>
      </c>
      <c r="C4751">
        <v>505412</v>
      </c>
      <c r="D4751" t="s">
        <v>7180</v>
      </c>
      <c r="E4751" t="s">
        <v>374</v>
      </c>
    </row>
    <row r="4752" spans="2:5" x14ac:dyDescent="0.2">
      <c r="B4752" t="s">
        <v>7182</v>
      </c>
      <c r="C4752">
        <v>532373</v>
      </c>
      <c r="D4752" t="s">
        <v>366</v>
      </c>
      <c r="E4752" t="s">
        <v>388</v>
      </c>
    </row>
    <row r="4753" spans="2:5" x14ac:dyDescent="0.2">
      <c r="B4753" t="s">
        <v>7183</v>
      </c>
      <c r="C4753">
        <v>500444</v>
      </c>
      <c r="D4753" t="s">
        <v>7184</v>
      </c>
      <c r="E4753" t="s">
        <v>360</v>
      </c>
    </row>
    <row r="4754" spans="2:5" x14ac:dyDescent="0.2">
      <c r="B4754" t="s">
        <v>7185</v>
      </c>
      <c r="C4754">
        <v>538382</v>
      </c>
      <c r="D4754" t="s">
        <v>366</v>
      </c>
      <c r="E4754" t="s">
        <v>388</v>
      </c>
    </row>
    <row r="4755" spans="2:5" x14ac:dyDescent="0.2">
      <c r="B4755" t="s">
        <v>7186</v>
      </c>
      <c r="C4755">
        <v>504998</v>
      </c>
      <c r="D4755" t="s">
        <v>366</v>
      </c>
      <c r="E4755" t="s">
        <v>398</v>
      </c>
    </row>
    <row r="4756" spans="2:5" x14ac:dyDescent="0.2">
      <c r="B4756" t="s">
        <v>7187</v>
      </c>
      <c r="C4756">
        <v>505533</v>
      </c>
      <c r="D4756" t="s">
        <v>366</v>
      </c>
      <c r="E4756" t="s">
        <v>855</v>
      </c>
    </row>
    <row r="4757" spans="2:5" x14ac:dyDescent="0.2">
      <c r="B4757" t="s">
        <v>7188</v>
      </c>
      <c r="C4757">
        <v>590073</v>
      </c>
      <c r="D4757" t="s">
        <v>7189</v>
      </c>
      <c r="E4757" t="s">
        <v>721</v>
      </c>
    </row>
    <row r="4758" spans="2:5" x14ac:dyDescent="0.2">
      <c r="B4758" t="s">
        <v>7190</v>
      </c>
      <c r="C4758">
        <v>590073</v>
      </c>
      <c r="D4758" t="s">
        <v>7189</v>
      </c>
      <c r="E4758" t="s">
        <v>721</v>
      </c>
    </row>
    <row r="4759" spans="2:5" x14ac:dyDescent="0.2">
      <c r="B4759" t="s">
        <v>7191</v>
      </c>
      <c r="C4759">
        <v>500238</v>
      </c>
      <c r="D4759" t="s">
        <v>7192</v>
      </c>
      <c r="E4759" t="s">
        <v>735</v>
      </c>
    </row>
    <row r="4760" spans="2:5" x14ac:dyDescent="0.2">
      <c r="B4760" t="s">
        <v>7193</v>
      </c>
      <c r="C4760">
        <v>500238</v>
      </c>
      <c r="D4760" t="s">
        <v>7192</v>
      </c>
      <c r="E4760" t="s">
        <v>735</v>
      </c>
    </row>
    <row r="4761" spans="2:5" x14ac:dyDescent="0.2">
      <c r="B4761" t="s">
        <v>7194</v>
      </c>
      <c r="C4761">
        <v>513713</v>
      </c>
      <c r="D4761" t="s">
        <v>366</v>
      </c>
      <c r="E4761" t="s">
        <v>480</v>
      </c>
    </row>
    <row r="4762" spans="2:5" x14ac:dyDescent="0.2">
      <c r="B4762" t="s">
        <v>7195</v>
      </c>
      <c r="C4762">
        <v>542667</v>
      </c>
      <c r="D4762" t="s">
        <v>7196</v>
      </c>
      <c r="E4762" t="s">
        <v>732</v>
      </c>
    </row>
    <row r="4763" spans="2:5" x14ac:dyDescent="0.2">
      <c r="B4763" t="s">
        <v>7197</v>
      </c>
      <c r="C4763">
        <v>519214</v>
      </c>
      <c r="D4763" t="s">
        <v>366</v>
      </c>
      <c r="E4763" t="s">
        <v>383</v>
      </c>
    </row>
    <row r="4764" spans="2:5" x14ac:dyDescent="0.2">
      <c r="B4764" t="s">
        <v>7198</v>
      </c>
      <c r="C4764">
        <v>519224</v>
      </c>
      <c r="D4764" t="s">
        <v>7199</v>
      </c>
      <c r="E4764" t="s">
        <v>388</v>
      </c>
    </row>
    <row r="4765" spans="2:5" x14ac:dyDescent="0.2">
      <c r="B4765" t="s">
        <v>7200</v>
      </c>
      <c r="C4765">
        <v>526586</v>
      </c>
      <c r="D4765" t="s">
        <v>366</v>
      </c>
      <c r="E4765" t="s">
        <v>486</v>
      </c>
    </row>
    <row r="4766" spans="2:5" x14ac:dyDescent="0.2">
      <c r="B4766" t="s">
        <v>7201</v>
      </c>
      <c r="C4766">
        <v>522029</v>
      </c>
      <c r="D4766" t="s">
        <v>7202</v>
      </c>
      <c r="E4766" t="s">
        <v>374</v>
      </c>
    </row>
    <row r="4767" spans="2:5" x14ac:dyDescent="0.2">
      <c r="B4767" t="s">
        <v>7203</v>
      </c>
      <c r="C4767">
        <v>512022</v>
      </c>
      <c r="D4767" t="s">
        <v>366</v>
      </c>
      <c r="E4767" t="s">
        <v>349</v>
      </c>
    </row>
    <row r="4768" spans="2:5" x14ac:dyDescent="0.2">
      <c r="B4768" t="s">
        <v>7204</v>
      </c>
      <c r="C4768">
        <v>512022</v>
      </c>
      <c r="D4768" t="s">
        <v>366</v>
      </c>
      <c r="E4768" t="s">
        <v>349</v>
      </c>
    </row>
    <row r="4769" spans="2:5" x14ac:dyDescent="0.2">
      <c r="B4769" t="s">
        <v>7205</v>
      </c>
      <c r="C4769">
        <v>526471</v>
      </c>
      <c r="D4769" t="s">
        <v>366</v>
      </c>
      <c r="E4769" t="s">
        <v>998</v>
      </c>
    </row>
    <row r="4770" spans="2:5" x14ac:dyDescent="0.2">
      <c r="B4770" t="s">
        <v>7206</v>
      </c>
      <c r="C4770">
        <v>514470</v>
      </c>
      <c r="D4770" t="s">
        <v>366</v>
      </c>
      <c r="E4770" t="s">
        <v>381</v>
      </c>
    </row>
    <row r="4771" spans="2:5" x14ac:dyDescent="0.2">
      <c r="B4771" t="s">
        <v>7207</v>
      </c>
      <c r="C4771">
        <v>514348</v>
      </c>
      <c r="D4771" t="s">
        <v>7208</v>
      </c>
      <c r="E4771" t="s">
        <v>381</v>
      </c>
    </row>
    <row r="4772" spans="2:5" x14ac:dyDescent="0.2">
      <c r="B4772" t="s">
        <v>7209</v>
      </c>
      <c r="C4772">
        <v>524758</v>
      </c>
      <c r="D4772" t="s">
        <v>366</v>
      </c>
      <c r="E4772" t="s">
        <v>404</v>
      </c>
    </row>
    <row r="4773" spans="2:5" x14ac:dyDescent="0.2">
      <c r="B4773" t="s">
        <v>7210</v>
      </c>
      <c r="C4773">
        <v>538873</v>
      </c>
      <c r="D4773" t="s">
        <v>366</v>
      </c>
      <c r="E4773" t="s">
        <v>383</v>
      </c>
    </row>
    <row r="4774" spans="2:5" x14ac:dyDescent="0.2">
      <c r="B4774" t="s">
        <v>7211</v>
      </c>
      <c r="C4774">
        <v>507685</v>
      </c>
      <c r="D4774" t="s">
        <v>7212</v>
      </c>
      <c r="E4774" t="s">
        <v>352</v>
      </c>
    </row>
    <row r="4775" spans="2:5" x14ac:dyDescent="0.2">
      <c r="B4775" t="s">
        <v>7213</v>
      </c>
      <c r="C4775">
        <v>507817</v>
      </c>
      <c r="D4775" t="s">
        <v>366</v>
      </c>
      <c r="E4775" t="s">
        <v>381</v>
      </c>
    </row>
    <row r="4776" spans="2:5" x14ac:dyDescent="0.2">
      <c r="B4776" t="s">
        <v>7214</v>
      </c>
      <c r="C4776">
        <v>511642</v>
      </c>
      <c r="D4776" t="s">
        <v>366</v>
      </c>
      <c r="E4776" t="s">
        <v>383</v>
      </c>
    </row>
    <row r="4777" spans="2:5" x14ac:dyDescent="0.2">
      <c r="B4777" t="s">
        <v>7215</v>
      </c>
      <c r="C4777">
        <v>532300</v>
      </c>
      <c r="D4777" t="s">
        <v>7216</v>
      </c>
      <c r="E4777" t="s">
        <v>404</v>
      </c>
    </row>
    <row r="4778" spans="2:5" x14ac:dyDescent="0.2">
      <c r="B4778" t="s">
        <v>7217</v>
      </c>
      <c r="C4778">
        <v>531396</v>
      </c>
      <c r="D4778" t="s">
        <v>366</v>
      </c>
      <c r="E4778" t="s">
        <v>459</v>
      </c>
    </row>
    <row r="4779" spans="2:5" x14ac:dyDescent="0.2">
      <c r="B4779" t="s">
        <v>7218</v>
      </c>
      <c r="C4779">
        <v>538128</v>
      </c>
      <c r="D4779" t="s">
        <v>366</v>
      </c>
      <c r="E4779" t="s">
        <v>480</v>
      </c>
    </row>
    <row r="4780" spans="2:5" x14ac:dyDescent="0.2">
      <c r="B4780" t="s">
        <v>7219</v>
      </c>
      <c r="C4780">
        <v>538268</v>
      </c>
      <c r="D4780" t="s">
        <v>7220</v>
      </c>
      <c r="E4780" t="s">
        <v>544</v>
      </c>
    </row>
    <row r="4781" spans="2:5" x14ac:dyDescent="0.2">
      <c r="B4781" t="s">
        <v>7221</v>
      </c>
      <c r="C4781">
        <v>526959</v>
      </c>
      <c r="D4781" t="s">
        <v>366</v>
      </c>
      <c r="E4781" t="s">
        <v>567</v>
      </c>
    </row>
    <row r="4782" spans="2:5" x14ac:dyDescent="0.2">
      <c r="B4782" t="s">
        <v>7222</v>
      </c>
      <c r="C4782">
        <v>526525</v>
      </c>
      <c r="D4782" t="s">
        <v>366</v>
      </c>
      <c r="E4782" t="s">
        <v>480</v>
      </c>
    </row>
    <row r="4783" spans="2:5" x14ac:dyDescent="0.2">
      <c r="B4783" t="s">
        <v>7223</v>
      </c>
      <c r="C4783">
        <v>538451</v>
      </c>
      <c r="D4783" t="s">
        <v>366</v>
      </c>
      <c r="E4783" t="s">
        <v>386</v>
      </c>
    </row>
    <row r="4784" spans="2:5" x14ac:dyDescent="0.2">
      <c r="B4784" t="s">
        <v>7224</v>
      </c>
      <c r="C4784" t="s">
        <v>366</v>
      </c>
      <c r="D4784" t="s">
        <v>7225</v>
      </c>
      <c r="E4784" t="s">
        <v>377</v>
      </c>
    </row>
    <row r="4785" spans="2:5" x14ac:dyDescent="0.2">
      <c r="B4785" t="s">
        <v>7226</v>
      </c>
      <c r="C4785">
        <v>505872</v>
      </c>
      <c r="D4785" t="s">
        <v>366</v>
      </c>
      <c r="E4785" t="s">
        <v>374</v>
      </c>
    </row>
    <row r="4786" spans="2:5" x14ac:dyDescent="0.2">
      <c r="B4786" t="s">
        <v>7227</v>
      </c>
      <c r="C4786">
        <v>532616</v>
      </c>
      <c r="D4786" t="s">
        <v>7228</v>
      </c>
      <c r="E4786" t="s">
        <v>696</v>
      </c>
    </row>
    <row r="4787" spans="2:5" x14ac:dyDescent="0.2">
      <c r="B4787" t="s">
        <v>7229</v>
      </c>
      <c r="C4787">
        <v>542367</v>
      </c>
      <c r="D4787" t="s">
        <v>7230</v>
      </c>
      <c r="E4787" t="s">
        <v>5483</v>
      </c>
    </row>
    <row r="4788" spans="2:5" x14ac:dyDescent="0.2">
      <c r="B4788" t="s">
        <v>7231</v>
      </c>
      <c r="C4788">
        <v>532788</v>
      </c>
      <c r="D4788" t="s">
        <v>7232</v>
      </c>
      <c r="E4788" t="s">
        <v>512</v>
      </c>
    </row>
    <row r="4789" spans="2:5" x14ac:dyDescent="0.2">
      <c r="B4789" t="s">
        <v>7233</v>
      </c>
      <c r="C4789">
        <v>590013</v>
      </c>
      <c r="D4789" t="s">
        <v>7234</v>
      </c>
      <c r="E4789" t="s">
        <v>414</v>
      </c>
    </row>
    <row r="4790" spans="2:5" x14ac:dyDescent="0.2">
      <c r="B4790" t="s">
        <v>7235</v>
      </c>
      <c r="C4790">
        <v>590013</v>
      </c>
      <c r="D4790" t="s">
        <v>7236</v>
      </c>
      <c r="E4790" t="s">
        <v>414</v>
      </c>
    </row>
    <row r="4791" spans="2:5" x14ac:dyDescent="0.2">
      <c r="B4791" t="s">
        <v>7237</v>
      </c>
      <c r="C4791">
        <v>511012</v>
      </c>
      <c r="D4791" t="s">
        <v>366</v>
      </c>
      <c r="E4791" t="s">
        <v>386</v>
      </c>
    </row>
    <row r="4792" spans="2:5" x14ac:dyDescent="0.2">
      <c r="B4792" t="s">
        <v>7238</v>
      </c>
      <c r="C4792">
        <v>514378</v>
      </c>
      <c r="D4792" t="s">
        <v>366</v>
      </c>
      <c r="E4792" t="s">
        <v>388</v>
      </c>
    </row>
    <row r="4793" spans="2:5" x14ac:dyDescent="0.2">
      <c r="B4793" t="s">
        <v>7239</v>
      </c>
      <c r="C4793">
        <v>539939</v>
      </c>
      <c r="D4793" t="s">
        <v>366</v>
      </c>
      <c r="E4793" t="s">
        <v>526</v>
      </c>
    </row>
    <row r="4794" spans="2:5" x14ac:dyDescent="0.2">
      <c r="B4794" t="s">
        <v>7240</v>
      </c>
      <c r="C4794">
        <v>511601</v>
      </c>
      <c r="D4794" t="s">
        <v>366</v>
      </c>
      <c r="E4794" t="s">
        <v>388</v>
      </c>
    </row>
    <row r="4795" spans="2:5" x14ac:dyDescent="0.2">
      <c r="B4795" t="s">
        <v>7241</v>
      </c>
      <c r="C4795">
        <v>516030</v>
      </c>
      <c r="D4795" t="s">
        <v>366</v>
      </c>
      <c r="E4795" t="s">
        <v>360</v>
      </c>
    </row>
    <row r="4796" spans="2:5" x14ac:dyDescent="0.2">
      <c r="B4796" t="s">
        <v>7242</v>
      </c>
      <c r="C4796">
        <v>541167</v>
      </c>
      <c r="D4796" t="s">
        <v>366</v>
      </c>
      <c r="E4796" t="s">
        <v>526</v>
      </c>
    </row>
    <row r="4797" spans="2:5" x14ac:dyDescent="0.2">
      <c r="B4797" t="s">
        <v>7243</v>
      </c>
      <c r="C4797">
        <v>530063</v>
      </c>
      <c r="D4797" t="s">
        <v>366</v>
      </c>
      <c r="E4797" t="s">
        <v>561</v>
      </c>
    </row>
    <row r="4798" spans="2:5" x14ac:dyDescent="0.2">
      <c r="B4798" t="s">
        <v>7244</v>
      </c>
      <c r="C4798">
        <v>532648</v>
      </c>
      <c r="D4798" t="s">
        <v>7245</v>
      </c>
      <c r="E4798" t="s">
        <v>684</v>
      </c>
    </row>
    <row r="4799" spans="2:5" x14ac:dyDescent="0.2">
      <c r="B4799" t="s">
        <v>7246</v>
      </c>
      <c r="C4799">
        <v>531260</v>
      </c>
      <c r="D4799" t="s">
        <v>366</v>
      </c>
      <c r="E4799" t="s">
        <v>426</v>
      </c>
    </row>
    <row r="4800" spans="2:5" x14ac:dyDescent="0.2">
      <c r="B4800" t="s">
        <v>7247</v>
      </c>
      <c r="C4800">
        <v>522209</v>
      </c>
      <c r="D4800" t="s">
        <v>366</v>
      </c>
      <c r="E4800" t="s">
        <v>349</v>
      </c>
    </row>
    <row r="4801" spans="2:5" x14ac:dyDescent="0.2">
      <c r="B4801" t="s">
        <v>7248</v>
      </c>
      <c r="C4801">
        <v>522209</v>
      </c>
      <c r="D4801" t="s">
        <v>366</v>
      </c>
      <c r="E4801" t="s">
        <v>349</v>
      </c>
    </row>
    <row r="4802" spans="2:5" x14ac:dyDescent="0.2">
      <c r="B4802" t="s">
        <v>7249</v>
      </c>
      <c r="C4802">
        <v>539097</v>
      </c>
      <c r="D4802" t="s">
        <v>366</v>
      </c>
      <c r="E4802" t="s">
        <v>388</v>
      </c>
    </row>
    <row r="4803" spans="2:5" x14ac:dyDescent="0.2">
      <c r="B4803" t="s">
        <v>7250</v>
      </c>
      <c r="C4803">
        <v>530675</v>
      </c>
      <c r="D4803" t="s">
        <v>366</v>
      </c>
      <c r="E4803" t="s">
        <v>480</v>
      </c>
    </row>
    <row r="4804" spans="2:5" x14ac:dyDescent="0.2">
      <c r="B4804" t="s">
        <v>7251</v>
      </c>
      <c r="C4804">
        <v>540550</v>
      </c>
      <c r="D4804" t="s">
        <v>366</v>
      </c>
      <c r="E4804" t="s">
        <v>526</v>
      </c>
    </row>
    <row r="4805" spans="2:5" x14ac:dyDescent="0.2">
      <c r="B4805" t="s">
        <v>7252</v>
      </c>
      <c r="C4805">
        <v>522108</v>
      </c>
      <c r="D4805" t="s">
        <v>366</v>
      </c>
      <c r="E4805" t="s">
        <v>721</v>
      </c>
    </row>
    <row r="4806" spans="2:5" x14ac:dyDescent="0.2">
      <c r="B4806" t="s">
        <v>7253</v>
      </c>
      <c r="C4806">
        <v>522108</v>
      </c>
      <c r="D4806" t="s">
        <v>366</v>
      </c>
      <c r="E4806" t="s">
        <v>721</v>
      </c>
    </row>
    <row r="4807" spans="2:5" x14ac:dyDescent="0.2">
      <c r="B4807" t="s">
        <v>7254</v>
      </c>
      <c r="C4807">
        <v>536846</v>
      </c>
      <c r="D4807" t="s">
        <v>366</v>
      </c>
      <c r="E4807" t="s">
        <v>764</v>
      </c>
    </row>
    <row r="4808" spans="2:5" x14ac:dyDescent="0.2">
      <c r="B4808" t="s">
        <v>7255</v>
      </c>
      <c r="C4808">
        <v>531663</v>
      </c>
      <c r="D4808" t="s">
        <v>7256</v>
      </c>
      <c r="E4808" t="s">
        <v>2181</v>
      </c>
    </row>
    <row r="4809" spans="2:5" x14ac:dyDescent="0.2">
      <c r="B4809" t="s">
        <v>7257</v>
      </c>
      <c r="C4809">
        <v>505163</v>
      </c>
      <c r="D4809" t="s">
        <v>366</v>
      </c>
      <c r="E4809" t="s">
        <v>721</v>
      </c>
    </row>
    <row r="4810" spans="2:5" x14ac:dyDescent="0.2">
      <c r="B4810" t="s">
        <v>7258</v>
      </c>
      <c r="C4810">
        <v>505163</v>
      </c>
      <c r="D4810" t="s">
        <v>366</v>
      </c>
      <c r="E4810" t="s">
        <v>721</v>
      </c>
    </row>
    <row r="4811" spans="2:5" x14ac:dyDescent="0.2">
      <c r="B4811" t="s">
        <v>7259</v>
      </c>
      <c r="C4811">
        <v>539963</v>
      </c>
      <c r="D4811" t="s">
        <v>366</v>
      </c>
      <c r="E4811" t="s">
        <v>446</v>
      </c>
    </row>
    <row r="4812" spans="2:5" x14ac:dyDescent="0.2">
      <c r="B4812" t="s">
        <v>7260</v>
      </c>
      <c r="C4812">
        <v>505537</v>
      </c>
      <c r="D4812" t="s">
        <v>7261</v>
      </c>
      <c r="E4812" t="s">
        <v>1103</v>
      </c>
    </row>
    <row r="4813" spans="2:5" x14ac:dyDescent="0.2">
      <c r="B4813" t="s">
        <v>7262</v>
      </c>
      <c r="C4813">
        <v>533287</v>
      </c>
      <c r="D4813" t="s">
        <v>7263</v>
      </c>
      <c r="E4813" t="s">
        <v>471</v>
      </c>
    </row>
    <row r="4814" spans="2:5" x14ac:dyDescent="0.2">
      <c r="B4814" t="s">
        <v>7264</v>
      </c>
      <c r="C4814">
        <v>532794</v>
      </c>
      <c r="D4814" t="s">
        <v>7265</v>
      </c>
      <c r="E4814" t="s">
        <v>1103</v>
      </c>
    </row>
    <row r="4815" spans="2:5" x14ac:dyDescent="0.2">
      <c r="B4815" t="s">
        <v>7266</v>
      </c>
      <c r="C4815">
        <v>533339</v>
      </c>
      <c r="D4815" t="s">
        <v>7267</v>
      </c>
      <c r="E4815" t="s">
        <v>459</v>
      </c>
    </row>
    <row r="4816" spans="2:5" x14ac:dyDescent="0.2">
      <c r="B4816" t="s">
        <v>7268</v>
      </c>
      <c r="C4816">
        <v>531845</v>
      </c>
      <c r="D4816" t="s">
        <v>7269</v>
      </c>
      <c r="E4816" t="s">
        <v>764</v>
      </c>
    </row>
    <row r="4817" spans="2:5" x14ac:dyDescent="0.2">
      <c r="B4817" t="s">
        <v>7270</v>
      </c>
      <c r="C4817">
        <v>531845</v>
      </c>
      <c r="D4817" t="s">
        <v>7269</v>
      </c>
      <c r="E4817" t="s">
        <v>764</v>
      </c>
    </row>
    <row r="4818" spans="2:5" x14ac:dyDescent="0.2">
      <c r="B4818" t="s">
        <v>7271</v>
      </c>
      <c r="C4818">
        <v>512553</v>
      </c>
      <c r="D4818" t="s">
        <v>7272</v>
      </c>
      <c r="E4818" t="s">
        <v>381</v>
      </c>
    </row>
    <row r="4819" spans="2:5" x14ac:dyDescent="0.2">
      <c r="B4819" t="s">
        <v>7273</v>
      </c>
      <c r="C4819">
        <v>514266</v>
      </c>
      <c r="D4819" t="s">
        <v>366</v>
      </c>
      <c r="E4819" t="s">
        <v>381</v>
      </c>
    </row>
    <row r="4820" spans="2:5" x14ac:dyDescent="0.2">
      <c r="B4820" t="s">
        <v>7274</v>
      </c>
      <c r="C4820">
        <v>530665</v>
      </c>
      <c r="D4820" t="s">
        <v>366</v>
      </c>
      <c r="E4820" t="s">
        <v>404</v>
      </c>
    </row>
    <row r="4821" spans="2:5" x14ac:dyDescent="0.2">
      <c r="B4821" t="s">
        <v>7275</v>
      </c>
      <c r="C4821">
        <v>530697</v>
      </c>
      <c r="D4821" t="s">
        <v>366</v>
      </c>
      <c r="E4821" t="s">
        <v>787</v>
      </c>
    </row>
    <row r="4822" spans="2:5" x14ac:dyDescent="0.2">
      <c r="B4822" t="s">
        <v>7276</v>
      </c>
      <c r="C4822">
        <v>532039</v>
      </c>
      <c r="D4822" t="s">
        <v>366</v>
      </c>
      <c r="E4822" t="s">
        <v>404</v>
      </c>
    </row>
    <row r="4823" spans="2:5" x14ac:dyDescent="0.2">
      <c r="B4823" t="s">
        <v>7277</v>
      </c>
      <c r="C4823">
        <v>504067</v>
      </c>
      <c r="D4823" t="s">
        <v>7278</v>
      </c>
      <c r="E4823" t="s">
        <v>352</v>
      </c>
    </row>
    <row r="4824" spans="2:5" x14ac:dyDescent="0.2">
      <c r="B4824" t="s">
        <v>7279</v>
      </c>
      <c r="C4824">
        <v>531404</v>
      </c>
      <c r="D4824" t="s">
        <v>7280</v>
      </c>
      <c r="E4824" t="s">
        <v>908</v>
      </c>
    </row>
    <row r="4825" spans="2:5" x14ac:dyDescent="0.2">
      <c r="B4825" t="s">
        <v>7281</v>
      </c>
      <c r="C4825">
        <v>541400</v>
      </c>
      <c r="D4825" t="s">
        <v>366</v>
      </c>
      <c r="E4825" t="s">
        <v>404</v>
      </c>
    </row>
    <row r="4826" spans="2:5" x14ac:dyDescent="0.2">
      <c r="B4826" t="s">
        <v>7282</v>
      </c>
      <c r="C4826">
        <v>521163</v>
      </c>
      <c r="D4826" t="s">
        <v>7283</v>
      </c>
      <c r="E4826" t="s">
        <v>480</v>
      </c>
    </row>
    <row r="4827" spans="2:5" x14ac:dyDescent="0.2">
      <c r="B4827" t="s">
        <v>7284</v>
      </c>
      <c r="C4827" t="s">
        <v>366</v>
      </c>
      <c r="D4827" t="s">
        <v>7285</v>
      </c>
      <c r="E4827" t="s">
        <v>377</v>
      </c>
    </row>
    <row r="4828" spans="2:5" x14ac:dyDescent="0.2">
      <c r="B4828" t="s">
        <v>7286</v>
      </c>
      <c r="C4828">
        <v>512587</v>
      </c>
      <c r="D4828" t="s">
        <v>7287</v>
      </c>
      <c r="E4828" t="s">
        <v>480</v>
      </c>
    </row>
    <row r="4829" spans="2:5" x14ac:dyDescent="0.2">
      <c r="B4829" t="s">
        <v>7288</v>
      </c>
      <c r="C4829">
        <v>503641</v>
      </c>
      <c r="D4829" t="s">
        <v>7289</v>
      </c>
      <c r="E4829" t="s">
        <v>450</v>
      </c>
    </row>
    <row r="4830" spans="2:5" x14ac:dyDescent="0.2">
      <c r="B4830" t="s">
        <v>7290</v>
      </c>
      <c r="C4830" t="s">
        <v>366</v>
      </c>
      <c r="D4830" t="s">
        <v>7291</v>
      </c>
      <c r="E4830" t="s">
        <v>377</v>
      </c>
    </row>
    <row r="4831" spans="2:5" x14ac:dyDescent="0.2">
      <c r="B4831" t="s">
        <v>7292</v>
      </c>
      <c r="C4831">
        <v>534742</v>
      </c>
      <c r="D4831" t="s">
        <v>7293</v>
      </c>
      <c r="E4831" t="s">
        <v>874</v>
      </c>
    </row>
    <row r="4832" spans="2:5" x14ac:dyDescent="0.2">
      <c r="B4832" t="s">
        <v>7294</v>
      </c>
      <c r="C4832">
        <v>500780</v>
      </c>
      <c r="D4832" t="s">
        <v>7295</v>
      </c>
      <c r="E4832" t="s">
        <v>874</v>
      </c>
    </row>
    <row r="4833" spans="2:5" x14ac:dyDescent="0.2">
      <c r="B4833" t="s">
        <v>7296</v>
      </c>
      <c r="C4833">
        <v>531335</v>
      </c>
      <c r="D4833" t="s">
        <v>7297</v>
      </c>
      <c r="E4833" t="s">
        <v>426</v>
      </c>
    </row>
    <row r="4834" spans="2:5" x14ac:dyDescent="0.2">
      <c r="B4834" t="s">
        <v>7298</v>
      </c>
      <c r="C4834">
        <v>532883</v>
      </c>
      <c r="D4834" t="s">
        <v>7299</v>
      </c>
      <c r="E4834" t="s">
        <v>459</v>
      </c>
    </row>
    <row r="4835" spans="2:5" x14ac:dyDescent="0.2">
      <c r="B4835" t="s">
        <v>7300</v>
      </c>
      <c r="C4835">
        <v>500202</v>
      </c>
      <c r="D4835" t="s">
        <v>7301</v>
      </c>
      <c r="E4835" t="s">
        <v>383</v>
      </c>
    </row>
    <row r="4836" spans="2:5" x14ac:dyDescent="0.2">
      <c r="B4836" t="s">
        <v>7302</v>
      </c>
      <c r="C4836">
        <v>500458</v>
      </c>
      <c r="D4836" t="s">
        <v>7303</v>
      </c>
      <c r="E4836" t="s">
        <v>446</v>
      </c>
    </row>
    <row r="4837" spans="2:5" x14ac:dyDescent="0.2">
      <c r="B4837" t="s">
        <v>7304</v>
      </c>
      <c r="C4837">
        <v>501111</v>
      </c>
      <c r="D4837" t="s">
        <v>7305</v>
      </c>
      <c r="E4837" t="s">
        <v>388</v>
      </c>
    </row>
    <row r="4838" spans="2:5" x14ac:dyDescent="0.2">
      <c r="B4838" t="s">
        <v>7306</v>
      </c>
      <c r="C4838">
        <v>501151</v>
      </c>
      <c r="D4838" t="s">
        <v>7307</v>
      </c>
      <c r="E4838" t="s">
        <v>349</v>
      </c>
    </row>
    <row r="4839" spans="2:5" x14ac:dyDescent="0.2">
      <c r="B4839" t="s">
        <v>7308</v>
      </c>
      <c r="C4839">
        <v>501311</v>
      </c>
      <c r="D4839" t="s">
        <v>7309</v>
      </c>
      <c r="E4839" t="s">
        <v>383</v>
      </c>
    </row>
    <row r="4840" spans="2:5" x14ac:dyDescent="0.2">
      <c r="B4840" t="s">
        <v>7310</v>
      </c>
      <c r="C4840">
        <v>501622</v>
      </c>
      <c r="D4840" t="s">
        <v>7311</v>
      </c>
      <c r="E4840" t="s">
        <v>7312</v>
      </c>
    </row>
    <row r="4841" spans="2:5" x14ac:dyDescent="0.2">
      <c r="B4841" t="s">
        <v>7313</v>
      </c>
      <c r="C4841">
        <v>502850</v>
      </c>
      <c r="D4841" t="s">
        <v>7314</v>
      </c>
      <c r="E4841" t="s">
        <v>381</v>
      </c>
    </row>
    <row r="4842" spans="2:5" x14ac:dyDescent="0.2">
      <c r="B4842" t="s">
        <v>7315</v>
      </c>
      <c r="C4842">
        <v>503669</v>
      </c>
      <c r="D4842" t="s">
        <v>7316</v>
      </c>
      <c r="E4842" t="s">
        <v>7312</v>
      </c>
    </row>
    <row r="4843" spans="2:5" x14ac:dyDescent="0.2">
      <c r="B4843" t="s">
        <v>7317</v>
      </c>
      <c r="C4843">
        <v>506975</v>
      </c>
      <c r="D4843" t="s">
        <v>7318</v>
      </c>
      <c r="E4843" t="s">
        <v>381</v>
      </c>
    </row>
    <row r="4844" spans="2:5" x14ac:dyDescent="0.2">
      <c r="B4844" t="s">
        <v>7319</v>
      </c>
      <c r="C4844">
        <v>508924</v>
      </c>
      <c r="D4844" t="s">
        <v>7320</v>
      </c>
      <c r="E4844" t="s">
        <v>7312</v>
      </c>
    </row>
    <row r="4845" spans="2:5" x14ac:dyDescent="0.2">
      <c r="B4845" t="s">
        <v>7321</v>
      </c>
      <c r="C4845">
        <v>511260</v>
      </c>
      <c r="D4845" t="s">
        <v>7322</v>
      </c>
      <c r="E4845" t="s">
        <v>349</v>
      </c>
    </row>
    <row r="4846" spans="2:5" x14ac:dyDescent="0.2">
      <c r="B4846" t="s">
        <v>7323</v>
      </c>
      <c r="C4846">
        <v>511730</v>
      </c>
      <c r="D4846" t="s">
        <v>7324</v>
      </c>
      <c r="E4846" t="s">
        <v>383</v>
      </c>
    </row>
    <row r="4847" spans="2:5" x14ac:dyDescent="0.2">
      <c r="B4847" t="s">
        <v>7325</v>
      </c>
      <c r="C4847">
        <v>512221</v>
      </c>
      <c r="D4847" t="s">
        <v>7326</v>
      </c>
      <c r="E4847" t="s">
        <v>383</v>
      </c>
    </row>
    <row r="4848" spans="2:5" x14ac:dyDescent="0.2">
      <c r="B4848" t="s">
        <v>7327</v>
      </c>
      <c r="C4848">
        <v>512344</v>
      </c>
      <c r="D4848" t="s">
        <v>7328</v>
      </c>
      <c r="E4848" t="s">
        <v>388</v>
      </c>
    </row>
    <row r="4849" spans="2:5" x14ac:dyDescent="0.2">
      <c r="B4849" t="s">
        <v>7329</v>
      </c>
      <c r="C4849">
        <v>512345</v>
      </c>
      <c r="D4849" t="s">
        <v>7330</v>
      </c>
      <c r="E4849" t="s">
        <v>349</v>
      </c>
    </row>
    <row r="4850" spans="2:5" x14ac:dyDescent="0.2">
      <c r="B4850" t="s">
        <v>7331</v>
      </c>
      <c r="C4850">
        <v>512479</v>
      </c>
      <c r="D4850" t="s">
        <v>7332</v>
      </c>
      <c r="E4850" t="s">
        <v>452</v>
      </c>
    </row>
    <row r="4851" spans="2:5" x14ac:dyDescent="0.2">
      <c r="B4851" t="s">
        <v>7333</v>
      </c>
      <c r="C4851">
        <v>513343</v>
      </c>
      <c r="D4851" t="s">
        <v>7334</v>
      </c>
      <c r="E4851" t="s">
        <v>689</v>
      </c>
    </row>
    <row r="4852" spans="2:5" x14ac:dyDescent="0.2">
      <c r="B4852" t="s">
        <v>7335</v>
      </c>
      <c r="C4852">
        <v>513418</v>
      </c>
      <c r="D4852" t="s">
        <v>7336</v>
      </c>
      <c r="E4852" t="s">
        <v>1284</v>
      </c>
    </row>
    <row r="4853" spans="2:5" x14ac:dyDescent="0.2">
      <c r="B4853" t="s">
        <v>7337</v>
      </c>
      <c r="C4853">
        <v>515008</v>
      </c>
      <c r="D4853" t="s">
        <v>7338</v>
      </c>
      <c r="E4853" t="s">
        <v>664</v>
      </c>
    </row>
    <row r="4854" spans="2:5" x14ac:dyDescent="0.2">
      <c r="B4854" t="s">
        <v>7339</v>
      </c>
      <c r="C4854">
        <v>517273</v>
      </c>
      <c r="D4854" t="s">
        <v>7340</v>
      </c>
      <c r="E4854" t="s">
        <v>664</v>
      </c>
    </row>
    <row r="4855" spans="2:5" x14ac:dyDescent="0.2">
      <c r="B4855" t="s">
        <v>7341</v>
      </c>
      <c r="C4855">
        <v>517360</v>
      </c>
      <c r="D4855" t="s">
        <v>7342</v>
      </c>
      <c r="E4855" t="s">
        <v>388</v>
      </c>
    </row>
    <row r="4856" spans="2:5" x14ac:dyDescent="0.2">
      <c r="B4856" t="s">
        <v>7343</v>
      </c>
      <c r="C4856">
        <v>517393</v>
      </c>
      <c r="D4856" t="s">
        <v>7344</v>
      </c>
      <c r="E4856" t="s">
        <v>691</v>
      </c>
    </row>
    <row r="4857" spans="2:5" x14ac:dyDescent="0.2">
      <c r="B4857" t="s">
        <v>7345</v>
      </c>
      <c r="C4857">
        <v>519397</v>
      </c>
      <c r="D4857" t="s">
        <v>7346</v>
      </c>
      <c r="E4857" t="s">
        <v>426</v>
      </c>
    </row>
    <row r="4858" spans="2:5" x14ac:dyDescent="0.2">
      <c r="B4858" t="s">
        <v>7347</v>
      </c>
      <c r="C4858">
        <v>519500</v>
      </c>
      <c r="D4858" t="s">
        <v>7348</v>
      </c>
      <c r="E4858" t="s">
        <v>426</v>
      </c>
    </row>
    <row r="4859" spans="2:5" x14ac:dyDescent="0.2">
      <c r="B4859" t="s">
        <v>7349</v>
      </c>
      <c r="C4859">
        <v>522171</v>
      </c>
      <c r="D4859" t="s">
        <v>7350</v>
      </c>
      <c r="E4859" t="s">
        <v>374</v>
      </c>
    </row>
    <row r="4860" spans="2:5" x14ac:dyDescent="0.2">
      <c r="B4860" t="s">
        <v>7351</v>
      </c>
      <c r="C4860">
        <v>524572</v>
      </c>
      <c r="D4860" t="s">
        <v>7352</v>
      </c>
      <c r="E4860" t="s">
        <v>404</v>
      </c>
    </row>
    <row r="4861" spans="2:5" x14ac:dyDescent="0.2">
      <c r="B4861" t="s">
        <v>7353</v>
      </c>
      <c r="C4861">
        <v>526211</v>
      </c>
      <c r="D4861" t="s">
        <v>7354</v>
      </c>
      <c r="E4861" t="s">
        <v>615</v>
      </c>
    </row>
    <row r="4862" spans="2:5" x14ac:dyDescent="0.2">
      <c r="B4862" t="s">
        <v>7355</v>
      </c>
      <c r="C4862">
        <v>526638</v>
      </c>
      <c r="D4862" t="s">
        <v>7356</v>
      </c>
      <c r="E4862" t="s">
        <v>486</v>
      </c>
    </row>
    <row r="4863" spans="2:5" x14ac:dyDescent="0.2">
      <c r="B4863" t="s">
        <v>7357</v>
      </c>
      <c r="C4863">
        <v>530291</v>
      </c>
      <c r="D4863" t="s">
        <v>7358</v>
      </c>
      <c r="E4863" t="s">
        <v>615</v>
      </c>
    </row>
    <row r="4864" spans="2:5" x14ac:dyDescent="0.2">
      <c r="B4864" t="s">
        <v>7359</v>
      </c>
      <c r="C4864">
        <v>530439</v>
      </c>
      <c r="D4864" t="s">
        <v>7360</v>
      </c>
      <c r="E4864" t="s">
        <v>383</v>
      </c>
    </row>
    <row r="4865" spans="2:5" x14ac:dyDescent="0.2">
      <c r="B4865" t="s">
        <v>7361</v>
      </c>
      <c r="C4865">
        <v>530443</v>
      </c>
      <c r="D4865" t="s">
        <v>7362</v>
      </c>
      <c r="E4865" t="s">
        <v>381</v>
      </c>
    </row>
    <row r="4866" spans="2:5" x14ac:dyDescent="0.2">
      <c r="B4866" t="s">
        <v>7363</v>
      </c>
      <c r="C4866">
        <v>531205</v>
      </c>
      <c r="D4866" t="s">
        <v>7364</v>
      </c>
      <c r="E4866" t="s">
        <v>388</v>
      </c>
    </row>
    <row r="4867" spans="2:5" x14ac:dyDescent="0.2">
      <c r="B4867" t="s">
        <v>7365</v>
      </c>
      <c r="C4867">
        <v>531225</v>
      </c>
      <c r="D4867" t="s">
        <v>7366</v>
      </c>
      <c r="E4867" t="s">
        <v>459</v>
      </c>
    </row>
    <row r="4868" spans="2:5" x14ac:dyDescent="0.2">
      <c r="B4868" t="s">
        <v>7367</v>
      </c>
      <c r="C4868">
        <v>531436</v>
      </c>
      <c r="D4868" t="s">
        <v>7368</v>
      </c>
      <c r="E4868" t="s">
        <v>360</v>
      </c>
    </row>
    <row r="4869" spans="2:5" x14ac:dyDescent="0.2">
      <c r="B4869" t="s">
        <v>7369</v>
      </c>
      <c r="C4869">
        <v>531621</v>
      </c>
      <c r="D4869" t="s">
        <v>7370</v>
      </c>
      <c r="E4869" t="s">
        <v>372</v>
      </c>
    </row>
    <row r="4870" spans="2:5" x14ac:dyDescent="0.2">
      <c r="B4870" t="s">
        <v>7371</v>
      </c>
      <c r="C4870">
        <v>531944</v>
      </c>
      <c r="D4870" t="s">
        <v>7372</v>
      </c>
      <c r="E4870" t="s">
        <v>374</v>
      </c>
    </row>
    <row r="4871" spans="2:5" x14ac:dyDescent="0.2">
      <c r="B4871" t="s">
        <v>7373</v>
      </c>
      <c r="C4871">
        <v>532138</v>
      </c>
      <c r="D4871" t="s">
        <v>7374</v>
      </c>
      <c r="E4871" t="s">
        <v>383</v>
      </c>
    </row>
    <row r="4872" spans="2:5" x14ac:dyDescent="0.2">
      <c r="B4872" t="s">
        <v>7375</v>
      </c>
      <c r="C4872">
        <v>533093</v>
      </c>
      <c r="D4872" t="s">
        <v>7376</v>
      </c>
      <c r="E4872" t="s">
        <v>615</v>
      </c>
    </row>
    <row r="4873" spans="2:5" x14ac:dyDescent="0.2">
      <c r="B4873" t="s">
        <v>7377</v>
      </c>
      <c r="C4873">
        <v>533570</v>
      </c>
      <c r="D4873" t="s">
        <v>7378</v>
      </c>
      <c r="E4873" t="s">
        <v>219</v>
      </c>
    </row>
    <row r="4874" spans="2:5" x14ac:dyDescent="0.2">
      <c r="B4874" t="s">
        <v>7379</v>
      </c>
      <c r="C4874">
        <v>533719</v>
      </c>
      <c r="D4874" t="s">
        <v>7380</v>
      </c>
      <c r="E4874" t="s">
        <v>219</v>
      </c>
    </row>
    <row r="4875" spans="2:5" x14ac:dyDescent="0.2">
      <c r="B4875" t="s">
        <v>7381</v>
      </c>
      <c r="C4875">
        <v>535276</v>
      </c>
      <c r="D4875" t="s">
        <v>7382</v>
      </c>
      <c r="E4875" t="s">
        <v>219</v>
      </c>
    </row>
    <row r="4876" spans="2:5" x14ac:dyDescent="0.2">
      <c r="B4876" t="s">
        <v>7383</v>
      </c>
      <c r="C4876">
        <v>536960</v>
      </c>
      <c r="D4876" t="s">
        <v>7384</v>
      </c>
      <c r="E4876" t="s">
        <v>219</v>
      </c>
    </row>
    <row r="4877" spans="2:5" x14ac:dyDescent="0.2">
      <c r="B4877" t="s">
        <v>7385</v>
      </c>
      <c r="C4877">
        <v>537007</v>
      </c>
      <c r="D4877" t="s">
        <v>7386</v>
      </c>
      <c r="E4877" t="s">
        <v>219</v>
      </c>
    </row>
    <row r="4878" spans="2:5" x14ac:dyDescent="0.2">
      <c r="B4878" t="s">
        <v>7387</v>
      </c>
      <c r="C4878">
        <v>537008</v>
      </c>
      <c r="D4878" t="s">
        <v>7388</v>
      </c>
      <c r="E4878" t="s">
        <v>219</v>
      </c>
    </row>
    <row r="4879" spans="2:5" x14ac:dyDescent="0.2">
      <c r="B4879" t="s">
        <v>7389</v>
      </c>
      <c r="C4879">
        <v>537483</v>
      </c>
      <c r="D4879" t="s">
        <v>7390</v>
      </c>
      <c r="E4879" t="s">
        <v>219</v>
      </c>
    </row>
    <row r="4880" spans="2:5" x14ac:dyDescent="0.2">
      <c r="B4880" t="s">
        <v>7391</v>
      </c>
      <c r="C4880">
        <v>537708</v>
      </c>
      <c r="D4880" t="s">
        <v>7392</v>
      </c>
      <c r="E4880" t="s">
        <v>219</v>
      </c>
    </row>
    <row r="4881" spans="2:5" x14ac:dyDescent="0.2">
      <c r="B4881" t="s">
        <v>7393</v>
      </c>
      <c r="C4881">
        <v>538057</v>
      </c>
      <c r="D4881" t="s">
        <v>7394</v>
      </c>
      <c r="E4881" t="s">
        <v>219</v>
      </c>
    </row>
    <row r="4882" spans="2:5" x14ac:dyDescent="0.2">
      <c r="B4882" t="s">
        <v>7395</v>
      </c>
      <c r="C4882">
        <v>538273</v>
      </c>
      <c r="D4882" t="s">
        <v>7396</v>
      </c>
      <c r="E4882" t="s">
        <v>459</v>
      </c>
    </row>
    <row r="4883" spans="2:5" x14ac:dyDescent="0.2">
      <c r="B4883" t="s">
        <v>7397</v>
      </c>
      <c r="C4883">
        <v>538452</v>
      </c>
      <c r="D4883" t="s">
        <v>7398</v>
      </c>
      <c r="E4883" t="s">
        <v>388</v>
      </c>
    </row>
    <row r="4884" spans="2:5" x14ac:dyDescent="0.2">
      <c r="B4884" t="s">
        <v>7399</v>
      </c>
      <c r="C4884">
        <v>538501</v>
      </c>
      <c r="D4884" t="s">
        <v>7400</v>
      </c>
      <c r="E4884" t="s">
        <v>219</v>
      </c>
    </row>
    <row r="4885" spans="2:5" x14ac:dyDescent="0.2">
      <c r="B4885" t="s">
        <v>7401</v>
      </c>
      <c r="C4885">
        <v>538502</v>
      </c>
      <c r="D4885" t="s">
        <v>7402</v>
      </c>
      <c r="E4885" t="s">
        <v>219</v>
      </c>
    </row>
    <row r="4886" spans="2:5" x14ac:dyDescent="0.2">
      <c r="B4886" t="s">
        <v>7403</v>
      </c>
      <c r="C4886">
        <v>538577</v>
      </c>
      <c r="D4886" t="s">
        <v>7404</v>
      </c>
      <c r="E4886" t="s">
        <v>219</v>
      </c>
    </row>
    <row r="4887" spans="2:5" x14ac:dyDescent="0.2">
      <c r="B4887" t="s">
        <v>7405</v>
      </c>
      <c r="C4887">
        <v>538578</v>
      </c>
      <c r="D4887" t="s">
        <v>7406</v>
      </c>
      <c r="E4887" t="s">
        <v>219</v>
      </c>
    </row>
    <row r="4888" spans="2:5" x14ac:dyDescent="0.2">
      <c r="B4888" t="s">
        <v>7407</v>
      </c>
      <c r="C4888">
        <v>538646</v>
      </c>
      <c r="D4888" t="s">
        <v>7408</v>
      </c>
      <c r="E4888" t="s">
        <v>383</v>
      </c>
    </row>
    <row r="4889" spans="2:5" x14ac:dyDescent="0.2">
      <c r="B4889" t="s">
        <v>7409</v>
      </c>
      <c r="C4889">
        <v>538683</v>
      </c>
      <c r="D4889" t="s">
        <v>7410</v>
      </c>
      <c r="E4889" t="s">
        <v>219</v>
      </c>
    </row>
    <row r="4890" spans="2:5" x14ac:dyDescent="0.2">
      <c r="B4890" t="s">
        <v>7411</v>
      </c>
      <c r="C4890">
        <v>538728</v>
      </c>
      <c r="D4890" t="s">
        <v>7412</v>
      </c>
      <c r="E4890" t="s">
        <v>219</v>
      </c>
    </row>
    <row r="4891" spans="2:5" x14ac:dyDescent="0.2">
      <c r="B4891" t="s">
        <v>7413</v>
      </c>
      <c r="C4891">
        <v>538729</v>
      </c>
      <c r="D4891" t="s">
        <v>7414</v>
      </c>
      <c r="E4891" t="s">
        <v>219</v>
      </c>
    </row>
    <row r="4892" spans="2:5" x14ac:dyDescent="0.2">
      <c r="B4892" t="s">
        <v>7415</v>
      </c>
      <c r="C4892">
        <v>538808</v>
      </c>
      <c r="D4892" t="s">
        <v>7416</v>
      </c>
      <c r="E4892" t="s">
        <v>219</v>
      </c>
    </row>
    <row r="4893" spans="2:5" x14ac:dyDescent="0.2">
      <c r="B4893" t="s">
        <v>7417</v>
      </c>
      <c r="C4893">
        <v>538809</v>
      </c>
      <c r="D4893" t="s">
        <v>7418</v>
      </c>
      <c r="E4893" t="s">
        <v>219</v>
      </c>
    </row>
    <row r="4894" spans="2:5" x14ac:dyDescent="0.2">
      <c r="B4894" t="s">
        <v>7419</v>
      </c>
      <c r="C4894">
        <v>538810</v>
      </c>
      <c r="D4894" t="s">
        <v>7420</v>
      </c>
      <c r="E4894" t="s">
        <v>219</v>
      </c>
    </row>
    <row r="4895" spans="2:5" x14ac:dyDescent="0.2">
      <c r="B4895" t="s">
        <v>7421</v>
      </c>
      <c r="C4895">
        <v>538811</v>
      </c>
      <c r="D4895" t="s">
        <v>7422</v>
      </c>
      <c r="E4895" t="s">
        <v>219</v>
      </c>
    </row>
    <row r="4896" spans="2:5" x14ac:dyDescent="0.2">
      <c r="B4896" t="s">
        <v>7423</v>
      </c>
      <c r="C4896">
        <v>539031</v>
      </c>
      <c r="D4896" t="s">
        <v>7424</v>
      </c>
      <c r="E4896" t="s">
        <v>219</v>
      </c>
    </row>
    <row r="4897" spans="2:5" x14ac:dyDescent="0.2">
      <c r="B4897" t="s">
        <v>7425</v>
      </c>
      <c r="C4897">
        <v>539090</v>
      </c>
      <c r="D4897" t="s">
        <v>7426</v>
      </c>
      <c r="E4897" t="s">
        <v>383</v>
      </c>
    </row>
    <row r="4898" spans="2:5" x14ac:dyDescent="0.2">
      <c r="B4898" t="s">
        <v>7427</v>
      </c>
      <c r="C4898">
        <v>539142</v>
      </c>
      <c r="D4898" t="s">
        <v>7428</v>
      </c>
      <c r="E4898" t="s">
        <v>219</v>
      </c>
    </row>
    <row r="4899" spans="2:5" x14ac:dyDescent="0.2">
      <c r="B4899" t="s">
        <v>7429</v>
      </c>
      <c r="C4899">
        <v>539274</v>
      </c>
      <c r="D4899" t="s">
        <v>7430</v>
      </c>
      <c r="E4899" t="s">
        <v>383</v>
      </c>
    </row>
    <row r="4900" spans="2:5" x14ac:dyDescent="0.2">
      <c r="B4900" t="s">
        <v>7431</v>
      </c>
      <c r="C4900">
        <v>539312</v>
      </c>
      <c r="D4900" t="s">
        <v>7432</v>
      </c>
      <c r="E4900" t="s">
        <v>219</v>
      </c>
    </row>
    <row r="4901" spans="2:5" x14ac:dyDescent="0.2">
      <c r="B4901" t="s">
        <v>7433</v>
      </c>
      <c r="C4901">
        <v>539313</v>
      </c>
      <c r="D4901" t="s">
        <v>7434</v>
      </c>
      <c r="E4901" t="s">
        <v>219</v>
      </c>
    </row>
    <row r="4902" spans="2:5" x14ac:dyDescent="0.2">
      <c r="B4902" t="s">
        <v>7435</v>
      </c>
      <c r="C4902">
        <v>539480</v>
      </c>
      <c r="D4902" t="s">
        <v>7436</v>
      </c>
      <c r="E4902" t="s">
        <v>219</v>
      </c>
    </row>
    <row r="4903" spans="2:5" x14ac:dyDescent="0.2">
      <c r="B4903" t="s">
        <v>7437</v>
      </c>
      <c r="C4903">
        <v>539487</v>
      </c>
      <c r="D4903" t="s">
        <v>7438</v>
      </c>
      <c r="E4903" t="s">
        <v>219</v>
      </c>
    </row>
    <row r="4904" spans="2:5" x14ac:dyDescent="0.2">
      <c r="B4904" t="s">
        <v>7439</v>
      </c>
      <c r="C4904">
        <v>539516</v>
      </c>
      <c r="D4904" t="s">
        <v>7440</v>
      </c>
      <c r="E4904" t="s">
        <v>219</v>
      </c>
    </row>
    <row r="4905" spans="2:5" x14ac:dyDescent="0.2">
      <c r="B4905" t="s">
        <v>7441</v>
      </c>
      <c r="C4905">
        <v>539517</v>
      </c>
      <c r="D4905" t="s">
        <v>7442</v>
      </c>
      <c r="E4905" t="s">
        <v>219</v>
      </c>
    </row>
    <row r="4906" spans="2:5" x14ac:dyDescent="0.2">
      <c r="B4906" t="s">
        <v>7443</v>
      </c>
      <c r="C4906">
        <v>539561</v>
      </c>
      <c r="D4906" t="s">
        <v>7444</v>
      </c>
      <c r="E4906" t="s">
        <v>388</v>
      </c>
    </row>
    <row r="4907" spans="2:5" x14ac:dyDescent="0.2">
      <c r="B4907" t="s">
        <v>7445</v>
      </c>
      <c r="C4907">
        <v>539784</v>
      </c>
      <c r="D4907" t="s">
        <v>7446</v>
      </c>
      <c r="E4907" t="s">
        <v>219</v>
      </c>
    </row>
    <row r="4908" spans="2:5" x14ac:dyDescent="0.2">
      <c r="B4908" t="s">
        <v>7447</v>
      </c>
      <c r="C4908">
        <v>539945</v>
      </c>
      <c r="D4908" t="s">
        <v>7448</v>
      </c>
      <c r="E4908" t="s">
        <v>219</v>
      </c>
    </row>
    <row r="4909" spans="2:5" x14ac:dyDescent="0.2">
      <c r="B4909" t="s">
        <v>7449</v>
      </c>
      <c r="C4909">
        <v>539980</v>
      </c>
      <c r="D4909" t="s">
        <v>7450</v>
      </c>
      <c r="E4909" t="s">
        <v>219</v>
      </c>
    </row>
    <row r="4910" spans="2:5" x14ac:dyDescent="0.2">
      <c r="B4910" t="s">
        <v>7451</v>
      </c>
      <c r="C4910">
        <v>540008</v>
      </c>
      <c r="D4910" t="s">
        <v>7452</v>
      </c>
      <c r="E4910" t="s">
        <v>219</v>
      </c>
    </row>
    <row r="4911" spans="2:5" x14ac:dyDescent="0.2">
      <c r="B4911" t="s">
        <v>7453</v>
      </c>
      <c r="C4911">
        <v>540154</v>
      </c>
      <c r="D4911" t="s">
        <v>7454</v>
      </c>
      <c r="E4911" t="s">
        <v>219</v>
      </c>
    </row>
    <row r="4912" spans="2:5" x14ac:dyDescent="0.2">
      <c r="B4912" t="s">
        <v>7455</v>
      </c>
      <c r="C4912">
        <v>540333</v>
      </c>
      <c r="D4912" t="s">
        <v>7456</v>
      </c>
      <c r="E4912" t="s">
        <v>219</v>
      </c>
    </row>
    <row r="4913" spans="2:5" x14ac:dyDescent="0.2">
      <c r="B4913" t="s">
        <v>7457</v>
      </c>
      <c r="C4913">
        <v>540334</v>
      </c>
      <c r="D4913" t="s">
        <v>7458</v>
      </c>
      <c r="E4913" t="s">
        <v>219</v>
      </c>
    </row>
    <row r="4914" spans="2:5" x14ac:dyDescent="0.2">
      <c r="B4914" t="s">
        <v>7459</v>
      </c>
      <c r="C4914">
        <v>540335</v>
      </c>
      <c r="D4914" t="s">
        <v>7460</v>
      </c>
      <c r="E4914" t="s">
        <v>219</v>
      </c>
    </row>
    <row r="4915" spans="2:5" x14ac:dyDescent="0.2">
      <c r="B4915" t="s">
        <v>7461</v>
      </c>
      <c r="C4915">
        <v>540336</v>
      </c>
      <c r="D4915" t="s">
        <v>7462</v>
      </c>
      <c r="E4915" t="s">
        <v>219</v>
      </c>
    </row>
    <row r="4916" spans="2:5" x14ac:dyDescent="0.2">
      <c r="B4916" t="s">
        <v>7463</v>
      </c>
      <c r="C4916">
        <v>540469</v>
      </c>
      <c r="D4916" t="s">
        <v>7464</v>
      </c>
      <c r="E4916" t="s">
        <v>219</v>
      </c>
    </row>
    <row r="4917" spans="2:5" x14ac:dyDescent="0.2">
      <c r="B4917" t="s">
        <v>7465</v>
      </c>
      <c r="C4917">
        <v>540470</v>
      </c>
      <c r="D4917" t="s">
        <v>7466</v>
      </c>
      <c r="E4917" t="s">
        <v>219</v>
      </c>
    </row>
    <row r="4918" spans="2:5" x14ac:dyDescent="0.2">
      <c r="B4918" t="s">
        <v>7467</v>
      </c>
      <c r="C4918">
        <v>540538</v>
      </c>
      <c r="D4918" t="s">
        <v>7468</v>
      </c>
      <c r="E4918" t="s">
        <v>219</v>
      </c>
    </row>
    <row r="4919" spans="2:5" x14ac:dyDescent="0.2">
      <c r="B4919" t="s">
        <v>7469</v>
      </c>
      <c r="C4919">
        <v>540539</v>
      </c>
      <c r="D4919" t="s">
        <v>7470</v>
      </c>
      <c r="E4919" t="s">
        <v>219</v>
      </c>
    </row>
    <row r="4920" spans="2:5" x14ac:dyDescent="0.2">
      <c r="B4920" t="s">
        <v>7471</v>
      </c>
      <c r="C4920">
        <v>540551</v>
      </c>
      <c r="D4920" t="s">
        <v>7472</v>
      </c>
      <c r="E4920" t="s">
        <v>219</v>
      </c>
    </row>
    <row r="4921" spans="2:5" x14ac:dyDescent="0.2">
      <c r="B4921" t="s">
        <v>7473</v>
      </c>
      <c r="C4921">
        <v>540552</v>
      </c>
      <c r="D4921" t="s">
        <v>7474</v>
      </c>
      <c r="E4921" t="s">
        <v>219</v>
      </c>
    </row>
    <row r="4922" spans="2:5" x14ac:dyDescent="0.2">
      <c r="B4922" t="s">
        <v>7475</v>
      </c>
      <c r="C4922">
        <v>540586</v>
      </c>
      <c r="D4922" t="s">
        <v>7476</v>
      </c>
      <c r="E4922" t="s">
        <v>219</v>
      </c>
    </row>
    <row r="4923" spans="2:5" x14ac:dyDescent="0.2">
      <c r="B4923" t="s">
        <v>7477</v>
      </c>
      <c r="C4923">
        <v>540587</v>
      </c>
      <c r="D4923" t="s">
        <v>7478</v>
      </c>
      <c r="E4923" t="s">
        <v>219</v>
      </c>
    </row>
    <row r="4924" spans="2:5" x14ac:dyDescent="0.2">
      <c r="B4924" t="s">
        <v>7479</v>
      </c>
      <c r="C4924">
        <v>540588</v>
      </c>
      <c r="D4924" t="s">
        <v>7480</v>
      </c>
      <c r="E4924" t="s">
        <v>219</v>
      </c>
    </row>
    <row r="4925" spans="2:5" x14ac:dyDescent="0.2">
      <c r="B4925" t="s">
        <v>7481</v>
      </c>
      <c r="C4925">
        <v>540589</v>
      </c>
      <c r="D4925" t="s">
        <v>7482</v>
      </c>
      <c r="E4925" t="s">
        <v>219</v>
      </c>
    </row>
    <row r="4926" spans="2:5" x14ac:dyDescent="0.2">
      <c r="B4926" t="s">
        <v>7483</v>
      </c>
      <c r="C4926">
        <v>540591</v>
      </c>
      <c r="D4926" t="s">
        <v>7484</v>
      </c>
      <c r="E4926" t="s">
        <v>219</v>
      </c>
    </row>
    <row r="4927" spans="2:5" x14ac:dyDescent="0.2">
      <c r="B4927" t="s">
        <v>7485</v>
      </c>
      <c r="C4927">
        <v>540592</v>
      </c>
      <c r="D4927" t="s">
        <v>7486</v>
      </c>
      <c r="E4927" t="s">
        <v>219</v>
      </c>
    </row>
    <row r="4928" spans="2:5" x14ac:dyDescent="0.2">
      <c r="B4928" t="s">
        <v>7487</v>
      </c>
      <c r="C4928">
        <v>540593</v>
      </c>
      <c r="D4928" t="s">
        <v>7488</v>
      </c>
      <c r="E4928" t="s">
        <v>219</v>
      </c>
    </row>
    <row r="4929" spans="2:5" x14ac:dyDescent="0.2">
      <c r="B4929" t="s">
        <v>7489</v>
      </c>
      <c r="C4929">
        <v>540594</v>
      </c>
      <c r="D4929" t="s">
        <v>7490</v>
      </c>
      <c r="E4929" t="s">
        <v>219</v>
      </c>
    </row>
    <row r="4930" spans="2:5" x14ac:dyDescent="0.2">
      <c r="B4930" t="s">
        <v>7491</v>
      </c>
      <c r="C4930">
        <v>540612</v>
      </c>
      <c r="D4930" t="s">
        <v>7492</v>
      </c>
      <c r="E4930" t="s">
        <v>219</v>
      </c>
    </row>
    <row r="4931" spans="2:5" x14ac:dyDescent="0.2">
      <c r="B4931" t="s">
        <v>7493</v>
      </c>
      <c r="C4931">
        <v>540617</v>
      </c>
      <c r="D4931" t="s">
        <v>7494</v>
      </c>
      <c r="E4931" t="s">
        <v>219</v>
      </c>
    </row>
    <row r="4932" spans="2:5" x14ac:dyDescent="0.2">
      <c r="B4932" t="s">
        <v>7495</v>
      </c>
      <c r="C4932">
        <v>540618</v>
      </c>
      <c r="D4932" t="s">
        <v>7496</v>
      </c>
      <c r="E4932" t="s">
        <v>219</v>
      </c>
    </row>
    <row r="4933" spans="2:5" x14ac:dyDescent="0.2">
      <c r="B4933" t="s">
        <v>7497</v>
      </c>
      <c r="C4933">
        <v>540619</v>
      </c>
      <c r="D4933" t="s">
        <v>7498</v>
      </c>
      <c r="E4933" t="s">
        <v>219</v>
      </c>
    </row>
    <row r="4934" spans="2:5" x14ac:dyDescent="0.2">
      <c r="B4934" t="s">
        <v>7499</v>
      </c>
      <c r="C4934">
        <v>540620</v>
      </c>
      <c r="D4934" t="s">
        <v>7500</v>
      </c>
      <c r="E4934" t="s">
        <v>219</v>
      </c>
    </row>
    <row r="4935" spans="2:5" x14ac:dyDescent="0.2">
      <c r="B4935" t="s">
        <v>7501</v>
      </c>
      <c r="C4935">
        <v>540626</v>
      </c>
      <c r="D4935" t="s">
        <v>7502</v>
      </c>
      <c r="E4935" t="s">
        <v>219</v>
      </c>
    </row>
    <row r="4936" spans="2:5" x14ac:dyDescent="0.2">
      <c r="B4936" t="s">
        <v>7503</v>
      </c>
      <c r="C4936">
        <v>540627</v>
      </c>
      <c r="D4936" t="s">
        <v>7504</v>
      </c>
      <c r="E4936" t="s">
        <v>219</v>
      </c>
    </row>
    <row r="4937" spans="2:5" x14ac:dyDescent="0.2">
      <c r="B4937" t="s">
        <v>7505</v>
      </c>
      <c r="C4937">
        <v>540629</v>
      </c>
      <c r="D4937" t="s">
        <v>7506</v>
      </c>
      <c r="E4937" t="s">
        <v>219</v>
      </c>
    </row>
    <row r="4938" spans="2:5" x14ac:dyDescent="0.2">
      <c r="B4938" t="s">
        <v>7507</v>
      </c>
      <c r="C4938">
        <v>540631</v>
      </c>
      <c r="D4938" t="s">
        <v>7508</v>
      </c>
      <c r="E4938" t="s">
        <v>219</v>
      </c>
    </row>
    <row r="4939" spans="2:5" x14ac:dyDescent="0.2">
      <c r="B4939" t="s">
        <v>7509</v>
      </c>
      <c r="C4939">
        <v>540634</v>
      </c>
      <c r="D4939" t="s">
        <v>7510</v>
      </c>
      <c r="E4939" t="s">
        <v>219</v>
      </c>
    </row>
    <row r="4940" spans="2:5" x14ac:dyDescent="0.2">
      <c r="B4940" t="s">
        <v>7511</v>
      </c>
      <c r="C4940">
        <v>540635</v>
      </c>
      <c r="D4940" t="s">
        <v>7512</v>
      </c>
      <c r="E4940" t="s">
        <v>219</v>
      </c>
    </row>
    <row r="4941" spans="2:5" x14ac:dyDescent="0.2">
      <c r="B4941" t="s">
        <v>7513</v>
      </c>
      <c r="C4941">
        <v>540636</v>
      </c>
      <c r="D4941" t="s">
        <v>7514</v>
      </c>
      <c r="E4941" t="s">
        <v>219</v>
      </c>
    </row>
    <row r="4942" spans="2:5" x14ac:dyDescent="0.2">
      <c r="B4942" t="s">
        <v>7515</v>
      </c>
      <c r="C4942">
        <v>540637</v>
      </c>
      <c r="D4942" t="s">
        <v>7516</v>
      </c>
      <c r="E4942" t="s">
        <v>219</v>
      </c>
    </row>
    <row r="4943" spans="2:5" x14ac:dyDescent="0.2">
      <c r="B4943" t="s">
        <v>7517</v>
      </c>
      <c r="C4943">
        <v>540669</v>
      </c>
      <c r="D4943" t="s">
        <v>7518</v>
      </c>
      <c r="E4943" t="s">
        <v>219</v>
      </c>
    </row>
    <row r="4944" spans="2:5" x14ac:dyDescent="0.2">
      <c r="B4944" t="s">
        <v>7519</v>
      </c>
      <c r="C4944">
        <v>540671</v>
      </c>
      <c r="D4944" t="s">
        <v>7520</v>
      </c>
      <c r="E4944" t="s">
        <v>219</v>
      </c>
    </row>
    <row r="4945" spans="2:5" x14ac:dyDescent="0.2">
      <c r="B4945" t="s">
        <v>7521</v>
      </c>
      <c r="C4945">
        <v>540672</v>
      </c>
      <c r="D4945" t="s">
        <v>7522</v>
      </c>
      <c r="E4945" t="s">
        <v>219</v>
      </c>
    </row>
    <row r="4946" spans="2:5" x14ac:dyDescent="0.2">
      <c r="B4946" t="s">
        <v>7523</v>
      </c>
      <c r="C4946">
        <v>540682</v>
      </c>
      <c r="D4946" t="s">
        <v>7524</v>
      </c>
      <c r="E4946" t="s">
        <v>219</v>
      </c>
    </row>
    <row r="4947" spans="2:5" x14ac:dyDescent="0.2">
      <c r="B4947" t="s">
        <v>7525</v>
      </c>
      <c r="C4947">
        <v>540683</v>
      </c>
      <c r="D4947" t="s">
        <v>7526</v>
      </c>
      <c r="E4947" t="s">
        <v>219</v>
      </c>
    </row>
    <row r="4948" spans="2:5" x14ac:dyDescent="0.2">
      <c r="B4948" t="s">
        <v>7527</v>
      </c>
      <c r="C4948">
        <v>540684</v>
      </c>
      <c r="D4948" t="s">
        <v>7528</v>
      </c>
      <c r="E4948" t="s">
        <v>219</v>
      </c>
    </row>
    <row r="4949" spans="2:5" x14ac:dyDescent="0.2">
      <c r="B4949" t="s">
        <v>7529</v>
      </c>
      <c r="C4949">
        <v>540685</v>
      </c>
      <c r="D4949" t="s">
        <v>7530</v>
      </c>
      <c r="E4949" t="s">
        <v>219</v>
      </c>
    </row>
    <row r="4950" spans="2:5" x14ac:dyDescent="0.2">
      <c r="B4950" t="s">
        <v>7531</v>
      </c>
      <c r="C4950">
        <v>540711</v>
      </c>
      <c r="D4950" t="s">
        <v>7532</v>
      </c>
      <c r="E4950" t="s">
        <v>219</v>
      </c>
    </row>
    <row r="4951" spans="2:5" x14ac:dyDescent="0.2">
      <c r="B4951" t="s">
        <v>7533</v>
      </c>
      <c r="C4951">
        <v>540712</v>
      </c>
      <c r="D4951" t="s">
        <v>7534</v>
      </c>
      <c r="E4951" t="s">
        <v>219</v>
      </c>
    </row>
    <row r="4952" spans="2:5" x14ac:dyDescent="0.2">
      <c r="B4952" t="s">
        <v>7535</v>
      </c>
      <c r="C4952">
        <v>540713</v>
      </c>
      <c r="D4952" t="s">
        <v>7536</v>
      </c>
      <c r="E4952" t="s">
        <v>219</v>
      </c>
    </row>
    <row r="4953" spans="2:5" x14ac:dyDescent="0.2">
      <c r="B4953" t="s">
        <v>7537</v>
      </c>
      <c r="C4953">
        <v>540714</v>
      </c>
      <c r="D4953" t="s">
        <v>7538</v>
      </c>
      <c r="E4953" t="s">
        <v>219</v>
      </c>
    </row>
    <row r="4954" spans="2:5" x14ac:dyDescent="0.2">
      <c r="B4954" t="s">
        <v>7539</v>
      </c>
      <c r="C4954">
        <v>540739</v>
      </c>
      <c r="D4954" t="s">
        <v>7540</v>
      </c>
      <c r="E4954" t="s">
        <v>219</v>
      </c>
    </row>
    <row r="4955" spans="2:5" x14ac:dyDescent="0.2">
      <c r="B4955" t="s">
        <v>7541</v>
      </c>
      <c r="C4955">
        <v>540740</v>
      </c>
      <c r="D4955" t="s">
        <v>7542</v>
      </c>
      <c r="E4955" t="s">
        <v>219</v>
      </c>
    </row>
    <row r="4956" spans="2:5" x14ac:dyDescent="0.2">
      <c r="B4956" t="s">
        <v>7543</v>
      </c>
      <c r="C4956">
        <v>540741</v>
      </c>
      <c r="D4956" t="s">
        <v>7544</v>
      </c>
      <c r="E4956" t="s">
        <v>219</v>
      </c>
    </row>
    <row r="4957" spans="2:5" x14ac:dyDescent="0.2">
      <c r="B4957" t="s">
        <v>7545</v>
      </c>
      <c r="C4957">
        <v>540742</v>
      </c>
      <c r="D4957" t="s">
        <v>7546</v>
      </c>
      <c r="E4957" t="s">
        <v>219</v>
      </c>
    </row>
    <row r="4958" spans="2:5" x14ac:dyDescent="0.2">
      <c r="B4958" t="s">
        <v>7547</v>
      </c>
      <c r="C4958">
        <v>540763</v>
      </c>
      <c r="D4958" t="s">
        <v>7548</v>
      </c>
      <c r="E4958" t="s">
        <v>219</v>
      </c>
    </row>
    <row r="4959" spans="2:5" x14ac:dyDescent="0.2">
      <c r="B4959" t="s">
        <v>7549</v>
      </c>
      <c r="C4959">
        <v>540764</v>
      </c>
      <c r="D4959" t="s">
        <v>7550</v>
      </c>
      <c r="E4959" t="s">
        <v>219</v>
      </c>
    </row>
    <row r="4960" spans="2:5" x14ac:dyDescent="0.2">
      <c r="B4960" t="s">
        <v>7551</v>
      </c>
      <c r="C4960">
        <v>540765</v>
      </c>
      <c r="D4960" t="s">
        <v>7552</v>
      </c>
      <c r="E4960" t="s">
        <v>219</v>
      </c>
    </row>
    <row r="4961" spans="2:5" x14ac:dyDescent="0.2">
      <c r="B4961" t="s">
        <v>7553</v>
      </c>
      <c r="C4961">
        <v>540766</v>
      </c>
      <c r="D4961" t="s">
        <v>7554</v>
      </c>
      <c r="E4961" t="s">
        <v>219</v>
      </c>
    </row>
    <row r="4962" spans="2:5" x14ac:dyDescent="0.2">
      <c r="B4962" t="s">
        <v>7555</v>
      </c>
      <c r="C4962">
        <v>540778</v>
      </c>
      <c r="D4962" t="s">
        <v>7556</v>
      </c>
      <c r="E4962" t="s">
        <v>219</v>
      </c>
    </row>
    <row r="4963" spans="2:5" x14ac:dyDescent="0.2">
      <c r="B4963" t="s">
        <v>7557</v>
      </c>
      <c r="C4963">
        <v>540779</v>
      </c>
      <c r="D4963" t="s">
        <v>7558</v>
      </c>
      <c r="E4963" t="s">
        <v>219</v>
      </c>
    </row>
    <row r="4964" spans="2:5" x14ac:dyDescent="0.2">
      <c r="B4964" t="s">
        <v>7559</v>
      </c>
      <c r="C4964">
        <v>540780</v>
      </c>
      <c r="D4964" t="s">
        <v>7560</v>
      </c>
      <c r="E4964" t="s">
        <v>219</v>
      </c>
    </row>
    <row r="4965" spans="2:5" x14ac:dyDescent="0.2">
      <c r="B4965" t="s">
        <v>7561</v>
      </c>
      <c r="C4965">
        <v>540781</v>
      </c>
      <c r="D4965" t="s">
        <v>7562</v>
      </c>
      <c r="E4965" t="s">
        <v>219</v>
      </c>
    </row>
    <row r="4966" spans="2:5" x14ac:dyDescent="0.2">
      <c r="B4966" t="s">
        <v>7563</v>
      </c>
      <c r="C4966">
        <v>540787</v>
      </c>
      <c r="D4966" t="s">
        <v>7564</v>
      </c>
      <c r="E4966" t="s">
        <v>219</v>
      </c>
    </row>
    <row r="4967" spans="2:5" x14ac:dyDescent="0.2">
      <c r="B4967" t="s">
        <v>7565</v>
      </c>
      <c r="C4967">
        <v>540791</v>
      </c>
      <c r="D4967" t="s">
        <v>7566</v>
      </c>
      <c r="E4967" t="s">
        <v>219</v>
      </c>
    </row>
    <row r="4968" spans="2:5" x14ac:dyDescent="0.2">
      <c r="B4968" t="s">
        <v>7567</v>
      </c>
      <c r="C4968">
        <v>540792</v>
      </c>
      <c r="D4968" t="s">
        <v>7568</v>
      </c>
      <c r="E4968" t="s">
        <v>219</v>
      </c>
    </row>
    <row r="4969" spans="2:5" x14ac:dyDescent="0.2">
      <c r="B4969" t="s">
        <v>7569</v>
      </c>
      <c r="C4969">
        <v>540793</v>
      </c>
      <c r="D4969" t="s">
        <v>7570</v>
      </c>
      <c r="E4969" t="s">
        <v>219</v>
      </c>
    </row>
    <row r="4970" spans="2:5" x14ac:dyDescent="0.2">
      <c r="B4970" t="s">
        <v>7571</v>
      </c>
      <c r="C4970">
        <v>540794</v>
      </c>
      <c r="D4970" t="s">
        <v>7572</v>
      </c>
      <c r="E4970" t="s">
        <v>219</v>
      </c>
    </row>
    <row r="4971" spans="2:5" x14ac:dyDescent="0.2">
      <c r="B4971" t="s">
        <v>7573</v>
      </c>
      <c r="C4971">
        <v>540799</v>
      </c>
      <c r="D4971" t="s">
        <v>7574</v>
      </c>
      <c r="E4971" t="s">
        <v>219</v>
      </c>
    </row>
    <row r="4972" spans="2:5" x14ac:dyDescent="0.2">
      <c r="B4972" t="s">
        <v>7575</v>
      </c>
      <c r="C4972">
        <v>540800</v>
      </c>
      <c r="D4972" t="s">
        <v>7576</v>
      </c>
      <c r="E4972" t="s">
        <v>219</v>
      </c>
    </row>
    <row r="4973" spans="2:5" x14ac:dyDescent="0.2">
      <c r="B4973" t="s">
        <v>7577</v>
      </c>
      <c r="C4973">
        <v>540801</v>
      </c>
      <c r="D4973" t="s">
        <v>7578</v>
      </c>
      <c r="E4973" t="s">
        <v>219</v>
      </c>
    </row>
    <row r="4974" spans="2:5" x14ac:dyDescent="0.2">
      <c r="B4974" t="s">
        <v>7579</v>
      </c>
      <c r="C4974">
        <v>540802</v>
      </c>
      <c r="D4974" t="s">
        <v>7580</v>
      </c>
      <c r="E4974" t="s">
        <v>219</v>
      </c>
    </row>
    <row r="4975" spans="2:5" x14ac:dyDescent="0.2">
      <c r="B4975" t="s">
        <v>7581</v>
      </c>
      <c r="C4975">
        <v>540825</v>
      </c>
      <c r="D4975" t="s">
        <v>7582</v>
      </c>
      <c r="E4975" t="s">
        <v>219</v>
      </c>
    </row>
    <row r="4976" spans="2:5" x14ac:dyDescent="0.2">
      <c r="B4976" t="s">
        <v>7583</v>
      </c>
      <c r="C4976">
        <v>540826</v>
      </c>
      <c r="D4976" t="s">
        <v>7584</v>
      </c>
      <c r="E4976" t="s">
        <v>219</v>
      </c>
    </row>
    <row r="4977" spans="2:5" x14ac:dyDescent="0.2">
      <c r="B4977" t="s">
        <v>7585</v>
      </c>
      <c r="C4977">
        <v>540827</v>
      </c>
      <c r="D4977" t="s">
        <v>7586</v>
      </c>
      <c r="E4977" t="s">
        <v>219</v>
      </c>
    </row>
    <row r="4978" spans="2:5" x14ac:dyDescent="0.2">
      <c r="B4978" t="s">
        <v>7587</v>
      </c>
      <c r="C4978">
        <v>540828</v>
      </c>
      <c r="D4978" t="s">
        <v>7588</v>
      </c>
      <c r="E4978" t="s">
        <v>219</v>
      </c>
    </row>
    <row r="4979" spans="2:5" x14ac:dyDescent="0.2">
      <c r="B4979" t="s">
        <v>7589</v>
      </c>
      <c r="C4979">
        <v>540861</v>
      </c>
      <c r="D4979" t="s">
        <v>7590</v>
      </c>
      <c r="E4979" t="s">
        <v>219</v>
      </c>
    </row>
    <row r="4980" spans="2:5" x14ac:dyDescent="0.2">
      <c r="B4980" t="s">
        <v>7591</v>
      </c>
      <c r="C4980">
        <v>540862</v>
      </c>
      <c r="D4980" t="s">
        <v>7592</v>
      </c>
      <c r="E4980" t="s">
        <v>219</v>
      </c>
    </row>
    <row r="4981" spans="2:5" x14ac:dyDescent="0.2">
      <c r="B4981" t="s">
        <v>7593</v>
      </c>
      <c r="C4981">
        <v>540863</v>
      </c>
      <c r="D4981" t="s">
        <v>7594</v>
      </c>
      <c r="E4981" t="s">
        <v>219</v>
      </c>
    </row>
    <row r="4982" spans="2:5" x14ac:dyDescent="0.2">
      <c r="B4982" t="s">
        <v>7595</v>
      </c>
      <c r="C4982">
        <v>540864</v>
      </c>
      <c r="D4982" t="s">
        <v>7596</v>
      </c>
      <c r="E4982" t="s">
        <v>219</v>
      </c>
    </row>
    <row r="4983" spans="2:5" x14ac:dyDescent="0.2">
      <c r="B4983" t="s">
        <v>7597</v>
      </c>
      <c r="C4983">
        <v>540896</v>
      </c>
      <c r="D4983" t="s">
        <v>7598</v>
      </c>
      <c r="E4983" t="s">
        <v>219</v>
      </c>
    </row>
    <row r="4984" spans="2:5" x14ac:dyDescent="0.2">
      <c r="B4984" t="s">
        <v>7599</v>
      </c>
      <c r="C4984">
        <v>540897</v>
      </c>
      <c r="D4984" t="s">
        <v>7600</v>
      </c>
      <c r="E4984" t="s">
        <v>219</v>
      </c>
    </row>
    <row r="4985" spans="2:5" x14ac:dyDescent="0.2">
      <c r="B4985" t="s">
        <v>7601</v>
      </c>
      <c r="C4985">
        <v>540898</v>
      </c>
      <c r="D4985" t="s">
        <v>7602</v>
      </c>
      <c r="E4985" t="s">
        <v>219</v>
      </c>
    </row>
    <row r="4986" spans="2:5" x14ac:dyDescent="0.2">
      <c r="B4986" t="s">
        <v>7603</v>
      </c>
      <c r="C4986">
        <v>540899</v>
      </c>
      <c r="D4986" t="s">
        <v>7604</v>
      </c>
      <c r="E4986" t="s">
        <v>219</v>
      </c>
    </row>
    <row r="4987" spans="2:5" x14ac:dyDescent="0.2">
      <c r="B4987" t="s">
        <v>7605</v>
      </c>
      <c r="C4987">
        <v>540947</v>
      </c>
      <c r="D4987" t="s">
        <v>7606</v>
      </c>
      <c r="E4987" t="s">
        <v>219</v>
      </c>
    </row>
    <row r="4988" spans="2:5" x14ac:dyDescent="0.2">
      <c r="B4988" t="s">
        <v>7607</v>
      </c>
      <c r="C4988">
        <v>540949</v>
      </c>
      <c r="D4988" t="s">
        <v>7608</v>
      </c>
      <c r="E4988" t="s">
        <v>219</v>
      </c>
    </row>
    <row r="4989" spans="2:5" x14ac:dyDescent="0.2">
      <c r="B4989" t="s">
        <v>7609</v>
      </c>
      <c r="C4989">
        <v>540950</v>
      </c>
      <c r="D4989" t="s">
        <v>7610</v>
      </c>
      <c r="E4989" t="s">
        <v>219</v>
      </c>
    </row>
    <row r="4990" spans="2:5" x14ac:dyDescent="0.2">
      <c r="B4990" t="s">
        <v>7611</v>
      </c>
      <c r="C4990">
        <v>540951</v>
      </c>
      <c r="D4990" t="s">
        <v>7612</v>
      </c>
      <c r="E4990" t="s">
        <v>219</v>
      </c>
    </row>
    <row r="4991" spans="2:5" x14ac:dyDescent="0.2">
      <c r="B4991" t="s">
        <v>7613</v>
      </c>
      <c r="C4991">
        <v>540981</v>
      </c>
      <c r="D4991" t="s">
        <v>7614</v>
      </c>
      <c r="E4991" t="s">
        <v>219</v>
      </c>
    </row>
    <row r="4992" spans="2:5" x14ac:dyDescent="0.2">
      <c r="B4992" t="s">
        <v>7615</v>
      </c>
      <c r="C4992">
        <v>540982</v>
      </c>
      <c r="D4992" t="s">
        <v>7616</v>
      </c>
      <c r="E4992" t="s">
        <v>219</v>
      </c>
    </row>
    <row r="4993" spans="2:5" x14ac:dyDescent="0.2">
      <c r="B4993" t="s">
        <v>7617</v>
      </c>
      <c r="C4993">
        <v>540983</v>
      </c>
      <c r="D4993" t="s">
        <v>7618</v>
      </c>
      <c r="E4993" t="s">
        <v>219</v>
      </c>
    </row>
    <row r="4994" spans="2:5" x14ac:dyDescent="0.2">
      <c r="B4994" t="s">
        <v>7619</v>
      </c>
      <c r="C4994">
        <v>540984</v>
      </c>
      <c r="D4994" t="s">
        <v>7620</v>
      </c>
      <c r="E4994" t="s">
        <v>219</v>
      </c>
    </row>
    <row r="4995" spans="2:5" x14ac:dyDescent="0.2">
      <c r="B4995" t="s">
        <v>7621</v>
      </c>
      <c r="C4995">
        <v>541068</v>
      </c>
      <c r="D4995" t="s">
        <v>7622</v>
      </c>
      <c r="E4995" t="s">
        <v>219</v>
      </c>
    </row>
    <row r="4996" spans="2:5" x14ac:dyDescent="0.2">
      <c r="B4996" t="s">
        <v>7623</v>
      </c>
      <c r="C4996">
        <v>541069</v>
      </c>
      <c r="D4996" t="s">
        <v>7624</v>
      </c>
      <c r="E4996" t="s">
        <v>219</v>
      </c>
    </row>
    <row r="4997" spans="2:5" x14ac:dyDescent="0.2">
      <c r="B4997" t="s">
        <v>7625</v>
      </c>
      <c r="C4997">
        <v>541070</v>
      </c>
      <c r="D4997" t="s">
        <v>7626</v>
      </c>
      <c r="E4997" t="s">
        <v>219</v>
      </c>
    </row>
    <row r="4998" spans="2:5" x14ac:dyDescent="0.2">
      <c r="B4998" t="s">
        <v>7627</v>
      </c>
      <c r="C4998">
        <v>541071</v>
      </c>
      <c r="D4998" t="s">
        <v>7628</v>
      </c>
      <c r="E4998" t="s">
        <v>219</v>
      </c>
    </row>
    <row r="4999" spans="2:5" x14ac:dyDescent="0.2">
      <c r="B4999" t="s">
        <v>7629</v>
      </c>
      <c r="C4999">
        <v>541084</v>
      </c>
      <c r="D4999" t="s">
        <v>7630</v>
      </c>
      <c r="E4999" t="s">
        <v>219</v>
      </c>
    </row>
    <row r="5000" spans="2:5" x14ac:dyDescent="0.2">
      <c r="B5000" t="s">
        <v>7631</v>
      </c>
      <c r="C5000">
        <v>541085</v>
      </c>
      <c r="D5000" t="s">
        <v>7632</v>
      </c>
      <c r="E5000" t="s">
        <v>219</v>
      </c>
    </row>
    <row r="5001" spans="2:5" x14ac:dyDescent="0.2">
      <c r="B5001" t="s">
        <v>7633</v>
      </c>
      <c r="C5001">
        <v>541086</v>
      </c>
      <c r="D5001" t="s">
        <v>7634</v>
      </c>
      <c r="E5001" t="s">
        <v>219</v>
      </c>
    </row>
    <row r="5002" spans="2:5" x14ac:dyDescent="0.2">
      <c r="B5002" t="s">
        <v>7635</v>
      </c>
      <c r="C5002">
        <v>541087</v>
      </c>
      <c r="D5002" t="s">
        <v>7636</v>
      </c>
      <c r="E5002" t="s">
        <v>219</v>
      </c>
    </row>
    <row r="5003" spans="2:5" x14ac:dyDescent="0.2">
      <c r="B5003" t="s">
        <v>7637</v>
      </c>
      <c r="C5003">
        <v>541092</v>
      </c>
      <c r="D5003" t="s">
        <v>7638</v>
      </c>
      <c r="E5003" t="s">
        <v>219</v>
      </c>
    </row>
    <row r="5004" spans="2:5" x14ac:dyDescent="0.2">
      <c r="B5004" t="s">
        <v>7639</v>
      </c>
      <c r="C5004">
        <v>541093</v>
      </c>
      <c r="D5004" t="s">
        <v>7640</v>
      </c>
      <c r="E5004" t="s">
        <v>219</v>
      </c>
    </row>
    <row r="5005" spans="2:5" x14ac:dyDescent="0.2">
      <c r="B5005" t="s">
        <v>7641</v>
      </c>
      <c r="C5005">
        <v>541094</v>
      </c>
      <c r="D5005" t="s">
        <v>7642</v>
      </c>
      <c r="E5005" t="s">
        <v>219</v>
      </c>
    </row>
    <row r="5006" spans="2:5" x14ac:dyDescent="0.2">
      <c r="B5006" t="s">
        <v>7643</v>
      </c>
      <c r="C5006">
        <v>541095</v>
      </c>
      <c r="D5006" t="s">
        <v>7644</v>
      </c>
      <c r="E5006" t="s">
        <v>219</v>
      </c>
    </row>
    <row r="5007" spans="2:5" x14ac:dyDescent="0.2">
      <c r="B5007" t="s">
        <v>7645</v>
      </c>
      <c r="C5007">
        <v>541252</v>
      </c>
      <c r="D5007" t="s">
        <v>7646</v>
      </c>
      <c r="E5007" t="s">
        <v>219</v>
      </c>
    </row>
    <row r="5008" spans="2:5" x14ac:dyDescent="0.2">
      <c r="B5008" t="s">
        <v>7647</v>
      </c>
      <c r="C5008">
        <v>541253</v>
      </c>
      <c r="D5008" t="s">
        <v>7648</v>
      </c>
      <c r="E5008" t="s">
        <v>219</v>
      </c>
    </row>
    <row r="5009" spans="2:5" x14ac:dyDescent="0.2">
      <c r="B5009" t="s">
        <v>7649</v>
      </c>
      <c r="C5009">
        <v>541254</v>
      </c>
      <c r="D5009" t="s">
        <v>7650</v>
      </c>
      <c r="E5009" t="s">
        <v>219</v>
      </c>
    </row>
    <row r="5010" spans="2:5" x14ac:dyDescent="0.2">
      <c r="B5010" t="s">
        <v>7651</v>
      </c>
      <c r="C5010">
        <v>541255</v>
      </c>
      <c r="D5010" t="s">
        <v>7652</v>
      </c>
      <c r="E5010" t="s">
        <v>219</v>
      </c>
    </row>
    <row r="5011" spans="2:5" x14ac:dyDescent="0.2">
      <c r="B5011" t="s">
        <v>7653</v>
      </c>
      <c r="C5011">
        <v>541300</v>
      </c>
      <c r="D5011" t="s">
        <v>7654</v>
      </c>
      <c r="E5011" t="s">
        <v>219</v>
      </c>
    </row>
    <row r="5012" spans="2:5" x14ac:dyDescent="0.2">
      <c r="B5012" t="s">
        <v>7655</v>
      </c>
      <c r="C5012">
        <v>541309</v>
      </c>
      <c r="D5012" t="s">
        <v>7656</v>
      </c>
      <c r="E5012" t="s">
        <v>219</v>
      </c>
    </row>
    <row r="5013" spans="2:5" x14ac:dyDescent="0.2">
      <c r="B5013" t="s">
        <v>7657</v>
      </c>
      <c r="C5013">
        <v>541310</v>
      </c>
      <c r="D5013" t="s">
        <v>7658</v>
      </c>
      <c r="E5013" t="s">
        <v>219</v>
      </c>
    </row>
    <row r="5014" spans="2:5" x14ac:dyDescent="0.2">
      <c r="B5014" t="s">
        <v>7659</v>
      </c>
      <c r="C5014">
        <v>541311</v>
      </c>
      <c r="D5014" t="s">
        <v>7660</v>
      </c>
      <c r="E5014" t="s">
        <v>219</v>
      </c>
    </row>
    <row r="5015" spans="2:5" x14ac:dyDescent="0.2">
      <c r="B5015" t="s">
        <v>7661</v>
      </c>
      <c r="C5015">
        <v>541312</v>
      </c>
      <c r="D5015" t="s">
        <v>7662</v>
      </c>
      <c r="E5015" t="s">
        <v>219</v>
      </c>
    </row>
    <row r="5016" spans="2:5" x14ac:dyDescent="0.2">
      <c r="B5016" t="s">
        <v>7663</v>
      </c>
      <c r="C5016">
        <v>541313</v>
      </c>
      <c r="D5016" t="s">
        <v>7664</v>
      </c>
      <c r="E5016" t="s">
        <v>219</v>
      </c>
    </row>
    <row r="5017" spans="2:5" x14ac:dyDescent="0.2">
      <c r="B5017" t="s">
        <v>7665</v>
      </c>
      <c r="C5017">
        <v>541341</v>
      </c>
      <c r="D5017" t="s">
        <v>7666</v>
      </c>
      <c r="E5017" t="s">
        <v>219</v>
      </c>
    </row>
    <row r="5018" spans="2:5" x14ac:dyDescent="0.2">
      <c r="B5018" t="s">
        <v>7667</v>
      </c>
      <c r="C5018">
        <v>541343</v>
      </c>
      <c r="D5018" t="s">
        <v>7668</v>
      </c>
      <c r="E5018" t="s">
        <v>219</v>
      </c>
    </row>
    <row r="5019" spans="2:5" x14ac:dyDescent="0.2">
      <c r="B5019" t="s">
        <v>7669</v>
      </c>
      <c r="C5019">
        <v>541345</v>
      </c>
      <c r="D5019" t="s">
        <v>7670</v>
      </c>
      <c r="E5019" t="s">
        <v>219</v>
      </c>
    </row>
    <row r="5020" spans="2:5" x14ac:dyDescent="0.2">
      <c r="B5020" t="s">
        <v>7671</v>
      </c>
      <c r="C5020">
        <v>541346</v>
      </c>
      <c r="D5020" t="s">
        <v>7672</v>
      </c>
      <c r="E5020" t="s">
        <v>219</v>
      </c>
    </row>
    <row r="5021" spans="2:5" x14ac:dyDescent="0.2">
      <c r="B5021" t="s">
        <v>7673</v>
      </c>
      <c r="C5021">
        <v>541672</v>
      </c>
      <c r="D5021" t="s">
        <v>7674</v>
      </c>
      <c r="E5021" t="s">
        <v>219</v>
      </c>
    </row>
    <row r="5022" spans="2:5" x14ac:dyDescent="0.2">
      <c r="B5022" t="s">
        <v>7675</v>
      </c>
      <c r="C5022">
        <v>541673</v>
      </c>
      <c r="D5022" t="s">
        <v>7676</v>
      </c>
      <c r="E5022" t="s">
        <v>219</v>
      </c>
    </row>
    <row r="5023" spans="2:5" x14ac:dyDescent="0.2">
      <c r="B5023" t="s">
        <v>7677</v>
      </c>
      <c r="C5023">
        <v>541674</v>
      </c>
      <c r="D5023" t="s">
        <v>7678</v>
      </c>
      <c r="E5023" t="s">
        <v>219</v>
      </c>
    </row>
    <row r="5024" spans="2:5" x14ac:dyDescent="0.2">
      <c r="B5024" t="s">
        <v>7679</v>
      </c>
      <c r="C5024">
        <v>541675</v>
      </c>
      <c r="D5024" t="s">
        <v>7680</v>
      </c>
      <c r="E5024" t="s">
        <v>219</v>
      </c>
    </row>
    <row r="5025" spans="2:5" x14ac:dyDescent="0.2">
      <c r="B5025" t="s">
        <v>7681</v>
      </c>
      <c r="C5025">
        <v>541676</v>
      </c>
      <c r="D5025" t="s">
        <v>7682</v>
      </c>
      <c r="E5025" t="s">
        <v>219</v>
      </c>
    </row>
    <row r="5026" spans="2:5" x14ac:dyDescent="0.2">
      <c r="B5026" t="s">
        <v>7683</v>
      </c>
      <c r="C5026">
        <v>541677</v>
      </c>
      <c r="D5026" t="s">
        <v>7684</v>
      </c>
      <c r="E5026" t="s">
        <v>219</v>
      </c>
    </row>
    <row r="5027" spans="2:5" x14ac:dyDescent="0.2">
      <c r="B5027" t="s">
        <v>7685</v>
      </c>
      <c r="C5027">
        <v>541678</v>
      </c>
      <c r="D5027" t="s">
        <v>7686</v>
      </c>
      <c r="E5027" t="s">
        <v>219</v>
      </c>
    </row>
    <row r="5028" spans="2:5" x14ac:dyDescent="0.2">
      <c r="B5028" t="s">
        <v>7687</v>
      </c>
      <c r="C5028">
        <v>541679</v>
      </c>
      <c r="D5028" t="s">
        <v>7688</v>
      </c>
      <c r="E5028" t="s">
        <v>219</v>
      </c>
    </row>
    <row r="5029" spans="2:5" x14ac:dyDescent="0.2">
      <c r="B5029" t="s">
        <v>7689</v>
      </c>
      <c r="C5029">
        <v>541725</v>
      </c>
      <c r="D5029" t="s">
        <v>7690</v>
      </c>
      <c r="E5029" t="s">
        <v>219</v>
      </c>
    </row>
    <row r="5030" spans="2:5" x14ac:dyDescent="0.2">
      <c r="B5030" t="s">
        <v>7691</v>
      </c>
      <c r="C5030">
        <v>541726</v>
      </c>
      <c r="D5030" t="s">
        <v>7692</v>
      </c>
      <c r="E5030" t="s">
        <v>219</v>
      </c>
    </row>
    <row r="5031" spans="2:5" x14ac:dyDescent="0.2">
      <c r="B5031" t="s">
        <v>7693</v>
      </c>
      <c r="C5031">
        <v>541727</v>
      </c>
      <c r="D5031" t="s">
        <v>7694</v>
      </c>
      <c r="E5031" t="s">
        <v>219</v>
      </c>
    </row>
    <row r="5032" spans="2:5" x14ac:dyDescent="0.2">
      <c r="B5032" t="s">
        <v>7695</v>
      </c>
      <c r="C5032">
        <v>541728</v>
      </c>
      <c r="D5032" t="s">
        <v>7696</v>
      </c>
      <c r="E5032" t="s">
        <v>219</v>
      </c>
    </row>
    <row r="5033" spans="2:5" x14ac:dyDescent="0.2">
      <c r="B5033" t="s">
        <v>7697</v>
      </c>
      <c r="C5033">
        <v>541742</v>
      </c>
      <c r="D5033" t="s">
        <v>7698</v>
      </c>
      <c r="E5033" t="s">
        <v>219</v>
      </c>
    </row>
    <row r="5034" spans="2:5" x14ac:dyDescent="0.2">
      <c r="B5034" t="s">
        <v>7699</v>
      </c>
      <c r="C5034">
        <v>541743</v>
      </c>
      <c r="D5034" t="s">
        <v>7700</v>
      </c>
      <c r="E5034" t="s">
        <v>219</v>
      </c>
    </row>
    <row r="5035" spans="2:5" x14ac:dyDescent="0.2">
      <c r="B5035" t="s">
        <v>7701</v>
      </c>
      <c r="C5035">
        <v>541744</v>
      </c>
      <c r="D5035" t="s">
        <v>7702</v>
      </c>
      <c r="E5035" t="s">
        <v>219</v>
      </c>
    </row>
    <row r="5036" spans="2:5" x14ac:dyDescent="0.2">
      <c r="B5036" t="s">
        <v>7703</v>
      </c>
      <c r="C5036">
        <v>541745</v>
      </c>
      <c r="D5036" t="s">
        <v>7704</v>
      </c>
      <c r="E5036" t="s">
        <v>219</v>
      </c>
    </row>
    <row r="5037" spans="2:5" x14ac:dyDescent="0.2">
      <c r="B5037" t="s">
        <v>7705</v>
      </c>
      <c r="C5037">
        <v>541804</v>
      </c>
      <c r="D5037" t="s">
        <v>7706</v>
      </c>
      <c r="E5037" t="s">
        <v>219</v>
      </c>
    </row>
    <row r="5038" spans="2:5" x14ac:dyDescent="0.2">
      <c r="B5038" t="s">
        <v>7707</v>
      </c>
      <c r="C5038">
        <v>541805</v>
      </c>
      <c r="D5038" t="s">
        <v>7708</v>
      </c>
      <c r="E5038" t="s">
        <v>219</v>
      </c>
    </row>
    <row r="5039" spans="2:5" x14ac:dyDescent="0.2">
      <c r="B5039" t="s">
        <v>7709</v>
      </c>
      <c r="C5039">
        <v>541806</v>
      </c>
      <c r="D5039" t="s">
        <v>7710</v>
      </c>
      <c r="E5039" t="s">
        <v>219</v>
      </c>
    </row>
    <row r="5040" spans="2:5" x14ac:dyDescent="0.2">
      <c r="B5040" t="s">
        <v>7711</v>
      </c>
      <c r="C5040">
        <v>541807</v>
      </c>
      <c r="D5040" t="s">
        <v>7712</v>
      </c>
      <c r="E5040" t="s">
        <v>219</v>
      </c>
    </row>
    <row r="5041" spans="2:5" x14ac:dyDescent="0.2">
      <c r="B5041" t="s">
        <v>7713</v>
      </c>
      <c r="C5041">
        <v>541809</v>
      </c>
      <c r="D5041" t="s">
        <v>7714</v>
      </c>
      <c r="E5041" t="s">
        <v>219</v>
      </c>
    </row>
    <row r="5042" spans="2:5" x14ac:dyDescent="0.2">
      <c r="B5042" t="s">
        <v>7715</v>
      </c>
      <c r="C5042">
        <v>541879</v>
      </c>
      <c r="D5042" t="s">
        <v>7716</v>
      </c>
      <c r="E5042" t="s">
        <v>219</v>
      </c>
    </row>
    <row r="5043" spans="2:5" x14ac:dyDescent="0.2">
      <c r="B5043" t="s">
        <v>7717</v>
      </c>
      <c r="C5043">
        <v>541881</v>
      </c>
      <c r="D5043" t="s">
        <v>7718</v>
      </c>
      <c r="E5043" t="s">
        <v>219</v>
      </c>
    </row>
    <row r="5044" spans="2:5" x14ac:dyDescent="0.2">
      <c r="B5044" t="s">
        <v>7719</v>
      </c>
      <c r="C5044">
        <v>541882</v>
      </c>
      <c r="D5044" t="s">
        <v>7720</v>
      </c>
      <c r="E5044" t="s">
        <v>219</v>
      </c>
    </row>
    <row r="5045" spans="2:5" x14ac:dyDescent="0.2">
      <c r="B5045" t="s">
        <v>7721</v>
      </c>
      <c r="C5045">
        <v>541884</v>
      </c>
      <c r="D5045" t="s">
        <v>7722</v>
      </c>
      <c r="E5045" t="s">
        <v>219</v>
      </c>
    </row>
    <row r="5046" spans="2:5" x14ac:dyDescent="0.2">
      <c r="B5046" t="s">
        <v>7723</v>
      </c>
      <c r="C5046">
        <v>541972</v>
      </c>
      <c r="D5046" t="s">
        <v>7724</v>
      </c>
      <c r="E5046" t="s">
        <v>219</v>
      </c>
    </row>
    <row r="5047" spans="2:5" x14ac:dyDescent="0.2">
      <c r="B5047" t="s">
        <v>7725</v>
      </c>
      <c r="C5047">
        <v>541984</v>
      </c>
      <c r="D5047" t="s">
        <v>7726</v>
      </c>
      <c r="E5047" t="s">
        <v>219</v>
      </c>
    </row>
    <row r="5048" spans="2:5" x14ac:dyDescent="0.2">
      <c r="B5048" t="s">
        <v>7727</v>
      </c>
      <c r="C5048">
        <v>541985</v>
      </c>
      <c r="D5048" t="s">
        <v>7728</v>
      </c>
      <c r="E5048" t="s">
        <v>219</v>
      </c>
    </row>
    <row r="5049" spans="2:5" x14ac:dyDescent="0.2">
      <c r="B5049" t="s">
        <v>7729</v>
      </c>
      <c r="C5049">
        <v>541986</v>
      </c>
      <c r="D5049" t="s">
        <v>7730</v>
      </c>
      <c r="E5049" t="s">
        <v>219</v>
      </c>
    </row>
    <row r="5050" spans="2:5" x14ac:dyDescent="0.2">
      <c r="B5050" t="s">
        <v>7731</v>
      </c>
      <c r="C5050">
        <v>541987</v>
      </c>
      <c r="D5050" t="s">
        <v>7732</v>
      </c>
      <c r="E5050" t="s">
        <v>219</v>
      </c>
    </row>
    <row r="5051" spans="2:5" x14ac:dyDescent="0.2">
      <c r="B5051" t="s">
        <v>7733</v>
      </c>
      <c r="C5051">
        <v>542131</v>
      </c>
      <c r="D5051" t="s">
        <v>7734</v>
      </c>
      <c r="E5051" t="s">
        <v>219</v>
      </c>
    </row>
    <row r="5052" spans="2:5" x14ac:dyDescent="0.2">
      <c r="B5052" t="s">
        <v>7735</v>
      </c>
      <c r="C5052">
        <v>542156</v>
      </c>
      <c r="D5052" t="s">
        <v>7736</v>
      </c>
      <c r="E5052" t="s">
        <v>219</v>
      </c>
    </row>
    <row r="5053" spans="2:5" x14ac:dyDescent="0.2">
      <c r="B5053" t="s">
        <v>7737</v>
      </c>
      <c r="C5053">
        <v>542158</v>
      </c>
      <c r="D5053" t="s">
        <v>7738</v>
      </c>
      <c r="E5053" t="s">
        <v>219</v>
      </c>
    </row>
    <row r="5054" spans="2:5" x14ac:dyDescent="0.2">
      <c r="B5054" t="s">
        <v>7739</v>
      </c>
      <c r="C5054">
        <v>542160</v>
      </c>
      <c r="D5054" t="s">
        <v>7740</v>
      </c>
      <c r="E5054" t="s">
        <v>219</v>
      </c>
    </row>
    <row r="5055" spans="2:5" x14ac:dyDescent="0.2">
      <c r="B5055" t="s">
        <v>7741</v>
      </c>
      <c r="C5055">
        <v>542163</v>
      </c>
      <c r="D5055" t="s">
        <v>7742</v>
      </c>
      <c r="E5055" t="s">
        <v>219</v>
      </c>
    </row>
    <row r="5056" spans="2:5" x14ac:dyDescent="0.2">
      <c r="B5056" t="s">
        <v>7743</v>
      </c>
      <c r="C5056">
        <v>542230</v>
      </c>
      <c r="D5056" t="s">
        <v>7744</v>
      </c>
      <c r="E5056" t="s">
        <v>219</v>
      </c>
    </row>
    <row r="5057" spans="2:5" x14ac:dyDescent="0.2">
      <c r="B5057" t="s">
        <v>7745</v>
      </c>
      <c r="C5057">
        <v>542244</v>
      </c>
      <c r="D5057" t="s">
        <v>7746</v>
      </c>
      <c r="E5057" t="s">
        <v>219</v>
      </c>
    </row>
    <row r="5058" spans="2:5" x14ac:dyDescent="0.2">
      <c r="B5058" t="s">
        <v>7747</v>
      </c>
      <c r="C5058">
        <v>542245</v>
      </c>
      <c r="D5058" t="s">
        <v>7748</v>
      </c>
      <c r="E5058" t="s">
        <v>219</v>
      </c>
    </row>
    <row r="5059" spans="2:5" x14ac:dyDescent="0.2">
      <c r="B5059" t="s">
        <v>7749</v>
      </c>
      <c r="C5059">
        <v>542246</v>
      </c>
      <c r="D5059" t="s">
        <v>7750</v>
      </c>
      <c r="E5059" t="s">
        <v>219</v>
      </c>
    </row>
    <row r="5060" spans="2:5" x14ac:dyDescent="0.2">
      <c r="B5060" t="s">
        <v>7751</v>
      </c>
      <c r="C5060">
        <v>542247</v>
      </c>
      <c r="D5060" t="s">
        <v>7752</v>
      </c>
      <c r="E5060" t="s">
        <v>219</v>
      </c>
    </row>
    <row r="5061" spans="2:5" x14ac:dyDescent="0.2">
      <c r="B5061" t="s">
        <v>7753</v>
      </c>
      <c r="C5061">
        <v>542513</v>
      </c>
      <c r="D5061" t="s">
        <v>7754</v>
      </c>
      <c r="E5061" t="s">
        <v>219</v>
      </c>
    </row>
    <row r="5062" spans="2:5" x14ac:dyDescent="0.2">
      <c r="B5062" t="s">
        <v>7755</v>
      </c>
      <c r="C5062">
        <v>542543</v>
      </c>
      <c r="D5062" t="s">
        <v>7756</v>
      </c>
      <c r="E5062" t="s">
        <v>219</v>
      </c>
    </row>
    <row r="5063" spans="2:5" x14ac:dyDescent="0.2">
      <c r="B5063" t="s">
        <v>7757</v>
      </c>
      <c r="C5063">
        <v>542694</v>
      </c>
      <c r="D5063" t="s">
        <v>7758</v>
      </c>
      <c r="E5063" t="s">
        <v>388</v>
      </c>
    </row>
    <row r="5064" spans="2:5" x14ac:dyDescent="0.2">
      <c r="B5064" t="s">
        <v>7759</v>
      </c>
      <c r="C5064">
        <v>542721</v>
      </c>
      <c r="D5064" t="s">
        <v>7760</v>
      </c>
      <c r="E5064" t="s">
        <v>388</v>
      </c>
    </row>
    <row r="5065" spans="2:5" x14ac:dyDescent="0.2">
      <c r="B5065" t="s">
        <v>7761</v>
      </c>
      <c r="C5065">
        <v>542724</v>
      </c>
      <c r="D5065" t="s">
        <v>7762</v>
      </c>
      <c r="E5065" t="s">
        <v>404</v>
      </c>
    </row>
    <row r="5066" spans="2:5" x14ac:dyDescent="0.2">
      <c r="B5066" t="s">
        <v>7763</v>
      </c>
      <c r="C5066">
        <v>542725</v>
      </c>
      <c r="D5066" t="s">
        <v>7764</v>
      </c>
      <c r="E5066" t="s">
        <v>480</v>
      </c>
    </row>
    <row r="5067" spans="2:5" x14ac:dyDescent="0.2">
      <c r="B5067" t="s">
        <v>7765</v>
      </c>
      <c r="C5067">
        <v>542726</v>
      </c>
      <c r="D5067" t="s">
        <v>7766</v>
      </c>
      <c r="E5067" t="s">
        <v>372</v>
      </c>
    </row>
    <row r="5068" spans="2:5" x14ac:dyDescent="0.2">
      <c r="B5068" t="s">
        <v>7767</v>
      </c>
      <c r="C5068">
        <v>542727</v>
      </c>
      <c r="D5068" t="s">
        <v>7768</v>
      </c>
      <c r="E5068" t="s">
        <v>367</v>
      </c>
    </row>
    <row r="5069" spans="2:5" x14ac:dyDescent="0.2">
      <c r="B5069" t="s">
        <v>7769</v>
      </c>
      <c r="C5069">
        <v>542728</v>
      </c>
      <c r="D5069" t="s">
        <v>7770</v>
      </c>
      <c r="E5069" t="s">
        <v>480</v>
      </c>
    </row>
    <row r="5070" spans="2:5" x14ac:dyDescent="0.2">
      <c r="B5070" t="s">
        <v>7771</v>
      </c>
      <c r="C5070">
        <v>542729</v>
      </c>
      <c r="D5070" t="s">
        <v>7772</v>
      </c>
      <c r="E5070" t="s">
        <v>381</v>
      </c>
    </row>
    <row r="5071" spans="2:5" x14ac:dyDescent="0.2">
      <c r="B5071" t="s">
        <v>7773</v>
      </c>
      <c r="C5071">
        <v>542730</v>
      </c>
      <c r="D5071" t="s">
        <v>7774</v>
      </c>
      <c r="E5071" t="s">
        <v>219</v>
      </c>
    </row>
    <row r="5072" spans="2:5" x14ac:dyDescent="0.2">
      <c r="B5072" t="s">
        <v>7775</v>
      </c>
      <c r="C5072">
        <v>542747</v>
      </c>
      <c r="D5072" t="s">
        <v>7776</v>
      </c>
      <c r="E5072" t="s">
        <v>219</v>
      </c>
    </row>
    <row r="5073" spans="2:5" x14ac:dyDescent="0.2">
      <c r="B5073" t="s">
        <v>7777</v>
      </c>
      <c r="C5073">
        <v>542752</v>
      </c>
      <c r="D5073" t="s">
        <v>7778</v>
      </c>
      <c r="E5073" t="s">
        <v>1965</v>
      </c>
    </row>
    <row r="5074" spans="2:5" x14ac:dyDescent="0.2">
      <c r="B5074" t="s">
        <v>7779</v>
      </c>
      <c r="C5074">
        <v>542753</v>
      </c>
      <c r="D5074" t="s">
        <v>7780</v>
      </c>
      <c r="E5074" t="s">
        <v>400</v>
      </c>
    </row>
    <row r="5075" spans="2:5" x14ac:dyDescent="0.2">
      <c r="B5075" t="s">
        <v>7781</v>
      </c>
      <c r="C5075">
        <v>542758</v>
      </c>
      <c r="D5075" t="s">
        <v>7782</v>
      </c>
      <c r="E5075" t="s">
        <v>219</v>
      </c>
    </row>
    <row r="5076" spans="2:5" x14ac:dyDescent="0.2">
      <c r="B5076" t="s">
        <v>7783</v>
      </c>
      <c r="C5076">
        <v>542759</v>
      </c>
      <c r="D5076" t="s">
        <v>7784</v>
      </c>
      <c r="E5076" t="s">
        <v>383</v>
      </c>
    </row>
    <row r="5077" spans="2:5" x14ac:dyDescent="0.2">
      <c r="B5077" t="s">
        <v>7785</v>
      </c>
      <c r="C5077">
        <v>542760</v>
      </c>
      <c r="D5077" t="s">
        <v>7786</v>
      </c>
      <c r="E5077" t="s">
        <v>409</v>
      </c>
    </row>
    <row r="5078" spans="2:5" x14ac:dyDescent="0.2">
      <c r="B5078" t="s">
        <v>7787</v>
      </c>
      <c r="C5078">
        <v>542765</v>
      </c>
      <c r="D5078" t="s">
        <v>7788</v>
      </c>
      <c r="E5078" t="s">
        <v>1530</v>
      </c>
    </row>
    <row r="5079" spans="2:5" x14ac:dyDescent="0.2">
      <c r="B5079" t="s">
        <v>7789</v>
      </c>
      <c r="C5079">
        <v>542770</v>
      </c>
      <c r="D5079" t="s">
        <v>7790</v>
      </c>
      <c r="E5079" t="s">
        <v>352</v>
      </c>
    </row>
    <row r="5080" spans="2:5" x14ac:dyDescent="0.2">
      <c r="B5080" t="s">
        <v>7791</v>
      </c>
      <c r="C5080">
        <v>542771</v>
      </c>
      <c r="D5080" t="s">
        <v>7792</v>
      </c>
      <c r="E5080" t="s">
        <v>548</v>
      </c>
    </row>
    <row r="5081" spans="2:5" x14ac:dyDescent="0.2">
      <c r="B5081" t="s">
        <v>7793</v>
      </c>
      <c r="C5081">
        <v>542772</v>
      </c>
      <c r="D5081" t="s">
        <v>7794</v>
      </c>
      <c r="E5081" t="s">
        <v>349</v>
      </c>
    </row>
    <row r="5082" spans="2:5" x14ac:dyDescent="0.2">
      <c r="B5082" t="s">
        <v>7795</v>
      </c>
      <c r="C5082">
        <v>542773</v>
      </c>
      <c r="D5082" t="s">
        <v>7796</v>
      </c>
      <c r="E5082" t="s">
        <v>349</v>
      </c>
    </row>
    <row r="5083" spans="2:5" x14ac:dyDescent="0.2">
      <c r="B5083" t="s">
        <v>7797</v>
      </c>
      <c r="C5083">
        <v>542774</v>
      </c>
      <c r="D5083" t="s">
        <v>7798</v>
      </c>
      <c r="E5083" t="s">
        <v>383</v>
      </c>
    </row>
    <row r="5084" spans="2:5" x14ac:dyDescent="0.2">
      <c r="B5084" t="s">
        <v>7799</v>
      </c>
      <c r="C5084">
        <v>542801</v>
      </c>
      <c r="D5084" t="s">
        <v>7800</v>
      </c>
      <c r="E5084" t="s">
        <v>374</v>
      </c>
    </row>
    <row r="5085" spans="2:5" x14ac:dyDescent="0.2">
      <c r="B5085" t="s">
        <v>7801</v>
      </c>
      <c r="C5085">
        <v>542802</v>
      </c>
      <c r="D5085" t="s">
        <v>7802</v>
      </c>
      <c r="E5085" t="s">
        <v>349</v>
      </c>
    </row>
    <row r="5086" spans="2:5" x14ac:dyDescent="0.2">
      <c r="B5086" t="s">
        <v>7803</v>
      </c>
      <c r="C5086">
        <v>542803</v>
      </c>
      <c r="D5086" t="s">
        <v>7804</v>
      </c>
      <c r="E5086" t="s">
        <v>388</v>
      </c>
    </row>
    <row r="5087" spans="2:5" x14ac:dyDescent="0.2">
      <c r="B5087" t="s">
        <v>7805</v>
      </c>
      <c r="C5087">
        <v>542804</v>
      </c>
      <c r="D5087" t="s">
        <v>7806</v>
      </c>
      <c r="E5087" t="s">
        <v>219</v>
      </c>
    </row>
    <row r="5088" spans="2:5" x14ac:dyDescent="0.2">
      <c r="B5088" t="s">
        <v>7807</v>
      </c>
      <c r="C5088">
        <v>542805</v>
      </c>
      <c r="D5088" t="s">
        <v>7808</v>
      </c>
      <c r="E5088" t="s">
        <v>219</v>
      </c>
    </row>
    <row r="5089" spans="2:5" x14ac:dyDescent="0.2">
      <c r="B5089" t="s">
        <v>7809</v>
      </c>
      <c r="C5089">
        <v>542806</v>
      </c>
      <c r="D5089" t="s">
        <v>7810</v>
      </c>
      <c r="E5089" t="s">
        <v>219</v>
      </c>
    </row>
    <row r="5090" spans="2:5" x14ac:dyDescent="0.2">
      <c r="B5090" t="s">
        <v>7811</v>
      </c>
      <c r="C5090">
        <v>542807</v>
      </c>
      <c r="D5090" t="s">
        <v>7812</v>
      </c>
      <c r="E5090" t="s">
        <v>219</v>
      </c>
    </row>
    <row r="5091" spans="2:5" x14ac:dyDescent="0.2">
      <c r="B5091" t="s">
        <v>7813</v>
      </c>
      <c r="C5091">
        <v>542808</v>
      </c>
      <c r="D5091" t="s">
        <v>7814</v>
      </c>
      <c r="E5091" t="s">
        <v>219</v>
      </c>
    </row>
    <row r="5092" spans="2:5" x14ac:dyDescent="0.2">
      <c r="B5092" t="s">
        <v>7815</v>
      </c>
      <c r="C5092">
        <v>542809</v>
      </c>
      <c r="D5092" t="s">
        <v>7816</v>
      </c>
      <c r="E5092" t="s">
        <v>219</v>
      </c>
    </row>
    <row r="5093" spans="2:5" x14ac:dyDescent="0.2">
      <c r="B5093" t="s">
        <v>7817</v>
      </c>
      <c r="C5093">
        <v>542810</v>
      </c>
      <c r="D5093" t="s">
        <v>7818</v>
      </c>
      <c r="E5093" t="s">
        <v>219</v>
      </c>
    </row>
    <row r="5094" spans="2:5" x14ac:dyDescent="0.2">
      <c r="B5094" t="s">
        <v>7819</v>
      </c>
      <c r="C5094">
        <v>542811</v>
      </c>
      <c r="D5094" t="s">
        <v>7820</v>
      </c>
      <c r="E5094" t="s">
        <v>219</v>
      </c>
    </row>
    <row r="5095" spans="2:5" x14ac:dyDescent="0.2">
      <c r="B5095" t="s">
        <v>7821</v>
      </c>
      <c r="C5095">
        <v>542812</v>
      </c>
      <c r="D5095" t="s">
        <v>7822</v>
      </c>
      <c r="E5095" t="s">
        <v>526</v>
      </c>
    </row>
    <row r="5096" spans="2:5" x14ac:dyDescent="0.2">
      <c r="B5096" t="s">
        <v>7823</v>
      </c>
      <c r="C5096">
        <v>542813</v>
      </c>
      <c r="D5096" t="s">
        <v>7824</v>
      </c>
      <c r="E5096" t="s">
        <v>219</v>
      </c>
    </row>
    <row r="5097" spans="2:5" x14ac:dyDescent="0.2">
      <c r="B5097" t="s">
        <v>7825</v>
      </c>
      <c r="C5097">
        <v>542814</v>
      </c>
      <c r="D5097" t="s">
        <v>7826</v>
      </c>
      <c r="E5097" t="s">
        <v>219</v>
      </c>
    </row>
    <row r="5098" spans="2:5" x14ac:dyDescent="0.2">
      <c r="B5098" t="s">
        <v>7827</v>
      </c>
      <c r="C5098">
        <v>542815</v>
      </c>
      <c r="D5098" t="s">
        <v>7828</v>
      </c>
      <c r="E5098" t="s">
        <v>219</v>
      </c>
    </row>
    <row r="5099" spans="2:5" x14ac:dyDescent="0.2">
      <c r="B5099" t="s">
        <v>7829</v>
      </c>
      <c r="C5099">
        <v>542816</v>
      </c>
      <c r="D5099" t="s">
        <v>7830</v>
      </c>
      <c r="E5099" t="s">
        <v>219</v>
      </c>
    </row>
    <row r="5100" spans="2:5" x14ac:dyDescent="0.2">
      <c r="B5100" t="s">
        <v>7831</v>
      </c>
      <c r="C5100">
        <v>542817</v>
      </c>
      <c r="D5100" t="s">
        <v>7832</v>
      </c>
      <c r="E5100" t="s">
        <v>219</v>
      </c>
    </row>
    <row r="5101" spans="2:5" x14ac:dyDescent="0.2">
      <c r="B5101" t="s">
        <v>7833</v>
      </c>
      <c r="C5101">
        <v>542818</v>
      </c>
      <c r="D5101" t="s">
        <v>7834</v>
      </c>
      <c r="E5101" t="s">
        <v>219</v>
      </c>
    </row>
    <row r="5102" spans="2:5" x14ac:dyDescent="0.2">
      <c r="B5102" t="s">
        <v>7835</v>
      </c>
      <c r="C5102">
        <v>542819</v>
      </c>
      <c r="D5102" t="s">
        <v>7836</v>
      </c>
      <c r="E5102" t="s">
        <v>219</v>
      </c>
    </row>
    <row r="5103" spans="2:5" x14ac:dyDescent="0.2">
      <c r="B5103" t="s">
        <v>7837</v>
      </c>
      <c r="C5103">
        <v>542820</v>
      </c>
      <c r="D5103" t="s">
        <v>7838</v>
      </c>
      <c r="E5103" t="s">
        <v>219</v>
      </c>
    </row>
    <row r="5104" spans="2:5" x14ac:dyDescent="0.2">
      <c r="B5104" t="s">
        <v>7839</v>
      </c>
      <c r="C5104">
        <v>542830</v>
      </c>
      <c r="D5104" t="s">
        <v>7840</v>
      </c>
      <c r="E5104" t="s">
        <v>1367</v>
      </c>
    </row>
    <row r="5105" spans="2:5" x14ac:dyDescent="0.2">
      <c r="B5105" t="s">
        <v>7841</v>
      </c>
      <c r="C5105">
        <v>542836</v>
      </c>
      <c r="D5105" t="s">
        <v>7842</v>
      </c>
      <c r="E5105" t="s">
        <v>219</v>
      </c>
    </row>
    <row r="5106" spans="2:5" x14ac:dyDescent="0.2">
      <c r="B5106" t="s">
        <v>7843</v>
      </c>
      <c r="C5106">
        <v>542837</v>
      </c>
      <c r="D5106" t="s">
        <v>7844</v>
      </c>
      <c r="E5106" t="s">
        <v>219</v>
      </c>
    </row>
    <row r="5107" spans="2:5" x14ac:dyDescent="0.2">
      <c r="B5107" t="s">
        <v>7845</v>
      </c>
      <c r="C5107">
        <v>542838</v>
      </c>
      <c r="D5107" t="s">
        <v>7846</v>
      </c>
      <c r="E5107" t="s">
        <v>219</v>
      </c>
    </row>
    <row r="5108" spans="2:5" x14ac:dyDescent="0.2">
      <c r="B5108" t="s">
        <v>7847</v>
      </c>
      <c r="C5108">
        <v>542839</v>
      </c>
      <c r="D5108" t="s">
        <v>7848</v>
      </c>
      <c r="E5108" t="s">
        <v>219</v>
      </c>
    </row>
    <row r="5109" spans="2:5" x14ac:dyDescent="0.2">
      <c r="B5109" t="s">
        <v>7849</v>
      </c>
      <c r="C5109">
        <v>542840</v>
      </c>
      <c r="D5109" t="s">
        <v>7850</v>
      </c>
      <c r="E5109" t="s">
        <v>219</v>
      </c>
    </row>
    <row r="5110" spans="2:5" x14ac:dyDescent="0.2">
      <c r="B5110" t="s">
        <v>7851</v>
      </c>
      <c r="C5110">
        <v>542841</v>
      </c>
      <c r="D5110" t="s">
        <v>7852</v>
      </c>
      <c r="E5110" t="s">
        <v>219</v>
      </c>
    </row>
    <row r="5111" spans="2:5" x14ac:dyDescent="0.2">
      <c r="B5111" t="s">
        <v>7853</v>
      </c>
      <c r="C5111">
        <v>542842</v>
      </c>
      <c r="D5111" t="s">
        <v>7854</v>
      </c>
      <c r="E5111" t="s">
        <v>219</v>
      </c>
    </row>
    <row r="5112" spans="2:5" x14ac:dyDescent="0.2">
      <c r="B5112" t="s">
        <v>7855</v>
      </c>
      <c r="C5112">
        <v>542843</v>
      </c>
      <c r="D5112" t="s">
        <v>7856</v>
      </c>
      <c r="E5112" t="s">
        <v>219</v>
      </c>
    </row>
    <row r="5113" spans="2:5" x14ac:dyDescent="0.2">
      <c r="B5113" t="s">
        <v>7857</v>
      </c>
      <c r="C5113">
        <v>542844</v>
      </c>
      <c r="D5113" t="s">
        <v>7858</v>
      </c>
      <c r="E5113" t="s">
        <v>219</v>
      </c>
    </row>
    <row r="5114" spans="2:5" x14ac:dyDescent="0.2">
      <c r="B5114" t="s">
        <v>7859</v>
      </c>
      <c r="C5114">
        <v>542845</v>
      </c>
      <c r="D5114" t="s">
        <v>7860</v>
      </c>
      <c r="E5114" t="s">
        <v>219</v>
      </c>
    </row>
    <row r="5115" spans="2:5" x14ac:dyDescent="0.2">
      <c r="B5115" t="s">
        <v>7861</v>
      </c>
      <c r="C5115">
        <v>542846</v>
      </c>
      <c r="D5115" t="s">
        <v>7862</v>
      </c>
      <c r="E5115" t="s">
        <v>219</v>
      </c>
    </row>
    <row r="5116" spans="2:5" x14ac:dyDescent="0.2">
      <c r="B5116" t="s">
        <v>7863</v>
      </c>
      <c r="C5116">
        <v>542847</v>
      </c>
      <c r="D5116" t="s">
        <v>7864</v>
      </c>
      <c r="E5116" t="s">
        <v>219</v>
      </c>
    </row>
    <row r="5117" spans="2:5" x14ac:dyDescent="0.2">
      <c r="B5117" t="s">
        <v>7865</v>
      </c>
      <c r="C5117">
        <v>542848</v>
      </c>
      <c r="D5117" t="s">
        <v>7866</v>
      </c>
      <c r="E5117" t="s">
        <v>219</v>
      </c>
    </row>
    <row r="5118" spans="2:5" x14ac:dyDescent="0.2">
      <c r="B5118" t="s">
        <v>7867</v>
      </c>
      <c r="C5118">
        <v>542849</v>
      </c>
      <c r="D5118" t="s">
        <v>7868</v>
      </c>
      <c r="E5118" t="s">
        <v>219</v>
      </c>
    </row>
    <row r="5119" spans="2:5" x14ac:dyDescent="0.2">
      <c r="B5119" t="s">
        <v>7869</v>
      </c>
      <c r="C5119">
        <v>542850</v>
      </c>
      <c r="D5119" t="s">
        <v>7870</v>
      </c>
      <c r="E5119" t="s">
        <v>480</v>
      </c>
    </row>
    <row r="5120" spans="2:5" x14ac:dyDescent="0.2">
      <c r="B5120" t="s">
        <v>7871</v>
      </c>
      <c r="C5120">
        <v>542851</v>
      </c>
      <c r="D5120" t="s">
        <v>7872</v>
      </c>
      <c r="E5120" t="s">
        <v>450</v>
      </c>
    </row>
    <row r="5121" spans="2:5" x14ac:dyDescent="0.2">
      <c r="B5121" t="s">
        <v>7873</v>
      </c>
      <c r="C5121">
        <v>542852</v>
      </c>
      <c r="D5121" t="s">
        <v>7874</v>
      </c>
      <c r="E5121" t="s">
        <v>1065</v>
      </c>
    </row>
    <row r="5122" spans="2:5" x14ac:dyDescent="0.2">
      <c r="B5122" t="s">
        <v>7875</v>
      </c>
      <c r="C5122">
        <v>542857</v>
      </c>
      <c r="D5122" t="s">
        <v>7876</v>
      </c>
      <c r="E5122" t="s">
        <v>861</v>
      </c>
    </row>
    <row r="5123" spans="2:5" x14ac:dyDescent="0.2">
      <c r="B5123" t="s">
        <v>7877</v>
      </c>
      <c r="C5123">
        <v>542862</v>
      </c>
      <c r="D5123" t="s">
        <v>7878</v>
      </c>
      <c r="E5123" t="s">
        <v>381</v>
      </c>
    </row>
    <row r="5124" spans="2:5" x14ac:dyDescent="0.2">
      <c r="B5124" t="s">
        <v>7879</v>
      </c>
      <c r="C5124">
        <v>542863</v>
      </c>
      <c r="D5124" t="s">
        <v>7880</v>
      </c>
      <c r="E5124" t="s">
        <v>219</v>
      </c>
    </row>
    <row r="5125" spans="2:5" x14ac:dyDescent="0.2">
      <c r="B5125" t="s">
        <v>7881</v>
      </c>
      <c r="C5125">
        <v>542864</v>
      </c>
      <c r="D5125" t="s">
        <v>7882</v>
      </c>
      <c r="E5125" t="s">
        <v>452</v>
      </c>
    </row>
    <row r="5126" spans="2:5" x14ac:dyDescent="0.2">
      <c r="B5126" t="s">
        <v>7883</v>
      </c>
      <c r="C5126">
        <v>542865</v>
      </c>
      <c r="D5126" t="s">
        <v>7884</v>
      </c>
      <c r="E5126" t="s">
        <v>561</v>
      </c>
    </row>
    <row r="5127" spans="2:5" x14ac:dyDescent="0.2">
      <c r="B5127" t="s">
        <v>7885</v>
      </c>
      <c r="C5127">
        <v>542866</v>
      </c>
      <c r="D5127" t="s">
        <v>7886</v>
      </c>
      <c r="E5127" t="s">
        <v>349</v>
      </c>
    </row>
    <row r="5128" spans="2:5" x14ac:dyDescent="0.2">
      <c r="B5128" t="s">
        <v>7887</v>
      </c>
      <c r="C5128">
        <v>542867</v>
      </c>
      <c r="D5128" t="s">
        <v>7888</v>
      </c>
      <c r="E5128" t="s">
        <v>684</v>
      </c>
    </row>
    <row r="5129" spans="2:5" x14ac:dyDescent="0.2">
      <c r="B5129" t="s">
        <v>7889</v>
      </c>
      <c r="C5129">
        <v>542904</v>
      </c>
      <c r="D5129" t="s">
        <v>7890</v>
      </c>
      <c r="E5129" t="s">
        <v>684</v>
      </c>
    </row>
    <row r="5130" spans="2:5" x14ac:dyDescent="0.2">
      <c r="B5130" t="s">
        <v>7891</v>
      </c>
      <c r="C5130">
        <v>542905</v>
      </c>
      <c r="D5130" t="s">
        <v>7892</v>
      </c>
      <c r="E5130" t="s">
        <v>664</v>
      </c>
    </row>
    <row r="5131" spans="2:5" x14ac:dyDescent="0.2">
      <c r="B5131" t="s">
        <v>7893</v>
      </c>
      <c r="C5131">
        <v>542906</v>
      </c>
      <c r="D5131" t="s">
        <v>7894</v>
      </c>
      <c r="E5131" t="s">
        <v>383</v>
      </c>
    </row>
    <row r="5132" spans="2:5" x14ac:dyDescent="0.2">
      <c r="B5132" t="s">
        <v>7895</v>
      </c>
      <c r="C5132">
        <v>542907</v>
      </c>
      <c r="D5132" t="s">
        <v>7896</v>
      </c>
      <c r="E5132" t="s">
        <v>486</v>
      </c>
    </row>
    <row r="5133" spans="2:5" x14ac:dyDescent="0.2">
      <c r="B5133" t="s">
        <v>7897</v>
      </c>
      <c r="C5133">
        <v>542910</v>
      </c>
      <c r="D5133" t="s">
        <v>7898</v>
      </c>
      <c r="E5133" t="s">
        <v>801</v>
      </c>
    </row>
    <row r="5134" spans="2:5" x14ac:dyDescent="0.2">
      <c r="B5134" t="s">
        <v>7899</v>
      </c>
      <c r="C5134">
        <v>542911</v>
      </c>
      <c r="D5134" t="s">
        <v>7900</v>
      </c>
      <c r="E5134" t="s">
        <v>383</v>
      </c>
    </row>
    <row r="5135" spans="2:5" x14ac:dyDescent="0.2">
      <c r="B5135" t="s">
        <v>7901</v>
      </c>
      <c r="C5135">
        <v>542918</v>
      </c>
      <c r="D5135" t="s">
        <v>7902</v>
      </c>
      <c r="E5135" t="s">
        <v>555</v>
      </c>
    </row>
    <row r="5136" spans="2:5" x14ac:dyDescent="0.2">
      <c r="B5136" t="s">
        <v>7903</v>
      </c>
      <c r="C5136">
        <v>542919</v>
      </c>
      <c r="D5136" t="s">
        <v>7904</v>
      </c>
      <c r="E5136" t="s">
        <v>555</v>
      </c>
    </row>
    <row r="5137" spans="2:5" x14ac:dyDescent="0.2">
      <c r="B5137" t="s">
        <v>7905</v>
      </c>
      <c r="C5137">
        <v>542920</v>
      </c>
      <c r="D5137" t="s">
        <v>7906</v>
      </c>
      <c r="E5137" t="s">
        <v>510</v>
      </c>
    </row>
    <row r="5138" spans="2:5" x14ac:dyDescent="0.2">
      <c r="B5138" t="s">
        <v>7907</v>
      </c>
      <c r="C5138">
        <v>542921</v>
      </c>
      <c r="D5138" t="s">
        <v>7908</v>
      </c>
      <c r="E5138" t="s">
        <v>219</v>
      </c>
    </row>
    <row r="5139" spans="2:5" x14ac:dyDescent="0.2">
      <c r="B5139" t="s">
        <v>7909</v>
      </c>
      <c r="C5139">
        <v>542922</v>
      </c>
      <c r="D5139" t="s">
        <v>7910</v>
      </c>
      <c r="E5139" t="s">
        <v>219</v>
      </c>
    </row>
    <row r="5140" spans="2:5" x14ac:dyDescent="0.2">
      <c r="B5140" t="s">
        <v>7911</v>
      </c>
      <c r="C5140">
        <v>542923</v>
      </c>
      <c r="D5140" t="s">
        <v>7912</v>
      </c>
      <c r="E5140" t="s">
        <v>352</v>
      </c>
    </row>
    <row r="5141" spans="2:5" x14ac:dyDescent="0.2">
      <c r="B5141" t="s">
        <v>7913</v>
      </c>
      <c r="C5141">
        <v>542924</v>
      </c>
      <c r="D5141" t="s">
        <v>7914</v>
      </c>
      <c r="E5141" t="s">
        <v>355</v>
      </c>
    </row>
    <row r="5142" spans="2:5" x14ac:dyDescent="0.2">
      <c r="B5142" t="s">
        <v>7915</v>
      </c>
      <c r="C5142">
        <v>542931</v>
      </c>
      <c r="D5142" t="s">
        <v>7916</v>
      </c>
      <c r="E5142" t="s">
        <v>383</v>
      </c>
    </row>
    <row r="5143" spans="2:5" x14ac:dyDescent="0.2">
      <c r="B5143" t="s">
        <v>7917</v>
      </c>
      <c r="C5143">
        <v>542932</v>
      </c>
      <c r="D5143" t="s">
        <v>7918</v>
      </c>
      <c r="E5143" t="s">
        <v>846</v>
      </c>
    </row>
    <row r="5144" spans="2:5" x14ac:dyDescent="0.2">
      <c r="B5144" t="s">
        <v>7919</v>
      </c>
      <c r="C5144">
        <v>542933</v>
      </c>
      <c r="D5144" t="s">
        <v>7920</v>
      </c>
      <c r="E5144" t="s">
        <v>1602</v>
      </c>
    </row>
    <row r="5145" spans="2:5" x14ac:dyDescent="0.2">
      <c r="B5145" t="s">
        <v>7921</v>
      </c>
      <c r="C5145">
        <v>542934</v>
      </c>
      <c r="D5145" t="s">
        <v>7922</v>
      </c>
      <c r="E5145" t="s">
        <v>404</v>
      </c>
    </row>
    <row r="5146" spans="2:5" x14ac:dyDescent="0.2">
      <c r="B5146" t="s">
        <v>7923</v>
      </c>
      <c r="C5146">
        <v>542935</v>
      </c>
      <c r="D5146" t="s">
        <v>7924</v>
      </c>
      <c r="E5146" t="s">
        <v>426</v>
      </c>
    </row>
    <row r="5147" spans="2:5" x14ac:dyDescent="0.2">
      <c r="B5147" t="s">
        <v>7925</v>
      </c>
      <c r="C5147">
        <v>542938</v>
      </c>
      <c r="D5147" t="s">
        <v>7926</v>
      </c>
      <c r="E5147" t="s">
        <v>773</v>
      </c>
    </row>
    <row r="5148" spans="2:5" x14ac:dyDescent="0.2">
      <c r="B5148" t="s">
        <v>7927</v>
      </c>
      <c r="C5148">
        <v>543064</v>
      </c>
      <c r="D5148" t="s">
        <v>7928</v>
      </c>
      <c r="E5148" t="s">
        <v>404</v>
      </c>
    </row>
    <row r="5149" spans="2:5" x14ac:dyDescent="0.2">
      <c r="B5149" t="s">
        <v>7929</v>
      </c>
      <c r="C5149">
        <v>543065</v>
      </c>
      <c r="D5149" t="s">
        <v>7930</v>
      </c>
      <c r="E5149" t="s">
        <v>551</v>
      </c>
    </row>
    <row r="5150" spans="2:5" x14ac:dyDescent="0.2">
      <c r="B5150" t="s">
        <v>7931</v>
      </c>
      <c r="C5150">
        <v>543066</v>
      </c>
      <c r="D5150" t="s">
        <v>7932</v>
      </c>
      <c r="E5150" t="s">
        <v>383</v>
      </c>
    </row>
    <row r="5151" spans="2:5" x14ac:dyDescent="0.2">
      <c r="B5151" t="s">
        <v>7933</v>
      </c>
      <c r="C5151">
        <v>543144</v>
      </c>
      <c r="D5151" t="s">
        <v>7934</v>
      </c>
      <c r="E5151" t="s">
        <v>219</v>
      </c>
    </row>
    <row r="5152" spans="2:5" x14ac:dyDescent="0.2">
      <c r="B5152" t="s">
        <v>7935</v>
      </c>
      <c r="C5152">
        <v>543145</v>
      </c>
      <c r="D5152" t="s">
        <v>7936</v>
      </c>
      <c r="E5152" t="s">
        <v>219</v>
      </c>
    </row>
    <row r="5153" spans="2:5" x14ac:dyDescent="0.2">
      <c r="B5153" t="s">
        <v>7933</v>
      </c>
      <c r="C5153">
        <v>543146</v>
      </c>
      <c r="D5153" t="s">
        <v>7937</v>
      </c>
      <c r="E5153" t="s">
        <v>219</v>
      </c>
    </row>
    <row r="5154" spans="2:5" x14ac:dyDescent="0.2">
      <c r="B5154" t="s">
        <v>7938</v>
      </c>
      <c r="C5154">
        <v>543147</v>
      </c>
      <c r="D5154" t="s">
        <v>7939</v>
      </c>
      <c r="E5154" t="s">
        <v>219</v>
      </c>
    </row>
    <row r="5155" spans="2:5" x14ac:dyDescent="0.2">
      <c r="B5155" t="s">
        <v>7938</v>
      </c>
      <c r="C5155">
        <v>543148</v>
      </c>
      <c r="D5155" t="s">
        <v>7940</v>
      </c>
      <c r="E5155" t="s">
        <v>219</v>
      </c>
    </row>
    <row r="5156" spans="2:5" x14ac:dyDescent="0.2">
      <c r="B5156" t="s">
        <v>7941</v>
      </c>
      <c r="C5156">
        <v>543149</v>
      </c>
      <c r="D5156" t="s">
        <v>7942</v>
      </c>
      <c r="E5156" t="s">
        <v>219</v>
      </c>
    </row>
    <row r="5157" spans="2:5" x14ac:dyDescent="0.2">
      <c r="B5157" t="s">
        <v>7943</v>
      </c>
      <c r="C5157">
        <v>543150</v>
      </c>
      <c r="D5157" t="s">
        <v>7944</v>
      </c>
      <c r="E5157" t="s">
        <v>219</v>
      </c>
    </row>
    <row r="5158" spans="2:5" x14ac:dyDescent="0.2">
      <c r="B5158" t="s">
        <v>7945</v>
      </c>
      <c r="C5158">
        <v>543151</v>
      </c>
      <c r="D5158" t="s">
        <v>7946</v>
      </c>
      <c r="E5158" t="s">
        <v>219</v>
      </c>
    </row>
    <row r="5159" spans="2:5" x14ac:dyDescent="0.2">
      <c r="B5159" t="s">
        <v>7947</v>
      </c>
      <c r="C5159">
        <v>543152</v>
      </c>
      <c r="D5159" t="s">
        <v>7948</v>
      </c>
      <c r="E5159" t="s">
        <v>219</v>
      </c>
    </row>
    <row r="5160" spans="2:5" x14ac:dyDescent="0.2">
      <c r="B5160" t="s">
        <v>7949</v>
      </c>
      <c r="C5160">
        <v>543153</v>
      </c>
      <c r="D5160" t="s">
        <v>7950</v>
      </c>
      <c r="E5160" t="s">
        <v>219</v>
      </c>
    </row>
    <row r="5161" spans="2:5" x14ac:dyDescent="0.2">
      <c r="B5161" t="s">
        <v>7947</v>
      </c>
      <c r="C5161">
        <v>543154</v>
      </c>
      <c r="D5161" t="s">
        <v>7951</v>
      </c>
      <c r="E5161" t="s">
        <v>219</v>
      </c>
    </row>
    <row r="5162" spans="2:5" x14ac:dyDescent="0.2">
      <c r="B5162" t="s">
        <v>7952</v>
      </c>
      <c r="C5162">
        <v>543155</v>
      </c>
      <c r="D5162" t="s">
        <v>7953</v>
      </c>
      <c r="E5162" t="s">
        <v>219</v>
      </c>
    </row>
    <row r="5163" spans="2:5" x14ac:dyDescent="0.2">
      <c r="B5163" t="s">
        <v>7954</v>
      </c>
      <c r="C5163">
        <v>543156</v>
      </c>
      <c r="D5163" t="s">
        <v>7955</v>
      </c>
      <c r="E5163" t="s">
        <v>219</v>
      </c>
    </row>
    <row r="5164" spans="2:5" x14ac:dyDescent="0.2">
      <c r="B5164" t="s">
        <v>7952</v>
      </c>
      <c r="C5164">
        <v>543168</v>
      </c>
      <c r="D5164" t="s">
        <v>7956</v>
      </c>
      <c r="E5164" t="s">
        <v>219</v>
      </c>
    </row>
    <row r="5165" spans="2:5" x14ac:dyDescent="0.2">
      <c r="B5165" t="s">
        <v>7954</v>
      </c>
      <c r="C5165">
        <v>543169</v>
      </c>
      <c r="D5165" t="s">
        <v>7957</v>
      </c>
      <c r="E5165" t="s">
        <v>219</v>
      </c>
    </row>
    <row r="5166" spans="2:5" x14ac:dyDescent="0.2">
      <c r="B5166" t="s">
        <v>7935</v>
      </c>
      <c r="C5166">
        <v>543170</v>
      </c>
      <c r="D5166" t="s">
        <v>7958</v>
      </c>
      <c r="E5166" t="s">
        <v>219</v>
      </c>
    </row>
    <row r="5167" spans="2:5" x14ac:dyDescent="0.2">
      <c r="B5167" t="s">
        <v>7959</v>
      </c>
      <c r="C5167">
        <v>543171</v>
      </c>
      <c r="D5167" t="s">
        <v>7960</v>
      </c>
      <c r="E5167" t="s">
        <v>480</v>
      </c>
    </row>
    <row r="5168" spans="2:5" x14ac:dyDescent="0.2">
      <c r="B5168" t="s">
        <v>7961</v>
      </c>
      <c r="C5168">
        <v>543172</v>
      </c>
      <c r="D5168" t="s">
        <v>7962</v>
      </c>
      <c r="E5168" t="s">
        <v>374</v>
      </c>
    </row>
    <row r="5169" spans="2:5" x14ac:dyDescent="0.2">
      <c r="B5169" t="s">
        <v>7963</v>
      </c>
      <c r="C5169">
        <v>543173</v>
      </c>
      <c r="D5169" t="s">
        <v>7964</v>
      </c>
      <c r="E5169" t="s">
        <v>219</v>
      </c>
    </row>
    <row r="5170" spans="2:5" x14ac:dyDescent="0.2">
      <c r="B5170" t="s">
        <v>7965</v>
      </c>
      <c r="C5170">
        <v>543174</v>
      </c>
      <c r="D5170" t="s">
        <v>7966</v>
      </c>
      <c r="E5170" t="s">
        <v>219</v>
      </c>
    </row>
    <row r="5171" spans="2:5" x14ac:dyDescent="0.2">
      <c r="B5171" t="s">
        <v>7967</v>
      </c>
      <c r="C5171">
        <v>543175</v>
      </c>
      <c r="D5171" t="s">
        <v>7968</v>
      </c>
      <c r="E5171" t="s">
        <v>219</v>
      </c>
    </row>
    <row r="5172" spans="2:5" x14ac:dyDescent="0.2">
      <c r="B5172" t="s">
        <v>7969</v>
      </c>
      <c r="C5172">
        <v>543176</v>
      </c>
      <c r="D5172" t="s">
        <v>7970</v>
      </c>
      <c r="E5172" t="s">
        <v>219</v>
      </c>
    </row>
    <row r="5173" spans="2:5" x14ac:dyDescent="0.2">
      <c r="B5173" t="s">
        <v>7971</v>
      </c>
      <c r="C5173">
        <v>543177</v>
      </c>
      <c r="D5173" t="s">
        <v>7972</v>
      </c>
      <c r="E5173" t="s">
        <v>219</v>
      </c>
    </row>
    <row r="5174" spans="2:5" x14ac:dyDescent="0.2">
      <c r="B5174" t="s">
        <v>7973</v>
      </c>
      <c r="C5174">
        <v>543178</v>
      </c>
      <c r="D5174" t="s">
        <v>7974</v>
      </c>
      <c r="E5174" t="s">
        <v>219</v>
      </c>
    </row>
    <row r="5175" spans="2:5" x14ac:dyDescent="0.2">
      <c r="B5175" t="s">
        <v>7975</v>
      </c>
      <c r="C5175">
        <v>543179</v>
      </c>
      <c r="D5175" t="s">
        <v>7976</v>
      </c>
      <c r="E5175" t="s">
        <v>219</v>
      </c>
    </row>
    <row r="5176" spans="2:5" x14ac:dyDescent="0.2">
      <c r="B5176" t="s">
        <v>7977</v>
      </c>
      <c r="C5176">
        <v>543180</v>
      </c>
      <c r="D5176" t="s">
        <v>7978</v>
      </c>
      <c r="E5176" t="s">
        <v>219</v>
      </c>
    </row>
    <row r="5177" spans="2:5" x14ac:dyDescent="0.2">
      <c r="B5177" t="s">
        <v>7979</v>
      </c>
      <c r="C5177">
        <v>543181</v>
      </c>
      <c r="D5177" t="s">
        <v>7980</v>
      </c>
      <c r="E5177" t="s">
        <v>219</v>
      </c>
    </row>
    <row r="5178" spans="2:5" x14ac:dyDescent="0.2">
      <c r="B5178" t="s">
        <v>7981</v>
      </c>
      <c r="C5178">
        <v>543182</v>
      </c>
      <c r="D5178" t="s">
        <v>7982</v>
      </c>
      <c r="E5178" t="s">
        <v>219</v>
      </c>
    </row>
    <row r="5179" spans="2:5" x14ac:dyDescent="0.2">
      <c r="B5179" t="s">
        <v>7983</v>
      </c>
      <c r="C5179">
        <v>543183</v>
      </c>
      <c r="D5179" t="s">
        <v>7984</v>
      </c>
      <c r="E5179" t="s">
        <v>219</v>
      </c>
    </row>
    <row r="5180" spans="2:5" x14ac:dyDescent="0.2">
      <c r="B5180" t="s">
        <v>7985</v>
      </c>
      <c r="C5180">
        <v>543184</v>
      </c>
      <c r="D5180" t="s">
        <v>7986</v>
      </c>
      <c r="E5180" t="s">
        <v>219</v>
      </c>
    </row>
    <row r="5181" spans="2:5" x14ac:dyDescent="0.2">
      <c r="B5181" t="s">
        <v>7987</v>
      </c>
      <c r="C5181">
        <v>543185</v>
      </c>
      <c r="D5181" t="s">
        <v>7988</v>
      </c>
      <c r="E5181" t="s">
        <v>219</v>
      </c>
    </row>
    <row r="5182" spans="2:5" x14ac:dyDescent="0.2">
      <c r="B5182" t="s">
        <v>7989</v>
      </c>
      <c r="C5182">
        <v>543186</v>
      </c>
      <c r="D5182" t="s">
        <v>7990</v>
      </c>
      <c r="E5182" t="s">
        <v>219</v>
      </c>
    </row>
    <row r="5183" spans="2:5" x14ac:dyDescent="0.2">
      <c r="B5183" t="s">
        <v>7991</v>
      </c>
      <c r="C5183">
        <v>543187</v>
      </c>
      <c r="D5183" t="s">
        <v>7992</v>
      </c>
      <c r="E5183" t="s">
        <v>409</v>
      </c>
    </row>
    <row r="5184" spans="2:5" x14ac:dyDescent="0.2">
      <c r="B5184" t="s">
        <v>7993</v>
      </c>
      <c r="C5184">
        <v>543193</v>
      </c>
      <c r="D5184" t="s">
        <v>7994</v>
      </c>
      <c r="E5184" t="s">
        <v>687</v>
      </c>
    </row>
    <row r="5185" spans="2:5" x14ac:dyDescent="0.2">
      <c r="B5185" t="s">
        <v>7995</v>
      </c>
      <c r="C5185">
        <v>543194</v>
      </c>
      <c r="D5185" t="s">
        <v>7996</v>
      </c>
      <c r="E5185" t="s">
        <v>7312</v>
      </c>
    </row>
    <row r="5186" spans="2:5" x14ac:dyDescent="0.2">
      <c r="B5186" t="s">
        <v>7997</v>
      </c>
      <c r="C5186">
        <v>543207</v>
      </c>
      <c r="D5186" t="s">
        <v>7998</v>
      </c>
      <c r="E5186" t="s">
        <v>510</v>
      </c>
    </row>
    <row r="5187" spans="2:5" x14ac:dyDescent="0.2">
      <c r="B5187" t="s">
        <v>7999</v>
      </c>
      <c r="C5187">
        <v>543208</v>
      </c>
      <c r="D5187" t="s">
        <v>8000</v>
      </c>
      <c r="E5187" t="s">
        <v>383</v>
      </c>
    </row>
    <row r="5188" spans="2:5" x14ac:dyDescent="0.2">
      <c r="B5188" t="s">
        <v>8001</v>
      </c>
      <c r="C5188">
        <v>543209</v>
      </c>
      <c r="D5188" t="s">
        <v>8002</v>
      </c>
      <c r="E5188" t="s">
        <v>355</v>
      </c>
    </row>
    <row r="5189" spans="2:5" x14ac:dyDescent="0.2">
      <c r="B5189" t="s">
        <v>8003</v>
      </c>
      <c r="C5189">
        <v>543210</v>
      </c>
      <c r="D5189" t="s">
        <v>8004</v>
      </c>
      <c r="E5189" t="s">
        <v>526</v>
      </c>
    </row>
    <row r="5190" spans="2:5" x14ac:dyDescent="0.2">
      <c r="B5190" t="s">
        <v>8005</v>
      </c>
      <c r="C5190">
        <v>543211</v>
      </c>
      <c r="D5190" t="s">
        <v>8006</v>
      </c>
      <c r="E5190" t="s">
        <v>1284</v>
      </c>
    </row>
    <row r="5191" spans="2:5" x14ac:dyDescent="0.2">
      <c r="B5191" t="s">
        <v>8007</v>
      </c>
      <c r="C5191">
        <v>543212</v>
      </c>
      <c r="D5191" t="s">
        <v>8008</v>
      </c>
      <c r="E5191" t="s">
        <v>1410</v>
      </c>
    </row>
    <row r="5192" spans="2:5" x14ac:dyDescent="0.2">
      <c r="B5192" t="s">
        <v>8009</v>
      </c>
      <c r="C5192">
        <v>543213</v>
      </c>
      <c r="D5192" t="s">
        <v>8010</v>
      </c>
      <c r="E5192" t="s">
        <v>526</v>
      </c>
    </row>
    <row r="5193" spans="2:5" x14ac:dyDescent="0.2">
      <c r="B5193" t="s">
        <v>8011</v>
      </c>
      <c r="C5193">
        <v>543214</v>
      </c>
      <c r="D5193" t="s">
        <v>8012</v>
      </c>
      <c r="E5193" t="s">
        <v>721</v>
      </c>
    </row>
    <row r="5194" spans="2:5" x14ac:dyDescent="0.2">
      <c r="B5194" t="s">
        <v>8013</v>
      </c>
      <c r="C5194">
        <v>543217</v>
      </c>
      <c r="D5194" t="s">
        <v>8014</v>
      </c>
      <c r="E5194" t="s">
        <v>219</v>
      </c>
    </row>
    <row r="5195" spans="2:5" x14ac:dyDescent="0.2">
      <c r="B5195" t="s">
        <v>8015</v>
      </c>
      <c r="C5195">
        <v>543218</v>
      </c>
      <c r="D5195" t="s">
        <v>8016</v>
      </c>
      <c r="E5195" t="s">
        <v>452</v>
      </c>
    </row>
    <row r="5196" spans="2:5" x14ac:dyDescent="0.2">
      <c r="B5196" t="s">
        <v>8017</v>
      </c>
      <c r="C5196">
        <v>543219</v>
      </c>
      <c r="D5196" t="s">
        <v>8018</v>
      </c>
      <c r="E5196" t="s">
        <v>219</v>
      </c>
    </row>
    <row r="5197" spans="2:5" x14ac:dyDescent="0.2">
      <c r="B5197" t="s">
        <v>8019</v>
      </c>
      <c r="C5197">
        <v>543220</v>
      </c>
      <c r="D5197" t="s">
        <v>8020</v>
      </c>
      <c r="E5197" t="s">
        <v>836</v>
      </c>
    </row>
    <row r="5198" spans="2:5" x14ac:dyDescent="0.2">
      <c r="B5198" t="s">
        <v>8021</v>
      </c>
      <c r="C5198">
        <v>543221</v>
      </c>
      <c r="D5198" t="s">
        <v>8022</v>
      </c>
      <c r="E5198" t="s">
        <v>219</v>
      </c>
    </row>
    <row r="5199" spans="2:5" x14ac:dyDescent="0.2">
      <c r="B5199" t="s">
        <v>8023</v>
      </c>
      <c r="C5199">
        <v>543222</v>
      </c>
      <c r="D5199" t="s">
        <v>8024</v>
      </c>
      <c r="E5199" t="s">
        <v>489</v>
      </c>
    </row>
    <row r="5200" spans="2:5" x14ac:dyDescent="0.2">
      <c r="B5200" t="s">
        <v>8025</v>
      </c>
      <c r="C5200">
        <v>543223</v>
      </c>
      <c r="D5200" t="s">
        <v>4080</v>
      </c>
      <c r="E5200" t="s">
        <v>532</v>
      </c>
    </row>
    <row r="5201" spans="2:5" x14ac:dyDescent="0.2">
      <c r="B5201" t="s">
        <v>8026</v>
      </c>
      <c r="C5201">
        <v>543224</v>
      </c>
      <c r="D5201" t="s">
        <v>8027</v>
      </c>
      <c r="E5201" t="s">
        <v>219</v>
      </c>
    </row>
    <row r="5202" spans="2:5" x14ac:dyDescent="0.2">
      <c r="B5202" t="s">
        <v>8028</v>
      </c>
      <c r="C5202">
        <v>543225</v>
      </c>
      <c r="D5202" t="s">
        <v>8029</v>
      </c>
      <c r="E5202" t="s">
        <v>219</v>
      </c>
    </row>
    <row r="5203" spans="2:5" x14ac:dyDescent="0.2">
      <c r="B5203" t="s">
        <v>8030</v>
      </c>
      <c r="C5203">
        <v>543226</v>
      </c>
      <c r="D5203" t="s">
        <v>8031</v>
      </c>
      <c r="E5203" t="s">
        <v>219</v>
      </c>
    </row>
    <row r="5204" spans="2:5" x14ac:dyDescent="0.2">
      <c r="B5204" t="s">
        <v>8032</v>
      </c>
      <c r="C5204">
        <v>543227</v>
      </c>
      <c r="D5204" t="s">
        <v>8033</v>
      </c>
      <c r="E5204" t="s">
        <v>352</v>
      </c>
    </row>
    <row r="5205" spans="2:5" x14ac:dyDescent="0.2">
      <c r="B5205" t="s">
        <v>8034</v>
      </c>
      <c r="C5205">
        <v>543228</v>
      </c>
      <c r="D5205" t="s">
        <v>8035</v>
      </c>
      <c r="E5205" t="s">
        <v>372</v>
      </c>
    </row>
    <row r="5206" spans="2:5" x14ac:dyDescent="0.2">
      <c r="B5206" t="s">
        <v>8036</v>
      </c>
      <c r="C5206">
        <v>543230</v>
      </c>
      <c r="D5206" t="s">
        <v>8037</v>
      </c>
      <c r="E5206" t="s">
        <v>664</v>
      </c>
    </row>
    <row r="5207" spans="2:5" x14ac:dyDescent="0.2">
      <c r="B5207" t="s">
        <v>8038</v>
      </c>
      <c r="C5207">
        <v>543231</v>
      </c>
      <c r="D5207" t="s">
        <v>8039</v>
      </c>
      <c r="E5207" t="s">
        <v>861</v>
      </c>
    </row>
    <row r="5208" spans="2:5" x14ac:dyDescent="0.2">
      <c r="B5208" t="s">
        <v>8040</v>
      </c>
      <c r="C5208">
        <v>543232</v>
      </c>
      <c r="D5208" t="s">
        <v>8041</v>
      </c>
      <c r="E5208" t="s">
        <v>349</v>
      </c>
    </row>
    <row r="5209" spans="2:5" x14ac:dyDescent="0.2">
      <c r="B5209" t="s">
        <v>8042</v>
      </c>
      <c r="C5209">
        <v>543233</v>
      </c>
      <c r="D5209" t="s">
        <v>8043</v>
      </c>
      <c r="E5209" t="s">
        <v>526</v>
      </c>
    </row>
    <row r="5210" spans="2:5" x14ac:dyDescent="0.2">
      <c r="B5210" t="s">
        <v>8044</v>
      </c>
      <c r="C5210">
        <v>543234</v>
      </c>
      <c r="D5210" t="s">
        <v>8045</v>
      </c>
      <c r="E5210" t="s">
        <v>352</v>
      </c>
    </row>
    <row r="5211" spans="2:5" x14ac:dyDescent="0.2">
      <c r="B5211" t="s">
        <v>8046</v>
      </c>
      <c r="C5211">
        <v>543235</v>
      </c>
      <c r="D5211" t="s">
        <v>8047</v>
      </c>
      <c r="E5211" t="s">
        <v>349</v>
      </c>
    </row>
    <row r="5212" spans="2:5" x14ac:dyDescent="0.2">
      <c r="B5212" t="s">
        <v>8048</v>
      </c>
      <c r="C5212">
        <v>543236</v>
      </c>
      <c r="D5212" t="s">
        <v>8049</v>
      </c>
      <c r="E5212" t="s">
        <v>374</v>
      </c>
    </row>
    <row r="5213" spans="2:5" x14ac:dyDescent="0.2">
      <c r="B5213" t="s">
        <v>8050</v>
      </c>
      <c r="C5213">
        <v>543237</v>
      </c>
      <c r="D5213" t="s">
        <v>8051</v>
      </c>
      <c r="E5213" t="s">
        <v>839</v>
      </c>
    </row>
    <row r="5214" spans="2:5" x14ac:dyDescent="0.2">
      <c r="B5214" t="s">
        <v>8052</v>
      </c>
      <c r="C5214">
        <v>543238</v>
      </c>
      <c r="D5214" t="s">
        <v>8053</v>
      </c>
      <c r="E5214" t="s">
        <v>2767</v>
      </c>
    </row>
    <row r="5215" spans="2:5" x14ac:dyDescent="0.2">
      <c r="B5215" t="s">
        <v>8054</v>
      </c>
      <c r="C5215">
        <v>543239</v>
      </c>
      <c r="D5215" t="s">
        <v>8055</v>
      </c>
      <c r="E5215" t="s">
        <v>486</v>
      </c>
    </row>
    <row r="5216" spans="2:5" x14ac:dyDescent="0.2">
      <c r="B5216" t="s">
        <v>8056</v>
      </c>
      <c r="C5216">
        <v>543240</v>
      </c>
      <c r="D5216" t="s">
        <v>8057</v>
      </c>
      <c r="E5216" t="s">
        <v>764</v>
      </c>
    </row>
    <row r="5217" spans="2:5" x14ac:dyDescent="0.2">
      <c r="B5217" t="s">
        <v>8058</v>
      </c>
      <c r="C5217">
        <v>543241</v>
      </c>
      <c r="D5217" t="s">
        <v>8059</v>
      </c>
      <c r="E5217" t="s">
        <v>452</v>
      </c>
    </row>
    <row r="5218" spans="2:5" x14ac:dyDescent="0.2">
      <c r="B5218" t="s">
        <v>8060</v>
      </c>
      <c r="C5218">
        <v>543242</v>
      </c>
      <c r="D5218" t="s">
        <v>8061</v>
      </c>
      <c r="E5218" t="s">
        <v>452</v>
      </c>
    </row>
    <row r="5219" spans="2:5" x14ac:dyDescent="0.2">
      <c r="B5219" t="s">
        <v>8062</v>
      </c>
      <c r="C5219">
        <v>543243</v>
      </c>
      <c r="D5219" t="s">
        <v>8063</v>
      </c>
      <c r="E5219" t="s">
        <v>684</v>
      </c>
    </row>
    <row r="5220" spans="2:5" x14ac:dyDescent="0.2">
      <c r="B5220" t="s">
        <v>8064</v>
      </c>
      <c r="C5220">
        <v>543244</v>
      </c>
      <c r="D5220" t="s">
        <v>8065</v>
      </c>
      <c r="E5220" t="s">
        <v>381</v>
      </c>
    </row>
    <row r="5221" spans="2:5" x14ac:dyDescent="0.2">
      <c r="B5221" t="s">
        <v>8066</v>
      </c>
      <c r="C5221">
        <v>500270</v>
      </c>
      <c r="D5221" t="s">
        <v>8067</v>
      </c>
      <c r="E5221" t="s">
        <v>8068</v>
      </c>
    </row>
    <row r="5222" spans="2:5" x14ac:dyDescent="0.2">
      <c r="B5222" t="s">
        <v>8069</v>
      </c>
      <c r="C5222">
        <v>503685</v>
      </c>
      <c r="D5222" t="s">
        <v>8070</v>
      </c>
      <c r="E5222" t="s">
        <v>8071</v>
      </c>
    </row>
    <row r="5223" spans="2:5" x14ac:dyDescent="0.2">
      <c r="B5223" t="s">
        <v>8072</v>
      </c>
      <c r="C5223">
        <v>505100</v>
      </c>
      <c r="D5223" t="s">
        <v>8073</v>
      </c>
      <c r="E5223" t="s">
        <v>8074</v>
      </c>
    </row>
    <row r="5224" spans="2:5" x14ac:dyDescent="0.2">
      <c r="B5224" t="s">
        <v>8075</v>
      </c>
      <c r="C5224">
        <v>506580</v>
      </c>
      <c r="D5224" t="s">
        <v>8076</v>
      </c>
      <c r="E5224" t="s">
        <v>8077</v>
      </c>
    </row>
    <row r="5225" spans="2:5" x14ac:dyDescent="0.2">
      <c r="B5225" t="s">
        <v>8078</v>
      </c>
      <c r="C5225">
        <v>509069</v>
      </c>
      <c r="D5225" t="s">
        <v>8079</v>
      </c>
      <c r="E5225" t="s">
        <v>8080</v>
      </c>
    </row>
    <row r="5226" spans="2:5" x14ac:dyDescent="0.2">
      <c r="B5226" t="s">
        <v>8081</v>
      </c>
      <c r="C5226">
        <v>509960</v>
      </c>
      <c r="D5226" t="s">
        <v>8082</v>
      </c>
      <c r="E5226" t="s">
        <v>8083</v>
      </c>
    </row>
    <row r="5227" spans="2:5" x14ac:dyDescent="0.2">
      <c r="B5227" t="s">
        <v>8084</v>
      </c>
      <c r="C5227">
        <v>511016</v>
      </c>
      <c r="D5227" t="s">
        <v>8085</v>
      </c>
      <c r="E5227" t="s">
        <v>8086</v>
      </c>
    </row>
    <row r="5228" spans="2:5" x14ac:dyDescent="0.2">
      <c r="B5228" t="s">
        <v>8087</v>
      </c>
      <c r="C5228">
        <v>511194</v>
      </c>
      <c r="D5228" t="s">
        <v>8088</v>
      </c>
      <c r="E5228" t="s">
        <v>7312</v>
      </c>
    </row>
    <row r="5229" spans="2:5" x14ac:dyDescent="0.2">
      <c r="B5229" t="s">
        <v>8089</v>
      </c>
      <c r="C5229">
        <v>512097</v>
      </c>
      <c r="D5229" t="s">
        <v>8090</v>
      </c>
      <c r="E5229" t="s">
        <v>8091</v>
      </c>
    </row>
    <row r="5230" spans="2:5" x14ac:dyDescent="0.2">
      <c r="B5230" t="s">
        <v>8092</v>
      </c>
      <c r="C5230">
        <v>512115</v>
      </c>
      <c r="D5230" t="s">
        <v>8093</v>
      </c>
      <c r="E5230" t="s">
        <v>8091</v>
      </c>
    </row>
    <row r="5231" spans="2:5" x14ac:dyDescent="0.2">
      <c r="B5231" t="s">
        <v>8094</v>
      </c>
      <c r="C5231">
        <v>514260</v>
      </c>
      <c r="D5231" t="s">
        <v>8095</v>
      </c>
      <c r="E5231" t="s">
        <v>8068</v>
      </c>
    </row>
    <row r="5232" spans="2:5" x14ac:dyDescent="0.2">
      <c r="B5232" t="s">
        <v>8096</v>
      </c>
      <c r="C5232">
        <v>523309</v>
      </c>
      <c r="D5232" t="s">
        <v>8097</v>
      </c>
      <c r="E5232" t="s">
        <v>8098</v>
      </c>
    </row>
    <row r="5233" spans="2:5" x14ac:dyDescent="0.2">
      <c r="B5233" t="s">
        <v>8099</v>
      </c>
      <c r="C5233">
        <v>523868</v>
      </c>
      <c r="D5233" t="s">
        <v>8100</v>
      </c>
      <c r="E5233" t="s">
        <v>374</v>
      </c>
    </row>
    <row r="5234" spans="2:5" x14ac:dyDescent="0.2">
      <c r="B5234" t="s">
        <v>8101</v>
      </c>
      <c r="C5234">
        <v>524046</v>
      </c>
      <c r="D5234" t="s">
        <v>8102</v>
      </c>
      <c r="E5234" t="s">
        <v>8103</v>
      </c>
    </row>
    <row r="5235" spans="2:5" x14ac:dyDescent="0.2">
      <c r="B5235" t="s">
        <v>8104</v>
      </c>
      <c r="C5235">
        <v>526345</v>
      </c>
      <c r="D5235" t="s">
        <v>8105</v>
      </c>
      <c r="E5235" t="s">
        <v>426</v>
      </c>
    </row>
    <row r="5236" spans="2:5" x14ac:dyDescent="0.2">
      <c r="B5236" t="s">
        <v>8106</v>
      </c>
      <c r="C5236">
        <v>526468</v>
      </c>
      <c r="D5236" t="s">
        <v>8107</v>
      </c>
      <c r="E5236" t="s">
        <v>8108</v>
      </c>
    </row>
    <row r="5237" spans="2:5" x14ac:dyDescent="0.2">
      <c r="B5237" t="s">
        <v>8109</v>
      </c>
      <c r="C5237">
        <v>526677</v>
      </c>
      <c r="D5237" t="s">
        <v>8110</v>
      </c>
      <c r="E5237" t="s">
        <v>471</v>
      </c>
    </row>
    <row r="5238" spans="2:5" x14ac:dyDescent="0.2">
      <c r="B5238" t="s">
        <v>8111</v>
      </c>
      <c r="C5238">
        <v>526877</v>
      </c>
      <c r="D5238" t="s">
        <v>8112</v>
      </c>
      <c r="E5238" t="s">
        <v>8091</v>
      </c>
    </row>
    <row r="5239" spans="2:5" x14ac:dyDescent="0.2">
      <c r="B5239" t="s">
        <v>8113</v>
      </c>
      <c r="C5239">
        <v>530027</v>
      </c>
      <c r="D5239" t="s">
        <v>8114</v>
      </c>
      <c r="E5239" t="s">
        <v>580</v>
      </c>
    </row>
    <row r="5240" spans="2:5" x14ac:dyDescent="0.2">
      <c r="B5240" t="s">
        <v>8115</v>
      </c>
      <c r="C5240">
        <v>531240</v>
      </c>
      <c r="D5240" t="s">
        <v>8116</v>
      </c>
      <c r="E5240" t="s">
        <v>8091</v>
      </c>
    </row>
    <row r="5241" spans="2:5" x14ac:dyDescent="0.2">
      <c r="B5241" t="s">
        <v>8117</v>
      </c>
      <c r="C5241">
        <v>531399</v>
      </c>
      <c r="D5241" t="s">
        <v>8118</v>
      </c>
      <c r="E5241" t="s">
        <v>8074</v>
      </c>
    </row>
    <row r="5242" spans="2:5" x14ac:dyDescent="0.2">
      <c r="B5242" t="s">
        <v>8119</v>
      </c>
      <c r="C5242">
        <v>531812</v>
      </c>
      <c r="D5242" t="s">
        <v>8120</v>
      </c>
      <c r="E5242" t="s">
        <v>8086</v>
      </c>
    </row>
    <row r="5243" spans="2:5" x14ac:dyDescent="0.2">
      <c r="B5243" t="s">
        <v>8121</v>
      </c>
      <c r="C5243">
        <v>532019</v>
      </c>
      <c r="D5243" t="s">
        <v>8122</v>
      </c>
      <c r="E5243" t="s">
        <v>8123</v>
      </c>
    </row>
    <row r="5244" spans="2:5" x14ac:dyDescent="0.2">
      <c r="B5244" t="s">
        <v>8124</v>
      </c>
      <c r="C5244">
        <v>532335</v>
      </c>
      <c r="D5244" t="s">
        <v>8125</v>
      </c>
      <c r="E5244" t="s">
        <v>2181</v>
      </c>
    </row>
    <row r="5245" spans="2:5" x14ac:dyDescent="0.2">
      <c r="B5245" t="s">
        <v>8126</v>
      </c>
      <c r="C5245">
        <v>537709</v>
      </c>
      <c r="D5245" t="s">
        <v>8127</v>
      </c>
      <c r="E5245" t="s">
        <v>1065</v>
      </c>
    </row>
    <row r="5246" spans="2:5" x14ac:dyDescent="0.2">
      <c r="B5246" t="s">
        <v>8128</v>
      </c>
      <c r="C5246">
        <v>543229</v>
      </c>
      <c r="D5246" t="s">
        <v>8129</v>
      </c>
      <c r="E5246" t="s">
        <v>8130</v>
      </c>
    </row>
    <row r="5247" spans="2:5" x14ac:dyDescent="0.2">
      <c r="B5247" t="s">
        <v>8131</v>
      </c>
      <c r="C5247">
        <v>543245</v>
      </c>
      <c r="D5247" t="s">
        <v>8132</v>
      </c>
      <c r="E5247" t="s">
        <v>404</v>
      </c>
    </row>
    <row r="5248" spans="2:5" x14ac:dyDescent="0.2">
      <c r="B5248" t="s">
        <v>8133</v>
      </c>
      <c r="C5248">
        <v>543246</v>
      </c>
      <c r="D5248" t="s">
        <v>8134</v>
      </c>
      <c r="E5248" t="s">
        <v>219</v>
      </c>
    </row>
    <row r="5249" spans="2:5" x14ac:dyDescent="0.2">
      <c r="B5249" t="s">
        <v>8135</v>
      </c>
      <c r="C5249">
        <v>543247</v>
      </c>
      <c r="D5249" t="s">
        <v>8136</v>
      </c>
      <c r="E5249" t="s">
        <v>8071</v>
      </c>
    </row>
    <row r="5250" spans="2:5" x14ac:dyDescent="0.2">
      <c r="B5250" t="s">
        <v>8137</v>
      </c>
      <c r="C5250">
        <v>543248</v>
      </c>
      <c r="D5250" t="s">
        <v>8138</v>
      </c>
      <c r="E5250" t="s">
        <v>855</v>
      </c>
    </row>
    <row r="5251" spans="2:5" x14ac:dyDescent="0.2">
      <c r="B5251" t="s">
        <v>8139</v>
      </c>
      <c r="C5251">
        <v>543249</v>
      </c>
      <c r="D5251" t="s">
        <v>8140</v>
      </c>
      <c r="E5251" t="s">
        <v>8141</v>
      </c>
    </row>
    <row r="5252" spans="2:5" x14ac:dyDescent="0.2">
      <c r="B5252" t="s">
        <v>8142</v>
      </c>
      <c r="C5252">
        <v>543251</v>
      </c>
      <c r="D5252" t="s">
        <v>8143</v>
      </c>
      <c r="E5252" t="s">
        <v>8141</v>
      </c>
    </row>
    <row r="5253" spans="2:5" x14ac:dyDescent="0.2">
      <c r="B5253" t="s">
        <v>8144</v>
      </c>
      <c r="C5253">
        <v>543252</v>
      </c>
      <c r="D5253" t="s">
        <v>8145</v>
      </c>
      <c r="E5253" t="s">
        <v>526</v>
      </c>
    </row>
    <row r="5254" spans="2:5" x14ac:dyDescent="0.2">
      <c r="B5254" t="s">
        <v>8146</v>
      </c>
      <c r="C5254">
        <v>543253</v>
      </c>
      <c r="D5254" t="s">
        <v>8147</v>
      </c>
      <c r="E5254" t="s">
        <v>426</v>
      </c>
    </row>
    <row r="5255" spans="2:5" x14ac:dyDescent="0.2">
      <c r="B5255" t="s">
        <v>8148</v>
      </c>
      <c r="C5255">
        <v>543254</v>
      </c>
      <c r="D5255" t="s">
        <v>8149</v>
      </c>
      <c r="E5255" t="s">
        <v>8150</v>
      </c>
    </row>
    <row r="5256" spans="2:5" x14ac:dyDescent="0.2">
      <c r="B5256" t="s">
        <v>8151</v>
      </c>
      <c r="C5256">
        <v>543255</v>
      </c>
      <c r="D5256" t="s">
        <v>8152</v>
      </c>
      <c r="E5256" t="s">
        <v>219</v>
      </c>
    </row>
    <row r="5257" spans="2:5" x14ac:dyDescent="0.2">
      <c r="B5257" t="s">
        <v>8153</v>
      </c>
      <c r="C5257">
        <v>543256</v>
      </c>
      <c r="D5257" t="s">
        <v>8154</v>
      </c>
      <c r="E5257" t="s">
        <v>8155</v>
      </c>
    </row>
    <row r="5258" spans="2:5" x14ac:dyDescent="0.2">
      <c r="B5258" t="s">
        <v>8156</v>
      </c>
      <c r="C5258">
        <v>543257</v>
      </c>
      <c r="D5258" t="s">
        <v>8157</v>
      </c>
      <c r="E5258" t="s">
        <v>8158</v>
      </c>
    </row>
    <row r="5259" spans="2:5" x14ac:dyDescent="0.2">
      <c r="B5259" t="s">
        <v>8159</v>
      </c>
      <c r="C5259">
        <v>543258</v>
      </c>
      <c r="D5259" t="s">
        <v>8160</v>
      </c>
      <c r="E5259" t="s">
        <v>8161</v>
      </c>
    </row>
    <row r="5260" spans="2:5" x14ac:dyDescent="0.2">
      <c r="B5260" t="s">
        <v>8162</v>
      </c>
      <c r="C5260">
        <v>543259</v>
      </c>
      <c r="D5260" t="s">
        <v>8163</v>
      </c>
      <c r="E5260" t="s">
        <v>8164</v>
      </c>
    </row>
    <row r="5261" spans="2:5" x14ac:dyDescent="0.2">
      <c r="B5261" t="s">
        <v>8165</v>
      </c>
      <c r="C5261">
        <v>543260</v>
      </c>
      <c r="D5261" t="s">
        <v>8166</v>
      </c>
      <c r="E5261" t="s">
        <v>1129</v>
      </c>
    </row>
    <row r="5262" spans="2:5" x14ac:dyDescent="0.2">
      <c r="B5262" t="s">
        <v>8167</v>
      </c>
      <c r="C5262">
        <v>543261</v>
      </c>
      <c r="D5262" t="s">
        <v>8168</v>
      </c>
      <c r="E5262" t="s">
        <v>8169</v>
      </c>
    </row>
    <row r="5263" spans="2:5" x14ac:dyDescent="0.2">
      <c r="B5263" t="s">
        <v>8170</v>
      </c>
      <c r="C5263">
        <v>543262</v>
      </c>
      <c r="D5263" t="s">
        <v>8171</v>
      </c>
      <c r="E5263" t="s">
        <v>400</v>
      </c>
    </row>
    <row r="5264" spans="2:5" x14ac:dyDescent="0.2">
      <c r="B5264" t="s">
        <v>8172</v>
      </c>
      <c r="C5264">
        <v>543263</v>
      </c>
      <c r="D5264" t="s">
        <v>8173</v>
      </c>
      <c r="E5264" t="s">
        <v>8174</v>
      </c>
    </row>
    <row r="5265" spans="2:5" x14ac:dyDescent="0.2">
      <c r="B5265" t="s">
        <v>8175</v>
      </c>
      <c r="C5265">
        <v>543264</v>
      </c>
      <c r="D5265" t="s">
        <v>8176</v>
      </c>
      <c r="E5265" t="s">
        <v>8177</v>
      </c>
    </row>
    <row r="5266" spans="2:5" x14ac:dyDescent="0.2">
      <c r="B5266" t="s">
        <v>8178</v>
      </c>
      <c r="C5266">
        <v>543265</v>
      </c>
      <c r="D5266" t="s">
        <v>8179</v>
      </c>
      <c r="E5266" t="s">
        <v>1311</v>
      </c>
    </row>
    <row r="5267" spans="2:5" x14ac:dyDescent="0.2">
      <c r="B5267" t="s">
        <v>8180</v>
      </c>
      <c r="C5267">
        <v>543266</v>
      </c>
      <c r="D5267" t="s">
        <v>8181</v>
      </c>
      <c r="E5267" t="s">
        <v>8077</v>
      </c>
    </row>
    <row r="5268" spans="2:5" x14ac:dyDescent="0.2">
      <c r="B5268" t="s">
        <v>8182</v>
      </c>
      <c r="C5268">
        <v>543267</v>
      </c>
      <c r="D5268" t="s">
        <v>8183</v>
      </c>
      <c r="E5268" t="s">
        <v>1065</v>
      </c>
    </row>
    <row r="5269" spans="2:5" x14ac:dyDescent="0.2">
      <c r="B5269" t="s">
        <v>8184</v>
      </c>
      <c r="C5269">
        <v>543269</v>
      </c>
      <c r="D5269" t="s">
        <v>8185</v>
      </c>
      <c r="E5269" t="s">
        <v>8186</v>
      </c>
    </row>
    <row r="5270" spans="2:5" x14ac:dyDescent="0.2">
      <c r="B5270" t="s">
        <v>8187</v>
      </c>
      <c r="C5270">
        <v>543270</v>
      </c>
      <c r="D5270" t="s">
        <v>8188</v>
      </c>
      <c r="E5270" t="s">
        <v>8189</v>
      </c>
    </row>
    <row r="5271" spans="2:5" x14ac:dyDescent="0.2">
      <c r="B5271" t="s">
        <v>8190</v>
      </c>
      <c r="C5271">
        <v>543271</v>
      </c>
      <c r="D5271" t="s">
        <v>8191</v>
      </c>
      <c r="E5271" t="s">
        <v>526</v>
      </c>
    </row>
    <row r="5272" spans="2:5" x14ac:dyDescent="0.2">
      <c r="B5272" t="s">
        <v>8192</v>
      </c>
      <c r="C5272">
        <v>543272</v>
      </c>
      <c r="D5272" t="s">
        <v>8193</v>
      </c>
      <c r="E5272" t="s">
        <v>8194</v>
      </c>
    </row>
    <row r="5273" spans="2:5" x14ac:dyDescent="0.2">
      <c r="B5273" t="s">
        <v>8195</v>
      </c>
      <c r="C5273">
        <v>543273</v>
      </c>
      <c r="D5273" t="s">
        <v>8196</v>
      </c>
      <c r="E5273" t="s">
        <v>1611</v>
      </c>
    </row>
    <row r="5274" spans="2:5" x14ac:dyDescent="0.2">
      <c r="B5274" t="s">
        <v>8197</v>
      </c>
      <c r="C5274">
        <v>543274</v>
      </c>
      <c r="D5274" t="s">
        <v>8198</v>
      </c>
      <c r="E5274" t="s">
        <v>8068</v>
      </c>
    </row>
    <row r="5275" spans="2:5" x14ac:dyDescent="0.2">
      <c r="B5275" t="s">
        <v>8199</v>
      </c>
      <c r="C5275">
        <v>543275</v>
      </c>
      <c r="D5275" t="s">
        <v>8200</v>
      </c>
      <c r="E5275" t="s">
        <v>526</v>
      </c>
    </row>
    <row r="5276" spans="2:5" x14ac:dyDescent="0.2">
      <c r="B5276" t="s">
        <v>8201</v>
      </c>
      <c r="C5276">
        <v>543276</v>
      </c>
      <c r="D5276" t="s">
        <v>8202</v>
      </c>
      <c r="E5276" t="s">
        <v>8074</v>
      </c>
    </row>
    <row r="5277" spans="2:5" x14ac:dyDescent="0.2">
      <c r="B5277" t="s">
        <v>8203</v>
      </c>
      <c r="C5277">
        <v>543277</v>
      </c>
      <c r="D5277" t="s">
        <v>8204</v>
      </c>
      <c r="E5277" t="s">
        <v>526</v>
      </c>
    </row>
    <row r="5278" spans="2:5" x14ac:dyDescent="0.2">
      <c r="B5278" t="s">
        <v>8205</v>
      </c>
      <c r="C5278">
        <v>543278</v>
      </c>
      <c r="D5278" t="s">
        <v>8206</v>
      </c>
      <c r="E5278" t="s">
        <v>8108</v>
      </c>
    </row>
    <row r="5279" spans="2:5" x14ac:dyDescent="0.2">
      <c r="B5279" t="s">
        <v>8207</v>
      </c>
      <c r="C5279">
        <v>543279</v>
      </c>
      <c r="D5279" t="s">
        <v>8208</v>
      </c>
      <c r="E5279" t="s">
        <v>8209</v>
      </c>
    </row>
    <row r="5280" spans="2:5" x14ac:dyDescent="0.2">
      <c r="B5280" t="s">
        <v>8210</v>
      </c>
      <c r="C5280">
        <v>543280</v>
      </c>
      <c r="D5280" t="s">
        <v>8211</v>
      </c>
      <c r="E5280" t="s">
        <v>8212</v>
      </c>
    </row>
    <row r="5281" spans="2:5" x14ac:dyDescent="0.2">
      <c r="B5281" t="s">
        <v>8213</v>
      </c>
      <c r="C5281">
        <v>543281</v>
      </c>
      <c r="D5281" t="s">
        <v>8214</v>
      </c>
      <c r="E5281" t="s">
        <v>8215</v>
      </c>
    </row>
    <row r="5282" spans="2:5" x14ac:dyDescent="0.2">
      <c r="B5282" t="s">
        <v>8216</v>
      </c>
      <c r="C5282">
        <v>543282</v>
      </c>
      <c r="D5282" t="s">
        <v>8217</v>
      </c>
      <c r="E5282" t="s">
        <v>8186</v>
      </c>
    </row>
    <row r="5283" spans="2:5" x14ac:dyDescent="0.2">
      <c r="B5283" t="s">
        <v>8218</v>
      </c>
      <c r="C5283">
        <v>543283</v>
      </c>
      <c r="D5283" t="s">
        <v>8219</v>
      </c>
      <c r="E5283" t="s">
        <v>855</v>
      </c>
    </row>
    <row r="5284" spans="2:5" x14ac:dyDescent="0.2">
      <c r="B5284" t="s">
        <v>8220</v>
      </c>
      <c r="C5284">
        <v>543284</v>
      </c>
      <c r="D5284" t="s">
        <v>8221</v>
      </c>
      <c r="E5284" t="s">
        <v>450</v>
      </c>
    </row>
    <row r="5285" spans="2:5" x14ac:dyDescent="0.2">
      <c r="B5285" t="s">
        <v>8222</v>
      </c>
      <c r="C5285">
        <v>543285</v>
      </c>
      <c r="D5285" t="s">
        <v>8223</v>
      </c>
      <c r="E5285" t="s">
        <v>8224</v>
      </c>
    </row>
    <row r="5286" spans="2:5" x14ac:dyDescent="0.2">
      <c r="B5286" t="s">
        <v>8225</v>
      </c>
      <c r="C5286">
        <v>543286</v>
      </c>
      <c r="D5286" t="s">
        <v>8226</v>
      </c>
      <c r="E5286" t="s">
        <v>446</v>
      </c>
    </row>
    <row r="5287" spans="2:5" x14ac:dyDescent="0.2">
      <c r="B5287" t="s">
        <v>8227</v>
      </c>
      <c r="C5287">
        <v>543287</v>
      </c>
      <c r="D5287" t="s">
        <v>8228</v>
      </c>
      <c r="E5287" t="s">
        <v>8141</v>
      </c>
    </row>
    <row r="5288" spans="2:5" x14ac:dyDescent="0.2">
      <c r="B5288" t="s">
        <v>8229</v>
      </c>
      <c r="C5288">
        <v>543288</v>
      </c>
      <c r="D5288" t="s">
        <v>1871</v>
      </c>
      <c r="E5288" t="s">
        <v>8230</v>
      </c>
    </row>
    <row r="5289" spans="2:5" x14ac:dyDescent="0.2">
      <c r="B5289" t="s">
        <v>8231</v>
      </c>
      <c r="C5289">
        <v>543289</v>
      </c>
      <c r="D5289" t="s">
        <v>8232</v>
      </c>
      <c r="E5289" t="s">
        <v>471</v>
      </c>
    </row>
    <row r="5290" spans="2:5" x14ac:dyDescent="0.2">
      <c r="B5290" t="s">
        <v>8233</v>
      </c>
      <c r="C5290">
        <v>543290</v>
      </c>
      <c r="D5290" t="s">
        <v>8234</v>
      </c>
      <c r="E5290" t="s">
        <v>8235</v>
      </c>
    </row>
    <row r="5291" spans="2:5" x14ac:dyDescent="0.2">
      <c r="B5291" t="s">
        <v>8236</v>
      </c>
      <c r="C5291">
        <v>543291</v>
      </c>
      <c r="D5291" t="s">
        <v>8237</v>
      </c>
      <c r="E5291" t="s">
        <v>219</v>
      </c>
    </row>
    <row r="5292" spans="2:5" x14ac:dyDescent="0.2">
      <c r="B5292" t="s">
        <v>8238</v>
      </c>
      <c r="C5292">
        <v>543292</v>
      </c>
      <c r="D5292" t="s">
        <v>8239</v>
      </c>
      <c r="E5292" t="s">
        <v>219</v>
      </c>
    </row>
    <row r="5293" spans="2:5" x14ac:dyDescent="0.2">
      <c r="B5293" t="s">
        <v>8240</v>
      </c>
      <c r="C5293">
        <v>543297</v>
      </c>
      <c r="D5293" t="s">
        <v>8241</v>
      </c>
      <c r="E5293" t="s">
        <v>409</v>
      </c>
    </row>
    <row r="5294" spans="2:5" x14ac:dyDescent="0.2">
      <c r="B5294" t="s">
        <v>8242</v>
      </c>
      <c r="C5294">
        <v>543298</v>
      </c>
      <c r="D5294" t="s">
        <v>8243</v>
      </c>
      <c r="E5294" t="s">
        <v>404</v>
      </c>
    </row>
    <row r="5295" spans="2:5" x14ac:dyDescent="0.2">
      <c r="B5295" t="s">
        <v>8244</v>
      </c>
      <c r="C5295">
        <v>543299</v>
      </c>
      <c r="D5295" t="s">
        <v>8245</v>
      </c>
      <c r="E5295" t="s">
        <v>8246</v>
      </c>
    </row>
    <row r="5296" spans="2:5" x14ac:dyDescent="0.2">
      <c r="B5296" t="s">
        <v>8247</v>
      </c>
      <c r="C5296">
        <v>543300</v>
      </c>
      <c r="D5296" t="s">
        <v>8248</v>
      </c>
      <c r="E5296" t="s">
        <v>8074</v>
      </c>
    </row>
    <row r="5297" spans="2:5" x14ac:dyDescent="0.2">
      <c r="B5297" t="s">
        <v>8249</v>
      </c>
      <c r="C5297">
        <v>543305</v>
      </c>
      <c r="D5297" t="s">
        <v>8250</v>
      </c>
      <c r="E5297" t="s">
        <v>450</v>
      </c>
    </row>
    <row r="5298" spans="2:5" x14ac:dyDescent="0.2">
      <c r="B5298" t="s">
        <v>8251</v>
      </c>
      <c r="C5298">
        <v>543306</v>
      </c>
      <c r="D5298" t="s">
        <v>8252</v>
      </c>
      <c r="E5298" t="s">
        <v>8253</v>
      </c>
    </row>
    <row r="5299" spans="2:5" x14ac:dyDescent="0.2">
      <c r="B5299" t="s">
        <v>8254</v>
      </c>
      <c r="C5299">
        <v>543308</v>
      </c>
      <c r="D5299" t="s">
        <v>8255</v>
      </c>
      <c r="E5299" t="s">
        <v>8256</v>
      </c>
    </row>
    <row r="5300" spans="2:5" x14ac:dyDescent="0.2">
      <c r="B5300" t="s">
        <v>8257</v>
      </c>
      <c r="C5300">
        <v>543309</v>
      </c>
      <c r="D5300" t="s">
        <v>8258</v>
      </c>
      <c r="E5300" t="s">
        <v>8259</v>
      </c>
    </row>
    <row r="5301" spans="2:5" x14ac:dyDescent="0.2">
      <c r="B5301" t="s">
        <v>8260</v>
      </c>
      <c r="C5301">
        <v>543310</v>
      </c>
      <c r="D5301" t="s">
        <v>8261</v>
      </c>
      <c r="E5301" t="s">
        <v>564</v>
      </c>
    </row>
    <row r="5302" spans="2:5" x14ac:dyDescent="0.2">
      <c r="B5302" t="s">
        <v>8262</v>
      </c>
      <c r="C5302">
        <v>543311</v>
      </c>
      <c r="D5302" t="s">
        <v>8263</v>
      </c>
      <c r="E5302" t="s">
        <v>8077</v>
      </c>
    </row>
    <row r="5303" spans="2:5" x14ac:dyDescent="0.2">
      <c r="B5303" t="s">
        <v>8264</v>
      </c>
      <c r="C5303">
        <v>543312</v>
      </c>
      <c r="D5303" t="s">
        <v>2286</v>
      </c>
      <c r="E5303" t="s">
        <v>8186</v>
      </c>
    </row>
    <row r="5304" spans="2:5" x14ac:dyDescent="0.2">
      <c r="B5304" t="s">
        <v>8265</v>
      </c>
      <c r="C5304">
        <v>543317</v>
      </c>
      <c r="D5304" t="s">
        <v>8266</v>
      </c>
      <c r="E5304" t="s">
        <v>8267</v>
      </c>
    </row>
    <row r="5305" spans="2:5" x14ac:dyDescent="0.2">
      <c r="B5305" t="s">
        <v>8268</v>
      </c>
      <c r="C5305">
        <v>543318</v>
      </c>
      <c r="D5305" t="s">
        <v>8269</v>
      </c>
      <c r="E5305" t="s">
        <v>414</v>
      </c>
    </row>
    <row r="5306" spans="2:5" x14ac:dyDescent="0.2">
      <c r="B5306" t="s">
        <v>8270</v>
      </c>
      <c r="C5306">
        <v>543319</v>
      </c>
      <c r="D5306" t="s">
        <v>8271</v>
      </c>
      <c r="E5306" t="s">
        <v>8091</v>
      </c>
    </row>
    <row r="5307" spans="2:5" x14ac:dyDescent="0.2">
      <c r="B5307" t="s">
        <v>8272</v>
      </c>
      <c r="C5307">
        <v>543320</v>
      </c>
      <c r="D5307" t="s">
        <v>8273</v>
      </c>
      <c r="E5307" t="s">
        <v>8274</v>
      </c>
    </row>
    <row r="5308" spans="2:5" x14ac:dyDescent="0.2">
      <c r="B5308" t="s">
        <v>8275</v>
      </c>
      <c r="C5308">
        <v>543321</v>
      </c>
      <c r="D5308" t="s">
        <v>8276</v>
      </c>
      <c r="E5308" t="s">
        <v>526</v>
      </c>
    </row>
    <row r="5309" spans="2:5" x14ac:dyDescent="0.2">
      <c r="B5309" t="s">
        <v>8277</v>
      </c>
      <c r="C5309">
        <v>543322</v>
      </c>
      <c r="D5309" t="s">
        <v>8278</v>
      </c>
      <c r="E5309" t="s">
        <v>404</v>
      </c>
    </row>
    <row r="5310" spans="2:5" x14ac:dyDescent="0.2">
      <c r="B5310" t="s">
        <v>8279</v>
      </c>
      <c r="C5310">
        <v>543323</v>
      </c>
      <c r="D5310" t="s">
        <v>8280</v>
      </c>
      <c r="E5310" t="s">
        <v>219</v>
      </c>
    </row>
    <row r="5311" spans="2:5" x14ac:dyDescent="0.2">
      <c r="B5311" t="s">
        <v>8281</v>
      </c>
      <c r="C5311">
        <v>543324</v>
      </c>
      <c r="D5311" t="s">
        <v>8282</v>
      </c>
      <c r="E5311" t="s">
        <v>8283</v>
      </c>
    </row>
    <row r="5312" spans="2:5" x14ac:dyDescent="0.2">
      <c r="B5312" t="s">
        <v>8284</v>
      </c>
      <c r="C5312">
        <v>543325</v>
      </c>
      <c r="D5312" t="s">
        <v>8285</v>
      </c>
      <c r="E5312" t="s">
        <v>8074</v>
      </c>
    </row>
    <row r="5313" spans="2:5" x14ac:dyDescent="0.2">
      <c r="B5313" t="s">
        <v>8286</v>
      </c>
      <c r="C5313">
        <v>543326</v>
      </c>
      <c r="D5313" t="s">
        <v>8287</v>
      </c>
      <c r="E5313" t="s">
        <v>219</v>
      </c>
    </row>
    <row r="5314" spans="2:5" x14ac:dyDescent="0.2">
      <c r="B5314" t="s">
        <v>8288</v>
      </c>
      <c r="C5314">
        <v>543327</v>
      </c>
      <c r="D5314" t="s">
        <v>8289</v>
      </c>
      <c r="E5314" t="s">
        <v>8290</v>
      </c>
    </row>
    <row r="5315" spans="2:5" x14ac:dyDescent="0.2">
      <c r="B5315" t="s">
        <v>8291</v>
      </c>
      <c r="C5315">
        <v>543328</v>
      </c>
      <c r="D5315" t="s">
        <v>8292</v>
      </c>
      <c r="E5315" t="s">
        <v>8293</v>
      </c>
    </row>
    <row r="5316" spans="2:5" x14ac:dyDescent="0.2">
      <c r="B5316" t="s">
        <v>8294</v>
      </c>
      <c r="C5316">
        <v>543329</v>
      </c>
      <c r="D5316" t="s">
        <v>8295</v>
      </c>
      <c r="E5316" t="s">
        <v>404</v>
      </c>
    </row>
    <row r="5317" spans="2:5" x14ac:dyDescent="0.2">
      <c r="B5317" t="s">
        <v>8296</v>
      </c>
      <c r="C5317">
        <v>543330</v>
      </c>
      <c r="D5317" t="s">
        <v>8297</v>
      </c>
      <c r="E5317" t="s">
        <v>855</v>
      </c>
    </row>
    <row r="5318" spans="2:5" x14ac:dyDescent="0.2">
      <c r="B5318" t="s">
        <v>8298</v>
      </c>
      <c r="C5318">
        <v>543331</v>
      </c>
      <c r="D5318" t="s">
        <v>8299</v>
      </c>
      <c r="E5318" t="s">
        <v>8077</v>
      </c>
    </row>
    <row r="5319" spans="2:5" x14ac:dyDescent="0.2">
      <c r="B5319" t="s">
        <v>8300</v>
      </c>
      <c r="C5319">
        <v>543332</v>
      </c>
      <c r="D5319" t="s">
        <v>8301</v>
      </c>
      <c r="E5319" t="s">
        <v>526</v>
      </c>
    </row>
    <row r="5320" spans="2:5" x14ac:dyDescent="0.2">
      <c r="B5320" t="s">
        <v>8302</v>
      </c>
      <c r="C5320">
        <v>543333</v>
      </c>
      <c r="D5320" t="s">
        <v>8303</v>
      </c>
      <c r="E5320" t="s">
        <v>8274</v>
      </c>
    </row>
    <row r="5321" spans="2:5" x14ac:dyDescent="0.2">
      <c r="B5321" t="s">
        <v>8304</v>
      </c>
      <c r="C5321">
        <v>543334</v>
      </c>
      <c r="D5321" t="s">
        <v>8305</v>
      </c>
      <c r="E5321" t="s">
        <v>379</v>
      </c>
    </row>
    <row r="5322" spans="2:5" x14ac:dyDescent="0.2">
      <c r="B5322" t="s">
        <v>8306</v>
      </c>
      <c r="C5322">
        <v>543335</v>
      </c>
      <c r="D5322" t="s">
        <v>8307</v>
      </c>
      <c r="E5322" t="s">
        <v>8164</v>
      </c>
    </row>
    <row r="5323" spans="2:5" x14ac:dyDescent="0.2">
      <c r="B5323" t="s">
        <v>8308</v>
      </c>
      <c r="C5323">
        <v>543336</v>
      </c>
      <c r="D5323" t="s">
        <v>8309</v>
      </c>
      <c r="E5323" t="s">
        <v>414</v>
      </c>
    </row>
    <row r="5324" spans="2:5" x14ac:dyDescent="0.2">
      <c r="B5324" t="s">
        <v>8310</v>
      </c>
      <c r="C5324">
        <v>543341</v>
      </c>
      <c r="D5324" t="s">
        <v>8311</v>
      </c>
      <c r="E5324" t="s">
        <v>8312</v>
      </c>
    </row>
    <row r="5325" spans="2:5" x14ac:dyDescent="0.2">
      <c r="B5325" t="s">
        <v>8313</v>
      </c>
      <c r="C5325">
        <v>543346</v>
      </c>
      <c r="D5325" t="s">
        <v>8314</v>
      </c>
      <c r="E5325" t="s">
        <v>8256</v>
      </c>
    </row>
    <row r="5326" spans="2:5" x14ac:dyDescent="0.2">
      <c r="B5326" t="s">
        <v>8315</v>
      </c>
      <c r="C5326">
        <v>543347</v>
      </c>
      <c r="D5326" t="s">
        <v>8316</v>
      </c>
      <c r="E5326" t="s">
        <v>219</v>
      </c>
    </row>
    <row r="5327" spans="2:5" x14ac:dyDescent="0.2">
      <c r="B5327" t="s">
        <v>8317</v>
      </c>
      <c r="C5327">
        <v>543348</v>
      </c>
      <c r="D5327" t="s">
        <v>8318</v>
      </c>
      <c r="E5327" t="s">
        <v>219</v>
      </c>
    </row>
    <row r="5328" spans="2:5" x14ac:dyDescent="0.2">
      <c r="B5328" t="s">
        <v>8319</v>
      </c>
      <c r="C5328">
        <v>543349</v>
      </c>
      <c r="D5328" t="s">
        <v>8320</v>
      </c>
      <c r="E5328" t="s">
        <v>404</v>
      </c>
    </row>
    <row r="5329" spans="2:5" x14ac:dyDescent="0.2">
      <c r="B5329" t="s">
        <v>8321</v>
      </c>
      <c r="C5329">
        <v>543350</v>
      </c>
      <c r="D5329" t="s">
        <v>8322</v>
      </c>
      <c r="E5329" t="s">
        <v>8293</v>
      </c>
    </row>
    <row r="5330" spans="2:5" x14ac:dyDescent="0.2">
      <c r="B5330" t="s">
        <v>8323</v>
      </c>
      <c r="C5330">
        <v>543351</v>
      </c>
      <c r="D5330" t="s">
        <v>8324</v>
      </c>
      <c r="E5330" t="s">
        <v>8186</v>
      </c>
    </row>
    <row r="5331" spans="2:5" x14ac:dyDescent="0.2">
      <c r="B5331" t="s">
        <v>8325</v>
      </c>
      <c r="C5331">
        <v>543352</v>
      </c>
      <c r="D5331" t="s">
        <v>8326</v>
      </c>
      <c r="E5331" t="s">
        <v>8327</v>
      </c>
    </row>
    <row r="5332" spans="2:5" x14ac:dyDescent="0.2">
      <c r="B5332" t="s">
        <v>8328</v>
      </c>
      <c r="C5332">
        <v>543357</v>
      </c>
      <c r="D5332" t="s">
        <v>8329</v>
      </c>
      <c r="E5332" t="s">
        <v>219</v>
      </c>
    </row>
    <row r="5333" spans="2:5" x14ac:dyDescent="0.2">
      <c r="B5333" t="s">
        <v>8330</v>
      </c>
      <c r="C5333">
        <v>543358</v>
      </c>
      <c r="D5333" t="s">
        <v>8331</v>
      </c>
      <c r="E5333" t="s">
        <v>8074</v>
      </c>
    </row>
    <row r="5334" spans="2:5" x14ac:dyDescent="0.2">
      <c r="B5334" t="s">
        <v>8332</v>
      </c>
      <c r="C5334">
        <v>543363</v>
      </c>
      <c r="D5334" t="s">
        <v>8333</v>
      </c>
      <c r="E5334" t="s">
        <v>8177</v>
      </c>
    </row>
    <row r="5335" spans="2:5" x14ac:dyDescent="0.2">
      <c r="B5335" t="s">
        <v>8334</v>
      </c>
      <c r="C5335">
        <v>543364</v>
      </c>
      <c r="D5335" t="s">
        <v>8335</v>
      </c>
      <c r="E5335" t="s">
        <v>8267</v>
      </c>
    </row>
    <row r="5336" spans="2:5" x14ac:dyDescent="0.2">
      <c r="B5336" t="s">
        <v>8336</v>
      </c>
      <c r="C5336">
        <v>543365</v>
      </c>
      <c r="D5336" t="s">
        <v>8337</v>
      </c>
      <c r="E5336" t="s">
        <v>219</v>
      </c>
    </row>
    <row r="5337" spans="2:5" x14ac:dyDescent="0.2">
      <c r="B5337" t="s">
        <v>8338</v>
      </c>
      <c r="C5337">
        <v>543366</v>
      </c>
      <c r="D5337" t="s">
        <v>8339</v>
      </c>
      <c r="E5337" t="s">
        <v>8141</v>
      </c>
    </row>
    <row r="5338" spans="2:5" x14ac:dyDescent="0.2">
      <c r="B5338" t="s">
        <v>8340</v>
      </c>
      <c r="C5338">
        <v>543367</v>
      </c>
      <c r="D5338" t="s">
        <v>8341</v>
      </c>
      <c r="E5338" t="s">
        <v>8189</v>
      </c>
    </row>
    <row r="5339" spans="2:5" x14ac:dyDescent="0.2">
      <c r="B5339" t="s">
        <v>8342</v>
      </c>
      <c r="C5339">
        <v>543372</v>
      </c>
      <c r="D5339" t="s">
        <v>8343</v>
      </c>
      <c r="E5339" t="s">
        <v>8344</v>
      </c>
    </row>
    <row r="5340" spans="2:5" x14ac:dyDescent="0.2">
      <c r="B5340" t="s">
        <v>8345</v>
      </c>
      <c r="C5340">
        <v>543373</v>
      </c>
      <c r="D5340" t="s">
        <v>8346</v>
      </c>
      <c r="E5340" t="s">
        <v>8098</v>
      </c>
    </row>
    <row r="5341" spans="2:5" x14ac:dyDescent="0.2">
      <c r="B5341" t="s">
        <v>8347</v>
      </c>
      <c r="C5341">
        <v>543374</v>
      </c>
      <c r="D5341" t="s">
        <v>8348</v>
      </c>
      <c r="E5341" t="s">
        <v>8349</v>
      </c>
    </row>
    <row r="5342" spans="2:5" x14ac:dyDescent="0.2">
      <c r="B5342" t="s">
        <v>8350</v>
      </c>
      <c r="C5342">
        <v>543375</v>
      </c>
      <c r="D5342" t="s">
        <v>8351</v>
      </c>
      <c r="E5342" t="s">
        <v>8352</v>
      </c>
    </row>
    <row r="5343" spans="2:5" x14ac:dyDescent="0.2">
      <c r="B5343" t="s">
        <v>8353</v>
      </c>
      <c r="C5343">
        <v>543376</v>
      </c>
      <c r="D5343" t="s">
        <v>8354</v>
      </c>
      <c r="E5343" t="s">
        <v>8141</v>
      </c>
    </row>
    <row r="5344" spans="2:5" x14ac:dyDescent="0.2">
      <c r="B5344" t="s">
        <v>8355</v>
      </c>
      <c r="C5344">
        <v>543377</v>
      </c>
      <c r="D5344" t="s">
        <v>8356</v>
      </c>
      <c r="E5344" t="s">
        <v>689</v>
      </c>
    </row>
    <row r="5345" spans="2:5" x14ac:dyDescent="0.2">
      <c r="B5345" t="s">
        <v>8357</v>
      </c>
      <c r="C5345">
        <v>543378</v>
      </c>
      <c r="D5345" t="s">
        <v>8358</v>
      </c>
      <c r="E5345" t="s">
        <v>735</v>
      </c>
    </row>
    <row r="5346" spans="2:5" x14ac:dyDescent="0.2">
      <c r="B5346" t="s">
        <v>8359</v>
      </c>
      <c r="C5346">
        <v>543383</v>
      </c>
      <c r="D5346" t="s">
        <v>8360</v>
      </c>
      <c r="E5346" t="s">
        <v>219</v>
      </c>
    </row>
    <row r="5347" spans="2:5" x14ac:dyDescent="0.2">
      <c r="B5347" t="s">
        <v>8361</v>
      </c>
      <c r="C5347">
        <v>543384</v>
      </c>
      <c r="D5347" t="s">
        <v>8362</v>
      </c>
      <c r="E5347" t="s">
        <v>8274</v>
      </c>
    </row>
    <row r="5348" spans="2:5" x14ac:dyDescent="0.2">
      <c r="B5348" t="s">
        <v>8363</v>
      </c>
      <c r="C5348">
        <v>543385</v>
      </c>
      <c r="D5348" t="s">
        <v>8364</v>
      </c>
      <c r="E5348" t="s">
        <v>8267</v>
      </c>
    </row>
    <row r="5349" spans="2:5" x14ac:dyDescent="0.2">
      <c r="B5349" t="s">
        <v>8365</v>
      </c>
      <c r="C5349">
        <v>543386</v>
      </c>
      <c r="D5349" t="s">
        <v>8366</v>
      </c>
      <c r="E5349" t="s">
        <v>8209</v>
      </c>
    </row>
    <row r="5350" spans="2:5" x14ac:dyDescent="0.2">
      <c r="B5350" t="s">
        <v>8367</v>
      </c>
      <c r="C5350">
        <v>543387</v>
      </c>
      <c r="D5350" t="s">
        <v>8368</v>
      </c>
      <c r="E5350" t="s">
        <v>8074</v>
      </c>
    </row>
    <row r="5351" spans="2:5" x14ac:dyDescent="0.2">
      <c r="B5351" t="s">
        <v>8369</v>
      </c>
      <c r="C5351">
        <v>543388</v>
      </c>
      <c r="D5351" t="s">
        <v>8370</v>
      </c>
      <c r="E5351" t="s">
        <v>219</v>
      </c>
    </row>
    <row r="5352" spans="2:5" x14ac:dyDescent="0.2">
      <c r="B5352" t="s">
        <v>8371</v>
      </c>
      <c r="C5352">
        <v>543389</v>
      </c>
      <c r="D5352" t="s">
        <v>8372</v>
      </c>
      <c r="E5352" t="s">
        <v>404</v>
      </c>
    </row>
    <row r="5353" spans="2:5" x14ac:dyDescent="0.2">
      <c r="B5353" t="s">
        <v>8373</v>
      </c>
      <c r="C5353">
        <v>543390</v>
      </c>
      <c r="D5353" t="s">
        <v>8374</v>
      </c>
      <c r="E5353" t="s">
        <v>8215</v>
      </c>
    </row>
    <row r="5354" spans="2:5" x14ac:dyDescent="0.2">
      <c r="B5354" t="s">
        <v>8375</v>
      </c>
      <c r="C5354">
        <v>543391</v>
      </c>
      <c r="D5354" t="s">
        <v>8376</v>
      </c>
      <c r="E5354" t="s">
        <v>8267</v>
      </c>
    </row>
    <row r="5355" spans="2:5" x14ac:dyDescent="0.2">
      <c r="B5355" t="s">
        <v>8377</v>
      </c>
      <c r="C5355">
        <v>543396</v>
      </c>
      <c r="D5355" t="s">
        <v>8378</v>
      </c>
      <c r="E5355" t="s">
        <v>8215</v>
      </c>
    </row>
    <row r="5356" spans="2:5" x14ac:dyDescent="0.2">
      <c r="B5356" t="s">
        <v>8379</v>
      </c>
      <c r="C5356">
        <v>543397</v>
      </c>
      <c r="D5356" t="s">
        <v>8380</v>
      </c>
      <c r="E5356" t="s">
        <v>855</v>
      </c>
    </row>
    <row r="5357" spans="2:5" x14ac:dyDescent="0.2">
      <c r="B5357" t="s">
        <v>8381</v>
      </c>
      <c r="C5357">
        <v>543398</v>
      </c>
      <c r="D5357" t="s">
        <v>8382</v>
      </c>
      <c r="E5357" t="s">
        <v>8186</v>
      </c>
    </row>
    <row r="5358" spans="2:5" x14ac:dyDescent="0.2">
      <c r="B5358" t="s">
        <v>8383</v>
      </c>
      <c r="C5358">
        <v>543399</v>
      </c>
      <c r="D5358" t="s">
        <v>8384</v>
      </c>
      <c r="E5358" t="s">
        <v>8177</v>
      </c>
    </row>
    <row r="5359" spans="2:5" x14ac:dyDescent="0.2">
      <c r="B5359" t="s">
        <v>8385</v>
      </c>
      <c r="C5359">
        <v>543400</v>
      </c>
      <c r="D5359" t="s">
        <v>8386</v>
      </c>
      <c r="E5359" t="s">
        <v>8387</v>
      </c>
    </row>
    <row r="5360" spans="2:5" x14ac:dyDescent="0.2">
      <c r="B5360" t="s">
        <v>8388</v>
      </c>
      <c r="C5360">
        <v>543401</v>
      </c>
      <c r="D5360" t="s">
        <v>8389</v>
      </c>
      <c r="E5360" t="s">
        <v>8390</v>
      </c>
    </row>
    <row r="5361" spans="2:5" x14ac:dyDescent="0.2">
      <c r="B5361" t="s">
        <v>8391</v>
      </c>
      <c r="C5361">
        <v>543410</v>
      </c>
      <c r="D5361" t="s">
        <v>8392</v>
      </c>
      <c r="E5361" t="s">
        <v>450</v>
      </c>
    </row>
    <row r="5362" spans="2:5" x14ac:dyDescent="0.2">
      <c r="B5362" t="s">
        <v>8393</v>
      </c>
      <c r="C5362">
        <v>543411</v>
      </c>
      <c r="D5362" t="s">
        <v>2890</v>
      </c>
      <c r="E5362" t="s">
        <v>689</v>
      </c>
    </row>
    <row r="5363" spans="2:5" x14ac:dyDescent="0.2">
      <c r="B5363" t="s">
        <v>8394</v>
      </c>
      <c r="C5363">
        <v>543412</v>
      </c>
      <c r="D5363" t="s">
        <v>8395</v>
      </c>
      <c r="E5363" t="s">
        <v>2445</v>
      </c>
    </row>
    <row r="5364" spans="2:5" x14ac:dyDescent="0.2">
      <c r="B5364" t="s">
        <v>8396</v>
      </c>
      <c r="C5364">
        <v>543413</v>
      </c>
      <c r="D5364" t="s">
        <v>8397</v>
      </c>
      <c r="E5364" t="s">
        <v>8398</v>
      </c>
    </row>
    <row r="5365" spans="2:5" x14ac:dyDescent="0.2">
      <c r="B5365" t="s">
        <v>8399</v>
      </c>
      <c r="C5365">
        <v>543414</v>
      </c>
      <c r="D5365" t="s">
        <v>8400</v>
      </c>
      <c r="E5365" t="s">
        <v>219</v>
      </c>
    </row>
    <row r="5366" spans="2:5" x14ac:dyDescent="0.2">
      <c r="B5366" t="s">
        <v>8401</v>
      </c>
      <c r="C5366">
        <v>543415</v>
      </c>
      <c r="D5366" t="s">
        <v>8402</v>
      </c>
      <c r="E5366" t="s">
        <v>8403</v>
      </c>
    </row>
    <row r="5367" spans="2:5" x14ac:dyDescent="0.2">
      <c r="B5367" t="s">
        <v>8404</v>
      </c>
      <c r="C5367">
        <v>543416</v>
      </c>
      <c r="D5367" t="s">
        <v>7285</v>
      </c>
      <c r="E5367" t="s">
        <v>8352</v>
      </c>
    </row>
    <row r="5368" spans="2:5" x14ac:dyDescent="0.2">
      <c r="B5368" t="s">
        <v>8405</v>
      </c>
      <c r="C5368">
        <v>543417</v>
      </c>
      <c r="D5368" t="s">
        <v>8406</v>
      </c>
      <c r="E5368" t="s">
        <v>8186</v>
      </c>
    </row>
    <row r="5369" spans="2:5" x14ac:dyDescent="0.2">
      <c r="B5369" t="s">
        <v>8407</v>
      </c>
      <c r="C5369">
        <v>543419</v>
      </c>
      <c r="D5369" t="s">
        <v>8408</v>
      </c>
      <c r="E5369" t="s">
        <v>8141</v>
      </c>
    </row>
    <row r="5370" spans="2:5" x14ac:dyDescent="0.2">
      <c r="B5370" t="s">
        <v>8409</v>
      </c>
      <c r="C5370">
        <v>543420</v>
      </c>
      <c r="D5370" t="s">
        <v>3335</v>
      </c>
      <c r="E5370" t="s">
        <v>8410</v>
      </c>
    </row>
    <row r="5371" spans="2:5" x14ac:dyDescent="0.2">
      <c r="B5371" t="s">
        <v>8411</v>
      </c>
      <c r="C5371">
        <v>543425</v>
      </c>
      <c r="D5371" t="s">
        <v>8412</v>
      </c>
      <c r="E5371" t="s">
        <v>8413</v>
      </c>
    </row>
    <row r="5372" spans="2:5" x14ac:dyDescent="0.2">
      <c r="B5372" t="s">
        <v>8414</v>
      </c>
      <c r="C5372">
        <v>543426</v>
      </c>
      <c r="D5372" t="s">
        <v>8415</v>
      </c>
      <c r="E5372" t="s">
        <v>792</v>
      </c>
    </row>
    <row r="5373" spans="2:5" x14ac:dyDescent="0.2">
      <c r="B5373" t="s">
        <v>8416</v>
      </c>
      <c r="C5373">
        <v>543427</v>
      </c>
      <c r="D5373" t="s">
        <v>8417</v>
      </c>
      <c r="E5373" t="s">
        <v>8418</v>
      </c>
    </row>
    <row r="5374" spans="2:5" x14ac:dyDescent="0.2">
      <c r="B5374" t="s">
        <v>8419</v>
      </c>
      <c r="C5374">
        <v>543428</v>
      </c>
      <c r="D5374" t="s">
        <v>8420</v>
      </c>
      <c r="E5374" t="s">
        <v>8189</v>
      </c>
    </row>
    <row r="5375" spans="2:5" x14ac:dyDescent="0.2">
      <c r="B5375" t="s">
        <v>8421</v>
      </c>
      <c r="C5375">
        <v>543433</v>
      </c>
      <c r="D5375" t="s">
        <v>8422</v>
      </c>
      <c r="E5375" t="s">
        <v>526</v>
      </c>
    </row>
    <row r="5376" spans="2:5" x14ac:dyDescent="0.2">
      <c r="B5376" t="s">
        <v>8423</v>
      </c>
      <c r="C5376">
        <v>543434</v>
      </c>
      <c r="D5376" t="s">
        <v>8424</v>
      </c>
      <c r="E5376" t="s">
        <v>404</v>
      </c>
    </row>
    <row r="5377" spans="2:5" x14ac:dyDescent="0.2">
      <c r="B5377" t="s">
        <v>8425</v>
      </c>
      <c r="C5377">
        <v>543435</v>
      </c>
      <c r="D5377" t="s">
        <v>8426</v>
      </c>
      <c r="E5377" t="s">
        <v>8224</v>
      </c>
    </row>
    <row r="5378" spans="2:5" x14ac:dyDescent="0.2">
      <c r="B5378" t="s">
        <v>8427</v>
      </c>
      <c r="C5378">
        <v>543436</v>
      </c>
      <c r="D5378" t="s">
        <v>8428</v>
      </c>
      <c r="E5378" t="s">
        <v>8186</v>
      </c>
    </row>
    <row r="5379" spans="2:5" x14ac:dyDescent="0.2">
      <c r="B5379" t="s">
        <v>8429</v>
      </c>
      <c r="C5379">
        <v>543437</v>
      </c>
      <c r="D5379" t="s">
        <v>8430</v>
      </c>
      <c r="E5379" t="s">
        <v>219</v>
      </c>
    </row>
    <row r="5380" spans="2:5" x14ac:dyDescent="0.2">
      <c r="B5380" t="s">
        <v>8431</v>
      </c>
      <c r="C5380">
        <v>543438</v>
      </c>
      <c r="D5380" t="s">
        <v>8432</v>
      </c>
      <c r="E5380" t="s">
        <v>219</v>
      </c>
    </row>
    <row r="5381" spans="2:5" x14ac:dyDescent="0.2">
      <c r="B5381" t="s">
        <v>8433</v>
      </c>
      <c r="C5381">
        <v>543439</v>
      </c>
      <c r="D5381" t="s">
        <v>8434</v>
      </c>
      <c r="E5381" t="s">
        <v>8312</v>
      </c>
    </row>
    <row r="5382" spans="2:5" x14ac:dyDescent="0.2">
      <c r="B5382" t="s">
        <v>8435</v>
      </c>
      <c r="C5382">
        <v>543440</v>
      </c>
      <c r="D5382" t="s">
        <v>8436</v>
      </c>
      <c r="E5382" t="s">
        <v>219</v>
      </c>
    </row>
    <row r="5383" spans="2:5" x14ac:dyDescent="0.2">
      <c r="B5383" t="s">
        <v>8437</v>
      </c>
      <c r="C5383">
        <v>543441</v>
      </c>
      <c r="D5383" t="s">
        <v>8438</v>
      </c>
      <c r="E5383" t="s">
        <v>7312</v>
      </c>
    </row>
    <row r="5384" spans="2:5" x14ac:dyDescent="0.2">
      <c r="B5384" t="s">
        <v>8439</v>
      </c>
      <c r="C5384">
        <v>543442</v>
      </c>
      <c r="D5384" t="s">
        <v>1421</v>
      </c>
      <c r="E5384" t="s">
        <v>8390</v>
      </c>
    </row>
    <row r="5385" spans="2:5" x14ac:dyDescent="0.2">
      <c r="B5385" t="s">
        <v>8440</v>
      </c>
      <c r="C5385">
        <v>543443</v>
      </c>
      <c r="D5385" t="s">
        <v>8441</v>
      </c>
      <c r="E5385" t="s">
        <v>471</v>
      </c>
    </row>
    <row r="5386" spans="2:5" x14ac:dyDescent="0.2">
      <c r="B5386" t="s">
        <v>8442</v>
      </c>
      <c r="C5386">
        <v>543444</v>
      </c>
      <c r="D5386" t="s">
        <v>8443</v>
      </c>
      <c r="E5386" t="s">
        <v>404</v>
      </c>
    </row>
    <row r="5387" spans="2:5" x14ac:dyDescent="0.2">
      <c r="B5387" t="s">
        <v>8444</v>
      </c>
      <c r="C5387">
        <v>543449</v>
      </c>
      <c r="D5387" t="s">
        <v>8445</v>
      </c>
      <c r="E5387" t="s">
        <v>1129</v>
      </c>
    </row>
    <row r="5388" spans="2:5" x14ac:dyDescent="0.2">
      <c r="B5388" t="s">
        <v>8446</v>
      </c>
      <c r="C5388">
        <v>543450</v>
      </c>
      <c r="D5388" t="s">
        <v>8447</v>
      </c>
      <c r="E5388" t="s">
        <v>219</v>
      </c>
    </row>
    <row r="5389" spans="2:5" x14ac:dyDescent="0.2">
      <c r="B5389" t="s">
        <v>8448</v>
      </c>
      <c r="C5389">
        <v>543451</v>
      </c>
      <c r="D5389" t="s">
        <v>8449</v>
      </c>
      <c r="E5389" t="s">
        <v>7312</v>
      </c>
    </row>
    <row r="5390" spans="2:5" x14ac:dyDescent="0.2">
      <c r="B5390" t="s">
        <v>8450</v>
      </c>
      <c r="C5390">
        <v>543452</v>
      </c>
      <c r="D5390" t="s">
        <v>8451</v>
      </c>
      <c r="E5390" t="s">
        <v>219</v>
      </c>
    </row>
    <row r="5391" spans="2:5" x14ac:dyDescent="0.2">
      <c r="B5391" t="s">
        <v>8452</v>
      </c>
      <c r="C5391">
        <v>543453</v>
      </c>
      <c r="D5391" t="s">
        <v>8453</v>
      </c>
      <c r="E5391" t="s">
        <v>8454</v>
      </c>
    </row>
    <row r="5392" spans="2:5" x14ac:dyDescent="0.2">
      <c r="B5392" t="s">
        <v>8455</v>
      </c>
      <c r="C5392">
        <v>543454</v>
      </c>
      <c r="D5392" t="s">
        <v>8456</v>
      </c>
      <c r="E5392" t="s">
        <v>219</v>
      </c>
    </row>
    <row r="5393" spans="2:5" x14ac:dyDescent="0.2">
      <c r="B5393" t="s">
        <v>8457</v>
      </c>
      <c r="C5393">
        <v>543458</v>
      </c>
      <c r="D5393" t="s">
        <v>8458</v>
      </c>
      <c r="E5393" t="s">
        <v>8098</v>
      </c>
    </row>
    <row r="5394" spans="2:5" x14ac:dyDescent="0.2">
      <c r="B5394" t="s">
        <v>8459</v>
      </c>
      <c r="C5394">
        <v>543460</v>
      </c>
      <c r="D5394" t="s">
        <v>8460</v>
      </c>
      <c r="E5394" t="s">
        <v>374</v>
      </c>
    </row>
    <row r="5395" spans="2:5" x14ac:dyDescent="0.2">
      <c r="B5395" t="s">
        <v>8461</v>
      </c>
      <c r="C5395">
        <v>543461</v>
      </c>
      <c r="D5395" t="s">
        <v>8462</v>
      </c>
      <c r="E5395" t="s">
        <v>8091</v>
      </c>
    </row>
    <row r="5396" spans="2:5" x14ac:dyDescent="0.2">
      <c r="B5396" t="s">
        <v>8463</v>
      </c>
      <c r="C5396">
        <v>543462</v>
      </c>
      <c r="D5396" t="s">
        <v>1894</v>
      </c>
      <c r="E5396" t="s">
        <v>8464</v>
      </c>
    </row>
    <row r="5397" spans="2:5" x14ac:dyDescent="0.2">
      <c r="B5397" t="s">
        <v>8465</v>
      </c>
      <c r="C5397">
        <v>543463</v>
      </c>
      <c r="D5397" t="s">
        <v>8466</v>
      </c>
      <c r="E5397" t="s">
        <v>8390</v>
      </c>
    </row>
    <row r="5398" spans="2:5" x14ac:dyDescent="0.2">
      <c r="B5398" t="s">
        <v>8467</v>
      </c>
      <c r="C5398">
        <v>543464</v>
      </c>
      <c r="D5398" t="s">
        <v>8468</v>
      </c>
      <c r="E5398" t="s">
        <v>1410</v>
      </c>
    </row>
    <row r="5399" spans="2:5" x14ac:dyDescent="0.2">
      <c r="B5399" t="s">
        <v>8469</v>
      </c>
      <c r="C5399">
        <v>543465</v>
      </c>
      <c r="D5399" t="s">
        <v>8470</v>
      </c>
      <c r="E5399" t="s">
        <v>219</v>
      </c>
    </row>
    <row r="5400" spans="2:5" x14ac:dyDescent="0.2">
      <c r="B5400" t="s">
        <v>8471</v>
      </c>
      <c r="C5400">
        <v>543470</v>
      </c>
      <c r="D5400" t="s">
        <v>6015</v>
      </c>
      <c r="E5400" t="s">
        <v>8186</v>
      </c>
    </row>
    <row r="5401" spans="2:5" x14ac:dyDescent="0.2">
      <c r="B5401" t="s">
        <v>8472</v>
      </c>
      <c r="C5401">
        <v>543471</v>
      </c>
      <c r="D5401" t="s">
        <v>8473</v>
      </c>
      <c r="E5401" t="s">
        <v>219</v>
      </c>
    </row>
    <row r="5402" spans="2:5" x14ac:dyDescent="0.2">
      <c r="B5402" t="s">
        <v>8474</v>
      </c>
      <c r="C5402">
        <v>543472</v>
      </c>
      <c r="D5402" t="s">
        <v>8475</v>
      </c>
      <c r="E5402" t="s">
        <v>219</v>
      </c>
    </row>
    <row r="5403" spans="2:5" x14ac:dyDescent="0.2">
      <c r="B5403" t="s">
        <v>8476</v>
      </c>
      <c r="C5403">
        <v>543473</v>
      </c>
      <c r="D5403" t="s">
        <v>8477</v>
      </c>
      <c r="E5403" t="s">
        <v>219</v>
      </c>
    </row>
    <row r="5404" spans="2:5" x14ac:dyDescent="0.2">
      <c r="B5404" t="s">
        <v>8478</v>
      </c>
      <c r="C5404">
        <v>543474</v>
      </c>
      <c r="D5404" t="s">
        <v>8479</v>
      </c>
      <c r="E5404" t="s">
        <v>219</v>
      </c>
    </row>
    <row r="5405" spans="2:5" x14ac:dyDescent="0.2">
      <c r="B5405" t="s">
        <v>8480</v>
      </c>
      <c r="C5405">
        <v>543475</v>
      </c>
      <c r="D5405" t="s">
        <v>8481</v>
      </c>
      <c r="E5405" t="s">
        <v>8464</v>
      </c>
    </row>
    <row r="5406" spans="2:5" x14ac:dyDescent="0.2">
      <c r="B5406" t="s">
        <v>8482</v>
      </c>
      <c r="C5406">
        <v>543481</v>
      </c>
      <c r="D5406" t="s">
        <v>8483</v>
      </c>
      <c r="E5406" t="s">
        <v>219</v>
      </c>
    </row>
    <row r="5407" spans="2:5" x14ac:dyDescent="0.2">
      <c r="B5407" t="s">
        <v>8484</v>
      </c>
      <c r="C5407">
        <v>543482</v>
      </c>
      <c r="D5407" t="s">
        <v>8485</v>
      </c>
      <c r="E5407" t="s">
        <v>1129</v>
      </c>
    </row>
    <row r="5408" spans="2:5" x14ac:dyDescent="0.2">
      <c r="B5408" t="s">
        <v>8486</v>
      </c>
      <c r="C5408">
        <v>543489</v>
      </c>
      <c r="D5408" t="s">
        <v>8487</v>
      </c>
      <c r="E5408" t="s">
        <v>8410</v>
      </c>
    </row>
    <row r="5409" spans="2:5" x14ac:dyDescent="0.2">
      <c r="B5409" t="s">
        <v>8488</v>
      </c>
      <c r="C5409">
        <v>543490</v>
      </c>
      <c r="D5409" t="s">
        <v>8489</v>
      </c>
      <c r="E5409" t="s">
        <v>8352</v>
      </c>
    </row>
    <row r="5410" spans="2:5" x14ac:dyDescent="0.2">
      <c r="B5410" t="s">
        <v>8490</v>
      </c>
      <c r="C5410">
        <v>543497</v>
      </c>
      <c r="D5410" t="s">
        <v>8491</v>
      </c>
      <c r="E5410" t="s">
        <v>526</v>
      </c>
    </row>
    <row r="5411" spans="2:5" x14ac:dyDescent="0.2">
      <c r="B5411" t="s">
        <v>8492</v>
      </c>
      <c r="C5411">
        <v>543498</v>
      </c>
      <c r="D5411" t="s">
        <v>8493</v>
      </c>
      <c r="E5411" t="s">
        <v>8074</v>
      </c>
    </row>
    <row r="5412" spans="2:5" x14ac:dyDescent="0.2">
      <c r="B5412" t="s">
        <v>8494</v>
      </c>
      <c r="C5412">
        <v>543499</v>
      </c>
      <c r="D5412" t="s">
        <v>8495</v>
      </c>
      <c r="E5412" t="s">
        <v>404</v>
      </c>
    </row>
    <row r="5413" spans="2:5" x14ac:dyDescent="0.2">
      <c r="B5413" t="s">
        <v>8496</v>
      </c>
      <c r="C5413">
        <v>543500</v>
      </c>
      <c r="D5413" t="s">
        <v>8497</v>
      </c>
      <c r="E5413" t="s">
        <v>8091</v>
      </c>
    </row>
    <row r="5414" spans="2:5" x14ac:dyDescent="0.2">
      <c r="B5414" t="s">
        <v>8498</v>
      </c>
      <c r="C5414">
        <v>543501</v>
      </c>
      <c r="D5414" t="s">
        <v>8499</v>
      </c>
      <c r="E5414" t="s">
        <v>219</v>
      </c>
    </row>
    <row r="5415" spans="2:5" x14ac:dyDescent="0.2">
      <c r="B5415" t="s">
        <v>8500</v>
      </c>
      <c r="C5415">
        <v>543512</v>
      </c>
      <c r="D5415" t="s">
        <v>8501</v>
      </c>
      <c r="E5415" t="s">
        <v>8502</v>
      </c>
    </row>
    <row r="5416" spans="2:5" x14ac:dyDescent="0.2">
      <c r="B5416" t="s">
        <v>8503</v>
      </c>
      <c r="C5416">
        <v>543513</v>
      </c>
      <c r="D5416" t="s">
        <v>8504</v>
      </c>
      <c r="E5416" t="s">
        <v>8091</v>
      </c>
    </row>
    <row r="5417" spans="2:5" x14ac:dyDescent="0.2">
      <c r="B5417" t="s">
        <v>8505</v>
      </c>
      <c r="C5417">
        <v>543514</v>
      </c>
      <c r="D5417" t="s">
        <v>8506</v>
      </c>
      <c r="E5417" t="s">
        <v>8123</v>
      </c>
    </row>
    <row r="5418" spans="2:5" x14ac:dyDescent="0.2">
      <c r="B5418" t="s">
        <v>8507</v>
      </c>
      <c r="C5418">
        <v>543515</v>
      </c>
      <c r="D5418" t="s">
        <v>8508</v>
      </c>
      <c r="E5418" t="s">
        <v>8091</v>
      </c>
    </row>
    <row r="5419" spans="2:5" x14ac:dyDescent="0.2">
      <c r="B5419" t="s">
        <v>8509</v>
      </c>
      <c r="C5419">
        <v>543516</v>
      </c>
      <c r="D5419" t="s">
        <v>8510</v>
      </c>
      <c r="E5419" t="s">
        <v>8091</v>
      </c>
    </row>
    <row r="5420" spans="2:5" x14ac:dyDescent="0.2">
      <c r="B5420" t="s">
        <v>8511</v>
      </c>
      <c r="C5420">
        <v>543517</v>
      </c>
      <c r="D5420" t="s">
        <v>8512</v>
      </c>
      <c r="E5420" t="s">
        <v>689</v>
      </c>
    </row>
    <row r="5421" spans="2:5" x14ac:dyDescent="0.2">
      <c r="B5421" t="s">
        <v>8513</v>
      </c>
      <c r="C5421">
        <v>543518</v>
      </c>
      <c r="D5421" t="s">
        <v>8514</v>
      </c>
      <c r="E5421" t="s">
        <v>8108</v>
      </c>
    </row>
    <row r="5422" spans="2:5" x14ac:dyDescent="0.2">
      <c r="B5422" t="s">
        <v>8515</v>
      </c>
      <c r="C5422">
        <v>543519</v>
      </c>
      <c r="D5422" t="s">
        <v>8516</v>
      </c>
      <c r="E5422" t="s">
        <v>8290</v>
      </c>
    </row>
    <row r="5423" spans="2:5" x14ac:dyDescent="0.2">
      <c r="B5423" t="s">
        <v>8517</v>
      </c>
      <c r="C5423">
        <v>543520</v>
      </c>
      <c r="D5423" t="s">
        <v>8518</v>
      </c>
      <c r="E5423" t="s">
        <v>8256</v>
      </c>
    </row>
    <row r="5424" spans="2:5" x14ac:dyDescent="0.2">
      <c r="B5424" t="s">
        <v>8519</v>
      </c>
      <c r="C5424">
        <v>543521</v>
      </c>
      <c r="D5424" t="s">
        <v>8520</v>
      </c>
      <c r="E5424" t="s">
        <v>8274</v>
      </c>
    </row>
    <row r="5425" spans="2:5" x14ac:dyDescent="0.2">
      <c r="B5425" t="s">
        <v>8521</v>
      </c>
      <c r="C5425">
        <v>543522</v>
      </c>
      <c r="D5425" t="s">
        <v>8522</v>
      </c>
      <c r="E5425" t="s">
        <v>8523</v>
      </c>
    </row>
    <row r="5426" spans="2:5" x14ac:dyDescent="0.2">
      <c r="B5426" t="s">
        <v>8524</v>
      </c>
      <c r="C5426">
        <v>543523</v>
      </c>
      <c r="D5426" t="s">
        <v>8525</v>
      </c>
      <c r="E5426" t="s">
        <v>792</v>
      </c>
    </row>
    <row r="5427" spans="2:5" x14ac:dyDescent="0.2">
      <c r="B5427" t="s">
        <v>8526</v>
      </c>
      <c r="C5427">
        <v>543524</v>
      </c>
      <c r="D5427" t="s">
        <v>8527</v>
      </c>
      <c r="E5427" t="s">
        <v>8256</v>
      </c>
    </row>
    <row r="5428" spans="2:5" x14ac:dyDescent="0.2">
      <c r="B5428" t="s">
        <v>8528</v>
      </c>
      <c r="C5428">
        <v>543525</v>
      </c>
      <c r="D5428" t="s">
        <v>5928</v>
      </c>
      <c r="E5428" t="s">
        <v>8464</v>
      </c>
    </row>
    <row r="5429" spans="2:5" x14ac:dyDescent="0.2">
      <c r="B5429" t="s">
        <v>8529</v>
      </c>
      <c r="C5429">
        <v>543526</v>
      </c>
      <c r="D5429" t="s">
        <v>8530</v>
      </c>
      <c r="E5429" t="s">
        <v>2774</v>
      </c>
    </row>
    <row r="5430" spans="2:5" x14ac:dyDescent="0.2">
      <c r="B5430" t="s">
        <v>8531</v>
      </c>
      <c r="C5430">
        <v>543527</v>
      </c>
      <c r="D5430" t="s">
        <v>8532</v>
      </c>
      <c r="E5430" t="s">
        <v>8403</v>
      </c>
    </row>
    <row r="5431" spans="2:5" x14ac:dyDescent="0.2">
      <c r="B5431" t="s">
        <v>8533</v>
      </c>
      <c r="C5431">
        <v>543528</v>
      </c>
      <c r="D5431" t="s">
        <v>8534</v>
      </c>
      <c r="E5431" t="s">
        <v>689</v>
      </c>
    </row>
    <row r="5432" spans="2:5" x14ac:dyDescent="0.2">
      <c r="B5432" t="s">
        <v>8535</v>
      </c>
      <c r="C5432">
        <v>543529</v>
      </c>
      <c r="D5432" t="s">
        <v>8536</v>
      </c>
      <c r="E5432" t="s">
        <v>8410</v>
      </c>
    </row>
    <row r="5433" spans="2:5" x14ac:dyDescent="0.2">
      <c r="B5433" t="s">
        <v>8537</v>
      </c>
      <c r="C5433">
        <v>543530</v>
      </c>
      <c r="D5433" t="s">
        <v>8538</v>
      </c>
      <c r="E5433" t="s">
        <v>874</v>
      </c>
    </row>
    <row r="5434" spans="2:5" x14ac:dyDescent="0.2">
      <c r="B5434" t="s">
        <v>8539</v>
      </c>
      <c r="C5434">
        <v>543531</v>
      </c>
      <c r="D5434" t="s">
        <v>8540</v>
      </c>
      <c r="E5434" t="s">
        <v>564</v>
      </c>
    </row>
    <row r="5435" spans="2:5" x14ac:dyDescent="0.2">
      <c r="B5435" t="s">
        <v>8541</v>
      </c>
      <c r="C5435">
        <v>543532</v>
      </c>
      <c r="D5435" t="s">
        <v>8542</v>
      </c>
      <c r="E5435" t="s">
        <v>8108</v>
      </c>
    </row>
    <row r="5436" spans="2:5" x14ac:dyDescent="0.2">
      <c r="B5436" t="s">
        <v>8543</v>
      </c>
      <c r="C5436">
        <v>543533</v>
      </c>
      <c r="D5436" t="s">
        <v>8544</v>
      </c>
      <c r="E5436" t="s">
        <v>8464</v>
      </c>
    </row>
    <row r="5437" spans="2:5" x14ac:dyDescent="0.2">
      <c r="B5437" t="s">
        <v>8545</v>
      </c>
      <c r="C5437">
        <v>543534</v>
      </c>
      <c r="D5437" t="s">
        <v>8546</v>
      </c>
      <c r="E5437" t="s">
        <v>526</v>
      </c>
    </row>
    <row r="5438" spans="2:5" x14ac:dyDescent="0.2">
      <c r="B5438" t="s">
        <v>8547</v>
      </c>
      <c r="C5438">
        <v>543535</v>
      </c>
      <c r="D5438" t="s">
        <v>8548</v>
      </c>
      <c r="E5438" t="s">
        <v>8327</v>
      </c>
    </row>
    <row r="5439" spans="2:5" x14ac:dyDescent="0.2">
      <c r="B5439" t="s">
        <v>8549</v>
      </c>
      <c r="C5439">
        <v>543536</v>
      </c>
      <c r="D5439" t="s">
        <v>8550</v>
      </c>
      <c r="E5439" t="s">
        <v>8083</v>
      </c>
    </row>
    <row r="5440" spans="2:5" x14ac:dyDescent="0.2">
      <c r="B5440" t="s">
        <v>8551</v>
      </c>
      <c r="C5440">
        <v>590136</v>
      </c>
      <c r="D5440" t="s">
        <v>8552</v>
      </c>
      <c r="E5440" t="s">
        <v>219</v>
      </c>
    </row>
    <row r="5441" spans="2:5" x14ac:dyDescent="0.2">
      <c r="B5441" t="s">
        <v>8553</v>
      </c>
      <c r="C5441">
        <v>590137</v>
      </c>
      <c r="D5441" t="s">
        <v>8554</v>
      </c>
      <c r="E5441" t="s">
        <v>219</v>
      </c>
    </row>
    <row r="5442" spans="2:5" x14ac:dyDescent="0.2">
      <c r="B5442" t="s">
        <v>8555</v>
      </c>
      <c r="C5442">
        <v>590138</v>
      </c>
      <c r="D5442" t="s">
        <v>8556</v>
      </c>
      <c r="E5442" t="s">
        <v>219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Financials&gt;</vt:lpstr>
      <vt:lpstr>One Page Profile</vt:lpstr>
      <vt:lpstr>HistoricalFS</vt:lpstr>
      <vt:lpstr>Common Size Statement</vt:lpstr>
      <vt:lpstr>Ratio Analysis</vt:lpstr>
      <vt:lpstr>WACC</vt:lpstr>
      <vt:lpstr>Intrinsic Growth</vt:lpstr>
      <vt:lpstr>DCF</vt:lpstr>
      <vt:lpstr>Comps Val</vt:lpstr>
      <vt:lpstr>VAR</vt:lpstr>
      <vt:lpstr>DuPont Analysis</vt:lpstr>
      <vt:lpstr>Altman Z Score</vt:lpstr>
      <vt:lpstr>Summary</vt:lpstr>
      <vt:lpstr>Data&gt;</vt:lpstr>
      <vt:lpstr>Data Sheet</vt:lpstr>
      <vt:lpstr>Comps Data</vt:lpstr>
      <vt:lpstr>Share price</vt:lpstr>
      <vt:lpstr>Input</vt:lpstr>
      <vt:lpstr>Raw CF</vt:lpstr>
      <vt:lpstr>Raw Bs</vt:lpstr>
      <vt:lpstr>List of Stocks</vt:lpstr>
      <vt:lpstr>Altman Z Score!Print_Area</vt:lpstr>
      <vt:lpstr>Common Size Statement!Print_Area</vt:lpstr>
      <vt:lpstr>DCF!Print_Area</vt:lpstr>
      <vt:lpstr>DuPont Analysis!Print_Area</vt:lpstr>
      <vt:lpstr>HistoricalFS!Print_Area</vt:lpstr>
      <vt:lpstr>One Page Profile!Print_Area</vt:lpstr>
      <vt:lpstr>Summary!Print_Area</vt:lpstr>
      <vt:lpstr>VAR!Print_Area</vt:lpstr>
      <vt:lpstr>HistoricalFS!Print_Titles</vt:lpstr>
      <vt:lpstr>Summary!Print_Titles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jaydeep sethi</cp:lastModifiedBy>
  <cp:lastPrinted>2025-09-04T09:30:08Z</cp:lastPrinted>
  <dcterms:created xsi:type="dcterms:W3CDTF">2012-08-17T09:55:37Z</dcterms:created>
  <dcterms:modified xsi:type="dcterms:W3CDTF">2025-09-07T05:44:28Z</dcterms:modified>
</cp:coreProperties>
</file>